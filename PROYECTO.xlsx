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nchi\Videos\"/>
    </mc:Choice>
  </mc:AlternateContent>
  <xr:revisionPtr revIDLastSave="0" documentId="8_{1F725A75-B8E7-4D10-A408-B7D62FAFA2AA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Base_De_Datos" sheetId="1" r:id="rId1"/>
    <sheet name="Resumen_General" sheetId="3" r:id="rId2"/>
    <sheet name="Consulta_Transaccion" sheetId="2" r:id="rId3"/>
    <sheet name="Análisis" sheetId="4" r:id="rId4"/>
    <sheet name="Dashboard" sheetId="5" r:id="rId5"/>
  </sheets>
  <definedNames>
    <definedName name="SegmentaciónDeDatos_Categoria">#N/A</definedName>
    <definedName name="SegmentaciónDeDatos_Cliente">#N/A</definedName>
    <definedName name="SegmentaciónDeDatos_Tipo_Transaccion">#N/A</definedName>
  </definedNames>
  <calcPr calcId="191029"/>
  <pivotCaches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3" l="1"/>
  <c r="C10" i="3"/>
  <c r="C12" i="3"/>
  <c r="F11" i="2"/>
  <c r="E11" i="2"/>
  <c r="D11" i="2"/>
  <c r="C11" i="2"/>
  <c r="G9" i="2"/>
  <c r="F9" i="2"/>
  <c r="E9" i="2"/>
  <c r="D9" i="2"/>
  <c r="C9" i="2"/>
  <c r="B9" i="2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B11" i="2" s="1"/>
  <c r="I2" i="1"/>
  <c r="C8" i="3" l="1"/>
  <c r="C9" i="3" l="1"/>
  <c r="C11" i="3"/>
</calcChain>
</file>

<file path=xl/sharedStrings.xml><?xml version="1.0" encoding="utf-8"?>
<sst xmlns="http://schemas.openxmlformats.org/spreadsheetml/2006/main" count="40110" uniqueCount="5094">
  <si>
    <t>Fecha</t>
  </si>
  <si>
    <t>ID_Transaccion</t>
  </si>
  <si>
    <t>Cliente</t>
  </si>
  <si>
    <t>Tipo_Transaccion</t>
  </si>
  <si>
    <t>Categoria</t>
  </si>
  <si>
    <t>Monto_Base</t>
  </si>
  <si>
    <t>Impuesto</t>
  </si>
  <si>
    <t>Monto_Total</t>
  </si>
  <si>
    <t>Banco</t>
  </si>
  <si>
    <t>Cuenta</t>
  </si>
  <si>
    <t>Forma_Pago</t>
  </si>
  <si>
    <t>Estado</t>
  </si>
  <si>
    <t>TX-100000</t>
  </si>
  <si>
    <t>TX-100001</t>
  </si>
  <si>
    <t>TX-100002</t>
  </si>
  <si>
    <t>TX-100003</t>
  </si>
  <si>
    <t>TX-100004</t>
  </si>
  <si>
    <t>TX-100005</t>
  </si>
  <si>
    <t>TX-100006</t>
  </si>
  <si>
    <t>TX-100007</t>
  </si>
  <si>
    <t>TX-100008</t>
  </si>
  <si>
    <t>TX-100009</t>
  </si>
  <si>
    <t>TX-100010</t>
  </si>
  <si>
    <t>TX-100011</t>
  </si>
  <si>
    <t>TX-100012</t>
  </si>
  <si>
    <t>TX-100013</t>
  </si>
  <si>
    <t>TX-100014</t>
  </si>
  <si>
    <t>TX-100015</t>
  </si>
  <si>
    <t>TX-100016</t>
  </si>
  <si>
    <t>TX-100017</t>
  </si>
  <si>
    <t>TX-100018</t>
  </si>
  <si>
    <t>TX-100019</t>
  </si>
  <si>
    <t>TX-100020</t>
  </si>
  <si>
    <t>TX-100021</t>
  </si>
  <si>
    <t>TX-100022</t>
  </si>
  <si>
    <t>TX-100023</t>
  </si>
  <si>
    <t>TX-100024</t>
  </si>
  <si>
    <t>TX-100025</t>
  </si>
  <si>
    <t>TX-100026</t>
  </si>
  <si>
    <t>TX-100027</t>
  </si>
  <si>
    <t>TX-100028</t>
  </si>
  <si>
    <t>TX-100029</t>
  </si>
  <si>
    <t>TX-100030</t>
  </si>
  <si>
    <t>TX-100031</t>
  </si>
  <si>
    <t>TX-100032</t>
  </si>
  <si>
    <t>TX-100033</t>
  </si>
  <si>
    <t>TX-100034</t>
  </si>
  <si>
    <t>TX-100035</t>
  </si>
  <si>
    <t>TX-100036</t>
  </si>
  <si>
    <t>TX-100037</t>
  </si>
  <si>
    <t>TX-100038</t>
  </si>
  <si>
    <t>TX-100039</t>
  </si>
  <si>
    <t>TX-100040</t>
  </si>
  <si>
    <t>TX-100041</t>
  </si>
  <si>
    <t>TX-100042</t>
  </si>
  <si>
    <t>TX-100043</t>
  </si>
  <si>
    <t>TX-100044</t>
  </si>
  <si>
    <t>TX-100045</t>
  </si>
  <si>
    <t>TX-100046</t>
  </si>
  <si>
    <t>TX-100047</t>
  </si>
  <si>
    <t>TX-100048</t>
  </si>
  <si>
    <t>TX-100049</t>
  </si>
  <si>
    <t>TX-100050</t>
  </si>
  <si>
    <t>TX-100051</t>
  </si>
  <si>
    <t>TX-100052</t>
  </si>
  <si>
    <t>TX-100053</t>
  </si>
  <si>
    <t>TX-100054</t>
  </si>
  <si>
    <t>TX-100055</t>
  </si>
  <si>
    <t>TX-100056</t>
  </si>
  <si>
    <t>TX-100057</t>
  </si>
  <si>
    <t>TX-100058</t>
  </si>
  <si>
    <t>TX-100059</t>
  </si>
  <si>
    <t>TX-100060</t>
  </si>
  <si>
    <t>TX-100061</t>
  </si>
  <si>
    <t>TX-100062</t>
  </si>
  <si>
    <t>TX-100063</t>
  </si>
  <si>
    <t>TX-100064</t>
  </si>
  <si>
    <t>TX-100065</t>
  </si>
  <si>
    <t>TX-100066</t>
  </si>
  <si>
    <t>TX-100067</t>
  </si>
  <si>
    <t>TX-100068</t>
  </si>
  <si>
    <t>TX-100069</t>
  </si>
  <si>
    <t>TX-100070</t>
  </si>
  <si>
    <t>TX-100071</t>
  </si>
  <si>
    <t>TX-100072</t>
  </si>
  <si>
    <t>TX-100073</t>
  </si>
  <si>
    <t>TX-100074</t>
  </si>
  <si>
    <t>TX-100075</t>
  </si>
  <si>
    <t>TX-100076</t>
  </si>
  <si>
    <t>TX-100077</t>
  </si>
  <si>
    <t>TX-100078</t>
  </si>
  <si>
    <t>TX-100079</t>
  </si>
  <si>
    <t>TX-100080</t>
  </si>
  <si>
    <t>TX-100081</t>
  </si>
  <si>
    <t>TX-100082</t>
  </si>
  <si>
    <t>TX-100083</t>
  </si>
  <si>
    <t>TX-100084</t>
  </si>
  <si>
    <t>TX-100085</t>
  </si>
  <si>
    <t>TX-100086</t>
  </si>
  <si>
    <t>TX-100087</t>
  </si>
  <si>
    <t>TX-100088</t>
  </si>
  <si>
    <t>TX-100089</t>
  </si>
  <si>
    <t>TX-100090</t>
  </si>
  <si>
    <t>TX-100091</t>
  </si>
  <si>
    <t>TX-100092</t>
  </si>
  <si>
    <t>TX-100093</t>
  </si>
  <si>
    <t>TX-100094</t>
  </si>
  <si>
    <t>TX-100095</t>
  </si>
  <si>
    <t>TX-100096</t>
  </si>
  <si>
    <t>TX-100097</t>
  </si>
  <si>
    <t>TX-100098</t>
  </si>
  <si>
    <t>TX-100099</t>
  </si>
  <si>
    <t>TX-100100</t>
  </si>
  <si>
    <t>TX-100101</t>
  </si>
  <si>
    <t>TX-100102</t>
  </si>
  <si>
    <t>TX-100103</t>
  </si>
  <si>
    <t>TX-100104</t>
  </si>
  <si>
    <t>TX-100105</t>
  </si>
  <si>
    <t>TX-100106</t>
  </si>
  <si>
    <t>TX-100107</t>
  </si>
  <si>
    <t>TX-100108</t>
  </si>
  <si>
    <t>TX-100109</t>
  </si>
  <si>
    <t>TX-100110</t>
  </si>
  <si>
    <t>TX-100111</t>
  </si>
  <si>
    <t>TX-100112</t>
  </si>
  <si>
    <t>TX-100113</t>
  </si>
  <si>
    <t>TX-100114</t>
  </si>
  <si>
    <t>TX-100115</t>
  </si>
  <si>
    <t>TX-100116</t>
  </si>
  <si>
    <t>TX-100117</t>
  </si>
  <si>
    <t>TX-100118</t>
  </si>
  <si>
    <t>TX-100119</t>
  </si>
  <si>
    <t>TX-100120</t>
  </si>
  <si>
    <t>TX-100121</t>
  </si>
  <si>
    <t>TX-100122</t>
  </si>
  <si>
    <t>TX-100123</t>
  </si>
  <si>
    <t>TX-100124</t>
  </si>
  <si>
    <t>TX-100125</t>
  </si>
  <si>
    <t>TX-100126</t>
  </si>
  <si>
    <t>TX-100127</t>
  </si>
  <si>
    <t>TX-100128</t>
  </si>
  <si>
    <t>TX-100129</t>
  </si>
  <si>
    <t>TX-100130</t>
  </si>
  <si>
    <t>TX-100131</t>
  </si>
  <si>
    <t>TX-100132</t>
  </si>
  <si>
    <t>TX-100133</t>
  </si>
  <si>
    <t>TX-100134</t>
  </si>
  <si>
    <t>TX-100135</t>
  </si>
  <si>
    <t>TX-100136</t>
  </si>
  <si>
    <t>TX-100137</t>
  </si>
  <si>
    <t>TX-100138</t>
  </si>
  <si>
    <t>TX-100139</t>
  </si>
  <si>
    <t>TX-100140</t>
  </si>
  <si>
    <t>TX-100141</t>
  </si>
  <si>
    <t>TX-100142</t>
  </si>
  <si>
    <t>TX-100143</t>
  </si>
  <si>
    <t>TX-100144</t>
  </si>
  <si>
    <t>TX-100145</t>
  </si>
  <si>
    <t>TX-100146</t>
  </si>
  <si>
    <t>TX-100147</t>
  </si>
  <si>
    <t>TX-100148</t>
  </si>
  <si>
    <t>TX-100149</t>
  </si>
  <si>
    <t>TX-100150</t>
  </si>
  <si>
    <t>TX-100151</t>
  </si>
  <si>
    <t>TX-100152</t>
  </si>
  <si>
    <t>TX-100153</t>
  </si>
  <si>
    <t>TX-100154</t>
  </si>
  <si>
    <t>TX-100155</t>
  </si>
  <si>
    <t>TX-100156</t>
  </si>
  <si>
    <t>TX-100157</t>
  </si>
  <si>
    <t>TX-100158</t>
  </si>
  <si>
    <t>TX-100159</t>
  </si>
  <si>
    <t>TX-100160</t>
  </si>
  <si>
    <t>TX-100161</t>
  </si>
  <si>
    <t>TX-100162</t>
  </si>
  <si>
    <t>TX-100163</t>
  </si>
  <si>
    <t>TX-100164</t>
  </si>
  <si>
    <t>TX-100165</t>
  </si>
  <si>
    <t>TX-100166</t>
  </si>
  <si>
    <t>TX-100167</t>
  </si>
  <si>
    <t>TX-100168</t>
  </si>
  <si>
    <t>TX-100169</t>
  </si>
  <si>
    <t>TX-100170</t>
  </si>
  <si>
    <t>TX-100171</t>
  </si>
  <si>
    <t>TX-100172</t>
  </si>
  <si>
    <t>TX-100173</t>
  </si>
  <si>
    <t>TX-100174</t>
  </si>
  <si>
    <t>TX-100175</t>
  </si>
  <si>
    <t>TX-100176</t>
  </si>
  <si>
    <t>TX-100177</t>
  </si>
  <si>
    <t>TX-100178</t>
  </si>
  <si>
    <t>TX-100179</t>
  </si>
  <si>
    <t>TX-100180</t>
  </si>
  <si>
    <t>TX-100181</t>
  </si>
  <si>
    <t>TX-100182</t>
  </si>
  <si>
    <t>TX-100183</t>
  </si>
  <si>
    <t>TX-100184</t>
  </si>
  <si>
    <t>TX-100185</t>
  </si>
  <si>
    <t>TX-100186</t>
  </si>
  <si>
    <t>TX-100187</t>
  </si>
  <si>
    <t>TX-100188</t>
  </si>
  <si>
    <t>TX-100189</t>
  </si>
  <si>
    <t>TX-100190</t>
  </si>
  <si>
    <t>TX-100191</t>
  </si>
  <si>
    <t>TX-100192</t>
  </si>
  <si>
    <t>TX-100193</t>
  </si>
  <si>
    <t>TX-100194</t>
  </si>
  <si>
    <t>TX-100195</t>
  </si>
  <si>
    <t>TX-100196</t>
  </si>
  <si>
    <t>TX-100197</t>
  </si>
  <si>
    <t>TX-100198</t>
  </si>
  <si>
    <t>TX-100199</t>
  </si>
  <si>
    <t>TX-100200</t>
  </si>
  <si>
    <t>TX-100201</t>
  </si>
  <si>
    <t>TX-100202</t>
  </si>
  <si>
    <t>TX-100203</t>
  </si>
  <si>
    <t>TX-100204</t>
  </si>
  <si>
    <t>TX-100205</t>
  </si>
  <si>
    <t>TX-100206</t>
  </si>
  <si>
    <t>TX-100207</t>
  </si>
  <si>
    <t>TX-100208</t>
  </si>
  <si>
    <t>TX-100209</t>
  </si>
  <si>
    <t>TX-100210</t>
  </si>
  <si>
    <t>TX-100211</t>
  </si>
  <si>
    <t>TX-100212</t>
  </si>
  <si>
    <t>TX-100213</t>
  </si>
  <si>
    <t>TX-100214</t>
  </si>
  <si>
    <t>TX-100215</t>
  </si>
  <si>
    <t>TX-100216</t>
  </si>
  <si>
    <t>TX-100217</t>
  </si>
  <si>
    <t>TX-100218</t>
  </si>
  <si>
    <t>TX-100219</t>
  </si>
  <si>
    <t>TX-100220</t>
  </si>
  <si>
    <t>TX-100221</t>
  </si>
  <si>
    <t>TX-100222</t>
  </si>
  <si>
    <t>TX-100223</t>
  </si>
  <si>
    <t>TX-100224</t>
  </si>
  <si>
    <t>TX-100225</t>
  </si>
  <si>
    <t>TX-100226</t>
  </si>
  <si>
    <t>TX-100227</t>
  </si>
  <si>
    <t>TX-100228</t>
  </si>
  <si>
    <t>TX-100229</t>
  </si>
  <si>
    <t>TX-100230</t>
  </si>
  <si>
    <t>TX-100231</t>
  </si>
  <si>
    <t>TX-100232</t>
  </si>
  <si>
    <t>TX-100233</t>
  </si>
  <si>
    <t>TX-100234</t>
  </si>
  <si>
    <t>TX-100235</t>
  </si>
  <si>
    <t>TX-100236</t>
  </si>
  <si>
    <t>TX-100237</t>
  </si>
  <si>
    <t>TX-100238</t>
  </si>
  <si>
    <t>TX-100239</t>
  </si>
  <si>
    <t>TX-100240</t>
  </si>
  <si>
    <t>TX-100241</t>
  </si>
  <si>
    <t>TX-100242</t>
  </si>
  <si>
    <t>TX-100243</t>
  </si>
  <si>
    <t>TX-100244</t>
  </si>
  <si>
    <t>TX-100245</t>
  </si>
  <si>
    <t>TX-100246</t>
  </si>
  <si>
    <t>TX-100247</t>
  </si>
  <si>
    <t>TX-100248</t>
  </si>
  <si>
    <t>TX-100249</t>
  </si>
  <si>
    <t>TX-100250</t>
  </si>
  <si>
    <t>TX-100251</t>
  </si>
  <si>
    <t>TX-100252</t>
  </si>
  <si>
    <t>TX-100253</t>
  </si>
  <si>
    <t>TX-100254</t>
  </si>
  <si>
    <t>TX-100255</t>
  </si>
  <si>
    <t>TX-100256</t>
  </si>
  <si>
    <t>TX-100257</t>
  </si>
  <si>
    <t>TX-100258</t>
  </si>
  <si>
    <t>TX-100259</t>
  </si>
  <si>
    <t>TX-100260</t>
  </si>
  <si>
    <t>TX-100261</t>
  </si>
  <si>
    <t>TX-100262</t>
  </si>
  <si>
    <t>TX-100263</t>
  </si>
  <si>
    <t>TX-100264</t>
  </si>
  <si>
    <t>TX-100265</t>
  </si>
  <si>
    <t>TX-100266</t>
  </si>
  <si>
    <t>TX-100267</t>
  </si>
  <si>
    <t>TX-100268</t>
  </si>
  <si>
    <t>TX-100269</t>
  </si>
  <si>
    <t>TX-100270</t>
  </si>
  <si>
    <t>TX-100271</t>
  </si>
  <si>
    <t>TX-100272</t>
  </si>
  <si>
    <t>TX-100273</t>
  </si>
  <si>
    <t>TX-100274</t>
  </si>
  <si>
    <t>TX-100275</t>
  </si>
  <si>
    <t>TX-100276</t>
  </si>
  <si>
    <t>TX-100277</t>
  </si>
  <si>
    <t>TX-100278</t>
  </si>
  <si>
    <t>TX-100279</t>
  </si>
  <si>
    <t>TX-100280</t>
  </si>
  <si>
    <t>TX-100281</t>
  </si>
  <si>
    <t>TX-100282</t>
  </si>
  <si>
    <t>TX-100283</t>
  </si>
  <si>
    <t>TX-100284</t>
  </si>
  <si>
    <t>TX-100285</t>
  </si>
  <si>
    <t>TX-100286</t>
  </si>
  <si>
    <t>TX-100287</t>
  </si>
  <si>
    <t>TX-100288</t>
  </si>
  <si>
    <t>TX-100289</t>
  </si>
  <si>
    <t>TX-100290</t>
  </si>
  <si>
    <t>TX-100291</t>
  </si>
  <si>
    <t>TX-100292</t>
  </si>
  <si>
    <t>TX-100293</t>
  </si>
  <si>
    <t>TX-100294</t>
  </si>
  <si>
    <t>TX-100295</t>
  </si>
  <si>
    <t>TX-100296</t>
  </si>
  <si>
    <t>TX-100297</t>
  </si>
  <si>
    <t>TX-100298</t>
  </si>
  <si>
    <t>TX-100299</t>
  </si>
  <si>
    <t>TX-100300</t>
  </si>
  <si>
    <t>TX-100301</t>
  </si>
  <si>
    <t>TX-100302</t>
  </si>
  <si>
    <t>TX-100303</t>
  </si>
  <si>
    <t>TX-100304</t>
  </si>
  <si>
    <t>TX-100305</t>
  </si>
  <si>
    <t>TX-100306</t>
  </si>
  <si>
    <t>TX-100307</t>
  </si>
  <si>
    <t>TX-100308</t>
  </si>
  <si>
    <t>TX-100309</t>
  </si>
  <si>
    <t>TX-100310</t>
  </si>
  <si>
    <t>TX-100311</t>
  </si>
  <si>
    <t>TX-100312</t>
  </si>
  <si>
    <t>TX-100313</t>
  </si>
  <si>
    <t>TX-100314</t>
  </si>
  <si>
    <t>TX-100315</t>
  </si>
  <si>
    <t>TX-100316</t>
  </si>
  <si>
    <t>TX-100317</t>
  </si>
  <si>
    <t>TX-100318</t>
  </si>
  <si>
    <t>TX-100319</t>
  </si>
  <si>
    <t>TX-100320</t>
  </si>
  <si>
    <t>TX-100321</t>
  </si>
  <si>
    <t>TX-100322</t>
  </si>
  <si>
    <t>TX-100323</t>
  </si>
  <si>
    <t>TX-100324</t>
  </si>
  <si>
    <t>TX-100325</t>
  </si>
  <si>
    <t>TX-100326</t>
  </si>
  <si>
    <t>TX-100327</t>
  </si>
  <si>
    <t>TX-100328</t>
  </si>
  <si>
    <t>TX-100329</t>
  </si>
  <si>
    <t>TX-100330</t>
  </si>
  <si>
    <t>TX-100331</t>
  </si>
  <si>
    <t>TX-100332</t>
  </si>
  <si>
    <t>TX-100333</t>
  </si>
  <si>
    <t>TX-100334</t>
  </si>
  <si>
    <t>TX-100335</t>
  </si>
  <si>
    <t>TX-100336</t>
  </si>
  <si>
    <t>TX-100337</t>
  </si>
  <si>
    <t>TX-100338</t>
  </si>
  <si>
    <t>TX-100339</t>
  </si>
  <si>
    <t>TX-100340</t>
  </si>
  <si>
    <t>TX-100341</t>
  </si>
  <si>
    <t>TX-100342</t>
  </si>
  <si>
    <t>TX-100343</t>
  </si>
  <si>
    <t>TX-100344</t>
  </si>
  <si>
    <t>TX-100345</t>
  </si>
  <si>
    <t>TX-100346</t>
  </si>
  <si>
    <t>TX-100347</t>
  </si>
  <si>
    <t>TX-100348</t>
  </si>
  <si>
    <t>TX-100349</t>
  </si>
  <si>
    <t>TX-100350</t>
  </si>
  <si>
    <t>TX-100351</t>
  </si>
  <si>
    <t>TX-100352</t>
  </si>
  <si>
    <t>TX-100353</t>
  </si>
  <si>
    <t>TX-100354</t>
  </si>
  <si>
    <t>TX-100355</t>
  </si>
  <si>
    <t>TX-100356</t>
  </si>
  <si>
    <t>TX-100357</t>
  </si>
  <si>
    <t>TX-100358</t>
  </si>
  <si>
    <t>TX-100359</t>
  </si>
  <si>
    <t>TX-100360</t>
  </si>
  <si>
    <t>TX-100361</t>
  </si>
  <si>
    <t>TX-100362</t>
  </si>
  <si>
    <t>TX-100363</t>
  </si>
  <si>
    <t>TX-100364</t>
  </si>
  <si>
    <t>TX-100365</t>
  </si>
  <si>
    <t>TX-100366</t>
  </si>
  <si>
    <t>TX-100367</t>
  </si>
  <si>
    <t>TX-100368</t>
  </si>
  <si>
    <t>TX-100369</t>
  </si>
  <si>
    <t>TX-100370</t>
  </si>
  <si>
    <t>TX-100371</t>
  </si>
  <si>
    <t>TX-100372</t>
  </si>
  <si>
    <t>TX-100373</t>
  </si>
  <si>
    <t>TX-100374</t>
  </si>
  <si>
    <t>TX-100375</t>
  </si>
  <si>
    <t>TX-100376</t>
  </si>
  <si>
    <t>TX-100377</t>
  </si>
  <si>
    <t>TX-100378</t>
  </si>
  <si>
    <t>TX-100379</t>
  </si>
  <si>
    <t>TX-100380</t>
  </si>
  <si>
    <t>TX-100381</t>
  </si>
  <si>
    <t>TX-100382</t>
  </si>
  <si>
    <t>TX-100383</t>
  </si>
  <si>
    <t>TX-100384</t>
  </si>
  <si>
    <t>TX-100385</t>
  </si>
  <si>
    <t>TX-100386</t>
  </si>
  <si>
    <t>TX-100387</t>
  </si>
  <si>
    <t>TX-100388</t>
  </si>
  <si>
    <t>TX-100389</t>
  </si>
  <si>
    <t>TX-100390</t>
  </si>
  <si>
    <t>TX-100391</t>
  </si>
  <si>
    <t>TX-100392</t>
  </si>
  <si>
    <t>TX-100393</t>
  </si>
  <si>
    <t>TX-100394</t>
  </si>
  <si>
    <t>TX-100395</t>
  </si>
  <si>
    <t>TX-100396</t>
  </si>
  <si>
    <t>TX-100397</t>
  </si>
  <si>
    <t>TX-100398</t>
  </si>
  <si>
    <t>TX-100399</t>
  </si>
  <si>
    <t>TX-100400</t>
  </si>
  <si>
    <t>TX-100401</t>
  </si>
  <si>
    <t>TX-100402</t>
  </si>
  <si>
    <t>TX-100403</t>
  </si>
  <si>
    <t>TX-100404</t>
  </si>
  <si>
    <t>TX-100405</t>
  </si>
  <si>
    <t>TX-100406</t>
  </si>
  <si>
    <t>TX-100407</t>
  </si>
  <si>
    <t>TX-100408</t>
  </si>
  <si>
    <t>TX-100409</t>
  </si>
  <si>
    <t>TX-100410</t>
  </si>
  <si>
    <t>TX-100411</t>
  </si>
  <si>
    <t>TX-100412</t>
  </si>
  <si>
    <t>TX-100413</t>
  </si>
  <si>
    <t>TX-100414</t>
  </si>
  <si>
    <t>TX-100415</t>
  </si>
  <si>
    <t>TX-100416</t>
  </si>
  <si>
    <t>TX-100417</t>
  </si>
  <si>
    <t>TX-100418</t>
  </si>
  <si>
    <t>TX-100419</t>
  </si>
  <si>
    <t>TX-100420</t>
  </si>
  <si>
    <t>TX-100421</t>
  </si>
  <si>
    <t>TX-100422</t>
  </si>
  <si>
    <t>TX-100423</t>
  </si>
  <si>
    <t>TX-100424</t>
  </si>
  <si>
    <t>TX-100425</t>
  </si>
  <si>
    <t>TX-100426</t>
  </si>
  <si>
    <t>TX-100427</t>
  </si>
  <si>
    <t>TX-100428</t>
  </si>
  <si>
    <t>TX-100429</t>
  </si>
  <si>
    <t>TX-100430</t>
  </si>
  <si>
    <t>TX-100431</t>
  </si>
  <si>
    <t>TX-100432</t>
  </si>
  <si>
    <t>TX-100433</t>
  </si>
  <si>
    <t>TX-100434</t>
  </si>
  <si>
    <t>TX-100435</t>
  </si>
  <si>
    <t>TX-100436</t>
  </si>
  <si>
    <t>TX-100437</t>
  </si>
  <si>
    <t>TX-100438</t>
  </si>
  <si>
    <t>TX-100439</t>
  </si>
  <si>
    <t>TX-100440</t>
  </si>
  <si>
    <t>TX-100441</t>
  </si>
  <si>
    <t>TX-100442</t>
  </si>
  <si>
    <t>TX-100443</t>
  </si>
  <si>
    <t>TX-100444</t>
  </si>
  <si>
    <t>TX-100445</t>
  </si>
  <si>
    <t>TX-100446</t>
  </si>
  <si>
    <t>TX-100447</t>
  </si>
  <si>
    <t>TX-100448</t>
  </si>
  <si>
    <t>TX-100449</t>
  </si>
  <si>
    <t>TX-100450</t>
  </si>
  <si>
    <t>TX-100451</t>
  </si>
  <si>
    <t>TX-100452</t>
  </si>
  <si>
    <t>TX-100453</t>
  </si>
  <si>
    <t>TX-100454</t>
  </si>
  <si>
    <t>TX-100455</t>
  </si>
  <si>
    <t>TX-100456</t>
  </si>
  <si>
    <t>TX-100457</t>
  </si>
  <si>
    <t>TX-100458</t>
  </si>
  <si>
    <t>TX-100459</t>
  </si>
  <si>
    <t>TX-100460</t>
  </si>
  <si>
    <t>TX-100461</t>
  </si>
  <si>
    <t>TX-100462</t>
  </si>
  <si>
    <t>TX-100463</t>
  </si>
  <si>
    <t>TX-100464</t>
  </si>
  <si>
    <t>TX-100465</t>
  </si>
  <si>
    <t>TX-100466</t>
  </si>
  <si>
    <t>TX-100467</t>
  </si>
  <si>
    <t>TX-100468</t>
  </si>
  <si>
    <t>TX-100469</t>
  </si>
  <si>
    <t>TX-100470</t>
  </si>
  <si>
    <t>TX-100471</t>
  </si>
  <si>
    <t>TX-100472</t>
  </si>
  <si>
    <t>TX-100473</t>
  </si>
  <si>
    <t>TX-100474</t>
  </si>
  <si>
    <t>TX-100475</t>
  </si>
  <si>
    <t>TX-100476</t>
  </si>
  <si>
    <t>TX-100477</t>
  </si>
  <si>
    <t>TX-100478</t>
  </si>
  <si>
    <t>TX-100479</t>
  </si>
  <si>
    <t>TX-100480</t>
  </si>
  <si>
    <t>TX-100481</t>
  </si>
  <si>
    <t>TX-100482</t>
  </si>
  <si>
    <t>TX-100483</t>
  </si>
  <si>
    <t>TX-100484</t>
  </si>
  <si>
    <t>TX-100485</t>
  </si>
  <si>
    <t>TX-100486</t>
  </si>
  <si>
    <t>TX-100487</t>
  </si>
  <si>
    <t>TX-100488</t>
  </si>
  <si>
    <t>TX-100489</t>
  </si>
  <si>
    <t>TX-100490</t>
  </si>
  <si>
    <t>TX-100491</t>
  </si>
  <si>
    <t>TX-100492</t>
  </si>
  <si>
    <t>TX-100493</t>
  </si>
  <si>
    <t>TX-100494</t>
  </si>
  <si>
    <t>TX-100495</t>
  </si>
  <si>
    <t>TX-100496</t>
  </si>
  <si>
    <t>TX-100497</t>
  </si>
  <si>
    <t>TX-100498</t>
  </si>
  <si>
    <t>TX-100499</t>
  </si>
  <si>
    <t>TX-100500</t>
  </si>
  <si>
    <t>TX-100501</t>
  </si>
  <si>
    <t>TX-100502</t>
  </si>
  <si>
    <t>TX-100503</t>
  </si>
  <si>
    <t>TX-100504</t>
  </si>
  <si>
    <t>TX-100505</t>
  </si>
  <si>
    <t>TX-100506</t>
  </si>
  <si>
    <t>TX-100507</t>
  </si>
  <si>
    <t>TX-100508</t>
  </si>
  <si>
    <t>TX-100509</t>
  </si>
  <si>
    <t>TX-100510</t>
  </si>
  <si>
    <t>TX-100511</t>
  </si>
  <si>
    <t>TX-100512</t>
  </si>
  <si>
    <t>TX-100513</t>
  </si>
  <si>
    <t>TX-100514</t>
  </si>
  <si>
    <t>TX-100515</t>
  </si>
  <si>
    <t>TX-100516</t>
  </si>
  <si>
    <t>TX-100517</t>
  </si>
  <si>
    <t>TX-100518</t>
  </si>
  <si>
    <t>TX-100519</t>
  </si>
  <si>
    <t>TX-100520</t>
  </si>
  <si>
    <t>TX-100521</t>
  </si>
  <si>
    <t>TX-100522</t>
  </si>
  <si>
    <t>TX-100523</t>
  </si>
  <si>
    <t>TX-100524</t>
  </si>
  <si>
    <t>TX-100525</t>
  </si>
  <si>
    <t>TX-100526</t>
  </si>
  <si>
    <t>TX-100527</t>
  </si>
  <si>
    <t>TX-100528</t>
  </si>
  <si>
    <t>TX-100529</t>
  </si>
  <si>
    <t>TX-100530</t>
  </si>
  <si>
    <t>TX-100531</t>
  </si>
  <si>
    <t>TX-100532</t>
  </si>
  <si>
    <t>TX-100533</t>
  </si>
  <si>
    <t>TX-100534</t>
  </si>
  <si>
    <t>TX-100535</t>
  </si>
  <si>
    <t>TX-100536</t>
  </si>
  <si>
    <t>TX-100537</t>
  </si>
  <si>
    <t>TX-100538</t>
  </si>
  <si>
    <t>TX-100539</t>
  </si>
  <si>
    <t>TX-100540</t>
  </si>
  <si>
    <t>TX-100541</t>
  </si>
  <si>
    <t>TX-100542</t>
  </si>
  <si>
    <t>TX-100543</t>
  </si>
  <si>
    <t>TX-100544</t>
  </si>
  <si>
    <t>TX-100545</t>
  </si>
  <si>
    <t>TX-100546</t>
  </si>
  <si>
    <t>TX-100547</t>
  </si>
  <si>
    <t>TX-100548</t>
  </si>
  <si>
    <t>TX-100549</t>
  </si>
  <si>
    <t>TX-100550</t>
  </si>
  <si>
    <t>TX-100551</t>
  </si>
  <si>
    <t>TX-100552</t>
  </si>
  <si>
    <t>TX-100553</t>
  </si>
  <si>
    <t>TX-100554</t>
  </si>
  <si>
    <t>TX-100555</t>
  </si>
  <si>
    <t>TX-100556</t>
  </si>
  <si>
    <t>TX-100557</t>
  </si>
  <si>
    <t>TX-100558</t>
  </si>
  <si>
    <t>TX-100559</t>
  </si>
  <si>
    <t>TX-100560</t>
  </si>
  <si>
    <t>TX-100561</t>
  </si>
  <si>
    <t>TX-100562</t>
  </si>
  <si>
    <t>TX-100563</t>
  </si>
  <si>
    <t>TX-100564</t>
  </si>
  <si>
    <t>TX-100565</t>
  </si>
  <si>
    <t>TX-100566</t>
  </si>
  <si>
    <t>TX-100567</t>
  </si>
  <si>
    <t>TX-100568</t>
  </si>
  <si>
    <t>TX-100569</t>
  </si>
  <si>
    <t>TX-100570</t>
  </si>
  <si>
    <t>TX-100571</t>
  </si>
  <si>
    <t>TX-100572</t>
  </si>
  <si>
    <t>TX-100573</t>
  </si>
  <si>
    <t>TX-100574</t>
  </si>
  <si>
    <t>TX-100575</t>
  </si>
  <si>
    <t>TX-100576</t>
  </si>
  <si>
    <t>TX-100577</t>
  </si>
  <si>
    <t>TX-100578</t>
  </si>
  <si>
    <t>TX-100579</t>
  </si>
  <si>
    <t>TX-100580</t>
  </si>
  <si>
    <t>TX-100581</t>
  </si>
  <si>
    <t>TX-100582</t>
  </si>
  <si>
    <t>TX-100583</t>
  </si>
  <si>
    <t>TX-100584</t>
  </si>
  <si>
    <t>TX-100585</t>
  </si>
  <si>
    <t>TX-100586</t>
  </si>
  <si>
    <t>TX-100587</t>
  </si>
  <si>
    <t>TX-100588</t>
  </si>
  <si>
    <t>TX-100589</t>
  </si>
  <si>
    <t>TX-100590</t>
  </si>
  <si>
    <t>TX-100591</t>
  </si>
  <si>
    <t>TX-100592</t>
  </si>
  <si>
    <t>TX-100593</t>
  </si>
  <si>
    <t>TX-100594</t>
  </si>
  <si>
    <t>TX-100595</t>
  </si>
  <si>
    <t>TX-100596</t>
  </si>
  <si>
    <t>TX-100597</t>
  </si>
  <si>
    <t>TX-100598</t>
  </si>
  <si>
    <t>TX-100599</t>
  </si>
  <si>
    <t>TX-100600</t>
  </si>
  <si>
    <t>TX-100601</t>
  </si>
  <si>
    <t>TX-100602</t>
  </si>
  <si>
    <t>TX-100603</t>
  </si>
  <si>
    <t>TX-100604</t>
  </si>
  <si>
    <t>TX-100605</t>
  </si>
  <si>
    <t>TX-100606</t>
  </si>
  <si>
    <t>TX-100607</t>
  </si>
  <si>
    <t>TX-100608</t>
  </si>
  <si>
    <t>TX-100609</t>
  </si>
  <si>
    <t>TX-100610</t>
  </si>
  <si>
    <t>TX-100611</t>
  </si>
  <si>
    <t>TX-100612</t>
  </si>
  <si>
    <t>TX-100613</t>
  </si>
  <si>
    <t>TX-100614</t>
  </si>
  <si>
    <t>TX-100615</t>
  </si>
  <si>
    <t>TX-100616</t>
  </si>
  <si>
    <t>TX-100617</t>
  </si>
  <si>
    <t>TX-100618</t>
  </si>
  <si>
    <t>TX-100619</t>
  </si>
  <si>
    <t>TX-100620</t>
  </si>
  <si>
    <t>TX-100621</t>
  </si>
  <si>
    <t>TX-100622</t>
  </si>
  <si>
    <t>TX-100623</t>
  </si>
  <si>
    <t>TX-100624</t>
  </si>
  <si>
    <t>TX-100625</t>
  </si>
  <si>
    <t>TX-100626</t>
  </si>
  <si>
    <t>TX-100627</t>
  </si>
  <si>
    <t>TX-100628</t>
  </si>
  <si>
    <t>TX-100629</t>
  </si>
  <si>
    <t>TX-100630</t>
  </si>
  <si>
    <t>TX-100631</t>
  </si>
  <si>
    <t>TX-100632</t>
  </si>
  <si>
    <t>TX-100633</t>
  </si>
  <si>
    <t>TX-100634</t>
  </si>
  <si>
    <t>TX-100635</t>
  </si>
  <si>
    <t>TX-100636</t>
  </si>
  <si>
    <t>TX-100637</t>
  </si>
  <si>
    <t>TX-100638</t>
  </si>
  <si>
    <t>TX-100639</t>
  </si>
  <si>
    <t>TX-100640</t>
  </si>
  <si>
    <t>TX-100641</t>
  </si>
  <si>
    <t>TX-100642</t>
  </si>
  <si>
    <t>TX-100643</t>
  </si>
  <si>
    <t>TX-100644</t>
  </si>
  <si>
    <t>TX-100645</t>
  </si>
  <si>
    <t>TX-100646</t>
  </si>
  <si>
    <t>TX-100647</t>
  </si>
  <si>
    <t>TX-100648</t>
  </si>
  <si>
    <t>TX-100649</t>
  </si>
  <si>
    <t>TX-100650</t>
  </si>
  <si>
    <t>TX-100651</t>
  </si>
  <si>
    <t>TX-100652</t>
  </si>
  <si>
    <t>TX-100653</t>
  </si>
  <si>
    <t>TX-100654</t>
  </si>
  <si>
    <t>TX-100655</t>
  </si>
  <si>
    <t>TX-100656</t>
  </si>
  <si>
    <t>TX-100657</t>
  </si>
  <si>
    <t>TX-100658</t>
  </si>
  <si>
    <t>TX-100659</t>
  </si>
  <si>
    <t>TX-100660</t>
  </si>
  <si>
    <t>TX-100661</t>
  </si>
  <si>
    <t>TX-100662</t>
  </si>
  <si>
    <t>TX-100663</t>
  </si>
  <si>
    <t>TX-100664</t>
  </si>
  <si>
    <t>TX-100665</t>
  </si>
  <si>
    <t>TX-100666</t>
  </si>
  <si>
    <t>TX-100667</t>
  </si>
  <si>
    <t>TX-100668</t>
  </si>
  <si>
    <t>TX-100669</t>
  </si>
  <si>
    <t>TX-100670</t>
  </si>
  <si>
    <t>TX-100671</t>
  </si>
  <si>
    <t>TX-100672</t>
  </si>
  <si>
    <t>TX-100673</t>
  </si>
  <si>
    <t>TX-100674</t>
  </si>
  <si>
    <t>TX-100675</t>
  </si>
  <si>
    <t>TX-100676</t>
  </si>
  <si>
    <t>TX-100677</t>
  </si>
  <si>
    <t>TX-100678</t>
  </si>
  <si>
    <t>TX-100679</t>
  </si>
  <si>
    <t>TX-100680</t>
  </si>
  <si>
    <t>TX-100681</t>
  </si>
  <si>
    <t>TX-100682</t>
  </si>
  <si>
    <t>TX-100683</t>
  </si>
  <si>
    <t>TX-100684</t>
  </si>
  <si>
    <t>TX-100685</t>
  </si>
  <si>
    <t>TX-100686</t>
  </si>
  <si>
    <t>TX-100687</t>
  </si>
  <si>
    <t>TX-100688</t>
  </si>
  <si>
    <t>TX-100689</t>
  </si>
  <si>
    <t>TX-100690</t>
  </si>
  <si>
    <t>TX-100691</t>
  </si>
  <si>
    <t>TX-100692</t>
  </si>
  <si>
    <t>TX-100693</t>
  </si>
  <si>
    <t>TX-100694</t>
  </si>
  <si>
    <t>TX-100695</t>
  </si>
  <si>
    <t>TX-100696</t>
  </si>
  <si>
    <t>TX-100697</t>
  </si>
  <si>
    <t>TX-100698</t>
  </si>
  <si>
    <t>TX-100699</t>
  </si>
  <si>
    <t>TX-100700</t>
  </si>
  <si>
    <t>TX-100701</t>
  </si>
  <si>
    <t>TX-100702</t>
  </si>
  <si>
    <t>TX-100703</t>
  </si>
  <si>
    <t>TX-100704</t>
  </si>
  <si>
    <t>TX-100705</t>
  </si>
  <si>
    <t>TX-100706</t>
  </si>
  <si>
    <t>TX-100707</t>
  </si>
  <si>
    <t>TX-100708</t>
  </si>
  <si>
    <t>TX-100709</t>
  </si>
  <si>
    <t>TX-100710</t>
  </si>
  <si>
    <t>TX-100711</t>
  </si>
  <si>
    <t>TX-100712</t>
  </si>
  <si>
    <t>TX-100713</t>
  </si>
  <si>
    <t>TX-100714</t>
  </si>
  <si>
    <t>TX-100715</t>
  </si>
  <si>
    <t>TX-100716</t>
  </si>
  <si>
    <t>TX-100717</t>
  </si>
  <si>
    <t>TX-100718</t>
  </si>
  <si>
    <t>TX-100719</t>
  </si>
  <si>
    <t>TX-100720</t>
  </si>
  <si>
    <t>TX-100721</t>
  </si>
  <si>
    <t>TX-100722</t>
  </si>
  <si>
    <t>TX-100723</t>
  </si>
  <si>
    <t>TX-100724</t>
  </si>
  <si>
    <t>TX-100725</t>
  </si>
  <si>
    <t>TX-100726</t>
  </si>
  <si>
    <t>TX-100727</t>
  </si>
  <si>
    <t>TX-100728</t>
  </si>
  <si>
    <t>TX-100729</t>
  </si>
  <si>
    <t>TX-100730</t>
  </si>
  <si>
    <t>TX-100731</t>
  </si>
  <si>
    <t>TX-100732</t>
  </si>
  <si>
    <t>TX-100733</t>
  </si>
  <si>
    <t>TX-100734</t>
  </si>
  <si>
    <t>TX-100735</t>
  </si>
  <si>
    <t>TX-100736</t>
  </si>
  <si>
    <t>TX-100737</t>
  </si>
  <si>
    <t>TX-100738</t>
  </si>
  <si>
    <t>TX-100739</t>
  </si>
  <si>
    <t>TX-100740</t>
  </si>
  <si>
    <t>TX-100741</t>
  </si>
  <si>
    <t>TX-100742</t>
  </si>
  <si>
    <t>TX-100743</t>
  </si>
  <si>
    <t>TX-100744</t>
  </si>
  <si>
    <t>TX-100745</t>
  </si>
  <si>
    <t>TX-100746</t>
  </si>
  <si>
    <t>TX-100747</t>
  </si>
  <si>
    <t>TX-100748</t>
  </si>
  <si>
    <t>TX-100749</t>
  </si>
  <si>
    <t>TX-100750</t>
  </si>
  <si>
    <t>TX-100751</t>
  </si>
  <si>
    <t>TX-100752</t>
  </si>
  <si>
    <t>TX-100753</t>
  </si>
  <si>
    <t>TX-100754</t>
  </si>
  <si>
    <t>TX-100755</t>
  </si>
  <si>
    <t>TX-100756</t>
  </si>
  <si>
    <t>TX-100757</t>
  </si>
  <si>
    <t>TX-100758</t>
  </si>
  <si>
    <t>TX-100759</t>
  </si>
  <si>
    <t>TX-100760</t>
  </si>
  <si>
    <t>TX-100761</t>
  </si>
  <si>
    <t>TX-100762</t>
  </si>
  <si>
    <t>TX-100763</t>
  </si>
  <si>
    <t>TX-100764</t>
  </si>
  <si>
    <t>TX-100765</t>
  </si>
  <si>
    <t>TX-100766</t>
  </si>
  <si>
    <t>TX-100767</t>
  </si>
  <si>
    <t>TX-100768</t>
  </si>
  <si>
    <t>TX-100769</t>
  </si>
  <si>
    <t>TX-100770</t>
  </si>
  <si>
    <t>TX-100771</t>
  </si>
  <si>
    <t>TX-100772</t>
  </si>
  <si>
    <t>TX-100773</t>
  </si>
  <si>
    <t>TX-100774</t>
  </si>
  <si>
    <t>TX-100775</t>
  </si>
  <si>
    <t>TX-100776</t>
  </si>
  <si>
    <t>TX-100777</t>
  </si>
  <si>
    <t>TX-100778</t>
  </si>
  <si>
    <t>TX-100779</t>
  </si>
  <si>
    <t>TX-100780</t>
  </si>
  <si>
    <t>TX-100781</t>
  </si>
  <si>
    <t>TX-100782</t>
  </si>
  <si>
    <t>TX-100783</t>
  </si>
  <si>
    <t>TX-100784</t>
  </si>
  <si>
    <t>TX-100785</t>
  </si>
  <si>
    <t>TX-100786</t>
  </si>
  <si>
    <t>TX-100787</t>
  </si>
  <si>
    <t>TX-100788</t>
  </si>
  <si>
    <t>TX-100789</t>
  </si>
  <si>
    <t>TX-100790</t>
  </si>
  <si>
    <t>TX-100791</t>
  </si>
  <si>
    <t>TX-100792</t>
  </si>
  <si>
    <t>TX-100793</t>
  </si>
  <si>
    <t>TX-100794</t>
  </si>
  <si>
    <t>TX-100795</t>
  </si>
  <si>
    <t>TX-100796</t>
  </si>
  <si>
    <t>TX-100797</t>
  </si>
  <si>
    <t>TX-100798</t>
  </si>
  <si>
    <t>TX-100799</t>
  </si>
  <si>
    <t>TX-100800</t>
  </si>
  <si>
    <t>TX-100801</t>
  </si>
  <si>
    <t>TX-100802</t>
  </si>
  <si>
    <t>TX-100803</t>
  </si>
  <si>
    <t>TX-100804</t>
  </si>
  <si>
    <t>TX-100805</t>
  </si>
  <si>
    <t>TX-100806</t>
  </si>
  <si>
    <t>TX-100807</t>
  </si>
  <si>
    <t>TX-100808</t>
  </si>
  <si>
    <t>TX-100809</t>
  </si>
  <si>
    <t>TX-100810</t>
  </si>
  <si>
    <t>TX-100811</t>
  </si>
  <si>
    <t>TX-100812</t>
  </si>
  <si>
    <t>TX-100813</t>
  </si>
  <si>
    <t>TX-100814</t>
  </si>
  <si>
    <t>TX-100815</t>
  </si>
  <si>
    <t>TX-100816</t>
  </si>
  <si>
    <t>TX-100817</t>
  </si>
  <si>
    <t>TX-100818</t>
  </si>
  <si>
    <t>TX-100819</t>
  </si>
  <si>
    <t>TX-100820</t>
  </si>
  <si>
    <t>TX-100821</t>
  </si>
  <si>
    <t>TX-100822</t>
  </si>
  <si>
    <t>TX-100823</t>
  </si>
  <si>
    <t>TX-100824</t>
  </si>
  <si>
    <t>TX-100825</t>
  </si>
  <si>
    <t>TX-100826</t>
  </si>
  <si>
    <t>TX-100827</t>
  </si>
  <si>
    <t>TX-100828</t>
  </si>
  <si>
    <t>TX-100829</t>
  </si>
  <si>
    <t>TX-100830</t>
  </si>
  <si>
    <t>TX-100831</t>
  </si>
  <si>
    <t>TX-100832</t>
  </si>
  <si>
    <t>TX-100833</t>
  </si>
  <si>
    <t>TX-100834</t>
  </si>
  <si>
    <t>TX-100835</t>
  </si>
  <si>
    <t>TX-100836</t>
  </si>
  <si>
    <t>TX-100837</t>
  </si>
  <si>
    <t>TX-100838</t>
  </si>
  <si>
    <t>TX-100839</t>
  </si>
  <si>
    <t>TX-100840</t>
  </si>
  <si>
    <t>TX-100841</t>
  </si>
  <si>
    <t>TX-100842</t>
  </si>
  <si>
    <t>TX-100843</t>
  </si>
  <si>
    <t>TX-100844</t>
  </si>
  <si>
    <t>TX-100845</t>
  </si>
  <si>
    <t>TX-100846</t>
  </si>
  <si>
    <t>TX-100847</t>
  </si>
  <si>
    <t>TX-100848</t>
  </si>
  <si>
    <t>TX-100849</t>
  </si>
  <si>
    <t>TX-100850</t>
  </si>
  <si>
    <t>TX-100851</t>
  </si>
  <si>
    <t>TX-100852</t>
  </si>
  <si>
    <t>TX-100853</t>
  </si>
  <si>
    <t>TX-100854</t>
  </si>
  <si>
    <t>TX-100855</t>
  </si>
  <si>
    <t>TX-100856</t>
  </si>
  <si>
    <t>TX-100857</t>
  </si>
  <si>
    <t>TX-100858</t>
  </si>
  <si>
    <t>TX-100859</t>
  </si>
  <si>
    <t>TX-100860</t>
  </si>
  <si>
    <t>TX-100861</t>
  </si>
  <si>
    <t>TX-100862</t>
  </si>
  <si>
    <t>TX-100863</t>
  </si>
  <si>
    <t>TX-100864</t>
  </si>
  <si>
    <t>TX-100865</t>
  </si>
  <si>
    <t>TX-100866</t>
  </si>
  <si>
    <t>TX-100867</t>
  </si>
  <si>
    <t>TX-100868</t>
  </si>
  <si>
    <t>TX-100869</t>
  </si>
  <si>
    <t>TX-100870</t>
  </si>
  <si>
    <t>TX-100871</t>
  </si>
  <si>
    <t>TX-100872</t>
  </si>
  <si>
    <t>TX-100873</t>
  </si>
  <si>
    <t>TX-100874</t>
  </si>
  <si>
    <t>TX-100875</t>
  </si>
  <si>
    <t>TX-100876</t>
  </si>
  <si>
    <t>TX-100877</t>
  </si>
  <si>
    <t>TX-100878</t>
  </si>
  <si>
    <t>TX-100879</t>
  </si>
  <si>
    <t>TX-100880</t>
  </si>
  <si>
    <t>TX-100881</t>
  </si>
  <si>
    <t>TX-100882</t>
  </si>
  <si>
    <t>TX-100883</t>
  </si>
  <si>
    <t>TX-100884</t>
  </si>
  <si>
    <t>TX-100885</t>
  </si>
  <si>
    <t>TX-100886</t>
  </si>
  <si>
    <t>TX-100887</t>
  </si>
  <si>
    <t>TX-100888</t>
  </si>
  <si>
    <t>TX-100889</t>
  </si>
  <si>
    <t>TX-100890</t>
  </si>
  <si>
    <t>TX-100891</t>
  </si>
  <si>
    <t>TX-100892</t>
  </si>
  <si>
    <t>TX-100893</t>
  </si>
  <si>
    <t>TX-100894</t>
  </si>
  <si>
    <t>TX-100895</t>
  </si>
  <si>
    <t>TX-100896</t>
  </si>
  <si>
    <t>TX-100897</t>
  </si>
  <si>
    <t>TX-100898</t>
  </si>
  <si>
    <t>TX-100899</t>
  </si>
  <si>
    <t>TX-100900</t>
  </si>
  <si>
    <t>TX-100901</t>
  </si>
  <si>
    <t>TX-100902</t>
  </si>
  <si>
    <t>TX-100903</t>
  </si>
  <si>
    <t>TX-100904</t>
  </si>
  <si>
    <t>TX-100905</t>
  </si>
  <si>
    <t>TX-100906</t>
  </si>
  <si>
    <t>TX-100907</t>
  </si>
  <si>
    <t>TX-100908</t>
  </si>
  <si>
    <t>TX-100909</t>
  </si>
  <si>
    <t>TX-100910</t>
  </si>
  <si>
    <t>TX-100911</t>
  </si>
  <si>
    <t>TX-100912</t>
  </si>
  <si>
    <t>TX-100913</t>
  </si>
  <si>
    <t>TX-100914</t>
  </si>
  <si>
    <t>TX-100915</t>
  </si>
  <si>
    <t>TX-100916</t>
  </si>
  <si>
    <t>TX-100917</t>
  </si>
  <si>
    <t>TX-100918</t>
  </si>
  <si>
    <t>TX-100919</t>
  </si>
  <si>
    <t>TX-100920</t>
  </si>
  <si>
    <t>TX-100921</t>
  </si>
  <si>
    <t>TX-100922</t>
  </si>
  <si>
    <t>TX-100923</t>
  </si>
  <si>
    <t>TX-100924</t>
  </si>
  <si>
    <t>TX-100925</t>
  </si>
  <si>
    <t>TX-100926</t>
  </si>
  <si>
    <t>TX-100927</t>
  </si>
  <si>
    <t>TX-100928</t>
  </si>
  <si>
    <t>TX-100929</t>
  </si>
  <si>
    <t>TX-100930</t>
  </si>
  <si>
    <t>TX-100931</t>
  </si>
  <si>
    <t>TX-100932</t>
  </si>
  <si>
    <t>TX-100933</t>
  </si>
  <si>
    <t>TX-100934</t>
  </si>
  <si>
    <t>TX-100935</t>
  </si>
  <si>
    <t>TX-100936</t>
  </si>
  <si>
    <t>TX-100937</t>
  </si>
  <si>
    <t>TX-100938</t>
  </si>
  <si>
    <t>TX-100939</t>
  </si>
  <si>
    <t>TX-100940</t>
  </si>
  <si>
    <t>TX-100941</t>
  </si>
  <si>
    <t>TX-100942</t>
  </si>
  <si>
    <t>TX-100943</t>
  </si>
  <si>
    <t>TX-100944</t>
  </si>
  <si>
    <t>TX-100945</t>
  </si>
  <si>
    <t>TX-100946</t>
  </si>
  <si>
    <t>TX-100947</t>
  </si>
  <si>
    <t>TX-100948</t>
  </si>
  <si>
    <t>TX-100949</t>
  </si>
  <si>
    <t>TX-100950</t>
  </si>
  <si>
    <t>TX-100951</t>
  </si>
  <si>
    <t>TX-100952</t>
  </si>
  <si>
    <t>TX-100953</t>
  </si>
  <si>
    <t>TX-100954</t>
  </si>
  <si>
    <t>TX-100955</t>
  </si>
  <si>
    <t>TX-100956</t>
  </si>
  <si>
    <t>TX-100957</t>
  </si>
  <si>
    <t>TX-100958</t>
  </si>
  <si>
    <t>TX-100959</t>
  </si>
  <si>
    <t>TX-100960</t>
  </si>
  <si>
    <t>TX-100961</t>
  </si>
  <si>
    <t>TX-100962</t>
  </si>
  <si>
    <t>TX-100963</t>
  </si>
  <si>
    <t>TX-100964</t>
  </si>
  <si>
    <t>TX-100965</t>
  </si>
  <si>
    <t>TX-100966</t>
  </si>
  <si>
    <t>TX-100967</t>
  </si>
  <si>
    <t>TX-100968</t>
  </si>
  <si>
    <t>TX-100969</t>
  </si>
  <si>
    <t>TX-100970</t>
  </si>
  <si>
    <t>TX-100971</t>
  </si>
  <si>
    <t>TX-100972</t>
  </si>
  <si>
    <t>TX-100973</t>
  </si>
  <si>
    <t>TX-100974</t>
  </si>
  <si>
    <t>TX-100975</t>
  </si>
  <si>
    <t>TX-100976</t>
  </si>
  <si>
    <t>TX-100977</t>
  </si>
  <si>
    <t>TX-100978</t>
  </si>
  <si>
    <t>TX-100979</t>
  </si>
  <si>
    <t>TX-100980</t>
  </si>
  <si>
    <t>TX-100981</t>
  </si>
  <si>
    <t>TX-100982</t>
  </si>
  <si>
    <t>TX-100983</t>
  </si>
  <si>
    <t>TX-100984</t>
  </si>
  <si>
    <t>TX-100985</t>
  </si>
  <si>
    <t>TX-100986</t>
  </si>
  <si>
    <t>TX-100987</t>
  </si>
  <si>
    <t>TX-100988</t>
  </si>
  <si>
    <t>TX-100989</t>
  </si>
  <si>
    <t>TX-100990</t>
  </si>
  <si>
    <t>TX-100991</t>
  </si>
  <si>
    <t>TX-100992</t>
  </si>
  <si>
    <t>TX-100993</t>
  </si>
  <si>
    <t>TX-100994</t>
  </si>
  <si>
    <t>TX-100995</t>
  </si>
  <si>
    <t>TX-100996</t>
  </si>
  <si>
    <t>TX-100997</t>
  </si>
  <si>
    <t>TX-100998</t>
  </si>
  <si>
    <t>TX-100999</t>
  </si>
  <si>
    <t>TX-101000</t>
  </si>
  <si>
    <t>TX-101001</t>
  </si>
  <si>
    <t>TX-101002</t>
  </si>
  <si>
    <t>TX-101003</t>
  </si>
  <si>
    <t>TX-101004</t>
  </si>
  <si>
    <t>TX-101005</t>
  </si>
  <si>
    <t>TX-101006</t>
  </si>
  <si>
    <t>TX-101007</t>
  </si>
  <si>
    <t>TX-101008</t>
  </si>
  <si>
    <t>TX-101009</t>
  </si>
  <si>
    <t>TX-101010</t>
  </si>
  <si>
    <t>TX-101011</t>
  </si>
  <si>
    <t>TX-101012</t>
  </si>
  <si>
    <t>TX-101013</t>
  </si>
  <si>
    <t>TX-101014</t>
  </si>
  <si>
    <t>TX-101015</t>
  </si>
  <si>
    <t>TX-101016</t>
  </si>
  <si>
    <t>TX-101017</t>
  </si>
  <si>
    <t>TX-101018</t>
  </si>
  <si>
    <t>TX-101019</t>
  </si>
  <si>
    <t>TX-101020</t>
  </si>
  <si>
    <t>TX-101021</t>
  </si>
  <si>
    <t>TX-101022</t>
  </si>
  <si>
    <t>TX-101023</t>
  </si>
  <si>
    <t>TX-101024</t>
  </si>
  <si>
    <t>TX-101025</t>
  </si>
  <si>
    <t>TX-101026</t>
  </si>
  <si>
    <t>TX-101027</t>
  </si>
  <si>
    <t>TX-101028</t>
  </si>
  <si>
    <t>TX-101029</t>
  </si>
  <si>
    <t>TX-101030</t>
  </si>
  <si>
    <t>TX-101031</t>
  </si>
  <si>
    <t>TX-101032</t>
  </si>
  <si>
    <t>TX-101033</t>
  </si>
  <si>
    <t>TX-101034</t>
  </si>
  <si>
    <t>TX-101035</t>
  </si>
  <si>
    <t>TX-101036</t>
  </si>
  <si>
    <t>TX-101037</t>
  </si>
  <si>
    <t>TX-101038</t>
  </si>
  <si>
    <t>TX-101039</t>
  </si>
  <si>
    <t>TX-101040</t>
  </si>
  <si>
    <t>TX-101041</t>
  </si>
  <si>
    <t>TX-101042</t>
  </si>
  <si>
    <t>TX-101043</t>
  </si>
  <si>
    <t>TX-101044</t>
  </si>
  <si>
    <t>TX-101045</t>
  </si>
  <si>
    <t>TX-101046</t>
  </si>
  <si>
    <t>TX-101047</t>
  </si>
  <si>
    <t>TX-101048</t>
  </si>
  <si>
    <t>TX-101049</t>
  </si>
  <si>
    <t>TX-101050</t>
  </si>
  <si>
    <t>TX-101051</t>
  </si>
  <si>
    <t>TX-101052</t>
  </si>
  <si>
    <t>TX-101053</t>
  </si>
  <si>
    <t>TX-101054</t>
  </si>
  <si>
    <t>TX-101055</t>
  </si>
  <si>
    <t>TX-101056</t>
  </si>
  <si>
    <t>TX-101057</t>
  </si>
  <si>
    <t>TX-101058</t>
  </si>
  <si>
    <t>TX-101059</t>
  </si>
  <si>
    <t>TX-101060</t>
  </si>
  <si>
    <t>TX-101061</t>
  </si>
  <si>
    <t>TX-101062</t>
  </si>
  <si>
    <t>TX-101063</t>
  </si>
  <si>
    <t>TX-101064</t>
  </si>
  <si>
    <t>TX-101065</t>
  </si>
  <si>
    <t>TX-101066</t>
  </si>
  <si>
    <t>TX-101067</t>
  </si>
  <si>
    <t>TX-101068</t>
  </si>
  <si>
    <t>TX-101069</t>
  </si>
  <si>
    <t>TX-101070</t>
  </si>
  <si>
    <t>TX-101071</t>
  </si>
  <si>
    <t>TX-101072</t>
  </si>
  <si>
    <t>TX-101073</t>
  </si>
  <si>
    <t>TX-101074</t>
  </si>
  <si>
    <t>TX-101075</t>
  </si>
  <si>
    <t>TX-101076</t>
  </si>
  <si>
    <t>TX-101077</t>
  </si>
  <si>
    <t>TX-101078</t>
  </si>
  <si>
    <t>TX-101079</t>
  </si>
  <si>
    <t>TX-101080</t>
  </si>
  <si>
    <t>TX-101081</t>
  </si>
  <si>
    <t>TX-101082</t>
  </si>
  <si>
    <t>TX-101083</t>
  </si>
  <si>
    <t>TX-101084</t>
  </si>
  <si>
    <t>TX-101085</t>
  </si>
  <si>
    <t>TX-101086</t>
  </si>
  <si>
    <t>TX-101087</t>
  </si>
  <si>
    <t>TX-101088</t>
  </si>
  <si>
    <t>TX-101089</t>
  </si>
  <si>
    <t>TX-101090</t>
  </si>
  <si>
    <t>TX-101091</t>
  </si>
  <si>
    <t>TX-101092</t>
  </si>
  <si>
    <t>TX-101093</t>
  </si>
  <si>
    <t>TX-101094</t>
  </si>
  <si>
    <t>TX-101095</t>
  </si>
  <si>
    <t>TX-101096</t>
  </si>
  <si>
    <t>TX-101097</t>
  </si>
  <si>
    <t>TX-101098</t>
  </si>
  <si>
    <t>TX-101099</t>
  </si>
  <si>
    <t>TX-101100</t>
  </si>
  <si>
    <t>TX-101101</t>
  </si>
  <si>
    <t>TX-101102</t>
  </si>
  <si>
    <t>TX-101103</t>
  </si>
  <si>
    <t>TX-101104</t>
  </si>
  <si>
    <t>TX-101105</t>
  </si>
  <si>
    <t>TX-101106</t>
  </si>
  <si>
    <t>TX-101107</t>
  </si>
  <si>
    <t>TX-101108</t>
  </si>
  <si>
    <t>TX-101109</t>
  </si>
  <si>
    <t>TX-101110</t>
  </si>
  <si>
    <t>TX-101111</t>
  </si>
  <si>
    <t>TX-101112</t>
  </si>
  <si>
    <t>TX-101113</t>
  </si>
  <si>
    <t>TX-101114</t>
  </si>
  <si>
    <t>TX-101115</t>
  </si>
  <si>
    <t>TX-101116</t>
  </si>
  <si>
    <t>TX-101117</t>
  </si>
  <si>
    <t>TX-101118</t>
  </si>
  <si>
    <t>TX-101119</t>
  </si>
  <si>
    <t>TX-101120</t>
  </si>
  <si>
    <t>TX-101121</t>
  </si>
  <si>
    <t>TX-101122</t>
  </si>
  <si>
    <t>TX-101123</t>
  </si>
  <si>
    <t>TX-101124</t>
  </si>
  <si>
    <t>TX-101125</t>
  </si>
  <si>
    <t>TX-101126</t>
  </si>
  <si>
    <t>TX-101127</t>
  </si>
  <si>
    <t>TX-101128</t>
  </si>
  <si>
    <t>TX-101129</t>
  </si>
  <si>
    <t>TX-101130</t>
  </si>
  <si>
    <t>TX-101131</t>
  </si>
  <si>
    <t>TX-101132</t>
  </si>
  <si>
    <t>TX-101133</t>
  </si>
  <si>
    <t>TX-101134</t>
  </si>
  <si>
    <t>TX-101135</t>
  </si>
  <si>
    <t>TX-101136</t>
  </si>
  <si>
    <t>TX-101137</t>
  </si>
  <si>
    <t>TX-101138</t>
  </si>
  <si>
    <t>TX-101139</t>
  </si>
  <si>
    <t>TX-101140</t>
  </si>
  <si>
    <t>TX-101141</t>
  </si>
  <si>
    <t>TX-101142</t>
  </si>
  <si>
    <t>TX-101143</t>
  </si>
  <si>
    <t>TX-101144</t>
  </si>
  <si>
    <t>TX-101145</t>
  </si>
  <si>
    <t>TX-101146</t>
  </si>
  <si>
    <t>TX-101147</t>
  </si>
  <si>
    <t>TX-101148</t>
  </si>
  <si>
    <t>TX-101149</t>
  </si>
  <si>
    <t>TX-101150</t>
  </si>
  <si>
    <t>TX-101151</t>
  </si>
  <si>
    <t>TX-101152</t>
  </si>
  <si>
    <t>TX-101153</t>
  </si>
  <si>
    <t>TX-101154</t>
  </si>
  <si>
    <t>TX-101155</t>
  </si>
  <si>
    <t>TX-101156</t>
  </si>
  <si>
    <t>TX-101157</t>
  </si>
  <si>
    <t>TX-101158</t>
  </si>
  <si>
    <t>TX-101159</t>
  </si>
  <si>
    <t>TX-101160</t>
  </si>
  <si>
    <t>TX-101161</t>
  </si>
  <si>
    <t>TX-101162</t>
  </si>
  <si>
    <t>TX-101163</t>
  </si>
  <si>
    <t>TX-101164</t>
  </si>
  <si>
    <t>TX-101165</t>
  </si>
  <si>
    <t>TX-101166</t>
  </si>
  <si>
    <t>TX-101167</t>
  </si>
  <si>
    <t>TX-101168</t>
  </si>
  <si>
    <t>TX-101169</t>
  </si>
  <si>
    <t>TX-101170</t>
  </si>
  <si>
    <t>TX-101171</t>
  </si>
  <si>
    <t>TX-101172</t>
  </si>
  <si>
    <t>TX-101173</t>
  </si>
  <si>
    <t>TX-101174</t>
  </si>
  <si>
    <t>TX-101175</t>
  </si>
  <si>
    <t>TX-101176</t>
  </si>
  <si>
    <t>TX-101177</t>
  </si>
  <si>
    <t>TX-101178</t>
  </si>
  <si>
    <t>TX-101179</t>
  </si>
  <si>
    <t>TX-101180</t>
  </si>
  <si>
    <t>TX-101181</t>
  </si>
  <si>
    <t>TX-101182</t>
  </si>
  <si>
    <t>TX-101183</t>
  </si>
  <si>
    <t>TX-101184</t>
  </si>
  <si>
    <t>TX-101185</t>
  </si>
  <si>
    <t>TX-101186</t>
  </si>
  <si>
    <t>TX-101187</t>
  </si>
  <si>
    <t>TX-101188</t>
  </si>
  <si>
    <t>TX-101189</t>
  </si>
  <si>
    <t>TX-101190</t>
  </si>
  <si>
    <t>TX-101191</t>
  </si>
  <si>
    <t>TX-101192</t>
  </si>
  <si>
    <t>TX-101193</t>
  </si>
  <si>
    <t>TX-101194</t>
  </si>
  <si>
    <t>TX-101195</t>
  </si>
  <si>
    <t>TX-101196</t>
  </si>
  <si>
    <t>TX-101197</t>
  </si>
  <si>
    <t>TX-101198</t>
  </si>
  <si>
    <t>TX-101199</t>
  </si>
  <si>
    <t>TX-101200</t>
  </si>
  <si>
    <t>TX-101201</t>
  </si>
  <si>
    <t>TX-101202</t>
  </si>
  <si>
    <t>TX-101203</t>
  </si>
  <si>
    <t>TX-101204</t>
  </si>
  <si>
    <t>TX-101205</t>
  </si>
  <si>
    <t>TX-101206</t>
  </si>
  <si>
    <t>TX-101207</t>
  </si>
  <si>
    <t>TX-101208</t>
  </si>
  <si>
    <t>TX-101209</t>
  </si>
  <si>
    <t>TX-101210</t>
  </si>
  <si>
    <t>TX-101211</t>
  </si>
  <si>
    <t>TX-101212</t>
  </si>
  <si>
    <t>TX-101213</t>
  </si>
  <si>
    <t>TX-101214</t>
  </si>
  <si>
    <t>TX-101215</t>
  </si>
  <si>
    <t>TX-101216</t>
  </si>
  <si>
    <t>TX-101217</t>
  </si>
  <si>
    <t>TX-101218</t>
  </si>
  <si>
    <t>TX-101219</t>
  </si>
  <si>
    <t>TX-101220</t>
  </si>
  <si>
    <t>TX-101221</t>
  </si>
  <si>
    <t>TX-101222</t>
  </si>
  <si>
    <t>TX-101223</t>
  </si>
  <si>
    <t>TX-101224</t>
  </si>
  <si>
    <t>TX-101225</t>
  </si>
  <si>
    <t>TX-101226</t>
  </si>
  <si>
    <t>TX-101227</t>
  </si>
  <si>
    <t>TX-101228</t>
  </si>
  <si>
    <t>TX-101229</t>
  </si>
  <si>
    <t>TX-101230</t>
  </si>
  <si>
    <t>TX-101231</t>
  </si>
  <si>
    <t>TX-101232</t>
  </si>
  <si>
    <t>TX-101233</t>
  </si>
  <si>
    <t>TX-101234</t>
  </si>
  <si>
    <t>TX-101235</t>
  </si>
  <si>
    <t>TX-101236</t>
  </si>
  <si>
    <t>TX-101237</t>
  </si>
  <si>
    <t>TX-101238</t>
  </si>
  <si>
    <t>TX-101239</t>
  </si>
  <si>
    <t>TX-101240</t>
  </si>
  <si>
    <t>TX-101241</t>
  </si>
  <si>
    <t>TX-101242</t>
  </si>
  <si>
    <t>TX-101243</t>
  </si>
  <si>
    <t>TX-101244</t>
  </si>
  <si>
    <t>TX-101245</t>
  </si>
  <si>
    <t>TX-101246</t>
  </si>
  <si>
    <t>TX-101247</t>
  </si>
  <si>
    <t>TX-101248</t>
  </si>
  <si>
    <t>TX-101249</t>
  </si>
  <si>
    <t>TX-101250</t>
  </si>
  <si>
    <t>TX-101251</t>
  </si>
  <si>
    <t>TX-101252</t>
  </si>
  <si>
    <t>TX-101253</t>
  </si>
  <si>
    <t>TX-101254</t>
  </si>
  <si>
    <t>TX-101255</t>
  </si>
  <si>
    <t>TX-101256</t>
  </si>
  <si>
    <t>TX-101257</t>
  </si>
  <si>
    <t>TX-101258</t>
  </si>
  <si>
    <t>TX-101259</t>
  </si>
  <si>
    <t>TX-101260</t>
  </si>
  <si>
    <t>TX-101261</t>
  </si>
  <si>
    <t>TX-101262</t>
  </si>
  <si>
    <t>TX-101263</t>
  </si>
  <si>
    <t>TX-101264</t>
  </si>
  <si>
    <t>TX-101265</t>
  </si>
  <si>
    <t>TX-101266</t>
  </si>
  <si>
    <t>TX-101267</t>
  </si>
  <si>
    <t>TX-101268</t>
  </si>
  <si>
    <t>TX-101269</t>
  </si>
  <si>
    <t>TX-101270</t>
  </si>
  <si>
    <t>TX-101271</t>
  </si>
  <si>
    <t>TX-101272</t>
  </si>
  <si>
    <t>TX-101273</t>
  </si>
  <si>
    <t>TX-101274</t>
  </si>
  <si>
    <t>TX-101275</t>
  </si>
  <si>
    <t>TX-101276</t>
  </si>
  <si>
    <t>TX-101277</t>
  </si>
  <si>
    <t>TX-101278</t>
  </si>
  <si>
    <t>TX-101279</t>
  </si>
  <si>
    <t>TX-101280</t>
  </si>
  <si>
    <t>TX-101281</t>
  </si>
  <si>
    <t>TX-101282</t>
  </si>
  <si>
    <t>TX-101283</t>
  </si>
  <si>
    <t>TX-101284</t>
  </si>
  <si>
    <t>TX-101285</t>
  </si>
  <si>
    <t>TX-101286</t>
  </si>
  <si>
    <t>TX-101287</t>
  </si>
  <si>
    <t>TX-101288</t>
  </si>
  <si>
    <t>TX-101289</t>
  </si>
  <si>
    <t>TX-101290</t>
  </si>
  <si>
    <t>TX-101291</t>
  </si>
  <si>
    <t>TX-101292</t>
  </si>
  <si>
    <t>TX-101293</t>
  </si>
  <si>
    <t>TX-101294</t>
  </si>
  <si>
    <t>TX-101295</t>
  </si>
  <si>
    <t>TX-101296</t>
  </si>
  <si>
    <t>TX-101297</t>
  </si>
  <si>
    <t>TX-101298</t>
  </si>
  <si>
    <t>TX-101299</t>
  </si>
  <si>
    <t>TX-101300</t>
  </si>
  <si>
    <t>TX-101301</t>
  </si>
  <si>
    <t>TX-101302</t>
  </si>
  <si>
    <t>TX-101303</t>
  </si>
  <si>
    <t>TX-101304</t>
  </si>
  <si>
    <t>TX-101305</t>
  </si>
  <si>
    <t>TX-101306</t>
  </si>
  <si>
    <t>TX-101307</t>
  </si>
  <si>
    <t>TX-101308</t>
  </si>
  <si>
    <t>TX-101309</t>
  </si>
  <si>
    <t>TX-101310</t>
  </si>
  <si>
    <t>TX-101311</t>
  </si>
  <si>
    <t>TX-101312</t>
  </si>
  <si>
    <t>TX-101313</t>
  </si>
  <si>
    <t>TX-101314</t>
  </si>
  <si>
    <t>TX-101315</t>
  </si>
  <si>
    <t>TX-101316</t>
  </si>
  <si>
    <t>TX-101317</t>
  </si>
  <si>
    <t>TX-101318</t>
  </si>
  <si>
    <t>TX-101319</t>
  </si>
  <si>
    <t>TX-101320</t>
  </si>
  <si>
    <t>TX-101321</t>
  </si>
  <si>
    <t>TX-101322</t>
  </si>
  <si>
    <t>TX-101323</t>
  </si>
  <si>
    <t>TX-101324</t>
  </si>
  <si>
    <t>TX-101325</t>
  </si>
  <si>
    <t>TX-101326</t>
  </si>
  <si>
    <t>TX-101327</t>
  </si>
  <si>
    <t>TX-101328</t>
  </si>
  <si>
    <t>TX-101329</t>
  </si>
  <si>
    <t>TX-101330</t>
  </si>
  <si>
    <t>TX-101331</t>
  </si>
  <si>
    <t>TX-101332</t>
  </si>
  <si>
    <t>TX-101333</t>
  </si>
  <si>
    <t>TX-101334</t>
  </si>
  <si>
    <t>TX-101335</t>
  </si>
  <si>
    <t>TX-101336</t>
  </si>
  <si>
    <t>TX-101337</t>
  </si>
  <si>
    <t>TX-101338</t>
  </si>
  <si>
    <t>TX-101339</t>
  </si>
  <si>
    <t>TX-101340</t>
  </si>
  <si>
    <t>TX-101341</t>
  </si>
  <si>
    <t>TX-101342</t>
  </si>
  <si>
    <t>TX-101343</t>
  </si>
  <si>
    <t>TX-101344</t>
  </si>
  <si>
    <t>TX-101345</t>
  </si>
  <si>
    <t>TX-101346</t>
  </si>
  <si>
    <t>TX-101347</t>
  </si>
  <si>
    <t>TX-101348</t>
  </si>
  <si>
    <t>TX-101349</t>
  </si>
  <si>
    <t>TX-101350</t>
  </si>
  <si>
    <t>TX-101351</t>
  </si>
  <si>
    <t>TX-101352</t>
  </si>
  <si>
    <t>TX-101353</t>
  </si>
  <si>
    <t>TX-101354</t>
  </si>
  <si>
    <t>TX-101355</t>
  </si>
  <si>
    <t>TX-101356</t>
  </si>
  <si>
    <t>TX-101357</t>
  </si>
  <si>
    <t>TX-101358</t>
  </si>
  <si>
    <t>TX-101359</t>
  </si>
  <si>
    <t>TX-101360</t>
  </si>
  <si>
    <t>TX-101361</t>
  </si>
  <si>
    <t>TX-101362</t>
  </si>
  <si>
    <t>TX-101363</t>
  </si>
  <si>
    <t>TX-101364</t>
  </si>
  <si>
    <t>TX-101365</t>
  </si>
  <si>
    <t>TX-101366</t>
  </si>
  <si>
    <t>TX-101367</t>
  </si>
  <si>
    <t>TX-101368</t>
  </si>
  <si>
    <t>TX-101369</t>
  </si>
  <si>
    <t>TX-101370</t>
  </si>
  <si>
    <t>TX-101371</t>
  </si>
  <si>
    <t>TX-101372</t>
  </si>
  <si>
    <t>TX-101373</t>
  </si>
  <si>
    <t>TX-101374</t>
  </si>
  <si>
    <t>TX-101375</t>
  </si>
  <si>
    <t>TX-101376</t>
  </si>
  <si>
    <t>TX-101377</t>
  </si>
  <si>
    <t>TX-101378</t>
  </si>
  <si>
    <t>TX-101379</t>
  </si>
  <si>
    <t>TX-101380</t>
  </si>
  <si>
    <t>TX-101381</t>
  </si>
  <si>
    <t>TX-101382</t>
  </si>
  <si>
    <t>TX-101383</t>
  </si>
  <si>
    <t>TX-101384</t>
  </si>
  <si>
    <t>TX-101385</t>
  </si>
  <si>
    <t>TX-101386</t>
  </si>
  <si>
    <t>TX-101387</t>
  </si>
  <si>
    <t>TX-101388</t>
  </si>
  <si>
    <t>TX-101389</t>
  </si>
  <si>
    <t>TX-101390</t>
  </si>
  <si>
    <t>TX-101391</t>
  </si>
  <si>
    <t>TX-101392</t>
  </si>
  <si>
    <t>TX-101393</t>
  </si>
  <si>
    <t>TX-101394</t>
  </si>
  <si>
    <t>TX-101395</t>
  </si>
  <si>
    <t>TX-101396</t>
  </si>
  <si>
    <t>TX-101397</t>
  </si>
  <si>
    <t>TX-101398</t>
  </si>
  <si>
    <t>TX-101399</t>
  </si>
  <si>
    <t>TX-101400</t>
  </si>
  <si>
    <t>TX-101401</t>
  </si>
  <si>
    <t>TX-101402</t>
  </si>
  <si>
    <t>TX-101403</t>
  </si>
  <si>
    <t>TX-101404</t>
  </si>
  <si>
    <t>TX-101405</t>
  </si>
  <si>
    <t>TX-101406</t>
  </si>
  <si>
    <t>TX-101407</t>
  </si>
  <si>
    <t>TX-101408</t>
  </si>
  <si>
    <t>TX-101409</t>
  </si>
  <si>
    <t>TX-101410</t>
  </si>
  <si>
    <t>TX-101411</t>
  </si>
  <si>
    <t>TX-101412</t>
  </si>
  <si>
    <t>TX-101413</t>
  </si>
  <si>
    <t>TX-101414</t>
  </si>
  <si>
    <t>TX-101415</t>
  </si>
  <si>
    <t>TX-101416</t>
  </si>
  <si>
    <t>TX-101417</t>
  </si>
  <si>
    <t>TX-101418</t>
  </si>
  <si>
    <t>TX-101419</t>
  </si>
  <si>
    <t>TX-101420</t>
  </si>
  <si>
    <t>TX-101421</t>
  </si>
  <si>
    <t>TX-101422</t>
  </si>
  <si>
    <t>TX-101423</t>
  </si>
  <si>
    <t>TX-101424</t>
  </si>
  <si>
    <t>TX-101425</t>
  </si>
  <si>
    <t>TX-101426</t>
  </si>
  <si>
    <t>TX-101427</t>
  </si>
  <si>
    <t>TX-101428</t>
  </si>
  <si>
    <t>TX-101429</t>
  </si>
  <si>
    <t>TX-101430</t>
  </si>
  <si>
    <t>TX-101431</t>
  </si>
  <si>
    <t>TX-101432</t>
  </si>
  <si>
    <t>TX-101433</t>
  </si>
  <si>
    <t>TX-101434</t>
  </si>
  <si>
    <t>TX-101435</t>
  </si>
  <si>
    <t>TX-101436</t>
  </si>
  <si>
    <t>TX-101437</t>
  </si>
  <si>
    <t>TX-101438</t>
  </si>
  <si>
    <t>TX-101439</t>
  </si>
  <si>
    <t>TX-101440</t>
  </si>
  <si>
    <t>TX-101441</t>
  </si>
  <si>
    <t>TX-101442</t>
  </si>
  <si>
    <t>TX-101443</t>
  </si>
  <si>
    <t>TX-101444</t>
  </si>
  <si>
    <t>TX-101445</t>
  </si>
  <si>
    <t>TX-101446</t>
  </si>
  <si>
    <t>TX-101447</t>
  </si>
  <si>
    <t>TX-101448</t>
  </si>
  <si>
    <t>TX-101449</t>
  </si>
  <si>
    <t>TX-101450</t>
  </si>
  <si>
    <t>TX-101451</t>
  </si>
  <si>
    <t>TX-101452</t>
  </si>
  <si>
    <t>TX-101453</t>
  </si>
  <si>
    <t>TX-101454</t>
  </si>
  <si>
    <t>TX-101455</t>
  </si>
  <si>
    <t>TX-101456</t>
  </si>
  <si>
    <t>TX-101457</t>
  </si>
  <si>
    <t>TX-101458</t>
  </si>
  <si>
    <t>TX-101459</t>
  </si>
  <si>
    <t>TX-101460</t>
  </si>
  <si>
    <t>TX-101461</t>
  </si>
  <si>
    <t>TX-101462</t>
  </si>
  <si>
    <t>TX-101463</t>
  </si>
  <si>
    <t>TX-101464</t>
  </si>
  <si>
    <t>TX-101465</t>
  </si>
  <si>
    <t>TX-101466</t>
  </si>
  <si>
    <t>TX-101467</t>
  </si>
  <si>
    <t>TX-101468</t>
  </si>
  <si>
    <t>TX-101469</t>
  </si>
  <si>
    <t>TX-101470</t>
  </si>
  <si>
    <t>TX-101471</t>
  </si>
  <si>
    <t>TX-101472</t>
  </si>
  <si>
    <t>TX-101473</t>
  </si>
  <si>
    <t>TX-101474</t>
  </si>
  <si>
    <t>TX-101475</t>
  </si>
  <si>
    <t>TX-101476</t>
  </si>
  <si>
    <t>TX-101477</t>
  </si>
  <si>
    <t>TX-101478</t>
  </si>
  <si>
    <t>TX-101479</t>
  </si>
  <si>
    <t>TX-101480</t>
  </si>
  <si>
    <t>TX-101481</t>
  </si>
  <si>
    <t>TX-101482</t>
  </si>
  <si>
    <t>TX-101483</t>
  </si>
  <si>
    <t>TX-101484</t>
  </si>
  <si>
    <t>TX-101485</t>
  </si>
  <si>
    <t>TX-101486</t>
  </si>
  <si>
    <t>TX-101487</t>
  </si>
  <si>
    <t>TX-101488</t>
  </si>
  <si>
    <t>TX-101489</t>
  </si>
  <si>
    <t>TX-101490</t>
  </si>
  <si>
    <t>TX-101491</t>
  </si>
  <si>
    <t>TX-101492</t>
  </si>
  <si>
    <t>TX-101493</t>
  </si>
  <si>
    <t>TX-101494</t>
  </si>
  <si>
    <t>TX-101495</t>
  </si>
  <si>
    <t>TX-101496</t>
  </si>
  <si>
    <t>TX-101497</t>
  </si>
  <si>
    <t>TX-101498</t>
  </si>
  <si>
    <t>TX-101499</t>
  </si>
  <si>
    <t>TX-101500</t>
  </si>
  <si>
    <t>TX-101501</t>
  </si>
  <si>
    <t>TX-101502</t>
  </si>
  <si>
    <t>TX-101503</t>
  </si>
  <si>
    <t>TX-101504</t>
  </si>
  <si>
    <t>TX-101505</t>
  </si>
  <si>
    <t>TX-101506</t>
  </si>
  <si>
    <t>TX-101507</t>
  </si>
  <si>
    <t>TX-101508</t>
  </si>
  <si>
    <t>TX-101509</t>
  </si>
  <si>
    <t>TX-101510</t>
  </si>
  <si>
    <t>TX-101511</t>
  </si>
  <si>
    <t>TX-101512</t>
  </si>
  <si>
    <t>TX-101513</t>
  </si>
  <si>
    <t>TX-101514</t>
  </si>
  <si>
    <t>TX-101515</t>
  </si>
  <si>
    <t>TX-101516</t>
  </si>
  <si>
    <t>TX-101517</t>
  </si>
  <si>
    <t>TX-101518</t>
  </si>
  <si>
    <t>TX-101519</t>
  </si>
  <si>
    <t>TX-101520</t>
  </si>
  <si>
    <t>TX-101521</t>
  </si>
  <si>
    <t>TX-101522</t>
  </si>
  <si>
    <t>TX-101523</t>
  </si>
  <si>
    <t>TX-101524</t>
  </si>
  <si>
    <t>TX-101525</t>
  </si>
  <si>
    <t>TX-101526</t>
  </si>
  <si>
    <t>TX-101527</t>
  </si>
  <si>
    <t>TX-101528</t>
  </si>
  <si>
    <t>TX-101529</t>
  </si>
  <si>
    <t>TX-101530</t>
  </si>
  <si>
    <t>TX-101531</t>
  </si>
  <si>
    <t>TX-101532</t>
  </si>
  <si>
    <t>TX-101533</t>
  </si>
  <si>
    <t>TX-101534</t>
  </si>
  <si>
    <t>TX-101535</t>
  </si>
  <si>
    <t>TX-101536</t>
  </si>
  <si>
    <t>TX-101537</t>
  </si>
  <si>
    <t>TX-101538</t>
  </si>
  <si>
    <t>TX-101539</t>
  </si>
  <si>
    <t>TX-101540</t>
  </si>
  <si>
    <t>TX-101541</t>
  </si>
  <si>
    <t>TX-101542</t>
  </si>
  <si>
    <t>TX-101543</t>
  </si>
  <si>
    <t>TX-101544</t>
  </si>
  <si>
    <t>TX-101545</t>
  </si>
  <si>
    <t>TX-101546</t>
  </si>
  <si>
    <t>TX-101547</t>
  </si>
  <si>
    <t>TX-101548</t>
  </si>
  <si>
    <t>TX-101549</t>
  </si>
  <si>
    <t>TX-101550</t>
  </si>
  <si>
    <t>TX-101551</t>
  </si>
  <si>
    <t>TX-101552</t>
  </si>
  <si>
    <t>TX-101553</t>
  </si>
  <si>
    <t>TX-101554</t>
  </si>
  <si>
    <t>TX-101555</t>
  </si>
  <si>
    <t>TX-101556</t>
  </si>
  <si>
    <t>TX-101557</t>
  </si>
  <si>
    <t>TX-101558</t>
  </si>
  <si>
    <t>TX-101559</t>
  </si>
  <si>
    <t>TX-101560</t>
  </si>
  <si>
    <t>TX-101561</t>
  </si>
  <si>
    <t>TX-101562</t>
  </si>
  <si>
    <t>TX-101563</t>
  </si>
  <si>
    <t>TX-101564</t>
  </si>
  <si>
    <t>TX-101565</t>
  </si>
  <si>
    <t>TX-101566</t>
  </si>
  <si>
    <t>TX-101567</t>
  </si>
  <si>
    <t>TX-101568</t>
  </si>
  <si>
    <t>TX-101569</t>
  </si>
  <si>
    <t>TX-101570</t>
  </si>
  <si>
    <t>TX-101571</t>
  </si>
  <si>
    <t>TX-101572</t>
  </si>
  <si>
    <t>TX-101573</t>
  </si>
  <si>
    <t>TX-101574</t>
  </si>
  <si>
    <t>TX-101575</t>
  </si>
  <si>
    <t>TX-101576</t>
  </si>
  <si>
    <t>TX-101577</t>
  </si>
  <si>
    <t>TX-101578</t>
  </si>
  <si>
    <t>TX-101579</t>
  </si>
  <si>
    <t>TX-101580</t>
  </si>
  <si>
    <t>TX-101581</t>
  </si>
  <si>
    <t>TX-101582</t>
  </si>
  <si>
    <t>TX-101583</t>
  </si>
  <si>
    <t>TX-101584</t>
  </si>
  <si>
    <t>TX-101585</t>
  </si>
  <si>
    <t>TX-101586</t>
  </si>
  <si>
    <t>TX-101587</t>
  </si>
  <si>
    <t>TX-101588</t>
  </si>
  <si>
    <t>TX-101589</t>
  </si>
  <si>
    <t>TX-101590</t>
  </si>
  <si>
    <t>TX-101591</t>
  </si>
  <si>
    <t>TX-101592</t>
  </si>
  <si>
    <t>TX-101593</t>
  </si>
  <si>
    <t>TX-101594</t>
  </si>
  <si>
    <t>TX-101595</t>
  </si>
  <si>
    <t>TX-101596</t>
  </si>
  <si>
    <t>TX-101597</t>
  </si>
  <si>
    <t>TX-101598</t>
  </si>
  <si>
    <t>TX-101599</t>
  </si>
  <si>
    <t>TX-101600</t>
  </si>
  <si>
    <t>TX-101601</t>
  </si>
  <si>
    <t>TX-101602</t>
  </si>
  <si>
    <t>TX-101603</t>
  </si>
  <si>
    <t>TX-101604</t>
  </si>
  <si>
    <t>TX-101605</t>
  </si>
  <si>
    <t>TX-101606</t>
  </si>
  <si>
    <t>TX-101607</t>
  </si>
  <si>
    <t>TX-101608</t>
  </si>
  <si>
    <t>TX-101609</t>
  </si>
  <si>
    <t>TX-101610</t>
  </si>
  <si>
    <t>TX-101611</t>
  </si>
  <si>
    <t>TX-101612</t>
  </si>
  <si>
    <t>TX-101613</t>
  </si>
  <si>
    <t>TX-101614</t>
  </si>
  <si>
    <t>TX-101615</t>
  </si>
  <si>
    <t>TX-101616</t>
  </si>
  <si>
    <t>TX-101617</t>
  </si>
  <si>
    <t>TX-101618</t>
  </si>
  <si>
    <t>TX-101619</t>
  </si>
  <si>
    <t>TX-101620</t>
  </si>
  <si>
    <t>TX-101621</t>
  </si>
  <si>
    <t>TX-101622</t>
  </si>
  <si>
    <t>TX-101623</t>
  </si>
  <si>
    <t>TX-101624</t>
  </si>
  <si>
    <t>TX-101625</t>
  </si>
  <si>
    <t>TX-101626</t>
  </si>
  <si>
    <t>TX-101627</t>
  </si>
  <si>
    <t>TX-101628</t>
  </si>
  <si>
    <t>TX-101629</t>
  </si>
  <si>
    <t>TX-101630</t>
  </si>
  <si>
    <t>TX-101631</t>
  </si>
  <si>
    <t>TX-101632</t>
  </si>
  <si>
    <t>TX-101633</t>
  </si>
  <si>
    <t>TX-101634</t>
  </si>
  <si>
    <t>TX-101635</t>
  </si>
  <si>
    <t>TX-101636</t>
  </si>
  <si>
    <t>TX-101637</t>
  </si>
  <si>
    <t>TX-101638</t>
  </si>
  <si>
    <t>TX-101639</t>
  </si>
  <si>
    <t>TX-101640</t>
  </si>
  <si>
    <t>TX-101641</t>
  </si>
  <si>
    <t>TX-101642</t>
  </si>
  <si>
    <t>TX-101643</t>
  </si>
  <si>
    <t>TX-101644</t>
  </si>
  <si>
    <t>TX-101645</t>
  </si>
  <si>
    <t>TX-101646</t>
  </si>
  <si>
    <t>TX-101647</t>
  </si>
  <si>
    <t>TX-101648</t>
  </si>
  <si>
    <t>TX-101649</t>
  </si>
  <si>
    <t>TX-101650</t>
  </si>
  <si>
    <t>TX-101651</t>
  </si>
  <si>
    <t>TX-101652</t>
  </si>
  <si>
    <t>TX-101653</t>
  </si>
  <si>
    <t>TX-101654</t>
  </si>
  <si>
    <t>TX-101655</t>
  </si>
  <si>
    <t>TX-101656</t>
  </si>
  <si>
    <t>TX-101657</t>
  </si>
  <si>
    <t>TX-101658</t>
  </si>
  <si>
    <t>TX-101659</t>
  </si>
  <si>
    <t>TX-101660</t>
  </si>
  <si>
    <t>TX-101661</t>
  </si>
  <si>
    <t>TX-101662</t>
  </si>
  <si>
    <t>TX-101663</t>
  </si>
  <si>
    <t>TX-101664</t>
  </si>
  <si>
    <t>TX-101665</t>
  </si>
  <si>
    <t>TX-101666</t>
  </si>
  <si>
    <t>TX-101667</t>
  </si>
  <si>
    <t>TX-101668</t>
  </si>
  <si>
    <t>TX-101669</t>
  </si>
  <si>
    <t>TX-101670</t>
  </si>
  <si>
    <t>TX-101671</t>
  </si>
  <si>
    <t>TX-101672</t>
  </si>
  <si>
    <t>TX-101673</t>
  </si>
  <si>
    <t>TX-101674</t>
  </si>
  <si>
    <t>TX-101675</t>
  </si>
  <si>
    <t>TX-101676</t>
  </si>
  <si>
    <t>TX-101677</t>
  </si>
  <si>
    <t>TX-101678</t>
  </si>
  <si>
    <t>TX-101679</t>
  </si>
  <si>
    <t>TX-101680</t>
  </si>
  <si>
    <t>TX-101681</t>
  </si>
  <si>
    <t>TX-101682</t>
  </si>
  <si>
    <t>TX-101683</t>
  </si>
  <si>
    <t>TX-101684</t>
  </si>
  <si>
    <t>TX-101685</t>
  </si>
  <si>
    <t>TX-101686</t>
  </si>
  <si>
    <t>TX-101687</t>
  </si>
  <si>
    <t>TX-101688</t>
  </si>
  <si>
    <t>TX-101689</t>
  </si>
  <si>
    <t>TX-101690</t>
  </si>
  <si>
    <t>TX-101691</t>
  </si>
  <si>
    <t>TX-101692</t>
  </si>
  <si>
    <t>TX-101693</t>
  </si>
  <si>
    <t>TX-101694</t>
  </si>
  <si>
    <t>TX-101695</t>
  </si>
  <si>
    <t>TX-101696</t>
  </si>
  <si>
    <t>TX-101697</t>
  </si>
  <si>
    <t>TX-101698</t>
  </si>
  <si>
    <t>TX-101699</t>
  </si>
  <si>
    <t>TX-101700</t>
  </si>
  <si>
    <t>TX-101701</t>
  </si>
  <si>
    <t>TX-101702</t>
  </si>
  <si>
    <t>TX-101703</t>
  </si>
  <si>
    <t>TX-101704</t>
  </si>
  <si>
    <t>TX-101705</t>
  </si>
  <si>
    <t>TX-101706</t>
  </si>
  <si>
    <t>TX-101707</t>
  </si>
  <si>
    <t>TX-101708</t>
  </si>
  <si>
    <t>TX-101709</t>
  </si>
  <si>
    <t>TX-101710</t>
  </si>
  <si>
    <t>TX-101711</t>
  </si>
  <si>
    <t>TX-101712</t>
  </si>
  <si>
    <t>TX-101713</t>
  </si>
  <si>
    <t>TX-101714</t>
  </si>
  <si>
    <t>TX-101715</t>
  </si>
  <si>
    <t>TX-101716</t>
  </si>
  <si>
    <t>TX-101717</t>
  </si>
  <si>
    <t>TX-101718</t>
  </si>
  <si>
    <t>TX-101719</t>
  </si>
  <si>
    <t>TX-101720</t>
  </si>
  <si>
    <t>TX-101721</t>
  </si>
  <si>
    <t>TX-101722</t>
  </si>
  <si>
    <t>TX-101723</t>
  </si>
  <si>
    <t>TX-101724</t>
  </si>
  <si>
    <t>TX-101725</t>
  </si>
  <si>
    <t>TX-101726</t>
  </si>
  <si>
    <t>TX-101727</t>
  </si>
  <si>
    <t>TX-101728</t>
  </si>
  <si>
    <t>TX-101729</t>
  </si>
  <si>
    <t>TX-101730</t>
  </si>
  <si>
    <t>TX-101731</t>
  </si>
  <si>
    <t>TX-101732</t>
  </si>
  <si>
    <t>TX-101733</t>
  </si>
  <si>
    <t>TX-101734</t>
  </si>
  <si>
    <t>TX-101735</t>
  </si>
  <si>
    <t>TX-101736</t>
  </si>
  <si>
    <t>TX-101737</t>
  </si>
  <si>
    <t>TX-101738</t>
  </si>
  <si>
    <t>TX-101739</t>
  </si>
  <si>
    <t>TX-101740</t>
  </si>
  <si>
    <t>TX-101741</t>
  </si>
  <si>
    <t>TX-101742</t>
  </si>
  <si>
    <t>TX-101743</t>
  </si>
  <si>
    <t>TX-101744</t>
  </si>
  <si>
    <t>TX-101745</t>
  </si>
  <si>
    <t>TX-101746</t>
  </si>
  <si>
    <t>TX-101747</t>
  </si>
  <si>
    <t>TX-101748</t>
  </si>
  <si>
    <t>TX-101749</t>
  </si>
  <si>
    <t>TX-101750</t>
  </si>
  <si>
    <t>TX-101751</t>
  </si>
  <si>
    <t>TX-101752</t>
  </si>
  <si>
    <t>TX-101753</t>
  </si>
  <si>
    <t>TX-101754</t>
  </si>
  <si>
    <t>TX-101755</t>
  </si>
  <si>
    <t>TX-101756</t>
  </si>
  <si>
    <t>TX-101757</t>
  </si>
  <si>
    <t>TX-101758</t>
  </si>
  <si>
    <t>TX-101759</t>
  </si>
  <si>
    <t>TX-101760</t>
  </si>
  <si>
    <t>TX-101761</t>
  </si>
  <si>
    <t>TX-101762</t>
  </si>
  <si>
    <t>TX-101763</t>
  </si>
  <si>
    <t>TX-101764</t>
  </si>
  <si>
    <t>TX-101765</t>
  </si>
  <si>
    <t>TX-101766</t>
  </si>
  <si>
    <t>TX-101767</t>
  </si>
  <si>
    <t>TX-101768</t>
  </si>
  <si>
    <t>TX-101769</t>
  </si>
  <si>
    <t>TX-101770</t>
  </si>
  <si>
    <t>TX-101771</t>
  </si>
  <si>
    <t>TX-101772</t>
  </si>
  <si>
    <t>TX-101773</t>
  </si>
  <si>
    <t>TX-101774</t>
  </si>
  <si>
    <t>TX-101775</t>
  </si>
  <si>
    <t>TX-101776</t>
  </si>
  <si>
    <t>TX-101777</t>
  </si>
  <si>
    <t>TX-101778</t>
  </si>
  <si>
    <t>TX-101779</t>
  </si>
  <si>
    <t>TX-101780</t>
  </si>
  <si>
    <t>TX-101781</t>
  </si>
  <si>
    <t>TX-101782</t>
  </si>
  <si>
    <t>TX-101783</t>
  </si>
  <si>
    <t>TX-101784</t>
  </si>
  <si>
    <t>TX-101785</t>
  </si>
  <si>
    <t>TX-101786</t>
  </si>
  <si>
    <t>TX-101787</t>
  </si>
  <si>
    <t>TX-101788</t>
  </si>
  <si>
    <t>TX-101789</t>
  </si>
  <si>
    <t>TX-101790</t>
  </si>
  <si>
    <t>TX-101791</t>
  </si>
  <si>
    <t>TX-101792</t>
  </si>
  <si>
    <t>TX-101793</t>
  </si>
  <si>
    <t>TX-101794</t>
  </si>
  <si>
    <t>TX-101795</t>
  </si>
  <si>
    <t>TX-101796</t>
  </si>
  <si>
    <t>TX-101797</t>
  </si>
  <si>
    <t>TX-101798</t>
  </si>
  <si>
    <t>TX-101799</t>
  </si>
  <si>
    <t>TX-101800</t>
  </si>
  <si>
    <t>TX-101801</t>
  </si>
  <si>
    <t>TX-101802</t>
  </si>
  <si>
    <t>TX-101803</t>
  </si>
  <si>
    <t>TX-101804</t>
  </si>
  <si>
    <t>TX-101805</t>
  </si>
  <si>
    <t>TX-101806</t>
  </si>
  <si>
    <t>TX-101807</t>
  </si>
  <si>
    <t>TX-101808</t>
  </si>
  <si>
    <t>TX-101809</t>
  </si>
  <si>
    <t>TX-101810</t>
  </si>
  <si>
    <t>TX-101811</t>
  </si>
  <si>
    <t>TX-101812</t>
  </si>
  <si>
    <t>TX-101813</t>
  </si>
  <si>
    <t>TX-101814</t>
  </si>
  <si>
    <t>TX-101815</t>
  </si>
  <si>
    <t>TX-101816</t>
  </si>
  <si>
    <t>TX-101817</t>
  </si>
  <si>
    <t>TX-101818</t>
  </si>
  <si>
    <t>TX-101819</t>
  </si>
  <si>
    <t>TX-101820</t>
  </si>
  <si>
    <t>TX-101821</t>
  </si>
  <si>
    <t>TX-101822</t>
  </si>
  <si>
    <t>TX-101823</t>
  </si>
  <si>
    <t>TX-101824</t>
  </si>
  <si>
    <t>TX-101825</t>
  </si>
  <si>
    <t>TX-101826</t>
  </si>
  <si>
    <t>TX-101827</t>
  </si>
  <si>
    <t>TX-101828</t>
  </si>
  <si>
    <t>TX-101829</t>
  </si>
  <si>
    <t>TX-101830</t>
  </si>
  <si>
    <t>TX-101831</t>
  </si>
  <si>
    <t>TX-101832</t>
  </si>
  <si>
    <t>TX-101833</t>
  </si>
  <si>
    <t>TX-101834</t>
  </si>
  <si>
    <t>TX-101835</t>
  </si>
  <si>
    <t>TX-101836</t>
  </si>
  <si>
    <t>TX-101837</t>
  </si>
  <si>
    <t>TX-101838</t>
  </si>
  <si>
    <t>TX-101839</t>
  </si>
  <si>
    <t>TX-101840</t>
  </si>
  <si>
    <t>TX-101841</t>
  </si>
  <si>
    <t>TX-101842</t>
  </si>
  <si>
    <t>TX-101843</t>
  </si>
  <si>
    <t>TX-101844</t>
  </si>
  <si>
    <t>TX-101845</t>
  </si>
  <si>
    <t>TX-101846</t>
  </si>
  <si>
    <t>TX-101847</t>
  </si>
  <si>
    <t>TX-101848</t>
  </si>
  <si>
    <t>TX-101849</t>
  </si>
  <si>
    <t>TX-101850</t>
  </si>
  <si>
    <t>TX-101851</t>
  </si>
  <si>
    <t>TX-101852</t>
  </si>
  <si>
    <t>TX-101853</t>
  </si>
  <si>
    <t>TX-101854</t>
  </si>
  <si>
    <t>TX-101855</t>
  </si>
  <si>
    <t>TX-101856</t>
  </si>
  <si>
    <t>TX-101857</t>
  </si>
  <si>
    <t>TX-101858</t>
  </si>
  <si>
    <t>TX-101859</t>
  </si>
  <si>
    <t>TX-101860</t>
  </si>
  <si>
    <t>TX-101861</t>
  </si>
  <si>
    <t>TX-101862</t>
  </si>
  <si>
    <t>TX-101863</t>
  </si>
  <si>
    <t>TX-101864</t>
  </si>
  <si>
    <t>TX-101865</t>
  </si>
  <si>
    <t>TX-101866</t>
  </si>
  <si>
    <t>TX-101867</t>
  </si>
  <si>
    <t>TX-101868</t>
  </si>
  <si>
    <t>TX-101869</t>
  </si>
  <si>
    <t>TX-101870</t>
  </si>
  <si>
    <t>TX-101871</t>
  </si>
  <si>
    <t>TX-101872</t>
  </si>
  <si>
    <t>TX-101873</t>
  </si>
  <si>
    <t>TX-101874</t>
  </si>
  <si>
    <t>TX-101875</t>
  </si>
  <si>
    <t>TX-101876</t>
  </si>
  <si>
    <t>TX-101877</t>
  </si>
  <si>
    <t>TX-101878</t>
  </si>
  <si>
    <t>TX-101879</t>
  </si>
  <si>
    <t>TX-101880</t>
  </si>
  <si>
    <t>TX-101881</t>
  </si>
  <si>
    <t>TX-101882</t>
  </si>
  <si>
    <t>TX-101883</t>
  </si>
  <si>
    <t>TX-101884</t>
  </si>
  <si>
    <t>TX-101885</t>
  </si>
  <si>
    <t>TX-101886</t>
  </si>
  <si>
    <t>TX-101887</t>
  </si>
  <si>
    <t>TX-101888</t>
  </si>
  <si>
    <t>TX-101889</t>
  </si>
  <si>
    <t>TX-101890</t>
  </si>
  <si>
    <t>TX-101891</t>
  </si>
  <si>
    <t>TX-101892</t>
  </si>
  <si>
    <t>TX-101893</t>
  </si>
  <si>
    <t>TX-101894</t>
  </si>
  <si>
    <t>TX-101895</t>
  </si>
  <si>
    <t>TX-101896</t>
  </si>
  <si>
    <t>TX-101897</t>
  </si>
  <si>
    <t>TX-101898</t>
  </si>
  <si>
    <t>TX-101899</t>
  </si>
  <si>
    <t>TX-101900</t>
  </si>
  <si>
    <t>TX-101901</t>
  </si>
  <si>
    <t>TX-101902</t>
  </si>
  <si>
    <t>TX-101903</t>
  </si>
  <si>
    <t>TX-101904</t>
  </si>
  <si>
    <t>TX-101905</t>
  </si>
  <si>
    <t>TX-101906</t>
  </si>
  <si>
    <t>TX-101907</t>
  </si>
  <si>
    <t>TX-101908</t>
  </si>
  <si>
    <t>TX-101909</t>
  </si>
  <si>
    <t>TX-101910</t>
  </si>
  <si>
    <t>TX-101911</t>
  </si>
  <si>
    <t>TX-101912</t>
  </si>
  <si>
    <t>TX-101913</t>
  </si>
  <si>
    <t>TX-101914</t>
  </si>
  <si>
    <t>TX-101915</t>
  </si>
  <si>
    <t>TX-101916</t>
  </si>
  <si>
    <t>TX-101917</t>
  </si>
  <si>
    <t>TX-101918</t>
  </si>
  <si>
    <t>TX-101919</t>
  </si>
  <si>
    <t>TX-101920</t>
  </si>
  <si>
    <t>TX-101921</t>
  </si>
  <si>
    <t>TX-101922</t>
  </si>
  <si>
    <t>TX-101923</t>
  </si>
  <si>
    <t>TX-101924</t>
  </si>
  <si>
    <t>TX-101925</t>
  </si>
  <si>
    <t>TX-101926</t>
  </si>
  <si>
    <t>TX-101927</t>
  </si>
  <si>
    <t>TX-101928</t>
  </si>
  <si>
    <t>TX-101929</t>
  </si>
  <si>
    <t>TX-101930</t>
  </si>
  <si>
    <t>TX-101931</t>
  </si>
  <si>
    <t>TX-101932</t>
  </si>
  <si>
    <t>TX-101933</t>
  </si>
  <si>
    <t>TX-101934</t>
  </si>
  <si>
    <t>TX-101935</t>
  </si>
  <si>
    <t>TX-101936</t>
  </si>
  <si>
    <t>TX-101937</t>
  </si>
  <si>
    <t>TX-101938</t>
  </si>
  <si>
    <t>TX-101939</t>
  </si>
  <si>
    <t>TX-101940</t>
  </si>
  <si>
    <t>TX-101941</t>
  </si>
  <si>
    <t>TX-101942</t>
  </si>
  <si>
    <t>TX-101943</t>
  </si>
  <si>
    <t>TX-101944</t>
  </si>
  <si>
    <t>TX-101945</t>
  </si>
  <si>
    <t>TX-101946</t>
  </si>
  <si>
    <t>TX-101947</t>
  </si>
  <si>
    <t>TX-101948</t>
  </si>
  <si>
    <t>TX-101949</t>
  </si>
  <si>
    <t>TX-101950</t>
  </si>
  <si>
    <t>TX-101951</t>
  </si>
  <si>
    <t>TX-101952</t>
  </si>
  <si>
    <t>TX-101953</t>
  </si>
  <si>
    <t>TX-101954</t>
  </si>
  <si>
    <t>TX-101955</t>
  </si>
  <si>
    <t>TX-101956</t>
  </si>
  <si>
    <t>TX-101957</t>
  </si>
  <si>
    <t>TX-101958</t>
  </si>
  <si>
    <t>TX-101959</t>
  </si>
  <si>
    <t>TX-101960</t>
  </si>
  <si>
    <t>TX-101961</t>
  </si>
  <si>
    <t>TX-101962</t>
  </si>
  <si>
    <t>TX-101963</t>
  </si>
  <si>
    <t>TX-101964</t>
  </si>
  <si>
    <t>TX-101965</t>
  </si>
  <si>
    <t>TX-101966</t>
  </si>
  <si>
    <t>TX-101967</t>
  </si>
  <si>
    <t>TX-101968</t>
  </si>
  <si>
    <t>TX-101969</t>
  </si>
  <si>
    <t>TX-101970</t>
  </si>
  <si>
    <t>TX-101971</t>
  </si>
  <si>
    <t>TX-101972</t>
  </si>
  <si>
    <t>TX-101973</t>
  </si>
  <si>
    <t>TX-101974</t>
  </si>
  <si>
    <t>TX-101975</t>
  </si>
  <si>
    <t>TX-101976</t>
  </si>
  <si>
    <t>TX-101977</t>
  </si>
  <si>
    <t>TX-101978</t>
  </si>
  <si>
    <t>TX-101979</t>
  </si>
  <si>
    <t>TX-101980</t>
  </si>
  <si>
    <t>TX-101981</t>
  </si>
  <si>
    <t>TX-101982</t>
  </si>
  <si>
    <t>TX-101983</t>
  </si>
  <si>
    <t>TX-101984</t>
  </si>
  <si>
    <t>TX-101985</t>
  </si>
  <si>
    <t>TX-101986</t>
  </si>
  <si>
    <t>TX-101987</t>
  </si>
  <si>
    <t>TX-101988</t>
  </si>
  <si>
    <t>TX-101989</t>
  </si>
  <si>
    <t>TX-101990</t>
  </si>
  <si>
    <t>TX-101991</t>
  </si>
  <si>
    <t>TX-101992</t>
  </si>
  <si>
    <t>TX-101993</t>
  </si>
  <si>
    <t>TX-101994</t>
  </si>
  <si>
    <t>TX-101995</t>
  </si>
  <si>
    <t>TX-101996</t>
  </si>
  <si>
    <t>TX-101997</t>
  </si>
  <si>
    <t>TX-101998</t>
  </si>
  <si>
    <t>TX-101999</t>
  </si>
  <si>
    <t>TX-102000</t>
  </si>
  <si>
    <t>TX-102001</t>
  </si>
  <si>
    <t>TX-102002</t>
  </si>
  <si>
    <t>TX-102003</t>
  </si>
  <si>
    <t>TX-102004</t>
  </si>
  <si>
    <t>TX-102005</t>
  </si>
  <si>
    <t>TX-102006</t>
  </si>
  <si>
    <t>TX-102007</t>
  </si>
  <si>
    <t>TX-102008</t>
  </si>
  <si>
    <t>TX-102009</t>
  </si>
  <si>
    <t>TX-102010</t>
  </si>
  <si>
    <t>TX-102011</t>
  </si>
  <si>
    <t>TX-102012</t>
  </si>
  <si>
    <t>TX-102013</t>
  </si>
  <si>
    <t>TX-102014</t>
  </si>
  <si>
    <t>TX-102015</t>
  </si>
  <si>
    <t>TX-102016</t>
  </si>
  <si>
    <t>TX-102017</t>
  </si>
  <si>
    <t>TX-102018</t>
  </si>
  <si>
    <t>TX-102019</t>
  </si>
  <si>
    <t>TX-102020</t>
  </si>
  <si>
    <t>TX-102021</t>
  </si>
  <si>
    <t>TX-102022</t>
  </si>
  <si>
    <t>TX-102023</t>
  </si>
  <si>
    <t>TX-102024</t>
  </si>
  <si>
    <t>TX-102025</t>
  </si>
  <si>
    <t>TX-102026</t>
  </si>
  <si>
    <t>TX-102027</t>
  </si>
  <si>
    <t>TX-102028</t>
  </si>
  <si>
    <t>TX-102029</t>
  </si>
  <si>
    <t>TX-102030</t>
  </si>
  <si>
    <t>TX-102031</t>
  </si>
  <si>
    <t>TX-102032</t>
  </si>
  <si>
    <t>TX-102033</t>
  </si>
  <si>
    <t>TX-102034</t>
  </si>
  <si>
    <t>TX-102035</t>
  </si>
  <si>
    <t>TX-102036</t>
  </si>
  <si>
    <t>TX-102037</t>
  </si>
  <si>
    <t>TX-102038</t>
  </si>
  <si>
    <t>TX-102039</t>
  </si>
  <si>
    <t>TX-102040</t>
  </si>
  <si>
    <t>TX-102041</t>
  </si>
  <si>
    <t>TX-102042</t>
  </si>
  <si>
    <t>TX-102043</t>
  </si>
  <si>
    <t>TX-102044</t>
  </si>
  <si>
    <t>TX-102045</t>
  </si>
  <si>
    <t>TX-102046</t>
  </si>
  <si>
    <t>TX-102047</t>
  </si>
  <si>
    <t>TX-102048</t>
  </si>
  <si>
    <t>TX-102049</t>
  </si>
  <si>
    <t>TX-102050</t>
  </si>
  <si>
    <t>TX-102051</t>
  </si>
  <si>
    <t>TX-102052</t>
  </si>
  <si>
    <t>TX-102053</t>
  </si>
  <si>
    <t>TX-102054</t>
  </si>
  <si>
    <t>TX-102055</t>
  </si>
  <si>
    <t>TX-102056</t>
  </si>
  <si>
    <t>TX-102057</t>
  </si>
  <si>
    <t>TX-102058</t>
  </si>
  <si>
    <t>TX-102059</t>
  </si>
  <si>
    <t>TX-102060</t>
  </si>
  <si>
    <t>TX-102061</t>
  </si>
  <si>
    <t>TX-102062</t>
  </si>
  <si>
    <t>TX-102063</t>
  </si>
  <si>
    <t>TX-102064</t>
  </si>
  <si>
    <t>TX-102065</t>
  </si>
  <si>
    <t>TX-102066</t>
  </si>
  <si>
    <t>TX-102067</t>
  </si>
  <si>
    <t>TX-102068</t>
  </si>
  <si>
    <t>TX-102069</t>
  </si>
  <si>
    <t>TX-102070</t>
  </si>
  <si>
    <t>TX-102071</t>
  </si>
  <si>
    <t>TX-102072</t>
  </si>
  <si>
    <t>TX-102073</t>
  </si>
  <si>
    <t>TX-102074</t>
  </si>
  <si>
    <t>TX-102075</t>
  </si>
  <si>
    <t>TX-102076</t>
  </si>
  <si>
    <t>TX-102077</t>
  </si>
  <si>
    <t>TX-102078</t>
  </si>
  <si>
    <t>TX-102079</t>
  </si>
  <si>
    <t>TX-102080</t>
  </si>
  <si>
    <t>TX-102081</t>
  </si>
  <si>
    <t>TX-102082</t>
  </si>
  <si>
    <t>TX-102083</t>
  </si>
  <si>
    <t>TX-102084</t>
  </si>
  <si>
    <t>TX-102085</t>
  </si>
  <si>
    <t>TX-102086</t>
  </si>
  <si>
    <t>TX-102087</t>
  </si>
  <si>
    <t>TX-102088</t>
  </si>
  <si>
    <t>TX-102089</t>
  </si>
  <si>
    <t>TX-102090</t>
  </si>
  <si>
    <t>TX-102091</t>
  </si>
  <si>
    <t>TX-102092</t>
  </si>
  <si>
    <t>TX-102093</t>
  </si>
  <si>
    <t>TX-102094</t>
  </si>
  <si>
    <t>TX-102095</t>
  </si>
  <si>
    <t>TX-102096</t>
  </si>
  <si>
    <t>TX-102097</t>
  </si>
  <si>
    <t>TX-102098</t>
  </si>
  <si>
    <t>TX-102099</t>
  </si>
  <si>
    <t>TX-102100</t>
  </si>
  <si>
    <t>TX-102101</t>
  </si>
  <si>
    <t>TX-102102</t>
  </si>
  <si>
    <t>TX-102103</t>
  </si>
  <si>
    <t>TX-102104</t>
  </si>
  <si>
    <t>TX-102105</t>
  </si>
  <si>
    <t>TX-102106</t>
  </si>
  <si>
    <t>TX-102107</t>
  </si>
  <si>
    <t>TX-102108</t>
  </si>
  <si>
    <t>TX-102109</t>
  </si>
  <si>
    <t>TX-102110</t>
  </si>
  <si>
    <t>TX-102111</t>
  </si>
  <si>
    <t>TX-102112</t>
  </si>
  <si>
    <t>TX-102113</t>
  </si>
  <si>
    <t>TX-102114</t>
  </si>
  <si>
    <t>TX-102115</t>
  </si>
  <si>
    <t>TX-102116</t>
  </si>
  <si>
    <t>TX-102117</t>
  </si>
  <si>
    <t>TX-102118</t>
  </si>
  <si>
    <t>TX-102119</t>
  </si>
  <si>
    <t>TX-102120</t>
  </si>
  <si>
    <t>TX-102121</t>
  </si>
  <si>
    <t>TX-102122</t>
  </si>
  <si>
    <t>TX-102123</t>
  </si>
  <si>
    <t>TX-102124</t>
  </si>
  <si>
    <t>TX-102125</t>
  </si>
  <si>
    <t>TX-102126</t>
  </si>
  <si>
    <t>TX-102127</t>
  </si>
  <si>
    <t>TX-102128</t>
  </si>
  <si>
    <t>TX-102129</t>
  </si>
  <si>
    <t>TX-102130</t>
  </si>
  <si>
    <t>TX-102131</t>
  </si>
  <si>
    <t>TX-102132</t>
  </si>
  <si>
    <t>TX-102133</t>
  </si>
  <si>
    <t>TX-102134</t>
  </si>
  <si>
    <t>TX-102135</t>
  </si>
  <si>
    <t>TX-102136</t>
  </si>
  <si>
    <t>TX-102137</t>
  </si>
  <si>
    <t>TX-102138</t>
  </si>
  <si>
    <t>TX-102139</t>
  </si>
  <si>
    <t>TX-102140</t>
  </si>
  <si>
    <t>TX-102141</t>
  </si>
  <si>
    <t>TX-102142</t>
  </si>
  <si>
    <t>TX-102143</t>
  </si>
  <si>
    <t>TX-102144</t>
  </si>
  <si>
    <t>TX-102145</t>
  </si>
  <si>
    <t>TX-102146</t>
  </si>
  <si>
    <t>TX-102147</t>
  </si>
  <si>
    <t>TX-102148</t>
  </si>
  <si>
    <t>TX-102149</t>
  </si>
  <si>
    <t>TX-102150</t>
  </si>
  <si>
    <t>TX-102151</t>
  </si>
  <si>
    <t>TX-102152</t>
  </si>
  <si>
    <t>TX-102153</t>
  </si>
  <si>
    <t>TX-102154</t>
  </si>
  <si>
    <t>TX-102155</t>
  </si>
  <si>
    <t>TX-102156</t>
  </si>
  <si>
    <t>TX-102157</t>
  </si>
  <si>
    <t>TX-102158</t>
  </si>
  <si>
    <t>TX-102159</t>
  </si>
  <si>
    <t>TX-102160</t>
  </si>
  <si>
    <t>TX-102161</t>
  </si>
  <si>
    <t>TX-102162</t>
  </si>
  <si>
    <t>TX-102163</t>
  </si>
  <si>
    <t>TX-102164</t>
  </si>
  <si>
    <t>TX-102165</t>
  </si>
  <si>
    <t>TX-102166</t>
  </si>
  <si>
    <t>TX-102167</t>
  </si>
  <si>
    <t>TX-102168</t>
  </si>
  <si>
    <t>TX-102169</t>
  </si>
  <si>
    <t>TX-102170</t>
  </si>
  <si>
    <t>TX-102171</t>
  </si>
  <si>
    <t>TX-102172</t>
  </si>
  <si>
    <t>TX-102173</t>
  </si>
  <si>
    <t>TX-102174</t>
  </si>
  <si>
    <t>TX-102175</t>
  </si>
  <si>
    <t>TX-102176</t>
  </si>
  <si>
    <t>TX-102177</t>
  </si>
  <si>
    <t>TX-102178</t>
  </si>
  <si>
    <t>TX-102179</t>
  </si>
  <si>
    <t>TX-102180</t>
  </si>
  <si>
    <t>TX-102181</t>
  </si>
  <si>
    <t>TX-102182</t>
  </si>
  <si>
    <t>TX-102183</t>
  </si>
  <si>
    <t>TX-102184</t>
  </si>
  <si>
    <t>TX-102185</t>
  </si>
  <si>
    <t>TX-102186</t>
  </si>
  <si>
    <t>TX-102187</t>
  </si>
  <si>
    <t>TX-102188</t>
  </si>
  <si>
    <t>TX-102189</t>
  </si>
  <si>
    <t>TX-102190</t>
  </si>
  <si>
    <t>TX-102191</t>
  </si>
  <si>
    <t>TX-102192</t>
  </si>
  <si>
    <t>TX-102193</t>
  </si>
  <si>
    <t>TX-102194</t>
  </si>
  <si>
    <t>TX-102195</t>
  </si>
  <si>
    <t>TX-102196</t>
  </si>
  <si>
    <t>TX-102197</t>
  </si>
  <si>
    <t>TX-102198</t>
  </si>
  <si>
    <t>TX-102199</t>
  </si>
  <si>
    <t>TX-102200</t>
  </si>
  <si>
    <t>TX-102201</t>
  </si>
  <si>
    <t>TX-102202</t>
  </si>
  <si>
    <t>TX-102203</t>
  </si>
  <si>
    <t>TX-102204</t>
  </si>
  <si>
    <t>TX-102205</t>
  </si>
  <si>
    <t>TX-102206</t>
  </si>
  <si>
    <t>TX-102207</t>
  </si>
  <si>
    <t>TX-102208</t>
  </si>
  <si>
    <t>TX-102209</t>
  </si>
  <si>
    <t>TX-102210</t>
  </si>
  <si>
    <t>TX-102211</t>
  </si>
  <si>
    <t>TX-102212</t>
  </si>
  <si>
    <t>TX-102213</t>
  </si>
  <si>
    <t>TX-102214</t>
  </si>
  <si>
    <t>TX-102215</t>
  </si>
  <si>
    <t>TX-102216</t>
  </si>
  <si>
    <t>TX-102217</t>
  </si>
  <si>
    <t>TX-102218</t>
  </si>
  <si>
    <t>TX-102219</t>
  </si>
  <si>
    <t>TX-102220</t>
  </si>
  <si>
    <t>TX-102221</t>
  </si>
  <si>
    <t>TX-102222</t>
  </si>
  <si>
    <t>TX-102223</t>
  </si>
  <si>
    <t>TX-102224</t>
  </si>
  <si>
    <t>TX-102225</t>
  </si>
  <si>
    <t>TX-102226</t>
  </si>
  <si>
    <t>TX-102227</t>
  </si>
  <si>
    <t>TX-102228</t>
  </si>
  <si>
    <t>TX-102229</t>
  </si>
  <si>
    <t>TX-102230</t>
  </si>
  <si>
    <t>TX-102231</t>
  </si>
  <si>
    <t>TX-102232</t>
  </si>
  <si>
    <t>TX-102233</t>
  </si>
  <si>
    <t>TX-102234</t>
  </si>
  <si>
    <t>TX-102235</t>
  </si>
  <si>
    <t>TX-102236</t>
  </si>
  <si>
    <t>TX-102237</t>
  </si>
  <si>
    <t>TX-102238</t>
  </si>
  <si>
    <t>TX-102239</t>
  </si>
  <si>
    <t>TX-102240</t>
  </si>
  <si>
    <t>TX-102241</t>
  </si>
  <si>
    <t>TX-102242</t>
  </si>
  <si>
    <t>TX-102243</t>
  </si>
  <si>
    <t>TX-102244</t>
  </si>
  <si>
    <t>TX-102245</t>
  </si>
  <si>
    <t>TX-102246</t>
  </si>
  <si>
    <t>TX-102247</t>
  </si>
  <si>
    <t>TX-102248</t>
  </si>
  <si>
    <t>TX-102249</t>
  </si>
  <si>
    <t>TX-102250</t>
  </si>
  <si>
    <t>TX-102251</t>
  </si>
  <si>
    <t>TX-102252</t>
  </si>
  <si>
    <t>TX-102253</t>
  </si>
  <si>
    <t>TX-102254</t>
  </si>
  <si>
    <t>TX-102255</t>
  </si>
  <si>
    <t>TX-102256</t>
  </si>
  <si>
    <t>TX-102257</t>
  </si>
  <si>
    <t>TX-102258</t>
  </si>
  <si>
    <t>TX-102259</t>
  </si>
  <si>
    <t>TX-102260</t>
  </si>
  <si>
    <t>TX-102261</t>
  </si>
  <si>
    <t>TX-102262</t>
  </si>
  <si>
    <t>TX-102263</t>
  </si>
  <si>
    <t>TX-102264</t>
  </si>
  <si>
    <t>TX-102265</t>
  </si>
  <si>
    <t>TX-102266</t>
  </si>
  <si>
    <t>TX-102267</t>
  </si>
  <si>
    <t>TX-102268</t>
  </si>
  <si>
    <t>TX-102269</t>
  </si>
  <si>
    <t>TX-102270</t>
  </si>
  <si>
    <t>TX-102271</t>
  </si>
  <si>
    <t>TX-102272</t>
  </si>
  <si>
    <t>TX-102273</t>
  </si>
  <si>
    <t>TX-102274</t>
  </si>
  <si>
    <t>TX-102275</t>
  </si>
  <si>
    <t>TX-102276</t>
  </si>
  <si>
    <t>TX-102277</t>
  </si>
  <si>
    <t>TX-102278</t>
  </si>
  <si>
    <t>TX-102279</t>
  </si>
  <si>
    <t>TX-102280</t>
  </si>
  <si>
    <t>TX-102281</t>
  </si>
  <si>
    <t>TX-102282</t>
  </si>
  <si>
    <t>TX-102283</t>
  </si>
  <si>
    <t>TX-102284</t>
  </si>
  <si>
    <t>TX-102285</t>
  </si>
  <si>
    <t>TX-102286</t>
  </si>
  <si>
    <t>TX-102287</t>
  </si>
  <si>
    <t>TX-102288</t>
  </si>
  <si>
    <t>TX-102289</t>
  </si>
  <si>
    <t>TX-102290</t>
  </si>
  <si>
    <t>TX-102291</t>
  </si>
  <si>
    <t>TX-102292</t>
  </si>
  <si>
    <t>TX-102293</t>
  </si>
  <si>
    <t>TX-102294</t>
  </si>
  <si>
    <t>TX-102295</t>
  </si>
  <si>
    <t>TX-102296</t>
  </si>
  <si>
    <t>TX-102297</t>
  </si>
  <si>
    <t>TX-102298</t>
  </si>
  <si>
    <t>TX-102299</t>
  </si>
  <si>
    <t>TX-102300</t>
  </si>
  <si>
    <t>TX-102301</t>
  </si>
  <si>
    <t>TX-102302</t>
  </si>
  <si>
    <t>TX-102303</t>
  </si>
  <si>
    <t>TX-102304</t>
  </si>
  <si>
    <t>TX-102305</t>
  </si>
  <si>
    <t>TX-102306</t>
  </si>
  <si>
    <t>TX-102307</t>
  </si>
  <si>
    <t>TX-102308</t>
  </si>
  <si>
    <t>TX-102309</t>
  </si>
  <si>
    <t>TX-102310</t>
  </si>
  <si>
    <t>TX-102311</t>
  </si>
  <si>
    <t>TX-102312</t>
  </si>
  <si>
    <t>TX-102313</t>
  </si>
  <si>
    <t>TX-102314</t>
  </si>
  <si>
    <t>TX-102315</t>
  </si>
  <si>
    <t>TX-102316</t>
  </si>
  <si>
    <t>TX-102317</t>
  </si>
  <si>
    <t>TX-102318</t>
  </si>
  <si>
    <t>TX-102319</t>
  </si>
  <si>
    <t>TX-102320</t>
  </si>
  <si>
    <t>TX-102321</t>
  </si>
  <si>
    <t>TX-102322</t>
  </si>
  <si>
    <t>TX-102323</t>
  </si>
  <si>
    <t>TX-102324</t>
  </si>
  <si>
    <t>TX-102325</t>
  </si>
  <si>
    <t>TX-102326</t>
  </si>
  <si>
    <t>TX-102327</t>
  </si>
  <si>
    <t>TX-102328</t>
  </si>
  <si>
    <t>TX-102329</t>
  </si>
  <si>
    <t>TX-102330</t>
  </si>
  <si>
    <t>TX-102331</t>
  </si>
  <si>
    <t>TX-102332</t>
  </si>
  <si>
    <t>TX-102333</t>
  </si>
  <si>
    <t>TX-102334</t>
  </si>
  <si>
    <t>TX-102335</t>
  </si>
  <si>
    <t>TX-102336</t>
  </si>
  <si>
    <t>TX-102337</t>
  </si>
  <si>
    <t>TX-102338</t>
  </si>
  <si>
    <t>TX-102339</t>
  </si>
  <si>
    <t>TX-102340</t>
  </si>
  <si>
    <t>TX-102341</t>
  </si>
  <si>
    <t>TX-102342</t>
  </si>
  <si>
    <t>TX-102343</t>
  </si>
  <si>
    <t>TX-102344</t>
  </si>
  <si>
    <t>TX-102345</t>
  </si>
  <si>
    <t>TX-102346</t>
  </si>
  <si>
    <t>TX-102347</t>
  </si>
  <si>
    <t>TX-102348</t>
  </si>
  <si>
    <t>TX-102349</t>
  </si>
  <si>
    <t>TX-102350</t>
  </si>
  <si>
    <t>TX-102351</t>
  </si>
  <si>
    <t>TX-102352</t>
  </si>
  <si>
    <t>TX-102353</t>
  </si>
  <si>
    <t>TX-102354</t>
  </si>
  <si>
    <t>TX-102355</t>
  </si>
  <si>
    <t>TX-102356</t>
  </si>
  <si>
    <t>TX-102357</t>
  </si>
  <si>
    <t>TX-102358</t>
  </si>
  <si>
    <t>TX-102359</t>
  </si>
  <si>
    <t>TX-102360</t>
  </si>
  <si>
    <t>TX-102361</t>
  </si>
  <si>
    <t>TX-102362</t>
  </si>
  <si>
    <t>TX-102363</t>
  </si>
  <si>
    <t>TX-102364</t>
  </si>
  <si>
    <t>TX-102365</t>
  </si>
  <si>
    <t>TX-102366</t>
  </si>
  <si>
    <t>TX-102367</t>
  </si>
  <si>
    <t>TX-102368</t>
  </si>
  <si>
    <t>TX-102369</t>
  </si>
  <si>
    <t>TX-102370</t>
  </si>
  <si>
    <t>TX-102371</t>
  </si>
  <si>
    <t>TX-102372</t>
  </si>
  <si>
    <t>TX-102373</t>
  </si>
  <si>
    <t>TX-102374</t>
  </si>
  <si>
    <t>TX-102375</t>
  </si>
  <si>
    <t>TX-102376</t>
  </si>
  <si>
    <t>TX-102377</t>
  </si>
  <si>
    <t>TX-102378</t>
  </si>
  <si>
    <t>TX-102379</t>
  </si>
  <si>
    <t>TX-102380</t>
  </si>
  <si>
    <t>TX-102381</t>
  </si>
  <si>
    <t>TX-102382</t>
  </si>
  <si>
    <t>TX-102383</t>
  </si>
  <si>
    <t>TX-102384</t>
  </si>
  <si>
    <t>TX-102385</t>
  </si>
  <si>
    <t>TX-102386</t>
  </si>
  <si>
    <t>TX-102387</t>
  </si>
  <si>
    <t>TX-102388</t>
  </si>
  <si>
    <t>TX-102389</t>
  </si>
  <si>
    <t>TX-102390</t>
  </si>
  <si>
    <t>TX-102391</t>
  </si>
  <si>
    <t>TX-102392</t>
  </si>
  <si>
    <t>TX-102393</t>
  </si>
  <si>
    <t>TX-102394</t>
  </si>
  <si>
    <t>TX-102395</t>
  </si>
  <si>
    <t>TX-102396</t>
  </si>
  <si>
    <t>TX-102397</t>
  </si>
  <si>
    <t>TX-102398</t>
  </si>
  <si>
    <t>TX-102399</t>
  </si>
  <si>
    <t>TX-102400</t>
  </si>
  <si>
    <t>TX-102401</t>
  </si>
  <si>
    <t>TX-102402</t>
  </si>
  <si>
    <t>TX-102403</t>
  </si>
  <si>
    <t>TX-102404</t>
  </si>
  <si>
    <t>TX-102405</t>
  </si>
  <si>
    <t>TX-102406</t>
  </si>
  <si>
    <t>TX-102407</t>
  </si>
  <si>
    <t>TX-102408</t>
  </si>
  <si>
    <t>TX-102409</t>
  </si>
  <si>
    <t>TX-102410</t>
  </si>
  <si>
    <t>TX-102411</t>
  </si>
  <si>
    <t>TX-102412</t>
  </si>
  <si>
    <t>TX-102413</t>
  </si>
  <si>
    <t>TX-102414</t>
  </si>
  <si>
    <t>TX-102415</t>
  </si>
  <si>
    <t>TX-102416</t>
  </si>
  <si>
    <t>TX-102417</t>
  </si>
  <si>
    <t>TX-102418</t>
  </si>
  <si>
    <t>TX-102419</t>
  </si>
  <si>
    <t>TX-102420</t>
  </si>
  <si>
    <t>TX-102421</t>
  </si>
  <si>
    <t>TX-102422</t>
  </si>
  <si>
    <t>TX-102423</t>
  </si>
  <si>
    <t>TX-102424</t>
  </si>
  <si>
    <t>TX-102425</t>
  </si>
  <si>
    <t>TX-102426</t>
  </si>
  <si>
    <t>TX-102427</t>
  </si>
  <si>
    <t>TX-102428</t>
  </si>
  <si>
    <t>TX-102429</t>
  </si>
  <si>
    <t>TX-102430</t>
  </si>
  <si>
    <t>TX-102431</t>
  </si>
  <si>
    <t>TX-102432</t>
  </si>
  <si>
    <t>TX-102433</t>
  </si>
  <si>
    <t>TX-102434</t>
  </si>
  <si>
    <t>TX-102435</t>
  </si>
  <si>
    <t>TX-102436</t>
  </si>
  <si>
    <t>TX-102437</t>
  </si>
  <si>
    <t>TX-102438</t>
  </si>
  <si>
    <t>TX-102439</t>
  </si>
  <si>
    <t>TX-102440</t>
  </si>
  <si>
    <t>TX-102441</t>
  </si>
  <si>
    <t>TX-102442</t>
  </si>
  <si>
    <t>TX-102443</t>
  </si>
  <si>
    <t>TX-102444</t>
  </si>
  <si>
    <t>TX-102445</t>
  </si>
  <si>
    <t>TX-102446</t>
  </si>
  <si>
    <t>TX-102447</t>
  </si>
  <si>
    <t>TX-102448</t>
  </si>
  <si>
    <t>TX-102449</t>
  </si>
  <si>
    <t>TX-102450</t>
  </si>
  <si>
    <t>TX-102451</t>
  </si>
  <si>
    <t>TX-102452</t>
  </si>
  <si>
    <t>TX-102453</t>
  </si>
  <si>
    <t>TX-102454</t>
  </si>
  <si>
    <t>TX-102455</t>
  </si>
  <si>
    <t>TX-102456</t>
  </si>
  <si>
    <t>TX-102457</t>
  </si>
  <si>
    <t>TX-102458</t>
  </si>
  <si>
    <t>TX-102459</t>
  </si>
  <si>
    <t>TX-102460</t>
  </si>
  <si>
    <t>TX-102461</t>
  </si>
  <si>
    <t>TX-102462</t>
  </si>
  <si>
    <t>TX-102463</t>
  </si>
  <si>
    <t>TX-102464</t>
  </si>
  <si>
    <t>TX-102465</t>
  </si>
  <si>
    <t>TX-102466</t>
  </si>
  <si>
    <t>TX-102467</t>
  </si>
  <si>
    <t>TX-102468</t>
  </si>
  <si>
    <t>TX-102469</t>
  </si>
  <si>
    <t>TX-102470</t>
  </si>
  <si>
    <t>TX-102471</t>
  </si>
  <si>
    <t>TX-102472</t>
  </si>
  <si>
    <t>TX-102473</t>
  </si>
  <si>
    <t>TX-102474</t>
  </si>
  <si>
    <t>TX-102475</t>
  </si>
  <si>
    <t>TX-102476</t>
  </si>
  <si>
    <t>TX-102477</t>
  </si>
  <si>
    <t>TX-102478</t>
  </si>
  <si>
    <t>TX-102479</t>
  </si>
  <si>
    <t>TX-102480</t>
  </si>
  <si>
    <t>TX-102481</t>
  </si>
  <si>
    <t>TX-102482</t>
  </si>
  <si>
    <t>TX-102483</t>
  </si>
  <si>
    <t>TX-102484</t>
  </si>
  <si>
    <t>TX-102485</t>
  </si>
  <si>
    <t>TX-102486</t>
  </si>
  <si>
    <t>TX-102487</t>
  </si>
  <si>
    <t>TX-102488</t>
  </si>
  <si>
    <t>TX-102489</t>
  </si>
  <si>
    <t>TX-102490</t>
  </si>
  <si>
    <t>TX-102491</t>
  </si>
  <si>
    <t>TX-102492</t>
  </si>
  <si>
    <t>TX-102493</t>
  </si>
  <si>
    <t>TX-102494</t>
  </si>
  <si>
    <t>TX-102495</t>
  </si>
  <si>
    <t>TX-102496</t>
  </si>
  <si>
    <t>TX-102497</t>
  </si>
  <si>
    <t>TX-102498</t>
  </si>
  <si>
    <t>TX-102499</t>
  </si>
  <si>
    <t>TX-102500</t>
  </si>
  <si>
    <t>TX-102501</t>
  </si>
  <si>
    <t>TX-102502</t>
  </si>
  <si>
    <t>TX-102503</t>
  </si>
  <si>
    <t>TX-102504</t>
  </si>
  <si>
    <t>TX-102505</t>
  </si>
  <si>
    <t>TX-102506</t>
  </si>
  <si>
    <t>TX-102507</t>
  </si>
  <si>
    <t>TX-102508</t>
  </si>
  <si>
    <t>TX-102509</t>
  </si>
  <si>
    <t>TX-102510</t>
  </si>
  <si>
    <t>TX-102511</t>
  </si>
  <si>
    <t>TX-102512</t>
  </si>
  <si>
    <t>TX-102513</t>
  </si>
  <si>
    <t>TX-102514</t>
  </si>
  <si>
    <t>TX-102515</t>
  </si>
  <si>
    <t>TX-102516</t>
  </si>
  <si>
    <t>TX-102517</t>
  </si>
  <si>
    <t>TX-102518</t>
  </si>
  <si>
    <t>TX-102519</t>
  </si>
  <si>
    <t>TX-102520</t>
  </si>
  <si>
    <t>TX-102521</t>
  </si>
  <si>
    <t>TX-102522</t>
  </si>
  <si>
    <t>TX-102523</t>
  </si>
  <si>
    <t>TX-102524</t>
  </si>
  <si>
    <t>TX-102525</t>
  </si>
  <si>
    <t>TX-102526</t>
  </si>
  <si>
    <t>TX-102527</t>
  </si>
  <si>
    <t>TX-102528</t>
  </si>
  <si>
    <t>TX-102529</t>
  </si>
  <si>
    <t>TX-102530</t>
  </si>
  <si>
    <t>TX-102531</t>
  </si>
  <si>
    <t>TX-102532</t>
  </si>
  <si>
    <t>TX-102533</t>
  </si>
  <si>
    <t>TX-102534</t>
  </si>
  <si>
    <t>TX-102535</t>
  </si>
  <si>
    <t>TX-102536</t>
  </si>
  <si>
    <t>TX-102537</t>
  </si>
  <si>
    <t>TX-102538</t>
  </si>
  <si>
    <t>TX-102539</t>
  </si>
  <si>
    <t>TX-102540</t>
  </si>
  <si>
    <t>TX-102541</t>
  </si>
  <si>
    <t>TX-102542</t>
  </si>
  <si>
    <t>TX-102543</t>
  </si>
  <si>
    <t>TX-102544</t>
  </si>
  <si>
    <t>TX-102545</t>
  </si>
  <si>
    <t>TX-102546</t>
  </si>
  <si>
    <t>TX-102547</t>
  </si>
  <si>
    <t>TX-102548</t>
  </si>
  <si>
    <t>TX-102549</t>
  </si>
  <si>
    <t>TX-102550</t>
  </si>
  <si>
    <t>TX-102551</t>
  </si>
  <si>
    <t>TX-102552</t>
  </si>
  <si>
    <t>TX-102553</t>
  </si>
  <si>
    <t>TX-102554</t>
  </si>
  <si>
    <t>TX-102555</t>
  </si>
  <si>
    <t>TX-102556</t>
  </si>
  <si>
    <t>TX-102557</t>
  </si>
  <si>
    <t>TX-102558</t>
  </si>
  <si>
    <t>TX-102559</t>
  </si>
  <si>
    <t>TX-102560</t>
  </si>
  <si>
    <t>TX-102561</t>
  </si>
  <si>
    <t>TX-102562</t>
  </si>
  <si>
    <t>TX-102563</t>
  </si>
  <si>
    <t>TX-102564</t>
  </si>
  <si>
    <t>TX-102565</t>
  </si>
  <si>
    <t>TX-102566</t>
  </si>
  <si>
    <t>TX-102567</t>
  </si>
  <si>
    <t>TX-102568</t>
  </si>
  <si>
    <t>TX-102569</t>
  </si>
  <si>
    <t>TX-102570</t>
  </si>
  <si>
    <t>TX-102571</t>
  </si>
  <si>
    <t>TX-102572</t>
  </si>
  <si>
    <t>TX-102573</t>
  </si>
  <si>
    <t>TX-102574</t>
  </si>
  <si>
    <t>TX-102575</t>
  </si>
  <si>
    <t>TX-102576</t>
  </si>
  <si>
    <t>TX-102577</t>
  </si>
  <si>
    <t>TX-102578</t>
  </si>
  <si>
    <t>TX-102579</t>
  </si>
  <si>
    <t>TX-102580</t>
  </si>
  <si>
    <t>TX-102581</t>
  </si>
  <si>
    <t>TX-102582</t>
  </si>
  <si>
    <t>TX-102583</t>
  </si>
  <si>
    <t>TX-102584</t>
  </si>
  <si>
    <t>TX-102585</t>
  </si>
  <si>
    <t>TX-102586</t>
  </si>
  <si>
    <t>TX-102587</t>
  </si>
  <si>
    <t>TX-102588</t>
  </si>
  <si>
    <t>TX-102589</t>
  </si>
  <si>
    <t>TX-102590</t>
  </si>
  <si>
    <t>TX-102591</t>
  </si>
  <si>
    <t>TX-102592</t>
  </si>
  <si>
    <t>TX-102593</t>
  </si>
  <si>
    <t>TX-102594</t>
  </si>
  <si>
    <t>TX-102595</t>
  </si>
  <si>
    <t>TX-102596</t>
  </si>
  <si>
    <t>TX-102597</t>
  </si>
  <si>
    <t>TX-102598</t>
  </si>
  <si>
    <t>TX-102599</t>
  </si>
  <si>
    <t>TX-102600</t>
  </si>
  <si>
    <t>TX-102601</t>
  </si>
  <si>
    <t>TX-102602</t>
  </si>
  <si>
    <t>TX-102603</t>
  </si>
  <si>
    <t>TX-102604</t>
  </si>
  <si>
    <t>TX-102605</t>
  </si>
  <si>
    <t>TX-102606</t>
  </si>
  <si>
    <t>TX-102607</t>
  </si>
  <si>
    <t>TX-102608</t>
  </si>
  <si>
    <t>TX-102609</t>
  </si>
  <si>
    <t>TX-102610</t>
  </si>
  <si>
    <t>TX-102611</t>
  </si>
  <si>
    <t>TX-102612</t>
  </si>
  <si>
    <t>TX-102613</t>
  </si>
  <si>
    <t>TX-102614</t>
  </si>
  <si>
    <t>TX-102615</t>
  </si>
  <si>
    <t>TX-102616</t>
  </si>
  <si>
    <t>TX-102617</t>
  </si>
  <si>
    <t>TX-102618</t>
  </si>
  <si>
    <t>TX-102619</t>
  </si>
  <si>
    <t>TX-102620</t>
  </si>
  <si>
    <t>TX-102621</t>
  </si>
  <si>
    <t>TX-102622</t>
  </si>
  <si>
    <t>TX-102623</t>
  </si>
  <si>
    <t>TX-102624</t>
  </si>
  <si>
    <t>TX-102625</t>
  </si>
  <si>
    <t>TX-102626</t>
  </si>
  <si>
    <t>TX-102627</t>
  </si>
  <si>
    <t>TX-102628</t>
  </si>
  <si>
    <t>TX-102629</t>
  </si>
  <si>
    <t>TX-102630</t>
  </si>
  <si>
    <t>TX-102631</t>
  </si>
  <si>
    <t>TX-102632</t>
  </si>
  <si>
    <t>TX-102633</t>
  </si>
  <si>
    <t>TX-102634</t>
  </si>
  <si>
    <t>TX-102635</t>
  </si>
  <si>
    <t>TX-102636</t>
  </si>
  <si>
    <t>TX-102637</t>
  </si>
  <si>
    <t>TX-102638</t>
  </si>
  <si>
    <t>TX-102639</t>
  </si>
  <si>
    <t>TX-102640</t>
  </si>
  <si>
    <t>TX-102641</t>
  </si>
  <si>
    <t>TX-102642</t>
  </si>
  <si>
    <t>TX-102643</t>
  </si>
  <si>
    <t>TX-102644</t>
  </si>
  <si>
    <t>TX-102645</t>
  </si>
  <si>
    <t>TX-102646</t>
  </si>
  <si>
    <t>TX-102647</t>
  </si>
  <si>
    <t>TX-102648</t>
  </si>
  <si>
    <t>TX-102649</t>
  </si>
  <si>
    <t>TX-102650</t>
  </si>
  <si>
    <t>TX-102651</t>
  </si>
  <si>
    <t>TX-102652</t>
  </si>
  <si>
    <t>TX-102653</t>
  </si>
  <si>
    <t>TX-102654</t>
  </si>
  <si>
    <t>TX-102655</t>
  </si>
  <si>
    <t>TX-102656</t>
  </si>
  <si>
    <t>TX-102657</t>
  </si>
  <si>
    <t>TX-102658</t>
  </si>
  <si>
    <t>TX-102659</t>
  </si>
  <si>
    <t>TX-102660</t>
  </si>
  <si>
    <t>TX-102661</t>
  </si>
  <si>
    <t>TX-102662</t>
  </si>
  <si>
    <t>TX-102663</t>
  </si>
  <si>
    <t>TX-102664</t>
  </si>
  <si>
    <t>TX-102665</t>
  </si>
  <si>
    <t>TX-102666</t>
  </si>
  <si>
    <t>TX-102667</t>
  </si>
  <si>
    <t>TX-102668</t>
  </si>
  <si>
    <t>TX-102669</t>
  </si>
  <si>
    <t>TX-102670</t>
  </si>
  <si>
    <t>TX-102671</t>
  </si>
  <si>
    <t>TX-102672</t>
  </si>
  <si>
    <t>TX-102673</t>
  </si>
  <si>
    <t>TX-102674</t>
  </si>
  <si>
    <t>TX-102675</t>
  </si>
  <si>
    <t>TX-102676</t>
  </si>
  <si>
    <t>TX-102677</t>
  </si>
  <si>
    <t>TX-102678</t>
  </si>
  <si>
    <t>TX-102679</t>
  </si>
  <si>
    <t>TX-102680</t>
  </si>
  <si>
    <t>TX-102681</t>
  </si>
  <si>
    <t>TX-102682</t>
  </si>
  <si>
    <t>TX-102683</t>
  </si>
  <si>
    <t>TX-102684</t>
  </si>
  <si>
    <t>TX-102685</t>
  </si>
  <si>
    <t>TX-102686</t>
  </si>
  <si>
    <t>TX-102687</t>
  </si>
  <si>
    <t>TX-102688</t>
  </si>
  <si>
    <t>TX-102689</t>
  </si>
  <si>
    <t>TX-102690</t>
  </si>
  <si>
    <t>TX-102691</t>
  </si>
  <si>
    <t>TX-102692</t>
  </si>
  <si>
    <t>TX-102693</t>
  </si>
  <si>
    <t>TX-102694</t>
  </si>
  <si>
    <t>TX-102695</t>
  </si>
  <si>
    <t>TX-102696</t>
  </si>
  <si>
    <t>TX-102697</t>
  </si>
  <si>
    <t>TX-102698</t>
  </si>
  <si>
    <t>TX-102699</t>
  </si>
  <si>
    <t>TX-102700</t>
  </si>
  <si>
    <t>TX-102701</t>
  </si>
  <si>
    <t>TX-102702</t>
  </si>
  <si>
    <t>TX-102703</t>
  </si>
  <si>
    <t>TX-102704</t>
  </si>
  <si>
    <t>TX-102705</t>
  </si>
  <si>
    <t>TX-102706</t>
  </si>
  <si>
    <t>TX-102707</t>
  </si>
  <si>
    <t>TX-102708</t>
  </si>
  <si>
    <t>TX-102709</t>
  </si>
  <si>
    <t>TX-102710</t>
  </si>
  <si>
    <t>TX-102711</t>
  </si>
  <si>
    <t>TX-102712</t>
  </si>
  <si>
    <t>TX-102713</t>
  </si>
  <si>
    <t>TX-102714</t>
  </si>
  <si>
    <t>TX-102715</t>
  </si>
  <si>
    <t>TX-102716</t>
  </si>
  <si>
    <t>TX-102717</t>
  </si>
  <si>
    <t>TX-102718</t>
  </si>
  <si>
    <t>TX-102719</t>
  </si>
  <si>
    <t>TX-102720</t>
  </si>
  <si>
    <t>TX-102721</t>
  </si>
  <si>
    <t>TX-102722</t>
  </si>
  <si>
    <t>TX-102723</t>
  </si>
  <si>
    <t>TX-102724</t>
  </si>
  <si>
    <t>TX-102725</t>
  </si>
  <si>
    <t>TX-102726</t>
  </si>
  <si>
    <t>TX-102727</t>
  </si>
  <si>
    <t>TX-102728</t>
  </si>
  <si>
    <t>TX-102729</t>
  </si>
  <si>
    <t>TX-102730</t>
  </si>
  <si>
    <t>TX-102731</t>
  </si>
  <si>
    <t>TX-102732</t>
  </si>
  <si>
    <t>TX-102733</t>
  </si>
  <si>
    <t>TX-102734</t>
  </si>
  <si>
    <t>TX-102735</t>
  </si>
  <si>
    <t>TX-102736</t>
  </si>
  <si>
    <t>TX-102737</t>
  </si>
  <si>
    <t>TX-102738</t>
  </si>
  <si>
    <t>TX-102739</t>
  </si>
  <si>
    <t>TX-102740</t>
  </si>
  <si>
    <t>TX-102741</t>
  </si>
  <si>
    <t>TX-102742</t>
  </si>
  <si>
    <t>TX-102743</t>
  </si>
  <si>
    <t>TX-102744</t>
  </si>
  <si>
    <t>TX-102745</t>
  </si>
  <si>
    <t>TX-102746</t>
  </si>
  <si>
    <t>TX-102747</t>
  </si>
  <si>
    <t>TX-102748</t>
  </si>
  <si>
    <t>TX-102749</t>
  </si>
  <si>
    <t>TX-102750</t>
  </si>
  <si>
    <t>TX-102751</t>
  </si>
  <si>
    <t>TX-102752</t>
  </si>
  <si>
    <t>TX-102753</t>
  </si>
  <si>
    <t>TX-102754</t>
  </si>
  <si>
    <t>TX-102755</t>
  </si>
  <si>
    <t>TX-102756</t>
  </si>
  <si>
    <t>TX-102757</t>
  </si>
  <si>
    <t>TX-102758</t>
  </si>
  <si>
    <t>TX-102759</t>
  </si>
  <si>
    <t>TX-102760</t>
  </si>
  <si>
    <t>TX-102761</t>
  </si>
  <si>
    <t>TX-102762</t>
  </si>
  <si>
    <t>TX-102763</t>
  </si>
  <si>
    <t>TX-102764</t>
  </si>
  <si>
    <t>TX-102765</t>
  </si>
  <si>
    <t>TX-102766</t>
  </si>
  <si>
    <t>TX-102767</t>
  </si>
  <si>
    <t>TX-102768</t>
  </si>
  <si>
    <t>TX-102769</t>
  </si>
  <si>
    <t>TX-102770</t>
  </si>
  <si>
    <t>TX-102771</t>
  </si>
  <si>
    <t>TX-102772</t>
  </si>
  <si>
    <t>TX-102773</t>
  </si>
  <si>
    <t>TX-102774</t>
  </si>
  <si>
    <t>TX-102775</t>
  </si>
  <si>
    <t>TX-102776</t>
  </si>
  <si>
    <t>TX-102777</t>
  </si>
  <si>
    <t>TX-102778</t>
  </si>
  <si>
    <t>TX-102779</t>
  </si>
  <si>
    <t>TX-102780</t>
  </si>
  <si>
    <t>TX-102781</t>
  </si>
  <si>
    <t>TX-102782</t>
  </si>
  <si>
    <t>TX-102783</t>
  </si>
  <si>
    <t>TX-102784</t>
  </si>
  <si>
    <t>TX-102785</t>
  </si>
  <si>
    <t>TX-102786</t>
  </si>
  <si>
    <t>TX-102787</t>
  </si>
  <si>
    <t>TX-102788</t>
  </si>
  <si>
    <t>TX-102789</t>
  </si>
  <si>
    <t>TX-102790</t>
  </si>
  <si>
    <t>TX-102791</t>
  </si>
  <si>
    <t>TX-102792</t>
  </si>
  <si>
    <t>TX-102793</t>
  </si>
  <si>
    <t>TX-102794</t>
  </si>
  <si>
    <t>TX-102795</t>
  </si>
  <si>
    <t>TX-102796</t>
  </si>
  <si>
    <t>TX-102797</t>
  </si>
  <si>
    <t>TX-102798</t>
  </si>
  <si>
    <t>TX-102799</t>
  </si>
  <si>
    <t>TX-102800</t>
  </si>
  <si>
    <t>TX-102801</t>
  </si>
  <si>
    <t>TX-102802</t>
  </si>
  <si>
    <t>TX-102803</t>
  </si>
  <si>
    <t>TX-102804</t>
  </si>
  <si>
    <t>TX-102805</t>
  </si>
  <si>
    <t>TX-102806</t>
  </si>
  <si>
    <t>TX-102807</t>
  </si>
  <si>
    <t>TX-102808</t>
  </si>
  <si>
    <t>TX-102809</t>
  </si>
  <si>
    <t>TX-102810</t>
  </si>
  <si>
    <t>TX-102811</t>
  </si>
  <si>
    <t>TX-102812</t>
  </si>
  <si>
    <t>TX-102813</t>
  </si>
  <si>
    <t>TX-102814</t>
  </si>
  <si>
    <t>TX-102815</t>
  </si>
  <si>
    <t>TX-102816</t>
  </si>
  <si>
    <t>TX-102817</t>
  </si>
  <si>
    <t>TX-102818</t>
  </si>
  <si>
    <t>TX-102819</t>
  </si>
  <si>
    <t>TX-102820</t>
  </si>
  <si>
    <t>TX-102821</t>
  </si>
  <si>
    <t>TX-102822</t>
  </si>
  <si>
    <t>TX-102823</t>
  </si>
  <si>
    <t>TX-102824</t>
  </si>
  <si>
    <t>TX-102825</t>
  </si>
  <si>
    <t>TX-102826</t>
  </si>
  <si>
    <t>TX-102827</t>
  </si>
  <si>
    <t>TX-102828</t>
  </si>
  <si>
    <t>TX-102829</t>
  </si>
  <si>
    <t>TX-102830</t>
  </si>
  <si>
    <t>TX-102831</t>
  </si>
  <si>
    <t>TX-102832</t>
  </si>
  <si>
    <t>TX-102833</t>
  </si>
  <si>
    <t>TX-102834</t>
  </si>
  <si>
    <t>TX-102835</t>
  </si>
  <si>
    <t>TX-102836</t>
  </si>
  <si>
    <t>TX-102837</t>
  </si>
  <si>
    <t>TX-102838</t>
  </si>
  <si>
    <t>TX-102839</t>
  </si>
  <si>
    <t>TX-102840</t>
  </si>
  <si>
    <t>TX-102841</t>
  </si>
  <si>
    <t>TX-102842</t>
  </si>
  <si>
    <t>TX-102843</t>
  </si>
  <si>
    <t>TX-102844</t>
  </si>
  <si>
    <t>TX-102845</t>
  </si>
  <si>
    <t>TX-102846</t>
  </si>
  <si>
    <t>TX-102847</t>
  </si>
  <si>
    <t>TX-102848</t>
  </si>
  <si>
    <t>TX-102849</t>
  </si>
  <si>
    <t>TX-102850</t>
  </si>
  <si>
    <t>TX-102851</t>
  </si>
  <si>
    <t>TX-102852</t>
  </si>
  <si>
    <t>TX-102853</t>
  </si>
  <si>
    <t>TX-102854</t>
  </si>
  <si>
    <t>TX-102855</t>
  </si>
  <si>
    <t>TX-102856</t>
  </si>
  <si>
    <t>TX-102857</t>
  </si>
  <si>
    <t>TX-102858</t>
  </si>
  <si>
    <t>TX-102859</t>
  </si>
  <si>
    <t>TX-102860</t>
  </si>
  <si>
    <t>TX-102861</t>
  </si>
  <si>
    <t>TX-102862</t>
  </si>
  <si>
    <t>TX-102863</t>
  </si>
  <si>
    <t>TX-102864</t>
  </si>
  <si>
    <t>TX-102865</t>
  </si>
  <si>
    <t>TX-102866</t>
  </si>
  <si>
    <t>TX-102867</t>
  </si>
  <si>
    <t>TX-102868</t>
  </si>
  <si>
    <t>TX-102869</t>
  </si>
  <si>
    <t>TX-102870</t>
  </si>
  <si>
    <t>TX-102871</t>
  </si>
  <si>
    <t>TX-102872</t>
  </si>
  <si>
    <t>TX-102873</t>
  </si>
  <si>
    <t>TX-102874</t>
  </si>
  <si>
    <t>TX-102875</t>
  </si>
  <si>
    <t>TX-102876</t>
  </si>
  <si>
    <t>TX-102877</t>
  </si>
  <si>
    <t>TX-102878</t>
  </si>
  <si>
    <t>TX-102879</t>
  </si>
  <si>
    <t>TX-102880</t>
  </si>
  <si>
    <t>TX-102881</t>
  </si>
  <si>
    <t>TX-102882</t>
  </si>
  <si>
    <t>TX-102883</t>
  </si>
  <si>
    <t>TX-102884</t>
  </si>
  <si>
    <t>TX-102885</t>
  </si>
  <si>
    <t>TX-102886</t>
  </si>
  <si>
    <t>TX-102887</t>
  </si>
  <si>
    <t>TX-102888</t>
  </si>
  <si>
    <t>TX-102889</t>
  </si>
  <si>
    <t>TX-102890</t>
  </si>
  <si>
    <t>TX-102891</t>
  </si>
  <si>
    <t>TX-102892</t>
  </si>
  <si>
    <t>TX-102893</t>
  </si>
  <si>
    <t>TX-102894</t>
  </si>
  <si>
    <t>TX-102895</t>
  </si>
  <si>
    <t>TX-102896</t>
  </si>
  <si>
    <t>TX-102897</t>
  </si>
  <si>
    <t>TX-102898</t>
  </si>
  <si>
    <t>TX-102899</t>
  </si>
  <si>
    <t>TX-102900</t>
  </si>
  <si>
    <t>TX-102901</t>
  </si>
  <si>
    <t>TX-102902</t>
  </si>
  <si>
    <t>TX-102903</t>
  </si>
  <si>
    <t>TX-102904</t>
  </si>
  <si>
    <t>TX-102905</t>
  </si>
  <si>
    <t>TX-102906</t>
  </si>
  <si>
    <t>TX-102907</t>
  </si>
  <si>
    <t>TX-102908</t>
  </si>
  <si>
    <t>TX-102909</t>
  </si>
  <si>
    <t>TX-102910</t>
  </si>
  <si>
    <t>TX-102911</t>
  </si>
  <si>
    <t>TX-102912</t>
  </si>
  <si>
    <t>TX-102913</t>
  </si>
  <si>
    <t>TX-102914</t>
  </si>
  <si>
    <t>TX-102915</t>
  </si>
  <si>
    <t>TX-102916</t>
  </si>
  <si>
    <t>TX-102917</t>
  </si>
  <si>
    <t>TX-102918</t>
  </si>
  <si>
    <t>TX-102919</t>
  </si>
  <si>
    <t>TX-102920</t>
  </si>
  <si>
    <t>TX-102921</t>
  </si>
  <si>
    <t>TX-102922</t>
  </si>
  <si>
    <t>TX-102923</t>
  </si>
  <si>
    <t>TX-102924</t>
  </si>
  <si>
    <t>TX-102925</t>
  </si>
  <si>
    <t>TX-102926</t>
  </si>
  <si>
    <t>TX-102927</t>
  </si>
  <si>
    <t>TX-102928</t>
  </si>
  <si>
    <t>TX-102929</t>
  </si>
  <si>
    <t>TX-102930</t>
  </si>
  <si>
    <t>TX-102931</t>
  </si>
  <si>
    <t>TX-102932</t>
  </si>
  <si>
    <t>TX-102933</t>
  </si>
  <si>
    <t>TX-102934</t>
  </si>
  <si>
    <t>TX-102935</t>
  </si>
  <si>
    <t>TX-102936</t>
  </si>
  <si>
    <t>TX-102937</t>
  </si>
  <si>
    <t>TX-102938</t>
  </si>
  <si>
    <t>TX-102939</t>
  </si>
  <si>
    <t>TX-102940</t>
  </si>
  <si>
    <t>TX-102941</t>
  </si>
  <si>
    <t>TX-102942</t>
  </si>
  <si>
    <t>TX-102943</t>
  </si>
  <si>
    <t>TX-102944</t>
  </si>
  <si>
    <t>TX-102945</t>
  </si>
  <si>
    <t>TX-102946</t>
  </si>
  <si>
    <t>TX-102947</t>
  </si>
  <si>
    <t>TX-102948</t>
  </si>
  <si>
    <t>TX-102949</t>
  </si>
  <si>
    <t>TX-102950</t>
  </si>
  <si>
    <t>TX-102951</t>
  </si>
  <si>
    <t>TX-102952</t>
  </si>
  <si>
    <t>TX-102953</t>
  </si>
  <si>
    <t>TX-102954</t>
  </si>
  <si>
    <t>TX-102955</t>
  </si>
  <si>
    <t>TX-102956</t>
  </si>
  <si>
    <t>TX-102957</t>
  </si>
  <si>
    <t>TX-102958</t>
  </si>
  <si>
    <t>TX-102959</t>
  </si>
  <si>
    <t>TX-102960</t>
  </si>
  <si>
    <t>TX-102961</t>
  </si>
  <si>
    <t>TX-102962</t>
  </si>
  <si>
    <t>TX-102963</t>
  </si>
  <si>
    <t>TX-102964</t>
  </si>
  <si>
    <t>TX-102965</t>
  </si>
  <si>
    <t>TX-102966</t>
  </si>
  <si>
    <t>TX-102967</t>
  </si>
  <si>
    <t>TX-102968</t>
  </si>
  <si>
    <t>TX-102969</t>
  </si>
  <si>
    <t>TX-102970</t>
  </si>
  <si>
    <t>TX-102971</t>
  </si>
  <si>
    <t>TX-102972</t>
  </si>
  <si>
    <t>TX-102973</t>
  </si>
  <si>
    <t>TX-102974</t>
  </si>
  <si>
    <t>TX-102975</t>
  </si>
  <si>
    <t>TX-102976</t>
  </si>
  <si>
    <t>TX-102977</t>
  </si>
  <si>
    <t>TX-102978</t>
  </si>
  <si>
    <t>TX-102979</t>
  </si>
  <si>
    <t>TX-102980</t>
  </si>
  <si>
    <t>TX-102981</t>
  </si>
  <si>
    <t>TX-102982</t>
  </si>
  <si>
    <t>TX-102983</t>
  </si>
  <si>
    <t>TX-102984</t>
  </si>
  <si>
    <t>TX-102985</t>
  </si>
  <si>
    <t>TX-102986</t>
  </si>
  <si>
    <t>TX-102987</t>
  </si>
  <si>
    <t>TX-102988</t>
  </si>
  <si>
    <t>TX-102989</t>
  </si>
  <si>
    <t>TX-102990</t>
  </si>
  <si>
    <t>TX-102991</t>
  </si>
  <si>
    <t>TX-102992</t>
  </si>
  <si>
    <t>TX-102993</t>
  </si>
  <si>
    <t>TX-102994</t>
  </si>
  <si>
    <t>TX-102995</t>
  </si>
  <si>
    <t>TX-102996</t>
  </si>
  <si>
    <t>TX-102997</t>
  </si>
  <si>
    <t>TX-102998</t>
  </si>
  <si>
    <t>TX-102999</t>
  </si>
  <si>
    <t>TX-103000</t>
  </si>
  <si>
    <t>TX-103001</t>
  </si>
  <si>
    <t>TX-103002</t>
  </si>
  <si>
    <t>TX-103003</t>
  </si>
  <si>
    <t>TX-103004</t>
  </si>
  <si>
    <t>TX-103005</t>
  </si>
  <si>
    <t>TX-103006</t>
  </si>
  <si>
    <t>TX-103007</t>
  </si>
  <si>
    <t>TX-103008</t>
  </si>
  <si>
    <t>TX-103009</t>
  </si>
  <si>
    <t>TX-103010</t>
  </si>
  <si>
    <t>TX-103011</t>
  </si>
  <si>
    <t>TX-103012</t>
  </si>
  <si>
    <t>TX-103013</t>
  </si>
  <si>
    <t>TX-103014</t>
  </si>
  <si>
    <t>TX-103015</t>
  </si>
  <si>
    <t>TX-103016</t>
  </si>
  <si>
    <t>TX-103017</t>
  </si>
  <si>
    <t>TX-103018</t>
  </si>
  <si>
    <t>TX-103019</t>
  </si>
  <si>
    <t>TX-103020</t>
  </si>
  <si>
    <t>TX-103021</t>
  </si>
  <si>
    <t>TX-103022</t>
  </si>
  <si>
    <t>TX-103023</t>
  </si>
  <si>
    <t>TX-103024</t>
  </si>
  <si>
    <t>TX-103025</t>
  </si>
  <si>
    <t>TX-103026</t>
  </si>
  <si>
    <t>TX-103027</t>
  </si>
  <si>
    <t>TX-103028</t>
  </si>
  <si>
    <t>TX-103029</t>
  </si>
  <si>
    <t>TX-103030</t>
  </si>
  <si>
    <t>TX-103031</t>
  </si>
  <si>
    <t>TX-103032</t>
  </si>
  <si>
    <t>TX-103033</t>
  </si>
  <si>
    <t>TX-103034</t>
  </si>
  <si>
    <t>TX-103035</t>
  </si>
  <si>
    <t>TX-103036</t>
  </si>
  <si>
    <t>TX-103037</t>
  </si>
  <si>
    <t>TX-103038</t>
  </si>
  <si>
    <t>TX-103039</t>
  </si>
  <si>
    <t>TX-103040</t>
  </si>
  <si>
    <t>TX-103041</t>
  </si>
  <si>
    <t>TX-103042</t>
  </si>
  <si>
    <t>TX-103043</t>
  </si>
  <si>
    <t>TX-103044</t>
  </si>
  <si>
    <t>TX-103045</t>
  </si>
  <si>
    <t>TX-103046</t>
  </si>
  <si>
    <t>TX-103047</t>
  </si>
  <si>
    <t>TX-103048</t>
  </si>
  <si>
    <t>TX-103049</t>
  </si>
  <si>
    <t>TX-103050</t>
  </si>
  <si>
    <t>TX-103051</t>
  </si>
  <si>
    <t>TX-103052</t>
  </si>
  <si>
    <t>TX-103053</t>
  </si>
  <si>
    <t>TX-103054</t>
  </si>
  <si>
    <t>TX-103055</t>
  </si>
  <si>
    <t>TX-103056</t>
  </si>
  <si>
    <t>TX-103057</t>
  </si>
  <si>
    <t>TX-103058</t>
  </si>
  <si>
    <t>TX-103059</t>
  </si>
  <si>
    <t>TX-103060</t>
  </si>
  <si>
    <t>TX-103061</t>
  </si>
  <si>
    <t>TX-103062</t>
  </si>
  <si>
    <t>TX-103063</t>
  </si>
  <si>
    <t>TX-103064</t>
  </si>
  <si>
    <t>TX-103065</t>
  </si>
  <si>
    <t>TX-103066</t>
  </si>
  <si>
    <t>TX-103067</t>
  </si>
  <si>
    <t>TX-103068</t>
  </si>
  <si>
    <t>TX-103069</t>
  </si>
  <si>
    <t>TX-103070</t>
  </si>
  <si>
    <t>TX-103071</t>
  </si>
  <si>
    <t>TX-103072</t>
  </si>
  <si>
    <t>TX-103073</t>
  </si>
  <si>
    <t>TX-103074</t>
  </si>
  <si>
    <t>TX-103075</t>
  </si>
  <si>
    <t>TX-103076</t>
  </si>
  <si>
    <t>TX-103077</t>
  </si>
  <si>
    <t>TX-103078</t>
  </si>
  <si>
    <t>TX-103079</t>
  </si>
  <si>
    <t>TX-103080</t>
  </si>
  <si>
    <t>TX-103081</t>
  </si>
  <si>
    <t>TX-103082</t>
  </si>
  <si>
    <t>TX-103083</t>
  </si>
  <si>
    <t>TX-103084</t>
  </si>
  <si>
    <t>TX-103085</t>
  </si>
  <si>
    <t>TX-103086</t>
  </si>
  <si>
    <t>TX-103087</t>
  </si>
  <si>
    <t>TX-103088</t>
  </si>
  <si>
    <t>TX-103089</t>
  </si>
  <si>
    <t>TX-103090</t>
  </si>
  <si>
    <t>TX-103091</t>
  </si>
  <si>
    <t>TX-103092</t>
  </si>
  <si>
    <t>TX-103093</t>
  </si>
  <si>
    <t>TX-103094</t>
  </si>
  <si>
    <t>TX-103095</t>
  </si>
  <si>
    <t>TX-103096</t>
  </si>
  <si>
    <t>TX-103097</t>
  </si>
  <si>
    <t>TX-103098</t>
  </si>
  <si>
    <t>TX-103099</t>
  </si>
  <si>
    <t>TX-103100</t>
  </si>
  <si>
    <t>TX-103101</t>
  </si>
  <si>
    <t>TX-103102</t>
  </si>
  <si>
    <t>TX-103103</t>
  </si>
  <si>
    <t>TX-103104</t>
  </si>
  <si>
    <t>TX-103105</t>
  </si>
  <si>
    <t>TX-103106</t>
  </si>
  <si>
    <t>TX-103107</t>
  </si>
  <si>
    <t>TX-103108</t>
  </si>
  <si>
    <t>TX-103109</t>
  </si>
  <si>
    <t>TX-103110</t>
  </si>
  <si>
    <t>TX-103111</t>
  </si>
  <si>
    <t>TX-103112</t>
  </si>
  <si>
    <t>TX-103113</t>
  </si>
  <si>
    <t>TX-103114</t>
  </si>
  <si>
    <t>TX-103115</t>
  </si>
  <si>
    <t>TX-103116</t>
  </si>
  <si>
    <t>TX-103117</t>
  </si>
  <si>
    <t>TX-103118</t>
  </si>
  <si>
    <t>TX-103119</t>
  </si>
  <si>
    <t>TX-103120</t>
  </si>
  <si>
    <t>TX-103121</t>
  </si>
  <si>
    <t>TX-103122</t>
  </si>
  <si>
    <t>TX-103123</t>
  </si>
  <si>
    <t>TX-103124</t>
  </si>
  <si>
    <t>TX-103125</t>
  </si>
  <si>
    <t>TX-103126</t>
  </si>
  <si>
    <t>TX-103127</t>
  </si>
  <si>
    <t>TX-103128</t>
  </si>
  <si>
    <t>TX-103129</t>
  </si>
  <si>
    <t>TX-103130</t>
  </si>
  <si>
    <t>TX-103131</t>
  </si>
  <si>
    <t>TX-103132</t>
  </si>
  <si>
    <t>TX-103133</t>
  </si>
  <si>
    <t>TX-103134</t>
  </si>
  <si>
    <t>TX-103135</t>
  </si>
  <si>
    <t>TX-103136</t>
  </si>
  <si>
    <t>TX-103137</t>
  </si>
  <si>
    <t>TX-103138</t>
  </si>
  <si>
    <t>TX-103139</t>
  </si>
  <si>
    <t>TX-103140</t>
  </si>
  <si>
    <t>TX-103141</t>
  </si>
  <si>
    <t>TX-103142</t>
  </si>
  <si>
    <t>TX-103143</t>
  </si>
  <si>
    <t>TX-103144</t>
  </si>
  <si>
    <t>TX-103145</t>
  </si>
  <si>
    <t>TX-103146</t>
  </si>
  <si>
    <t>TX-103147</t>
  </si>
  <si>
    <t>TX-103148</t>
  </si>
  <si>
    <t>TX-103149</t>
  </si>
  <si>
    <t>TX-103150</t>
  </si>
  <si>
    <t>TX-103151</t>
  </si>
  <si>
    <t>TX-103152</t>
  </si>
  <si>
    <t>TX-103153</t>
  </si>
  <si>
    <t>TX-103154</t>
  </si>
  <si>
    <t>TX-103155</t>
  </si>
  <si>
    <t>TX-103156</t>
  </si>
  <si>
    <t>TX-103157</t>
  </si>
  <si>
    <t>TX-103158</t>
  </si>
  <si>
    <t>TX-103159</t>
  </si>
  <si>
    <t>TX-103160</t>
  </si>
  <si>
    <t>TX-103161</t>
  </si>
  <si>
    <t>TX-103162</t>
  </si>
  <si>
    <t>TX-103163</t>
  </si>
  <si>
    <t>TX-103164</t>
  </si>
  <si>
    <t>TX-103165</t>
  </si>
  <si>
    <t>TX-103166</t>
  </si>
  <si>
    <t>TX-103167</t>
  </si>
  <si>
    <t>TX-103168</t>
  </si>
  <si>
    <t>TX-103169</t>
  </si>
  <si>
    <t>TX-103170</t>
  </si>
  <si>
    <t>TX-103171</t>
  </si>
  <si>
    <t>TX-103172</t>
  </si>
  <si>
    <t>TX-103173</t>
  </si>
  <si>
    <t>TX-103174</t>
  </si>
  <si>
    <t>TX-103175</t>
  </si>
  <si>
    <t>TX-103176</t>
  </si>
  <si>
    <t>TX-103177</t>
  </si>
  <si>
    <t>TX-103178</t>
  </si>
  <si>
    <t>TX-103179</t>
  </si>
  <si>
    <t>TX-103180</t>
  </si>
  <si>
    <t>TX-103181</t>
  </si>
  <si>
    <t>TX-103182</t>
  </si>
  <si>
    <t>TX-103183</t>
  </si>
  <si>
    <t>TX-103184</t>
  </si>
  <si>
    <t>TX-103185</t>
  </si>
  <si>
    <t>TX-103186</t>
  </si>
  <si>
    <t>TX-103187</t>
  </si>
  <si>
    <t>TX-103188</t>
  </si>
  <si>
    <t>TX-103189</t>
  </si>
  <si>
    <t>TX-103190</t>
  </si>
  <si>
    <t>TX-103191</t>
  </si>
  <si>
    <t>TX-103192</t>
  </si>
  <si>
    <t>TX-103193</t>
  </si>
  <si>
    <t>TX-103194</t>
  </si>
  <si>
    <t>TX-103195</t>
  </si>
  <si>
    <t>TX-103196</t>
  </si>
  <si>
    <t>TX-103197</t>
  </si>
  <si>
    <t>TX-103198</t>
  </si>
  <si>
    <t>TX-103199</t>
  </si>
  <si>
    <t>TX-103200</t>
  </si>
  <si>
    <t>TX-103201</t>
  </si>
  <si>
    <t>TX-103202</t>
  </si>
  <si>
    <t>TX-103203</t>
  </si>
  <si>
    <t>TX-103204</t>
  </si>
  <si>
    <t>TX-103205</t>
  </si>
  <si>
    <t>TX-103206</t>
  </si>
  <si>
    <t>TX-103207</t>
  </si>
  <si>
    <t>TX-103208</t>
  </si>
  <si>
    <t>TX-103209</t>
  </si>
  <si>
    <t>TX-103210</t>
  </si>
  <si>
    <t>TX-103211</t>
  </si>
  <si>
    <t>TX-103212</t>
  </si>
  <si>
    <t>TX-103213</t>
  </si>
  <si>
    <t>TX-103214</t>
  </si>
  <si>
    <t>TX-103215</t>
  </si>
  <si>
    <t>TX-103216</t>
  </si>
  <si>
    <t>TX-103217</t>
  </si>
  <si>
    <t>TX-103218</t>
  </si>
  <si>
    <t>TX-103219</t>
  </si>
  <si>
    <t>TX-103220</t>
  </si>
  <si>
    <t>TX-103221</t>
  </si>
  <si>
    <t>TX-103222</t>
  </si>
  <si>
    <t>TX-103223</t>
  </si>
  <si>
    <t>TX-103224</t>
  </si>
  <si>
    <t>TX-103225</t>
  </si>
  <si>
    <t>TX-103226</t>
  </si>
  <si>
    <t>TX-103227</t>
  </si>
  <si>
    <t>TX-103228</t>
  </si>
  <si>
    <t>TX-103229</t>
  </si>
  <si>
    <t>TX-103230</t>
  </si>
  <si>
    <t>TX-103231</t>
  </si>
  <si>
    <t>TX-103232</t>
  </si>
  <si>
    <t>TX-103233</t>
  </si>
  <si>
    <t>TX-103234</t>
  </si>
  <si>
    <t>TX-103235</t>
  </si>
  <si>
    <t>TX-103236</t>
  </si>
  <si>
    <t>TX-103237</t>
  </si>
  <si>
    <t>TX-103238</t>
  </si>
  <si>
    <t>TX-103239</t>
  </si>
  <si>
    <t>TX-103240</t>
  </si>
  <si>
    <t>TX-103241</t>
  </si>
  <si>
    <t>TX-103242</t>
  </si>
  <si>
    <t>TX-103243</t>
  </si>
  <si>
    <t>TX-103244</t>
  </si>
  <si>
    <t>TX-103245</t>
  </si>
  <si>
    <t>TX-103246</t>
  </si>
  <si>
    <t>TX-103247</t>
  </si>
  <si>
    <t>TX-103248</t>
  </si>
  <si>
    <t>TX-103249</t>
  </si>
  <si>
    <t>TX-103250</t>
  </si>
  <si>
    <t>TX-103251</t>
  </si>
  <si>
    <t>TX-103252</t>
  </si>
  <si>
    <t>TX-103253</t>
  </si>
  <si>
    <t>TX-103254</t>
  </si>
  <si>
    <t>TX-103255</t>
  </si>
  <si>
    <t>TX-103256</t>
  </si>
  <si>
    <t>TX-103257</t>
  </si>
  <si>
    <t>TX-103258</t>
  </si>
  <si>
    <t>TX-103259</t>
  </si>
  <si>
    <t>TX-103260</t>
  </si>
  <si>
    <t>TX-103261</t>
  </si>
  <si>
    <t>TX-103262</t>
  </si>
  <si>
    <t>TX-103263</t>
  </si>
  <si>
    <t>TX-103264</t>
  </si>
  <si>
    <t>TX-103265</t>
  </si>
  <si>
    <t>TX-103266</t>
  </si>
  <si>
    <t>TX-103267</t>
  </si>
  <si>
    <t>TX-103268</t>
  </si>
  <si>
    <t>TX-103269</t>
  </si>
  <si>
    <t>TX-103270</t>
  </si>
  <si>
    <t>TX-103271</t>
  </si>
  <si>
    <t>TX-103272</t>
  </si>
  <si>
    <t>TX-103273</t>
  </si>
  <si>
    <t>TX-103274</t>
  </si>
  <si>
    <t>TX-103275</t>
  </si>
  <si>
    <t>TX-103276</t>
  </si>
  <si>
    <t>TX-103277</t>
  </si>
  <si>
    <t>TX-103278</t>
  </si>
  <si>
    <t>TX-103279</t>
  </si>
  <si>
    <t>TX-103280</t>
  </si>
  <si>
    <t>TX-103281</t>
  </si>
  <si>
    <t>TX-103282</t>
  </si>
  <si>
    <t>TX-103283</t>
  </si>
  <si>
    <t>TX-103284</t>
  </si>
  <si>
    <t>TX-103285</t>
  </si>
  <si>
    <t>TX-103286</t>
  </si>
  <si>
    <t>TX-103287</t>
  </si>
  <si>
    <t>TX-103288</t>
  </si>
  <si>
    <t>TX-103289</t>
  </si>
  <si>
    <t>TX-103290</t>
  </si>
  <si>
    <t>TX-103291</t>
  </si>
  <si>
    <t>TX-103292</t>
  </si>
  <si>
    <t>TX-103293</t>
  </si>
  <si>
    <t>TX-103294</t>
  </si>
  <si>
    <t>TX-103295</t>
  </si>
  <si>
    <t>TX-103296</t>
  </si>
  <si>
    <t>TX-103297</t>
  </si>
  <si>
    <t>TX-103298</t>
  </si>
  <si>
    <t>TX-103299</t>
  </si>
  <si>
    <t>TX-103300</t>
  </si>
  <si>
    <t>TX-103301</t>
  </si>
  <si>
    <t>TX-103302</t>
  </si>
  <si>
    <t>TX-103303</t>
  </si>
  <si>
    <t>TX-103304</t>
  </si>
  <si>
    <t>TX-103305</t>
  </si>
  <si>
    <t>TX-103306</t>
  </si>
  <si>
    <t>TX-103307</t>
  </si>
  <si>
    <t>TX-103308</t>
  </si>
  <si>
    <t>TX-103309</t>
  </si>
  <si>
    <t>TX-103310</t>
  </si>
  <si>
    <t>TX-103311</t>
  </si>
  <si>
    <t>TX-103312</t>
  </si>
  <si>
    <t>TX-103313</t>
  </si>
  <si>
    <t>TX-103314</t>
  </si>
  <si>
    <t>TX-103315</t>
  </si>
  <si>
    <t>TX-103316</t>
  </si>
  <si>
    <t>TX-103317</t>
  </si>
  <si>
    <t>TX-103318</t>
  </si>
  <si>
    <t>TX-103319</t>
  </si>
  <si>
    <t>TX-103320</t>
  </si>
  <si>
    <t>TX-103321</t>
  </si>
  <si>
    <t>TX-103322</t>
  </si>
  <si>
    <t>TX-103323</t>
  </si>
  <si>
    <t>TX-103324</t>
  </si>
  <si>
    <t>TX-103325</t>
  </si>
  <si>
    <t>TX-103326</t>
  </si>
  <si>
    <t>TX-103327</t>
  </si>
  <si>
    <t>TX-103328</t>
  </si>
  <si>
    <t>TX-103329</t>
  </si>
  <si>
    <t>TX-103330</t>
  </si>
  <si>
    <t>TX-103331</t>
  </si>
  <si>
    <t>TX-103332</t>
  </si>
  <si>
    <t>TX-103333</t>
  </si>
  <si>
    <t>TX-103334</t>
  </si>
  <si>
    <t>TX-103335</t>
  </si>
  <si>
    <t>TX-103336</t>
  </si>
  <si>
    <t>TX-103337</t>
  </si>
  <si>
    <t>TX-103338</t>
  </si>
  <si>
    <t>TX-103339</t>
  </si>
  <si>
    <t>TX-103340</t>
  </si>
  <si>
    <t>TX-103341</t>
  </si>
  <si>
    <t>TX-103342</t>
  </si>
  <si>
    <t>TX-103343</t>
  </si>
  <si>
    <t>TX-103344</t>
  </si>
  <si>
    <t>TX-103345</t>
  </si>
  <si>
    <t>TX-103346</t>
  </si>
  <si>
    <t>TX-103347</t>
  </si>
  <si>
    <t>TX-103348</t>
  </si>
  <si>
    <t>TX-103349</t>
  </si>
  <si>
    <t>TX-103350</t>
  </si>
  <si>
    <t>TX-103351</t>
  </si>
  <si>
    <t>TX-103352</t>
  </si>
  <si>
    <t>TX-103353</t>
  </si>
  <si>
    <t>TX-103354</t>
  </si>
  <si>
    <t>TX-103355</t>
  </si>
  <si>
    <t>TX-103356</t>
  </si>
  <si>
    <t>TX-103357</t>
  </si>
  <si>
    <t>TX-103358</t>
  </si>
  <si>
    <t>TX-103359</t>
  </si>
  <si>
    <t>TX-103360</t>
  </si>
  <si>
    <t>TX-103361</t>
  </si>
  <si>
    <t>TX-103362</t>
  </si>
  <si>
    <t>TX-103363</t>
  </si>
  <si>
    <t>TX-103364</t>
  </si>
  <si>
    <t>TX-103365</t>
  </si>
  <si>
    <t>TX-103366</t>
  </si>
  <si>
    <t>TX-103367</t>
  </si>
  <si>
    <t>TX-103368</t>
  </si>
  <si>
    <t>TX-103369</t>
  </si>
  <si>
    <t>TX-103370</t>
  </si>
  <si>
    <t>TX-103371</t>
  </si>
  <si>
    <t>TX-103372</t>
  </si>
  <si>
    <t>TX-103373</t>
  </si>
  <si>
    <t>TX-103374</t>
  </si>
  <si>
    <t>TX-103375</t>
  </si>
  <si>
    <t>TX-103376</t>
  </si>
  <si>
    <t>TX-103377</t>
  </si>
  <si>
    <t>TX-103378</t>
  </si>
  <si>
    <t>TX-103379</t>
  </si>
  <si>
    <t>TX-103380</t>
  </si>
  <si>
    <t>TX-103381</t>
  </si>
  <si>
    <t>TX-103382</t>
  </si>
  <si>
    <t>TX-103383</t>
  </si>
  <si>
    <t>TX-103384</t>
  </si>
  <si>
    <t>TX-103385</t>
  </si>
  <si>
    <t>TX-103386</t>
  </si>
  <si>
    <t>TX-103387</t>
  </si>
  <si>
    <t>TX-103388</t>
  </si>
  <si>
    <t>TX-103389</t>
  </si>
  <si>
    <t>TX-103390</t>
  </si>
  <si>
    <t>TX-103391</t>
  </si>
  <si>
    <t>TX-103392</t>
  </si>
  <si>
    <t>TX-103393</t>
  </si>
  <si>
    <t>TX-103394</t>
  </si>
  <si>
    <t>TX-103395</t>
  </si>
  <si>
    <t>TX-103396</t>
  </si>
  <si>
    <t>TX-103397</t>
  </si>
  <si>
    <t>TX-103398</t>
  </si>
  <si>
    <t>TX-103399</t>
  </si>
  <si>
    <t>TX-103400</t>
  </si>
  <si>
    <t>TX-103401</t>
  </si>
  <si>
    <t>TX-103402</t>
  </si>
  <si>
    <t>TX-103403</t>
  </si>
  <si>
    <t>TX-103404</t>
  </si>
  <si>
    <t>TX-103405</t>
  </si>
  <si>
    <t>TX-103406</t>
  </si>
  <si>
    <t>TX-103407</t>
  </si>
  <si>
    <t>TX-103408</t>
  </si>
  <si>
    <t>TX-103409</t>
  </si>
  <si>
    <t>TX-103410</t>
  </si>
  <si>
    <t>TX-103411</t>
  </si>
  <si>
    <t>TX-103412</t>
  </si>
  <si>
    <t>TX-103413</t>
  </si>
  <si>
    <t>TX-103414</t>
  </si>
  <si>
    <t>TX-103415</t>
  </si>
  <si>
    <t>TX-103416</t>
  </si>
  <si>
    <t>TX-103417</t>
  </si>
  <si>
    <t>TX-103418</t>
  </si>
  <si>
    <t>TX-103419</t>
  </si>
  <si>
    <t>TX-103420</t>
  </si>
  <si>
    <t>TX-103421</t>
  </si>
  <si>
    <t>TX-103422</t>
  </si>
  <si>
    <t>TX-103423</t>
  </si>
  <si>
    <t>TX-103424</t>
  </si>
  <si>
    <t>TX-103425</t>
  </si>
  <si>
    <t>TX-103426</t>
  </si>
  <si>
    <t>TX-103427</t>
  </si>
  <si>
    <t>TX-103428</t>
  </si>
  <si>
    <t>TX-103429</t>
  </si>
  <si>
    <t>TX-103430</t>
  </si>
  <si>
    <t>TX-103431</t>
  </si>
  <si>
    <t>TX-103432</t>
  </si>
  <si>
    <t>TX-103433</t>
  </si>
  <si>
    <t>TX-103434</t>
  </si>
  <si>
    <t>TX-103435</t>
  </si>
  <si>
    <t>TX-103436</t>
  </si>
  <si>
    <t>TX-103437</t>
  </si>
  <si>
    <t>TX-103438</t>
  </si>
  <si>
    <t>TX-103439</t>
  </si>
  <si>
    <t>TX-103440</t>
  </si>
  <si>
    <t>TX-103441</t>
  </si>
  <si>
    <t>TX-103442</t>
  </si>
  <si>
    <t>TX-103443</t>
  </si>
  <si>
    <t>TX-103444</t>
  </si>
  <si>
    <t>TX-103445</t>
  </si>
  <si>
    <t>TX-103446</t>
  </si>
  <si>
    <t>TX-103447</t>
  </si>
  <si>
    <t>TX-103448</t>
  </si>
  <si>
    <t>TX-103449</t>
  </si>
  <si>
    <t>TX-103450</t>
  </si>
  <si>
    <t>TX-103451</t>
  </si>
  <si>
    <t>TX-103452</t>
  </si>
  <si>
    <t>TX-103453</t>
  </si>
  <si>
    <t>TX-103454</t>
  </si>
  <si>
    <t>TX-103455</t>
  </si>
  <si>
    <t>TX-103456</t>
  </si>
  <si>
    <t>TX-103457</t>
  </si>
  <si>
    <t>TX-103458</t>
  </si>
  <si>
    <t>TX-103459</t>
  </si>
  <si>
    <t>TX-103460</t>
  </si>
  <si>
    <t>TX-103461</t>
  </si>
  <si>
    <t>TX-103462</t>
  </si>
  <si>
    <t>TX-103463</t>
  </si>
  <si>
    <t>TX-103464</t>
  </si>
  <si>
    <t>TX-103465</t>
  </si>
  <si>
    <t>TX-103466</t>
  </si>
  <si>
    <t>TX-103467</t>
  </si>
  <si>
    <t>TX-103468</t>
  </si>
  <si>
    <t>TX-103469</t>
  </si>
  <si>
    <t>TX-103470</t>
  </si>
  <si>
    <t>TX-103471</t>
  </si>
  <si>
    <t>TX-103472</t>
  </si>
  <si>
    <t>TX-103473</t>
  </si>
  <si>
    <t>TX-103474</t>
  </si>
  <si>
    <t>TX-103475</t>
  </si>
  <si>
    <t>TX-103476</t>
  </si>
  <si>
    <t>TX-103477</t>
  </si>
  <si>
    <t>TX-103478</t>
  </si>
  <si>
    <t>TX-103479</t>
  </si>
  <si>
    <t>TX-103480</t>
  </si>
  <si>
    <t>TX-103481</t>
  </si>
  <si>
    <t>TX-103482</t>
  </si>
  <si>
    <t>TX-103483</t>
  </si>
  <si>
    <t>TX-103484</t>
  </si>
  <si>
    <t>TX-103485</t>
  </si>
  <si>
    <t>TX-103486</t>
  </si>
  <si>
    <t>TX-103487</t>
  </si>
  <si>
    <t>TX-103488</t>
  </si>
  <si>
    <t>TX-103489</t>
  </si>
  <si>
    <t>TX-103490</t>
  </si>
  <si>
    <t>TX-103491</t>
  </si>
  <si>
    <t>TX-103492</t>
  </si>
  <si>
    <t>TX-103493</t>
  </si>
  <si>
    <t>TX-103494</t>
  </si>
  <si>
    <t>TX-103495</t>
  </si>
  <si>
    <t>TX-103496</t>
  </si>
  <si>
    <t>TX-103497</t>
  </si>
  <si>
    <t>TX-103498</t>
  </si>
  <si>
    <t>TX-103499</t>
  </si>
  <si>
    <t>TX-103500</t>
  </si>
  <si>
    <t>TX-103501</t>
  </si>
  <si>
    <t>TX-103502</t>
  </si>
  <si>
    <t>TX-103503</t>
  </si>
  <si>
    <t>TX-103504</t>
  </si>
  <si>
    <t>TX-103505</t>
  </si>
  <si>
    <t>TX-103506</t>
  </si>
  <si>
    <t>TX-103507</t>
  </si>
  <si>
    <t>TX-103508</t>
  </si>
  <si>
    <t>TX-103509</t>
  </si>
  <si>
    <t>TX-103510</t>
  </si>
  <si>
    <t>TX-103511</t>
  </si>
  <si>
    <t>TX-103512</t>
  </si>
  <si>
    <t>TX-103513</t>
  </si>
  <si>
    <t>TX-103514</t>
  </si>
  <si>
    <t>TX-103515</t>
  </si>
  <si>
    <t>TX-103516</t>
  </si>
  <si>
    <t>TX-103517</t>
  </si>
  <si>
    <t>TX-103518</t>
  </si>
  <si>
    <t>TX-103519</t>
  </si>
  <si>
    <t>TX-103520</t>
  </si>
  <si>
    <t>TX-103521</t>
  </si>
  <si>
    <t>TX-103522</t>
  </si>
  <si>
    <t>TX-103523</t>
  </si>
  <si>
    <t>TX-103524</t>
  </si>
  <si>
    <t>TX-103525</t>
  </si>
  <si>
    <t>TX-103526</t>
  </si>
  <si>
    <t>TX-103527</t>
  </si>
  <si>
    <t>TX-103528</t>
  </si>
  <si>
    <t>TX-103529</t>
  </si>
  <si>
    <t>TX-103530</t>
  </si>
  <si>
    <t>TX-103531</t>
  </si>
  <si>
    <t>TX-103532</t>
  </si>
  <si>
    <t>TX-103533</t>
  </si>
  <si>
    <t>TX-103534</t>
  </si>
  <si>
    <t>TX-103535</t>
  </si>
  <si>
    <t>TX-103536</t>
  </si>
  <si>
    <t>TX-103537</t>
  </si>
  <si>
    <t>TX-103538</t>
  </si>
  <si>
    <t>TX-103539</t>
  </si>
  <si>
    <t>TX-103540</t>
  </si>
  <si>
    <t>TX-103541</t>
  </si>
  <si>
    <t>TX-103542</t>
  </si>
  <si>
    <t>TX-103543</t>
  </si>
  <si>
    <t>TX-103544</t>
  </si>
  <si>
    <t>TX-103545</t>
  </si>
  <si>
    <t>TX-103546</t>
  </si>
  <si>
    <t>TX-103547</t>
  </si>
  <si>
    <t>TX-103548</t>
  </si>
  <si>
    <t>TX-103549</t>
  </si>
  <si>
    <t>TX-103550</t>
  </si>
  <si>
    <t>TX-103551</t>
  </si>
  <si>
    <t>TX-103552</t>
  </si>
  <si>
    <t>TX-103553</t>
  </si>
  <si>
    <t>TX-103554</t>
  </si>
  <si>
    <t>TX-103555</t>
  </si>
  <si>
    <t>TX-103556</t>
  </si>
  <si>
    <t>TX-103557</t>
  </si>
  <si>
    <t>TX-103558</t>
  </si>
  <si>
    <t>TX-103559</t>
  </si>
  <si>
    <t>TX-103560</t>
  </si>
  <si>
    <t>TX-103561</t>
  </si>
  <si>
    <t>TX-103562</t>
  </si>
  <si>
    <t>TX-103563</t>
  </si>
  <si>
    <t>TX-103564</t>
  </si>
  <si>
    <t>TX-103565</t>
  </si>
  <si>
    <t>TX-103566</t>
  </si>
  <si>
    <t>TX-103567</t>
  </si>
  <si>
    <t>TX-103568</t>
  </si>
  <si>
    <t>TX-103569</t>
  </si>
  <si>
    <t>TX-103570</t>
  </si>
  <si>
    <t>TX-103571</t>
  </si>
  <si>
    <t>TX-103572</t>
  </si>
  <si>
    <t>TX-103573</t>
  </si>
  <si>
    <t>TX-103574</t>
  </si>
  <si>
    <t>TX-103575</t>
  </si>
  <si>
    <t>TX-103576</t>
  </si>
  <si>
    <t>TX-103577</t>
  </si>
  <si>
    <t>TX-103578</t>
  </si>
  <si>
    <t>TX-103579</t>
  </si>
  <si>
    <t>TX-103580</t>
  </si>
  <si>
    <t>TX-103581</t>
  </si>
  <si>
    <t>TX-103582</t>
  </si>
  <si>
    <t>TX-103583</t>
  </si>
  <si>
    <t>TX-103584</t>
  </si>
  <si>
    <t>TX-103585</t>
  </si>
  <si>
    <t>TX-103586</t>
  </si>
  <si>
    <t>TX-103587</t>
  </si>
  <si>
    <t>TX-103588</t>
  </si>
  <si>
    <t>TX-103589</t>
  </si>
  <si>
    <t>TX-103590</t>
  </si>
  <si>
    <t>TX-103591</t>
  </si>
  <si>
    <t>TX-103592</t>
  </si>
  <si>
    <t>TX-103593</t>
  </si>
  <si>
    <t>TX-103594</t>
  </si>
  <si>
    <t>TX-103595</t>
  </si>
  <si>
    <t>TX-103596</t>
  </si>
  <si>
    <t>TX-103597</t>
  </si>
  <si>
    <t>TX-103598</t>
  </si>
  <si>
    <t>TX-103599</t>
  </si>
  <si>
    <t>TX-103600</t>
  </si>
  <si>
    <t>TX-103601</t>
  </si>
  <si>
    <t>TX-103602</t>
  </si>
  <si>
    <t>TX-103603</t>
  </si>
  <si>
    <t>TX-103604</t>
  </si>
  <si>
    <t>TX-103605</t>
  </si>
  <si>
    <t>TX-103606</t>
  </si>
  <si>
    <t>TX-103607</t>
  </si>
  <si>
    <t>TX-103608</t>
  </si>
  <si>
    <t>TX-103609</t>
  </si>
  <si>
    <t>TX-103610</t>
  </si>
  <si>
    <t>TX-103611</t>
  </si>
  <si>
    <t>TX-103612</t>
  </si>
  <si>
    <t>TX-103613</t>
  </si>
  <si>
    <t>TX-103614</t>
  </si>
  <si>
    <t>TX-103615</t>
  </si>
  <si>
    <t>TX-103616</t>
  </si>
  <si>
    <t>TX-103617</t>
  </si>
  <si>
    <t>TX-103618</t>
  </si>
  <si>
    <t>TX-103619</t>
  </si>
  <si>
    <t>TX-103620</t>
  </si>
  <si>
    <t>TX-103621</t>
  </si>
  <si>
    <t>TX-103622</t>
  </si>
  <si>
    <t>TX-103623</t>
  </si>
  <si>
    <t>TX-103624</t>
  </si>
  <si>
    <t>TX-103625</t>
  </si>
  <si>
    <t>TX-103626</t>
  </si>
  <si>
    <t>TX-103627</t>
  </si>
  <si>
    <t>TX-103628</t>
  </si>
  <si>
    <t>TX-103629</t>
  </si>
  <si>
    <t>TX-103630</t>
  </si>
  <si>
    <t>TX-103631</t>
  </si>
  <si>
    <t>TX-103632</t>
  </si>
  <si>
    <t>TX-103633</t>
  </si>
  <si>
    <t>TX-103634</t>
  </si>
  <si>
    <t>TX-103635</t>
  </si>
  <si>
    <t>TX-103636</t>
  </si>
  <si>
    <t>TX-103637</t>
  </si>
  <si>
    <t>TX-103638</t>
  </si>
  <si>
    <t>TX-103639</t>
  </si>
  <si>
    <t>TX-103640</t>
  </si>
  <si>
    <t>TX-103641</t>
  </si>
  <si>
    <t>TX-103642</t>
  </si>
  <si>
    <t>TX-103643</t>
  </si>
  <si>
    <t>TX-103644</t>
  </si>
  <si>
    <t>TX-103645</t>
  </si>
  <si>
    <t>TX-103646</t>
  </si>
  <si>
    <t>TX-103647</t>
  </si>
  <si>
    <t>TX-103648</t>
  </si>
  <si>
    <t>TX-103649</t>
  </si>
  <si>
    <t>TX-103650</t>
  </si>
  <si>
    <t>TX-103651</t>
  </si>
  <si>
    <t>TX-103652</t>
  </si>
  <si>
    <t>TX-103653</t>
  </si>
  <si>
    <t>TX-103654</t>
  </si>
  <si>
    <t>TX-103655</t>
  </si>
  <si>
    <t>TX-103656</t>
  </si>
  <si>
    <t>TX-103657</t>
  </si>
  <si>
    <t>TX-103658</t>
  </si>
  <si>
    <t>TX-103659</t>
  </si>
  <si>
    <t>TX-103660</t>
  </si>
  <si>
    <t>TX-103661</t>
  </si>
  <si>
    <t>TX-103662</t>
  </si>
  <si>
    <t>TX-103663</t>
  </si>
  <si>
    <t>TX-103664</t>
  </si>
  <si>
    <t>TX-103665</t>
  </si>
  <si>
    <t>TX-103666</t>
  </si>
  <si>
    <t>TX-103667</t>
  </si>
  <si>
    <t>TX-103668</t>
  </si>
  <si>
    <t>TX-103669</t>
  </si>
  <si>
    <t>TX-103670</t>
  </si>
  <si>
    <t>TX-103671</t>
  </si>
  <si>
    <t>TX-103672</t>
  </si>
  <si>
    <t>TX-103673</t>
  </si>
  <si>
    <t>TX-103674</t>
  </si>
  <si>
    <t>TX-103675</t>
  </si>
  <si>
    <t>TX-103676</t>
  </si>
  <si>
    <t>TX-103677</t>
  </si>
  <si>
    <t>TX-103678</t>
  </si>
  <si>
    <t>TX-103679</t>
  </si>
  <si>
    <t>TX-103680</t>
  </si>
  <si>
    <t>TX-103681</t>
  </si>
  <si>
    <t>TX-103682</t>
  </si>
  <si>
    <t>TX-103683</t>
  </si>
  <si>
    <t>TX-103684</t>
  </si>
  <si>
    <t>TX-103685</t>
  </si>
  <si>
    <t>TX-103686</t>
  </si>
  <si>
    <t>TX-103687</t>
  </si>
  <si>
    <t>TX-103688</t>
  </si>
  <si>
    <t>TX-103689</t>
  </si>
  <si>
    <t>TX-103690</t>
  </si>
  <si>
    <t>TX-103691</t>
  </si>
  <si>
    <t>TX-103692</t>
  </si>
  <si>
    <t>TX-103693</t>
  </si>
  <si>
    <t>TX-103694</t>
  </si>
  <si>
    <t>TX-103695</t>
  </si>
  <si>
    <t>TX-103696</t>
  </si>
  <si>
    <t>TX-103697</t>
  </si>
  <si>
    <t>TX-103698</t>
  </si>
  <si>
    <t>TX-103699</t>
  </si>
  <si>
    <t>TX-103700</t>
  </si>
  <si>
    <t>TX-103701</t>
  </si>
  <si>
    <t>TX-103702</t>
  </si>
  <si>
    <t>TX-103703</t>
  </si>
  <si>
    <t>TX-103704</t>
  </si>
  <si>
    <t>TX-103705</t>
  </si>
  <si>
    <t>TX-103706</t>
  </si>
  <si>
    <t>TX-103707</t>
  </si>
  <si>
    <t>TX-103708</t>
  </si>
  <si>
    <t>TX-103709</t>
  </si>
  <si>
    <t>TX-103710</t>
  </si>
  <si>
    <t>TX-103711</t>
  </si>
  <si>
    <t>TX-103712</t>
  </si>
  <si>
    <t>TX-103713</t>
  </si>
  <si>
    <t>TX-103714</t>
  </si>
  <si>
    <t>TX-103715</t>
  </si>
  <si>
    <t>TX-103716</t>
  </si>
  <si>
    <t>TX-103717</t>
  </si>
  <si>
    <t>TX-103718</t>
  </si>
  <si>
    <t>TX-103719</t>
  </si>
  <si>
    <t>TX-103720</t>
  </si>
  <si>
    <t>TX-103721</t>
  </si>
  <si>
    <t>TX-103722</t>
  </si>
  <si>
    <t>TX-103723</t>
  </si>
  <si>
    <t>TX-103724</t>
  </si>
  <si>
    <t>TX-103725</t>
  </si>
  <si>
    <t>TX-103726</t>
  </si>
  <si>
    <t>TX-103727</t>
  </si>
  <si>
    <t>TX-103728</t>
  </si>
  <si>
    <t>TX-103729</t>
  </si>
  <si>
    <t>TX-103730</t>
  </si>
  <si>
    <t>TX-103731</t>
  </si>
  <si>
    <t>TX-103732</t>
  </si>
  <si>
    <t>TX-103733</t>
  </si>
  <si>
    <t>TX-103734</t>
  </si>
  <si>
    <t>TX-103735</t>
  </si>
  <si>
    <t>TX-103736</t>
  </si>
  <si>
    <t>TX-103737</t>
  </si>
  <si>
    <t>TX-103738</t>
  </si>
  <si>
    <t>TX-103739</t>
  </si>
  <si>
    <t>TX-103740</t>
  </si>
  <si>
    <t>TX-103741</t>
  </si>
  <si>
    <t>TX-103742</t>
  </si>
  <si>
    <t>TX-103743</t>
  </si>
  <si>
    <t>TX-103744</t>
  </si>
  <si>
    <t>TX-103745</t>
  </si>
  <si>
    <t>TX-103746</t>
  </si>
  <si>
    <t>TX-103747</t>
  </si>
  <si>
    <t>TX-103748</t>
  </si>
  <si>
    <t>TX-103749</t>
  </si>
  <si>
    <t>TX-103750</t>
  </si>
  <si>
    <t>TX-103751</t>
  </si>
  <si>
    <t>TX-103752</t>
  </si>
  <si>
    <t>TX-103753</t>
  </si>
  <si>
    <t>TX-103754</t>
  </si>
  <si>
    <t>TX-103755</t>
  </si>
  <si>
    <t>TX-103756</t>
  </si>
  <si>
    <t>TX-103757</t>
  </si>
  <si>
    <t>TX-103758</t>
  </si>
  <si>
    <t>TX-103759</t>
  </si>
  <si>
    <t>TX-103760</t>
  </si>
  <si>
    <t>TX-103761</t>
  </si>
  <si>
    <t>TX-103762</t>
  </si>
  <si>
    <t>TX-103763</t>
  </si>
  <si>
    <t>TX-103764</t>
  </si>
  <si>
    <t>TX-103765</t>
  </si>
  <si>
    <t>TX-103766</t>
  </si>
  <si>
    <t>TX-103767</t>
  </si>
  <si>
    <t>TX-103768</t>
  </si>
  <si>
    <t>TX-103769</t>
  </si>
  <si>
    <t>TX-103770</t>
  </si>
  <si>
    <t>TX-103771</t>
  </si>
  <si>
    <t>TX-103772</t>
  </si>
  <si>
    <t>TX-103773</t>
  </si>
  <si>
    <t>TX-103774</t>
  </si>
  <si>
    <t>TX-103775</t>
  </si>
  <si>
    <t>TX-103776</t>
  </si>
  <si>
    <t>TX-103777</t>
  </si>
  <si>
    <t>TX-103778</t>
  </si>
  <si>
    <t>TX-103779</t>
  </si>
  <si>
    <t>TX-103780</t>
  </si>
  <si>
    <t>TX-103781</t>
  </si>
  <si>
    <t>TX-103782</t>
  </si>
  <si>
    <t>TX-103783</t>
  </si>
  <si>
    <t>TX-103784</t>
  </si>
  <si>
    <t>TX-103785</t>
  </si>
  <si>
    <t>TX-103786</t>
  </si>
  <si>
    <t>TX-103787</t>
  </si>
  <si>
    <t>TX-103788</t>
  </si>
  <si>
    <t>TX-103789</t>
  </si>
  <si>
    <t>TX-103790</t>
  </si>
  <si>
    <t>TX-103791</t>
  </si>
  <si>
    <t>TX-103792</t>
  </si>
  <si>
    <t>TX-103793</t>
  </si>
  <si>
    <t>TX-103794</t>
  </si>
  <si>
    <t>TX-103795</t>
  </si>
  <si>
    <t>TX-103796</t>
  </si>
  <si>
    <t>TX-103797</t>
  </si>
  <si>
    <t>TX-103798</t>
  </si>
  <si>
    <t>TX-103799</t>
  </si>
  <si>
    <t>TX-103800</t>
  </si>
  <si>
    <t>TX-103801</t>
  </si>
  <si>
    <t>TX-103802</t>
  </si>
  <si>
    <t>TX-103803</t>
  </si>
  <si>
    <t>TX-103804</t>
  </si>
  <si>
    <t>TX-103805</t>
  </si>
  <si>
    <t>TX-103806</t>
  </si>
  <si>
    <t>TX-103807</t>
  </si>
  <si>
    <t>TX-103808</t>
  </si>
  <si>
    <t>TX-103809</t>
  </si>
  <si>
    <t>TX-103810</t>
  </si>
  <si>
    <t>TX-103811</t>
  </si>
  <si>
    <t>TX-103812</t>
  </si>
  <si>
    <t>TX-103813</t>
  </si>
  <si>
    <t>TX-103814</t>
  </si>
  <si>
    <t>TX-103815</t>
  </si>
  <si>
    <t>TX-103816</t>
  </si>
  <si>
    <t>TX-103817</t>
  </si>
  <si>
    <t>TX-103818</t>
  </si>
  <si>
    <t>TX-103819</t>
  </si>
  <si>
    <t>TX-103820</t>
  </si>
  <si>
    <t>TX-103821</t>
  </si>
  <si>
    <t>TX-103822</t>
  </si>
  <si>
    <t>TX-103823</t>
  </si>
  <si>
    <t>TX-103824</t>
  </si>
  <si>
    <t>TX-103825</t>
  </si>
  <si>
    <t>TX-103826</t>
  </si>
  <si>
    <t>TX-103827</t>
  </si>
  <si>
    <t>TX-103828</t>
  </si>
  <si>
    <t>TX-103829</t>
  </si>
  <si>
    <t>TX-103830</t>
  </si>
  <si>
    <t>TX-103831</t>
  </si>
  <si>
    <t>TX-103832</t>
  </si>
  <si>
    <t>TX-103833</t>
  </si>
  <si>
    <t>TX-103834</t>
  </si>
  <si>
    <t>TX-103835</t>
  </si>
  <si>
    <t>TX-103836</t>
  </si>
  <si>
    <t>TX-103837</t>
  </si>
  <si>
    <t>TX-103838</t>
  </si>
  <si>
    <t>TX-103839</t>
  </si>
  <si>
    <t>TX-103840</t>
  </si>
  <si>
    <t>TX-103841</t>
  </si>
  <si>
    <t>TX-103842</t>
  </si>
  <si>
    <t>TX-103843</t>
  </si>
  <si>
    <t>TX-103844</t>
  </si>
  <si>
    <t>TX-103845</t>
  </si>
  <si>
    <t>TX-103846</t>
  </si>
  <si>
    <t>TX-103847</t>
  </si>
  <si>
    <t>TX-103848</t>
  </si>
  <si>
    <t>TX-103849</t>
  </si>
  <si>
    <t>TX-103850</t>
  </si>
  <si>
    <t>TX-103851</t>
  </si>
  <si>
    <t>TX-103852</t>
  </si>
  <si>
    <t>TX-103853</t>
  </si>
  <si>
    <t>TX-103854</t>
  </si>
  <si>
    <t>TX-103855</t>
  </si>
  <si>
    <t>TX-103856</t>
  </si>
  <si>
    <t>TX-103857</t>
  </si>
  <si>
    <t>TX-103858</t>
  </si>
  <si>
    <t>TX-103859</t>
  </si>
  <si>
    <t>TX-103860</t>
  </si>
  <si>
    <t>TX-103861</t>
  </si>
  <si>
    <t>TX-103862</t>
  </si>
  <si>
    <t>TX-103863</t>
  </si>
  <si>
    <t>TX-103864</t>
  </si>
  <si>
    <t>TX-103865</t>
  </si>
  <si>
    <t>TX-103866</t>
  </si>
  <si>
    <t>TX-103867</t>
  </si>
  <si>
    <t>TX-103868</t>
  </si>
  <si>
    <t>TX-103869</t>
  </si>
  <si>
    <t>TX-103870</t>
  </si>
  <si>
    <t>TX-103871</t>
  </si>
  <si>
    <t>TX-103872</t>
  </si>
  <si>
    <t>TX-103873</t>
  </si>
  <si>
    <t>TX-103874</t>
  </si>
  <si>
    <t>TX-103875</t>
  </si>
  <si>
    <t>TX-103876</t>
  </si>
  <si>
    <t>TX-103877</t>
  </si>
  <si>
    <t>TX-103878</t>
  </si>
  <si>
    <t>TX-103879</t>
  </si>
  <si>
    <t>TX-103880</t>
  </si>
  <si>
    <t>TX-103881</t>
  </si>
  <si>
    <t>TX-103882</t>
  </si>
  <si>
    <t>TX-103883</t>
  </si>
  <si>
    <t>TX-103884</t>
  </si>
  <si>
    <t>TX-103885</t>
  </si>
  <si>
    <t>TX-103886</t>
  </si>
  <si>
    <t>TX-103887</t>
  </si>
  <si>
    <t>TX-103888</t>
  </si>
  <si>
    <t>TX-103889</t>
  </si>
  <si>
    <t>TX-103890</t>
  </si>
  <si>
    <t>TX-103891</t>
  </si>
  <si>
    <t>TX-103892</t>
  </si>
  <si>
    <t>TX-103893</t>
  </si>
  <si>
    <t>TX-103894</t>
  </si>
  <si>
    <t>TX-103895</t>
  </si>
  <si>
    <t>TX-103896</t>
  </si>
  <si>
    <t>TX-103897</t>
  </si>
  <si>
    <t>TX-103898</t>
  </si>
  <si>
    <t>TX-103899</t>
  </si>
  <si>
    <t>TX-103900</t>
  </si>
  <si>
    <t>TX-103901</t>
  </si>
  <si>
    <t>TX-103902</t>
  </si>
  <si>
    <t>TX-103903</t>
  </si>
  <si>
    <t>TX-103904</t>
  </si>
  <si>
    <t>TX-103905</t>
  </si>
  <si>
    <t>TX-103906</t>
  </si>
  <si>
    <t>TX-103907</t>
  </si>
  <si>
    <t>TX-103908</t>
  </si>
  <si>
    <t>TX-103909</t>
  </si>
  <si>
    <t>TX-103910</t>
  </si>
  <si>
    <t>TX-103911</t>
  </si>
  <si>
    <t>TX-103912</t>
  </si>
  <si>
    <t>TX-103913</t>
  </si>
  <si>
    <t>TX-103914</t>
  </si>
  <si>
    <t>TX-103915</t>
  </si>
  <si>
    <t>TX-103916</t>
  </si>
  <si>
    <t>TX-103917</t>
  </si>
  <si>
    <t>TX-103918</t>
  </si>
  <si>
    <t>TX-103919</t>
  </si>
  <si>
    <t>TX-103920</t>
  </si>
  <si>
    <t>TX-103921</t>
  </si>
  <si>
    <t>TX-103922</t>
  </si>
  <si>
    <t>TX-103923</t>
  </si>
  <si>
    <t>TX-103924</t>
  </si>
  <si>
    <t>TX-103925</t>
  </si>
  <si>
    <t>TX-103926</t>
  </si>
  <si>
    <t>TX-103927</t>
  </si>
  <si>
    <t>TX-103928</t>
  </si>
  <si>
    <t>TX-103929</t>
  </si>
  <si>
    <t>TX-103930</t>
  </si>
  <si>
    <t>TX-103931</t>
  </si>
  <si>
    <t>TX-103932</t>
  </si>
  <si>
    <t>TX-103933</t>
  </si>
  <si>
    <t>TX-103934</t>
  </si>
  <si>
    <t>TX-103935</t>
  </si>
  <si>
    <t>TX-103936</t>
  </si>
  <si>
    <t>TX-103937</t>
  </si>
  <si>
    <t>TX-103938</t>
  </si>
  <si>
    <t>TX-103939</t>
  </si>
  <si>
    <t>TX-103940</t>
  </si>
  <si>
    <t>TX-103941</t>
  </si>
  <si>
    <t>TX-103942</t>
  </si>
  <si>
    <t>TX-103943</t>
  </si>
  <si>
    <t>TX-103944</t>
  </si>
  <si>
    <t>TX-103945</t>
  </si>
  <si>
    <t>TX-103946</t>
  </si>
  <si>
    <t>TX-103947</t>
  </si>
  <si>
    <t>TX-103948</t>
  </si>
  <si>
    <t>TX-103949</t>
  </si>
  <si>
    <t>TX-103950</t>
  </si>
  <si>
    <t>TX-103951</t>
  </si>
  <si>
    <t>TX-103952</t>
  </si>
  <si>
    <t>TX-103953</t>
  </si>
  <si>
    <t>TX-103954</t>
  </si>
  <si>
    <t>TX-103955</t>
  </si>
  <si>
    <t>TX-103956</t>
  </si>
  <si>
    <t>TX-103957</t>
  </si>
  <si>
    <t>TX-103958</t>
  </si>
  <si>
    <t>TX-103959</t>
  </si>
  <si>
    <t>TX-103960</t>
  </si>
  <si>
    <t>TX-103961</t>
  </si>
  <si>
    <t>TX-103962</t>
  </si>
  <si>
    <t>TX-103963</t>
  </si>
  <si>
    <t>TX-103964</t>
  </si>
  <si>
    <t>TX-103965</t>
  </si>
  <si>
    <t>TX-103966</t>
  </si>
  <si>
    <t>TX-103967</t>
  </si>
  <si>
    <t>TX-103968</t>
  </si>
  <si>
    <t>TX-103969</t>
  </si>
  <si>
    <t>TX-103970</t>
  </si>
  <si>
    <t>TX-103971</t>
  </si>
  <si>
    <t>TX-103972</t>
  </si>
  <si>
    <t>TX-103973</t>
  </si>
  <si>
    <t>TX-103974</t>
  </si>
  <si>
    <t>TX-103975</t>
  </si>
  <si>
    <t>TX-103976</t>
  </si>
  <si>
    <t>TX-103977</t>
  </si>
  <si>
    <t>TX-103978</t>
  </si>
  <si>
    <t>TX-103979</t>
  </si>
  <si>
    <t>TX-103980</t>
  </si>
  <si>
    <t>TX-103981</t>
  </si>
  <si>
    <t>TX-103982</t>
  </si>
  <si>
    <t>TX-103983</t>
  </si>
  <si>
    <t>TX-103984</t>
  </si>
  <si>
    <t>TX-103985</t>
  </si>
  <si>
    <t>TX-103986</t>
  </si>
  <si>
    <t>TX-103987</t>
  </si>
  <si>
    <t>TX-103988</t>
  </si>
  <si>
    <t>TX-103989</t>
  </si>
  <si>
    <t>TX-103990</t>
  </si>
  <si>
    <t>TX-103991</t>
  </si>
  <si>
    <t>TX-103992</t>
  </si>
  <si>
    <t>TX-103993</t>
  </si>
  <si>
    <t>TX-103994</t>
  </si>
  <si>
    <t>TX-103995</t>
  </si>
  <si>
    <t>TX-103996</t>
  </si>
  <si>
    <t>TX-103997</t>
  </si>
  <si>
    <t>TX-103998</t>
  </si>
  <si>
    <t>TX-103999</t>
  </si>
  <si>
    <t>TX-104000</t>
  </si>
  <si>
    <t>TX-104001</t>
  </si>
  <si>
    <t>TX-104002</t>
  </si>
  <si>
    <t>TX-104003</t>
  </si>
  <si>
    <t>TX-104004</t>
  </si>
  <si>
    <t>TX-104005</t>
  </si>
  <si>
    <t>TX-104006</t>
  </si>
  <si>
    <t>TX-104007</t>
  </si>
  <si>
    <t>TX-104008</t>
  </si>
  <si>
    <t>TX-104009</t>
  </si>
  <si>
    <t>TX-104010</t>
  </si>
  <si>
    <t>TX-104011</t>
  </si>
  <si>
    <t>TX-104012</t>
  </si>
  <si>
    <t>TX-104013</t>
  </si>
  <si>
    <t>TX-104014</t>
  </si>
  <si>
    <t>TX-104015</t>
  </si>
  <si>
    <t>TX-104016</t>
  </si>
  <si>
    <t>TX-104017</t>
  </si>
  <si>
    <t>TX-104018</t>
  </si>
  <si>
    <t>TX-104019</t>
  </si>
  <si>
    <t>TX-104020</t>
  </si>
  <si>
    <t>TX-104021</t>
  </si>
  <si>
    <t>TX-104022</t>
  </si>
  <si>
    <t>TX-104023</t>
  </si>
  <si>
    <t>TX-104024</t>
  </si>
  <si>
    <t>TX-104025</t>
  </si>
  <si>
    <t>TX-104026</t>
  </si>
  <si>
    <t>TX-104027</t>
  </si>
  <si>
    <t>TX-104028</t>
  </si>
  <si>
    <t>TX-104029</t>
  </si>
  <si>
    <t>TX-104030</t>
  </si>
  <si>
    <t>TX-104031</t>
  </si>
  <si>
    <t>TX-104032</t>
  </si>
  <si>
    <t>TX-104033</t>
  </si>
  <si>
    <t>TX-104034</t>
  </si>
  <si>
    <t>TX-104035</t>
  </si>
  <si>
    <t>TX-104036</t>
  </si>
  <si>
    <t>TX-104037</t>
  </si>
  <si>
    <t>TX-104038</t>
  </si>
  <si>
    <t>TX-104039</t>
  </si>
  <si>
    <t>TX-104040</t>
  </si>
  <si>
    <t>TX-104041</t>
  </si>
  <si>
    <t>TX-104042</t>
  </si>
  <si>
    <t>TX-104043</t>
  </si>
  <si>
    <t>TX-104044</t>
  </si>
  <si>
    <t>TX-104045</t>
  </si>
  <si>
    <t>TX-104046</t>
  </si>
  <si>
    <t>TX-104047</t>
  </si>
  <si>
    <t>TX-104048</t>
  </si>
  <si>
    <t>TX-104049</t>
  </si>
  <si>
    <t>TX-104050</t>
  </si>
  <si>
    <t>TX-104051</t>
  </si>
  <si>
    <t>TX-104052</t>
  </si>
  <si>
    <t>TX-104053</t>
  </si>
  <si>
    <t>TX-104054</t>
  </si>
  <si>
    <t>TX-104055</t>
  </si>
  <si>
    <t>TX-104056</t>
  </si>
  <si>
    <t>TX-104057</t>
  </si>
  <si>
    <t>TX-104058</t>
  </si>
  <si>
    <t>TX-104059</t>
  </si>
  <si>
    <t>TX-104060</t>
  </si>
  <si>
    <t>TX-104061</t>
  </si>
  <si>
    <t>TX-104062</t>
  </si>
  <si>
    <t>TX-104063</t>
  </si>
  <si>
    <t>TX-104064</t>
  </si>
  <si>
    <t>TX-104065</t>
  </si>
  <si>
    <t>TX-104066</t>
  </si>
  <si>
    <t>TX-104067</t>
  </si>
  <si>
    <t>TX-104068</t>
  </si>
  <si>
    <t>TX-104069</t>
  </si>
  <si>
    <t>TX-104070</t>
  </si>
  <si>
    <t>TX-104071</t>
  </si>
  <si>
    <t>TX-104072</t>
  </si>
  <si>
    <t>TX-104073</t>
  </si>
  <si>
    <t>TX-104074</t>
  </si>
  <si>
    <t>TX-104075</t>
  </si>
  <si>
    <t>TX-104076</t>
  </si>
  <si>
    <t>TX-104077</t>
  </si>
  <si>
    <t>TX-104078</t>
  </si>
  <si>
    <t>TX-104079</t>
  </si>
  <si>
    <t>TX-104080</t>
  </si>
  <si>
    <t>TX-104081</t>
  </si>
  <si>
    <t>TX-104082</t>
  </si>
  <si>
    <t>TX-104083</t>
  </si>
  <si>
    <t>TX-104084</t>
  </si>
  <si>
    <t>TX-104085</t>
  </si>
  <si>
    <t>TX-104086</t>
  </si>
  <si>
    <t>TX-104087</t>
  </si>
  <si>
    <t>TX-104088</t>
  </si>
  <si>
    <t>TX-104089</t>
  </si>
  <si>
    <t>TX-104090</t>
  </si>
  <si>
    <t>TX-104091</t>
  </si>
  <si>
    <t>TX-104092</t>
  </si>
  <si>
    <t>TX-104093</t>
  </si>
  <si>
    <t>TX-104094</t>
  </si>
  <si>
    <t>TX-104095</t>
  </si>
  <si>
    <t>TX-104096</t>
  </si>
  <si>
    <t>TX-104097</t>
  </si>
  <si>
    <t>TX-104098</t>
  </si>
  <si>
    <t>TX-104099</t>
  </si>
  <si>
    <t>TX-104100</t>
  </si>
  <si>
    <t>TX-104101</t>
  </si>
  <si>
    <t>TX-104102</t>
  </si>
  <si>
    <t>TX-104103</t>
  </si>
  <si>
    <t>TX-104104</t>
  </si>
  <si>
    <t>TX-104105</t>
  </si>
  <si>
    <t>TX-104106</t>
  </si>
  <si>
    <t>TX-104107</t>
  </si>
  <si>
    <t>TX-104108</t>
  </si>
  <si>
    <t>TX-104109</t>
  </si>
  <si>
    <t>TX-104110</t>
  </si>
  <si>
    <t>TX-104111</t>
  </si>
  <si>
    <t>TX-104112</t>
  </si>
  <si>
    <t>TX-104113</t>
  </si>
  <si>
    <t>TX-104114</t>
  </si>
  <si>
    <t>TX-104115</t>
  </si>
  <si>
    <t>TX-104116</t>
  </si>
  <si>
    <t>TX-104117</t>
  </si>
  <si>
    <t>TX-104118</t>
  </si>
  <si>
    <t>TX-104119</t>
  </si>
  <si>
    <t>TX-104120</t>
  </si>
  <si>
    <t>TX-104121</t>
  </si>
  <si>
    <t>TX-104122</t>
  </si>
  <si>
    <t>TX-104123</t>
  </si>
  <si>
    <t>TX-104124</t>
  </si>
  <si>
    <t>TX-104125</t>
  </si>
  <si>
    <t>TX-104126</t>
  </si>
  <si>
    <t>TX-104127</t>
  </si>
  <si>
    <t>TX-104128</t>
  </si>
  <si>
    <t>TX-104129</t>
  </si>
  <si>
    <t>TX-104130</t>
  </si>
  <si>
    <t>TX-104131</t>
  </si>
  <si>
    <t>TX-104132</t>
  </si>
  <si>
    <t>TX-104133</t>
  </si>
  <si>
    <t>TX-104134</t>
  </si>
  <si>
    <t>TX-104135</t>
  </si>
  <si>
    <t>TX-104136</t>
  </si>
  <si>
    <t>TX-104137</t>
  </si>
  <si>
    <t>TX-104138</t>
  </si>
  <si>
    <t>TX-104139</t>
  </si>
  <si>
    <t>TX-104140</t>
  </si>
  <si>
    <t>TX-104141</t>
  </si>
  <si>
    <t>TX-104142</t>
  </si>
  <si>
    <t>TX-104143</t>
  </si>
  <si>
    <t>TX-104144</t>
  </si>
  <si>
    <t>TX-104145</t>
  </si>
  <si>
    <t>TX-104146</t>
  </si>
  <si>
    <t>TX-104147</t>
  </si>
  <si>
    <t>TX-104148</t>
  </si>
  <si>
    <t>TX-104149</t>
  </si>
  <si>
    <t>TX-104150</t>
  </si>
  <si>
    <t>TX-104151</t>
  </si>
  <si>
    <t>TX-104152</t>
  </si>
  <si>
    <t>TX-104153</t>
  </si>
  <si>
    <t>TX-104154</t>
  </si>
  <si>
    <t>TX-104155</t>
  </si>
  <si>
    <t>TX-104156</t>
  </si>
  <si>
    <t>TX-104157</t>
  </si>
  <si>
    <t>TX-104158</t>
  </si>
  <si>
    <t>TX-104159</t>
  </si>
  <si>
    <t>TX-104160</t>
  </si>
  <si>
    <t>TX-104161</t>
  </si>
  <si>
    <t>TX-104162</t>
  </si>
  <si>
    <t>TX-104163</t>
  </si>
  <si>
    <t>TX-104164</t>
  </si>
  <si>
    <t>TX-104165</t>
  </si>
  <si>
    <t>TX-104166</t>
  </si>
  <si>
    <t>TX-104167</t>
  </si>
  <si>
    <t>TX-104168</t>
  </si>
  <si>
    <t>TX-104169</t>
  </si>
  <si>
    <t>TX-104170</t>
  </si>
  <si>
    <t>TX-104171</t>
  </si>
  <si>
    <t>TX-104172</t>
  </si>
  <si>
    <t>TX-104173</t>
  </si>
  <si>
    <t>TX-104174</t>
  </si>
  <si>
    <t>TX-104175</t>
  </si>
  <si>
    <t>TX-104176</t>
  </si>
  <si>
    <t>TX-104177</t>
  </si>
  <si>
    <t>TX-104178</t>
  </si>
  <si>
    <t>TX-104179</t>
  </si>
  <si>
    <t>TX-104180</t>
  </si>
  <si>
    <t>TX-104181</t>
  </si>
  <si>
    <t>TX-104182</t>
  </si>
  <si>
    <t>TX-104183</t>
  </si>
  <si>
    <t>TX-104184</t>
  </si>
  <si>
    <t>TX-104185</t>
  </si>
  <si>
    <t>TX-104186</t>
  </si>
  <si>
    <t>TX-104187</t>
  </si>
  <si>
    <t>TX-104188</t>
  </si>
  <si>
    <t>TX-104189</t>
  </si>
  <si>
    <t>TX-104190</t>
  </si>
  <si>
    <t>TX-104191</t>
  </si>
  <si>
    <t>TX-104192</t>
  </si>
  <si>
    <t>TX-104193</t>
  </si>
  <si>
    <t>TX-104194</t>
  </si>
  <si>
    <t>TX-104195</t>
  </si>
  <si>
    <t>TX-104196</t>
  </si>
  <si>
    <t>TX-104197</t>
  </si>
  <si>
    <t>TX-104198</t>
  </si>
  <si>
    <t>TX-104199</t>
  </si>
  <si>
    <t>TX-104200</t>
  </si>
  <si>
    <t>TX-104201</t>
  </si>
  <si>
    <t>TX-104202</t>
  </si>
  <si>
    <t>TX-104203</t>
  </si>
  <si>
    <t>TX-104204</t>
  </si>
  <si>
    <t>TX-104205</t>
  </si>
  <si>
    <t>TX-104206</t>
  </si>
  <si>
    <t>TX-104207</t>
  </si>
  <si>
    <t>TX-104208</t>
  </si>
  <si>
    <t>TX-104209</t>
  </si>
  <si>
    <t>TX-104210</t>
  </si>
  <si>
    <t>TX-104211</t>
  </si>
  <si>
    <t>TX-104212</t>
  </si>
  <si>
    <t>TX-104213</t>
  </si>
  <si>
    <t>TX-104214</t>
  </si>
  <si>
    <t>TX-104215</t>
  </si>
  <si>
    <t>TX-104216</t>
  </si>
  <si>
    <t>TX-104217</t>
  </si>
  <si>
    <t>TX-104218</t>
  </si>
  <si>
    <t>TX-104219</t>
  </si>
  <si>
    <t>TX-104220</t>
  </si>
  <si>
    <t>TX-104221</t>
  </si>
  <si>
    <t>TX-104222</t>
  </si>
  <si>
    <t>TX-104223</t>
  </si>
  <si>
    <t>TX-104224</t>
  </si>
  <si>
    <t>TX-104225</t>
  </si>
  <si>
    <t>TX-104226</t>
  </si>
  <si>
    <t>TX-104227</t>
  </si>
  <si>
    <t>TX-104228</t>
  </si>
  <si>
    <t>TX-104229</t>
  </si>
  <si>
    <t>TX-104230</t>
  </si>
  <si>
    <t>TX-104231</t>
  </si>
  <si>
    <t>TX-104232</t>
  </si>
  <si>
    <t>TX-104233</t>
  </si>
  <si>
    <t>TX-104234</t>
  </si>
  <si>
    <t>TX-104235</t>
  </si>
  <si>
    <t>TX-104236</t>
  </si>
  <si>
    <t>TX-104237</t>
  </si>
  <si>
    <t>TX-104238</t>
  </si>
  <si>
    <t>TX-104239</t>
  </si>
  <si>
    <t>TX-104240</t>
  </si>
  <si>
    <t>TX-104241</t>
  </si>
  <si>
    <t>TX-104242</t>
  </si>
  <si>
    <t>TX-104243</t>
  </si>
  <si>
    <t>TX-104244</t>
  </si>
  <si>
    <t>TX-104245</t>
  </si>
  <si>
    <t>TX-104246</t>
  </si>
  <si>
    <t>TX-104247</t>
  </si>
  <si>
    <t>TX-104248</t>
  </si>
  <si>
    <t>TX-104249</t>
  </si>
  <si>
    <t>TX-104250</t>
  </si>
  <si>
    <t>TX-104251</t>
  </si>
  <si>
    <t>TX-104252</t>
  </si>
  <si>
    <t>TX-104253</t>
  </si>
  <si>
    <t>TX-104254</t>
  </si>
  <si>
    <t>TX-104255</t>
  </si>
  <si>
    <t>TX-104256</t>
  </si>
  <si>
    <t>TX-104257</t>
  </si>
  <si>
    <t>TX-104258</t>
  </si>
  <si>
    <t>TX-104259</t>
  </si>
  <si>
    <t>TX-104260</t>
  </si>
  <si>
    <t>TX-104261</t>
  </si>
  <si>
    <t>TX-104262</t>
  </si>
  <si>
    <t>TX-104263</t>
  </si>
  <si>
    <t>TX-104264</t>
  </si>
  <si>
    <t>TX-104265</t>
  </si>
  <si>
    <t>TX-104266</t>
  </si>
  <si>
    <t>TX-104267</t>
  </si>
  <si>
    <t>TX-104268</t>
  </si>
  <si>
    <t>TX-104269</t>
  </si>
  <si>
    <t>TX-104270</t>
  </si>
  <si>
    <t>TX-104271</t>
  </si>
  <si>
    <t>TX-104272</t>
  </si>
  <si>
    <t>TX-104273</t>
  </si>
  <si>
    <t>TX-104274</t>
  </si>
  <si>
    <t>TX-104275</t>
  </si>
  <si>
    <t>TX-104276</t>
  </si>
  <si>
    <t>TX-104277</t>
  </si>
  <si>
    <t>TX-104278</t>
  </si>
  <si>
    <t>TX-104279</t>
  </si>
  <si>
    <t>TX-104280</t>
  </si>
  <si>
    <t>TX-104281</t>
  </si>
  <si>
    <t>TX-104282</t>
  </si>
  <si>
    <t>TX-104283</t>
  </si>
  <si>
    <t>TX-104284</t>
  </si>
  <si>
    <t>TX-104285</t>
  </si>
  <si>
    <t>TX-104286</t>
  </si>
  <si>
    <t>TX-104287</t>
  </si>
  <si>
    <t>TX-104288</t>
  </si>
  <si>
    <t>TX-104289</t>
  </si>
  <si>
    <t>TX-104290</t>
  </si>
  <si>
    <t>TX-104291</t>
  </si>
  <si>
    <t>TX-104292</t>
  </si>
  <si>
    <t>TX-104293</t>
  </si>
  <si>
    <t>TX-104294</t>
  </si>
  <si>
    <t>TX-104295</t>
  </si>
  <si>
    <t>TX-104296</t>
  </si>
  <si>
    <t>TX-104297</t>
  </si>
  <si>
    <t>TX-104298</t>
  </si>
  <si>
    <t>TX-104299</t>
  </si>
  <si>
    <t>TX-104300</t>
  </si>
  <si>
    <t>TX-104301</t>
  </si>
  <si>
    <t>TX-104302</t>
  </si>
  <si>
    <t>TX-104303</t>
  </si>
  <si>
    <t>TX-104304</t>
  </si>
  <si>
    <t>TX-104305</t>
  </si>
  <si>
    <t>TX-104306</t>
  </si>
  <si>
    <t>TX-104307</t>
  </si>
  <si>
    <t>TX-104308</t>
  </si>
  <si>
    <t>TX-104309</t>
  </si>
  <si>
    <t>TX-104310</t>
  </si>
  <si>
    <t>TX-104311</t>
  </si>
  <si>
    <t>TX-104312</t>
  </si>
  <si>
    <t>TX-104313</t>
  </si>
  <si>
    <t>TX-104314</t>
  </si>
  <si>
    <t>TX-104315</t>
  </si>
  <si>
    <t>TX-104316</t>
  </si>
  <si>
    <t>TX-104317</t>
  </si>
  <si>
    <t>TX-104318</t>
  </si>
  <si>
    <t>TX-104319</t>
  </si>
  <si>
    <t>TX-104320</t>
  </si>
  <si>
    <t>TX-104321</t>
  </si>
  <si>
    <t>TX-104322</t>
  </si>
  <si>
    <t>TX-104323</t>
  </si>
  <si>
    <t>TX-104324</t>
  </si>
  <si>
    <t>TX-104325</t>
  </si>
  <si>
    <t>TX-104326</t>
  </si>
  <si>
    <t>TX-104327</t>
  </si>
  <si>
    <t>TX-104328</t>
  </si>
  <si>
    <t>TX-104329</t>
  </si>
  <si>
    <t>TX-104330</t>
  </si>
  <si>
    <t>TX-104331</t>
  </si>
  <si>
    <t>TX-104332</t>
  </si>
  <si>
    <t>TX-104333</t>
  </si>
  <si>
    <t>TX-104334</t>
  </si>
  <si>
    <t>TX-104335</t>
  </si>
  <si>
    <t>TX-104336</t>
  </si>
  <si>
    <t>TX-104337</t>
  </si>
  <si>
    <t>TX-104338</t>
  </si>
  <si>
    <t>TX-104339</t>
  </si>
  <si>
    <t>TX-104340</t>
  </si>
  <si>
    <t>TX-104341</t>
  </si>
  <si>
    <t>TX-104342</t>
  </si>
  <si>
    <t>TX-104343</t>
  </si>
  <si>
    <t>TX-104344</t>
  </si>
  <si>
    <t>TX-104345</t>
  </si>
  <si>
    <t>TX-104346</t>
  </si>
  <si>
    <t>TX-104347</t>
  </si>
  <si>
    <t>TX-104348</t>
  </si>
  <si>
    <t>TX-104349</t>
  </si>
  <si>
    <t>TX-104350</t>
  </si>
  <si>
    <t>TX-104351</t>
  </si>
  <si>
    <t>TX-104352</t>
  </si>
  <si>
    <t>TX-104353</t>
  </si>
  <si>
    <t>TX-104354</t>
  </si>
  <si>
    <t>TX-104355</t>
  </si>
  <si>
    <t>TX-104356</t>
  </si>
  <si>
    <t>TX-104357</t>
  </si>
  <si>
    <t>TX-104358</t>
  </si>
  <si>
    <t>TX-104359</t>
  </si>
  <si>
    <t>TX-104360</t>
  </si>
  <si>
    <t>TX-104361</t>
  </si>
  <si>
    <t>TX-104362</t>
  </si>
  <si>
    <t>TX-104363</t>
  </si>
  <si>
    <t>TX-104364</t>
  </si>
  <si>
    <t>TX-104365</t>
  </si>
  <si>
    <t>TX-104366</t>
  </si>
  <si>
    <t>TX-104367</t>
  </si>
  <si>
    <t>TX-104368</t>
  </si>
  <si>
    <t>TX-104369</t>
  </si>
  <si>
    <t>TX-104370</t>
  </si>
  <si>
    <t>TX-104371</t>
  </si>
  <si>
    <t>TX-104372</t>
  </si>
  <si>
    <t>TX-104373</t>
  </si>
  <si>
    <t>TX-104374</t>
  </si>
  <si>
    <t>TX-104375</t>
  </si>
  <si>
    <t>TX-104376</t>
  </si>
  <si>
    <t>TX-104377</t>
  </si>
  <si>
    <t>TX-104378</t>
  </si>
  <si>
    <t>TX-104379</t>
  </si>
  <si>
    <t>TX-104380</t>
  </si>
  <si>
    <t>TX-104381</t>
  </si>
  <si>
    <t>TX-104382</t>
  </si>
  <si>
    <t>TX-104383</t>
  </si>
  <si>
    <t>TX-104384</t>
  </si>
  <si>
    <t>TX-104385</t>
  </si>
  <si>
    <t>TX-104386</t>
  </si>
  <si>
    <t>TX-104387</t>
  </si>
  <si>
    <t>TX-104388</t>
  </si>
  <si>
    <t>TX-104389</t>
  </si>
  <si>
    <t>TX-104390</t>
  </si>
  <si>
    <t>TX-104391</t>
  </si>
  <si>
    <t>TX-104392</t>
  </si>
  <si>
    <t>TX-104393</t>
  </si>
  <si>
    <t>TX-104394</t>
  </si>
  <si>
    <t>TX-104395</t>
  </si>
  <si>
    <t>TX-104396</t>
  </si>
  <si>
    <t>TX-104397</t>
  </si>
  <si>
    <t>TX-104398</t>
  </si>
  <si>
    <t>TX-104399</t>
  </si>
  <si>
    <t>TX-104400</t>
  </si>
  <si>
    <t>TX-104401</t>
  </si>
  <si>
    <t>TX-104402</t>
  </si>
  <si>
    <t>TX-104403</t>
  </si>
  <si>
    <t>TX-104404</t>
  </si>
  <si>
    <t>TX-104405</t>
  </si>
  <si>
    <t>TX-104406</t>
  </si>
  <si>
    <t>TX-104407</t>
  </si>
  <si>
    <t>TX-104408</t>
  </si>
  <si>
    <t>TX-104409</t>
  </si>
  <si>
    <t>TX-104410</t>
  </si>
  <si>
    <t>TX-104411</t>
  </si>
  <si>
    <t>TX-104412</t>
  </si>
  <si>
    <t>TX-104413</t>
  </si>
  <si>
    <t>TX-104414</t>
  </si>
  <si>
    <t>TX-104415</t>
  </si>
  <si>
    <t>TX-104416</t>
  </si>
  <si>
    <t>TX-104417</t>
  </si>
  <si>
    <t>TX-104418</t>
  </si>
  <si>
    <t>TX-104419</t>
  </si>
  <si>
    <t>TX-104420</t>
  </si>
  <si>
    <t>TX-104421</t>
  </si>
  <si>
    <t>TX-104422</t>
  </si>
  <si>
    <t>TX-104423</t>
  </si>
  <si>
    <t>TX-104424</t>
  </si>
  <si>
    <t>TX-104425</t>
  </si>
  <si>
    <t>TX-104426</t>
  </si>
  <si>
    <t>TX-104427</t>
  </si>
  <si>
    <t>TX-104428</t>
  </si>
  <si>
    <t>TX-104429</t>
  </si>
  <si>
    <t>TX-104430</t>
  </si>
  <si>
    <t>TX-104431</t>
  </si>
  <si>
    <t>TX-104432</t>
  </si>
  <si>
    <t>TX-104433</t>
  </si>
  <si>
    <t>TX-104434</t>
  </si>
  <si>
    <t>TX-104435</t>
  </si>
  <si>
    <t>TX-104436</t>
  </si>
  <si>
    <t>TX-104437</t>
  </si>
  <si>
    <t>TX-104438</t>
  </si>
  <si>
    <t>TX-104439</t>
  </si>
  <si>
    <t>TX-104440</t>
  </si>
  <si>
    <t>TX-104441</t>
  </si>
  <si>
    <t>TX-104442</t>
  </si>
  <si>
    <t>TX-104443</t>
  </si>
  <si>
    <t>TX-104444</t>
  </si>
  <si>
    <t>TX-104445</t>
  </si>
  <si>
    <t>TX-104446</t>
  </si>
  <si>
    <t>TX-104447</t>
  </si>
  <si>
    <t>TX-104448</t>
  </si>
  <si>
    <t>TX-104449</t>
  </si>
  <si>
    <t>TX-104450</t>
  </si>
  <si>
    <t>TX-104451</t>
  </si>
  <si>
    <t>TX-104452</t>
  </si>
  <si>
    <t>TX-104453</t>
  </si>
  <si>
    <t>TX-104454</t>
  </si>
  <si>
    <t>TX-104455</t>
  </si>
  <si>
    <t>TX-104456</t>
  </si>
  <si>
    <t>TX-104457</t>
  </si>
  <si>
    <t>TX-104458</t>
  </si>
  <si>
    <t>TX-104459</t>
  </si>
  <si>
    <t>TX-104460</t>
  </si>
  <si>
    <t>TX-104461</t>
  </si>
  <si>
    <t>TX-104462</t>
  </si>
  <si>
    <t>TX-104463</t>
  </si>
  <si>
    <t>TX-104464</t>
  </si>
  <si>
    <t>TX-104465</t>
  </si>
  <si>
    <t>TX-104466</t>
  </si>
  <si>
    <t>TX-104467</t>
  </si>
  <si>
    <t>TX-104468</t>
  </si>
  <si>
    <t>TX-104469</t>
  </si>
  <si>
    <t>TX-104470</t>
  </si>
  <si>
    <t>TX-104471</t>
  </si>
  <si>
    <t>TX-104472</t>
  </si>
  <si>
    <t>TX-104473</t>
  </si>
  <si>
    <t>TX-104474</t>
  </si>
  <si>
    <t>TX-104475</t>
  </si>
  <si>
    <t>TX-104476</t>
  </si>
  <si>
    <t>TX-104477</t>
  </si>
  <si>
    <t>TX-104478</t>
  </si>
  <si>
    <t>TX-104479</t>
  </si>
  <si>
    <t>TX-104480</t>
  </si>
  <si>
    <t>TX-104481</t>
  </si>
  <si>
    <t>TX-104482</t>
  </si>
  <si>
    <t>TX-104483</t>
  </si>
  <si>
    <t>TX-104484</t>
  </si>
  <si>
    <t>TX-104485</t>
  </si>
  <si>
    <t>TX-104486</t>
  </si>
  <si>
    <t>TX-104487</t>
  </si>
  <si>
    <t>TX-104488</t>
  </si>
  <si>
    <t>TX-104489</t>
  </si>
  <si>
    <t>TX-104490</t>
  </si>
  <si>
    <t>TX-104491</t>
  </si>
  <si>
    <t>TX-104492</t>
  </si>
  <si>
    <t>TX-104493</t>
  </si>
  <si>
    <t>TX-104494</t>
  </si>
  <si>
    <t>TX-104495</t>
  </si>
  <si>
    <t>TX-104496</t>
  </si>
  <si>
    <t>TX-104497</t>
  </si>
  <si>
    <t>TX-104498</t>
  </si>
  <si>
    <t>TX-104499</t>
  </si>
  <si>
    <t>TX-104500</t>
  </si>
  <si>
    <t>TX-104501</t>
  </si>
  <si>
    <t>TX-104502</t>
  </si>
  <si>
    <t>TX-104503</t>
  </si>
  <si>
    <t>TX-104504</t>
  </si>
  <si>
    <t>TX-104505</t>
  </si>
  <si>
    <t>TX-104506</t>
  </si>
  <si>
    <t>TX-104507</t>
  </si>
  <si>
    <t>TX-104508</t>
  </si>
  <si>
    <t>TX-104509</t>
  </si>
  <si>
    <t>TX-104510</t>
  </si>
  <si>
    <t>TX-104511</t>
  </si>
  <si>
    <t>TX-104512</t>
  </si>
  <si>
    <t>TX-104513</t>
  </si>
  <si>
    <t>TX-104514</t>
  </si>
  <si>
    <t>TX-104515</t>
  </si>
  <si>
    <t>TX-104516</t>
  </si>
  <si>
    <t>TX-104517</t>
  </si>
  <si>
    <t>TX-104518</t>
  </si>
  <si>
    <t>TX-104519</t>
  </si>
  <si>
    <t>TX-104520</t>
  </si>
  <si>
    <t>TX-104521</t>
  </si>
  <si>
    <t>TX-104522</t>
  </si>
  <si>
    <t>TX-104523</t>
  </si>
  <si>
    <t>TX-104524</t>
  </si>
  <si>
    <t>TX-104525</t>
  </si>
  <si>
    <t>TX-104526</t>
  </si>
  <si>
    <t>TX-104527</t>
  </si>
  <si>
    <t>TX-104528</t>
  </si>
  <si>
    <t>TX-104529</t>
  </si>
  <si>
    <t>TX-104530</t>
  </si>
  <si>
    <t>TX-104531</t>
  </si>
  <si>
    <t>TX-104532</t>
  </si>
  <si>
    <t>TX-104533</t>
  </si>
  <si>
    <t>TX-104534</t>
  </si>
  <si>
    <t>TX-104535</t>
  </si>
  <si>
    <t>TX-104536</t>
  </si>
  <si>
    <t>TX-104537</t>
  </si>
  <si>
    <t>TX-104538</t>
  </si>
  <si>
    <t>TX-104539</t>
  </si>
  <si>
    <t>TX-104540</t>
  </si>
  <si>
    <t>TX-104541</t>
  </si>
  <si>
    <t>TX-104542</t>
  </si>
  <si>
    <t>TX-104543</t>
  </si>
  <si>
    <t>TX-104544</t>
  </si>
  <si>
    <t>TX-104545</t>
  </si>
  <si>
    <t>TX-104546</t>
  </si>
  <si>
    <t>TX-104547</t>
  </si>
  <si>
    <t>TX-104548</t>
  </si>
  <si>
    <t>TX-104549</t>
  </si>
  <si>
    <t>TX-104550</t>
  </si>
  <si>
    <t>TX-104551</t>
  </si>
  <si>
    <t>TX-104552</t>
  </si>
  <si>
    <t>TX-104553</t>
  </si>
  <si>
    <t>TX-104554</t>
  </si>
  <si>
    <t>TX-104555</t>
  </si>
  <si>
    <t>TX-104556</t>
  </si>
  <si>
    <t>TX-104557</t>
  </si>
  <si>
    <t>TX-104558</t>
  </si>
  <si>
    <t>TX-104559</t>
  </si>
  <si>
    <t>TX-104560</t>
  </si>
  <si>
    <t>TX-104561</t>
  </si>
  <si>
    <t>TX-104562</t>
  </si>
  <si>
    <t>TX-104563</t>
  </si>
  <si>
    <t>TX-104564</t>
  </si>
  <si>
    <t>TX-104565</t>
  </si>
  <si>
    <t>TX-104566</t>
  </si>
  <si>
    <t>TX-104567</t>
  </si>
  <si>
    <t>TX-104568</t>
  </si>
  <si>
    <t>TX-104569</t>
  </si>
  <si>
    <t>TX-104570</t>
  </si>
  <si>
    <t>TX-104571</t>
  </si>
  <si>
    <t>TX-104572</t>
  </si>
  <si>
    <t>TX-104573</t>
  </si>
  <si>
    <t>TX-104574</t>
  </si>
  <si>
    <t>TX-104575</t>
  </si>
  <si>
    <t>TX-104576</t>
  </si>
  <si>
    <t>TX-104577</t>
  </si>
  <si>
    <t>TX-104578</t>
  </si>
  <si>
    <t>TX-104579</t>
  </si>
  <si>
    <t>TX-104580</t>
  </si>
  <si>
    <t>TX-104581</t>
  </si>
  <si>
    <t>TX-104582</t>
  </si>
  <si>
    <t>TX-104583</t>
  </si>
  <si>
    <t>TX-104584</t>
  </si>
  <si>
    <t>TX-104585</t>
  </si>
  <si>
    <t>TX-104586</t>
  </si>
  <si>
    <t>TX-104587</t>
  </si>
  <si>
    <t>TX-104588</t>
  </si>
  <si>
    <t>TX-104589</t>
  </si>
  <si>
    <t>TX-104590</t>
  </si>
  <si>
    <t>TX-104591</t>
  </si>
  <si>
    <t>TX-104592</t>
  </si>
  <si>
    <t>TX-104593</t>
  </si>
  <si>
    <t>TX-104594</t>
  </si>
  <si>
    <t>TX-104595</t>
  </si>
  <si>
    <t>TX-104596</t>
  </si>
  <si>
    <t>TX-104597</t>
  </si>
  <si>
    <t>TX-104598</t>
  </si>
  <si>
    <t>TX-104599</t>
  </si>
  <si>
    <t>TX-104600</t>
  </si>
  <si>
    <t>TX-104601</t>
  </si>
  <si>
    <t>TX-104602</t>
  </si>
  <si>
    <t>TX-104603</t>
  </si>
  <si>
    <t>TX-104604</t>
  </si>
  <si>
    <t>TX-104605</t>
  </si>
  <si>
    <t>TX-104606</t>
  </si>
  <si>
    <t>TX-104607</t>
  </si>
  <si>
    <t>TX-104608</t>
  </si>
  <si>
    <t>TX-104609</t>
  </si>
  <si>
    <t>TX-104610</t>
  </si>
  <si>
    <t>TX-104611</t>
  </si>
  <si>
    <t>TX-104612</t>
  </si>
  <si>
    <t>TX-104613</t>
  </si>
  <si>
    <t>TX-104614</t>
  </si>
  <si>
    <t>TX-104615</t>
  </si>
  <si>
    <t>TX-104616</t>
  </si>
  <si>
    <t>TX-104617</t>
  </si>
  <si>
    <t>TX-104618</t>
  </si>
  <si>
    <t>TX-104619</t>
  </si>
  <si>
    <t>TX-104620</t>
  </si>
  <si>
    <t>TX-104621</t>
  </si>
  <si>
    <t>TX-104622</t>
  </si>
  <si>
    <t>TX-104623</t>
  </si>
  <si>
    <t>TX-104624</t>
  </si>
  <si>
    <t>TX-104625</t>
  </si>
  <si>
    <t>TX-104626</t>
  </si>
  <si>
    <t>TX-104627</t>
  </si>
  <si>
    <t>TX-104628</t>
  </si>
  <si>
    <t>TX-104629</t>
  </si>
  <si>
    <t>TX-104630</t>
  </si>
  <si>
    <t>TX-104631</t>
  </si>
  <si>
    <t>TX-104632</t>
  </si>
  <si>
    <t>TX-104633</t>
  </si>
  <si>
    <t>TX-104634</t>
  </si>
  <si>
    <t>TX-104635</t>
  </si>
  <si>
    <t>TX-104636</t>
  </si>
  <si>
    <t>TX-104637</t>
  </si>
  <si>
    <t>TX-104638</t>
  </si>
  <si>
    <t>TX-104639</t>
  </si>
  <si>
    <t>TX-104640</t>
  </si>
  <si>
    <t>TX-104641</t>
  </si>
  <si>
    <t>TX-104642</t>
  </si>
  <si>
    <t>TX-104643</t>
  </si>
  <si>
    <t>TX-104644</t>
  </si>
  <si>
    <t>TX-104645</t>
  </si>
  <si>
    <t>TX-104646</t>
  </si>
  <si>
    <t>TX-104647</t>
  </si>
  <si>
    <t>TX-104648</t>
  </si>
  <si>
    <t>TX-104649</t>
  </si>
  <si>
    <t>TX-104650</t>
  </si>
  <si>
    <t>TX-104651</t>
  </si>
  <si>
    <t>TX-104652</t>
  </si>
  <si>
    <t>TX-104653</t>
  </si>
  <si>
    <t>TX-104654</t>
  </si>
  <si>
    <t>TX-104655</t>
  </si>
  <si>
    <t>TX-104656</t>
  </si>
  <si>
    <t>TX-104657</t>
  </si>
  <si>
    <t>TX-104658</t>
  </si>
  <si>
    <t>TX-104659</t>
  </si>
  <si>
    <t>TX-104660</t>
  </si>
  <si>
    <t>TX-104661</t>
  </si>
  <si>
    <t>TX-104662</t>
  </si>
  <si>
    <t>TX-104663</t>
  </si>
  <si>
    <t>TX-104664</t>
  </si>
  <si>
    <t>TX-104665</t>
  </si>
  <si>
    <t>TX-104666</t>
  </si>
  <si>
    <t>TX-104667</t>
  </si>
  <si>
    <t>TX-104668</t>
  </si>
  <si>
    <t>TX-104669</t>
  </si>
  <si>
    <t>TX-104670</t>
  </si>
  <si>
    <t>TX-104671</t>
  </si>
  <si>
    <t>TX-104672</t>
  </si>
  <si>
    <t>TX-104673</t>
  </si>
  <si>
    <t>TX-104674</t>
  </si>
  <si>
    <t>TX-104675</t>
  </si>
  <si>
    <t>TX-104676</t>
  </si>
  <si>
    <t>TX-104677</t>
  </si>
  <si>
    <t>TX-104678</t>
  </si>
  <si>
    <t>TX-104679</t>
  </si>
  <si>
    <t>TX-104680</t>
  </si>
  <si>
    <t>TX-104681</t>
  </si>
  <si>
    <t>TX-104682</t>
  </si>
  <si>
    <t>TX-104683</t>
  </si>
  <si>
    <t>TX-104684</t>
  </si>
  <si>
    <t>TX-104685</t>
  </si>
  <si>
    <t>TX-104686</t>
  </si>
  <si>
    <t>TX-104687</t>
  </si>
  <si>
    <t>TX-104688</t>
  </si>
  <si>
    <t>TX-104689</t>
  </si>
  <si>
    <t>TX-104690</t>
  </si>
  <si>
    <t>TX-104691</t>
  </si>
  <si>
    <t>TX-104692</t>
  </si>
  <si>
    <t>TX-104693</t>
  </si>
  <si>
    <t>TX-104694</t>
  </si>
  <si>
    <t>TX-104695</t>
  </si>
  <si>
    <t>TX-104696</t>
  </si>
  <si>
    <t>TX-104697</t>
  </si>
  <si>
    <t>TX-104698</t>
  </si>
  <si>
    <t>TX-104699</t>
  </si>
  <si>
    <t>TX-104700</t>
  </si>
  <si>
    <t>TX-104701</t>
  </si>
  <si>
    <t>TX-104702</t>
  </si>
  <si>
    <t>TX-104703</t>
  </si>
  <si>
    <t>TX-104704</t>
  </si>
  <si>
    <t>TX-104705</t>
  </si>
  <si>
    <t>TX-104706</t>
  </si>
  <si>
    <t>TX-104707</t>
  </si>
  <si>
    <t>TX-104708</t>
  </si>
  <si>
    <t>TX-104709</t>
  </si>
  <si>
    <t>TX-104710</t>
  </si>
  <si>
    <t>TX-104711</t>
  </si>
  <si>
    <t>TX-104712</t>
  </si>
  <si>
    <t>TX-104713</t>
  </si>
  <si>
    <t>TX-104714</t>
  </si>
  <si>
    <t>TX-104715</t>
  </si>
  <si>
    <t>TX-104716</t>
  </si>
  <si>
    <t>TX-104717</t>
  </si>
  <si>
    <t>TX-104718</t>
  </si>
  <si>
    <t>TX-104719</t>
  </si>
  <si>
    <t>TX-104720</t>
  </si>
  <si>
    <t>TX-104721</t>
  </si>
  <si>
    <t>TX-104722</t>
  </si>
  <si>
    <t>TX-104723</t>
  </si>
  <si>
    <t>TX-104724</t>
  </si>
  <si>
    <t>TX-104725</t>
  </si>
  <si>
    <t>TX-104726</t>
  </si>
  <si>
    <t>TX-104727</t>
  </si>
  <si>
    <t>TX-104728</t>
  </si>
  <si>
    <t>TX-104729</t>
  </si>
  <si>
    <t>TX-104730</t>
  </si>
  <si>
    <t>TX-104731</t>
  </si>
  <si>
    <t>TX-104732</t>
  </si>
  <si>
    <t>TX-104733</t>
  </si>
  <si>
    <t>TX-104734</t>
  </si>
  <si>
    <t>TX-104735</t>
  </si>
  <si>
    <t>TX-104736</t>
  </si>
  <si>
    <t>TX-104737</t>
  </si>
  <si>
    <t>TX-104738</t>
  </si>
  <si>
    <t>TX-104739</t>
  </si>
  <si>
    <t>TX-104740</t>
  </si>
  <si>
    <t>TX-104741</t>
  </si>
  <si>
    <t>TX-104742</t>
  </si>
  <si>
    <t>TX-104743</t>
  </si>
  <si>
    <t>TX-104744</t>
  </si>
  <si>
    <t>TX-104745</t>
  </si>
  <si>
    <t>TX-104746</t>
  </si>
  <si>
    <t>TX-104747</t>
  </si>
  <si>
    <t>TX-104748</t>
  </si>
  <si>
    <t>TX-104749</t>
  </si>
  <si>
    <t>TX-104750</t>
  </si>
  <si>
    <t>TX-104751</t>
  </si>
  <si>
    <t>TX-104752</t>
  </si>
  <si>
    <t>TX-104753</t>
  </si>
  <si>
    <t>TX-104754</t>
  </si>
  <si>
    <t>TX-104755</t>
  </si>
  <si>
    <t>TX-104756</t>
  </si>
  <si>
    <t>TX-104757</t>
  </si>
  <si>
    <t>TX-104758</t>
  </si>
  <si>
    <t>TX-104759</t>
  </si>
  <si>
    <t>TX-104760</t>
  </si>
  <si>
    <t>TX-104761</t>
  </si>
  <si>
    <t>TX-104762</t>
  </si>
  <si>
    <t>TX-104763</t>
  </si>
  <si>
    <t>TX-104764</t>
  </si>
  <si>
    <t>TX-104765</t>
  </si>
  <si>
    <t>TX-104766</t>
  </si>
  <si>
    <t>TX-104767</t>
  </si>
  <si>
    <t>TX-104768</t>
  </si>
  <si>
    <t>TX-104769</t>
  </si>
  <si>
    <t>TX-104770</t>
  </si>
  <si>
    <t>TX-104771</t>
  </si>
  <si>
    <t>TX-104772</t>
  </si>
  <si>
    <t>TX-104773</t>
  </si>
  <si>
    <t>TX-104774</t>
  </si>
  <si>
    <t>TX-104775</t>
  </si>
  <si>
    <t>TX-104776</t>
  </si>
  <si>
    <t>TX-104777</t>
  </si>
  <si>
    <t>TX-104778</t>
  </si>
  <si>
    <t>TX-104779</t>
  </si>
  <si>
    <t>TX-104780</t>
  </si>
  <si>
    <t>TX-104781</t>
  </si>
  <si>
    <t>TX-104782</t>
  </si>
  <si>
    <t>TX-104783</t>
  </si>
  <si>
    <t>TX-104784</t>
  </si>
  <si>
    <t>TX-104785</t>
  </si>
  <si>
    <t>TX-104786</t>
  </si>
  <si>
    <t>TX-104787</t>
  </si>
  <si>
    <t>TX-104788</t>
  </si>
  <si>
    <t>TX-104789</t>
  </si>
  <si>
    <t>TX-104790</t>
  </si>
  <si>
    <t>TX-104791</t>
  </si>
  <si>
    <t>TX-104792</t>
  </si>
  <si>
    <t>TX-104793</t>
  </si>
  <si>
    <t>TX-104794</t>
  </si>
  <si>
    <t>TX-104795</t>
  </si>
  <si>
    <t>TX-104796</t>
  </si>
  <si>
    <t>TX-104797</t>
  </si>
  <si>
    <t>TX-104798</t>
  </si>
  <si>
    <t>TX-104799</t>
  </si>
  <si>
    <t>TX-104800</t>
  </si>
  <si>
    <t>TX-104801</t>
  </si>
  <si>
    <t>TX-104802</t>
  </si>
  <si>
    <t>TX-104803</t>
  </si>
  <si>
    <t>TX-104804</t>
  </si>
  <si>
    <t>TX-104805</t>
  </si>
  <si>
    <t>TX-104806</t>
  </si>
  <si>
    <t>TX-104807</t>
  </si>
  <si>
    <t>TX-104808</t>
  </si>
  <si>
    <t>TX-104809</t>
  </si>
  <si>
    <t>TX-104810</t>
  </si>
  <si>
    <t>TX-104811</t>
  </si>
  <si>
    <t>TX-104812</t>
  </si>
  <si>
    <t>TX-104813</t>
  </si>
  <si>
    <t>TX-104814</t>
  </si>
  <si>
    <t>TX-104815</t>
  </si>
  <si>
    <t>TX-104816</t>
  </si>
  <si>
    <t>TX-104817</t>
  </si>
  <si>
    <t>TX-104818</t>
  </si>
  <si>
    <t>TX-104819</t>
  </si>
  <si>
    <t>TX-104820</t>
  </si>
  <si>
    <t>TX-104821</t>
  </si>
  <si>
    <t>TX-104822</t>
  </si>
  <si>
    <t>TX-104823</t>
  </si>
  <si>
    <t>TX-104824</t>
  </si>
  <si>
    <t>TX-104825</t>
  </si>
  <si>
    <t>TX-104826</t>
  </si>
  <si>
    <t>TX-104827</t>
  </si>
  <si>
    <t>TX-104828</t>
  </si>
  <si>
    <t>TX-104829</t>
  </si>
  <si>
    <t>TX-104830</t>
  </si>
  <si>
    <t>TX-104831</t>
  </si>
  <si>
    <t>TX-104832</t>
  </si>
  <si>
    <t>TX-104833</t>
  </si>
  <si>
    <t>TX-104834</t>
  </si>
  <si>
    <t>TX-104835</t>
  </si>
  <si>
    <t>TX-104836</t>
  </si>
  <si>
    <t>TX-104837</t>
  </si>
  <si>
    <t>TX-104838</t>
  </si>
  <si>
    <t>TX-104839</t>
  </si>
  <si>
    <t>TX-104840</t>
  </si>
  <si>
    <t>TX-104841</t>
  </si>
  <si>
    <t>TX-104842</t>
  </si>
  <si>
    <t>TX-104843</t>
  </si>
  <si>
    <t>TX-104844</t>
  </si>
  <si>
    <t>TX-104845</t>
  </si>
  <si>
    <t>TX-104846</t>
  </si>
  <si>
    <t>TX-104847</t>
  </si>
  <si>
    <t>TX-104848</t>
  </si>
  <si>
    <t>TX-104849</t>
  </si>
  <si>
    <t>TX-104850</t>
  </si>
  <si>
    <t>TX-104851</t>
  </si>
  <si>
    <t>TX-104852</t>
  </si>
  <si>
    <t>TX-104853</t>
  </si>
  <si>
    <t>TX-104854</t>
  </si>
  <si>
    <t>TX-104855</t>
  </si>
  <si>
    <t>TX-104856</t>
  </si>
  <si>
    <t>TX-104857</t>
  </si>
  <si>
    <t>TX-104858</t>
  </si>
  <si>
    <t>TX-104859</t>
  </si>
  <si>
    <t>TX-104860</t>
  </si>
  <si>
    <t>TX-104861</t>
  </si>
  <si>
    <t>TX-104862</t>
  </si>
  <si>
    <t>TX-104863</t>
  </si>
  <si>
    <t>TX-104864</t>
  </si>
  <si>
    <t>TX-104865</t>
  </si>
  <si>
    <t>TX-104866</t>
  </si>
  <si>
    <t>TX-104867</t>
  </si>
  <si>
    <t>TX-104868</t>
  </si>
  <si>
    <t>TX-104869</t>
  </si>
  <si>
    <t>TX-104870</t>
  </si>
  <si>
    <t>TX-104871</t>
  </si>
  <si>
    <t>TX-104872</t>
  </si>
  <si>
    <t>TX-104873</t>
  </si>
  <si>
    <t>TX-104874</t>
  </si>
  <si>
    <t>TX-104875</t>
  </si>
  <si>
    <t>TX-104876</t>
  </si>
  <si>
    <t>TX-104877</t>
  </si>
  <si>
    <t>TX-104878</t>
  </si>
  <si>
    <t>TX-104879</t>
  </si>
  <si>
    <t>TX-104880</t>
  </si>
  <si>
    <t>TX-104881</t>
  </si>
  <si>
    <t>TX-104882</t>
  </si>
  <si>
    <t>TX-104883</t>
  </si>
  <si>
    <t>TX-104884</t>
  </si>
  <si>
    <t>TX-104885</t>
  </si>
  <si>
    <t>TX-104886</t>
  </si>
  <si>
    <t>TX-104887</t>
  </si>
  <si>
    <t>TX-104888</t>
  </si>
  <si>
    <t>TX-104889</t>
  </si>
  <si>
    <t>TX-104890</t>
  </si>
  <si>
    <t>TX-104891</t>
  </si>
  <si>
    <t>TX-104892</t>
  </si>
  <si>
    <t>TX-104893</t>
  </si>
  <si>
    <t>TX-104894</t>
  </si>
  <si>
    <t>TX-104895</t>
  </si>
  <si>
    <t>TX-104896</t>
  </si>
  <si>
    <t>TX-104897</t>
  </si>
  <si>
    <t>TX-104898</t>
  </si>
  <si>
    <t>TX-104899</t>
  </si>
  <si>
    <t>TX-104900</t>
  </si>
  <si>
    <t>TX-104901</t>
  </si>
  <si>
    <t>TX-104902</t>
  </si>
  <si>
    <t>TX-104903</t>
  </si>
  <si>
    <t>TX-104904</t>
  </si>
  <si>
    <t>TX-104905</t>
  </si>
  <si>
    <t>TX-104906</t>
  </si>
  <si>
    <t>TX-104907</t>
  </si>
  <si>
    <t>TX-104908</t>
  </si>
  <si>
    <t>TX-104909</t>
  </si>
  <si>
    <t>TX-104910</t>
  </si>
  <si>
    <t>TX-104911</t>
  </si>
  <si>
    <t>TX-104912</t>
  </si>
  <si>
    <t>TX-104913</t>
  </si>
  <si>
    <t>TX-104914</t>
  </si>
  <si>
    <t>TX-104915</t>
  </si>
  <si>
    <t>TX-104916</t>
  </si>
  <si>
    <t>TX-104917</t>
  </si>
  <si>
    <t>TX-104918</t>
  </si>
  <si>
    <t>TX-104919</t>
  </si>
  <si>
    <t>TX-104920</t>
  </si>
  <si>
    <t>TX-104921</t>
  </si>
  <si>
    <t>TX-104922</t>
  </si>
  <si>
    <t>TX-104923</t>
  </si>
  <si>
    <t>TX-104924</t>
  </si>
  <si>
    <t>TX-104925</t>
  </si>
  <si>
    <t>TX-104926</t>
  </si>
  <si>
    <t>TX-104927</t>
  </si>
  <si>
    <t>TX-104928</t>
  </si>
  <si>
    <t>TX-104929</t>
  </si>
  <si>
    <t>TX-104930</t>
  </si>
  <si>
    <t>TX-104931</t>
  </si>
  <si>
    <t>TX-104932</t>
  </si>
  <si>
    <t>TX-104933</t>
  </si>
  <si>
    <t>TX-104934</t>
  </si>
  <si>
    <t>TX-104935</t>
  </si>
  <si>
    <t>TX-104936</t>
  </si>
  <si>
    <t>TX-104937</t>
  </si>
  <si>
    <t>TX-104938</t>
  </si>
  <si>
    <t>TX-104939</t>
  </si>
  <si>
    <t>TX-104940</t>
  </si>
  <si>
    <t>TX-104941</t>
  </si>
  <si>
    <t>TX-104942</t>
  </si>
  <si>
    <t>TX-104943</t>
  </si>
  <si>
    <t>TX-104944</t>
  </si>
  <si>
    <t>TX-104945</t>
  </si>
  <si>
    <t>TX-104946</t>
  </si>
  <si>
    <t>TX-104947</t>
  </si>
  <si>
    <t>TX-104948</t>
  </si>
  <si>
    <t>TX-104949</t>
  </si>
  <si>
    <t>TX-104950</t>
  </si>
  <si>
    <t>TX-104951</t>
  </si>
  <si>
    <t>TX-104952</t>
  </si>
  <si>
    <t>TX-104953</t>
  </si>
  <si>
    <t>TX-104954</t>
  </si>
  <si>
    <t>TX-104955</t>
  </si>
  <si>
    <t>TX-104956</t>
  </si>
  <si>
    <t>TX-104957</t>
  </si>
  <si>
    <t>TX-104958</t>
  </si>
  <si>
    <t>TX-104959</t>
  </si>
  <si>
    <t>TX-104960</t>
  </si>
  <si>
    <t>TX-104961</t>
  </si>
  <si>
    <t>TX-104962</t>
  </si>
  <si>
    <t>TX-104963</t>
  </si>
  <si>
    <t>TX-104964</t>
  </si>
  <si>
    <t>TX-104965</t>
  </si>
  <si>
    <t>TX-104966</t>
  </si>
  <si>
    <t>TX-104967</t>
  </si>
  <si>
    <t>TX-104968</t>
  </si>
  <si>
    <t>TX-104969</t>
  </si>
  <si>
    <t>TX-104970</t>
  </si>
  <si>
    <t>TX-104971</t>
  </si>
  <si>
    <t>TX-104972</t>
  </si>
  <si>
    <t>TX-104973</t>
  </si>
  <si>
    <t>TX-104974</t>
  </si>
  <si>
    <t>TX-104975</t>
  </si>
  <si>
    <t>TX-104976</t>
  </si>
  <si>
    <t>TX-104977</t>
  </si>
  <si>
    <t>TX-104978</t>
  </si>
  <si>
    <t>TX-104979</t>
  </si>
  <si>
    <t>TX-104980</t>
  </si>
  <si>
    <t>TX-104981</t>
  </si>
  <si>
    <t>TX-104982</t>
  </si>
  <si>
    <t>TX-104983</t>
  </si>
  <si>
    <t>TX-104984</t>
  </si>
  <si>
    <t>TX-104985</t>
  </si>
  <si>
    <t>TX-104986</t>
  </si>
  <si>
    <t>TX-104987</t>
  </si>
  <si>
    <t>TX-104988</t>
  </si>
  <si>
    <t>TX-104989</t>
  </si>
  <si>
    <t>TX-104990</t>
  </si>
  <si>
    <t>TX-104991</t>
  </si>
  <si>
    <t>TX-104992</t>
  </si>
  <si>
    <t>TX-104993</t>
  </si>
  <si>
    <t>TX-104994</t>
  </si>
  <si>
    <t>TX-104995</t>
  </si>
  <si>
    <t>TX-104996</t>
  </si>
  <si>
    <t>TX-104997</t>
  </si>
  <si>
    <t>TX-104998</t>
  </si>
  <si>
    <t>TX-104999</t>
  </si>
  <si>
    <t>Grupo Soluciones CR</t>
  </si>
  <si>
    <t>Inversiones Atlas</t>
  </si>
  <si>
    <t>Laura Salazar</t>
  </si>
  <si>
    <t>Distribuidora Central</t>
  </si>
  <si>
    <t>Fernando Arias</t>
  </si>
  <si>
    <t>Finanzas del Pacífico</t>
  </si>
  <si>
    <t>Logística Andina</t>
  </si>
  <si>
    <t>Daniel Rojas</t>
  </si>
  <si>
    <t>Sofía Vargas</t>
  </si>
  <si>
    <t>TechMarket LATAM</t>
  </si>
  <si>
    <t>Carlos Mora</t>
  </si>
  <si>
    <t>Agroexport El Valle</t>
  </si>
  <si>
    <t>María Fernández</t>
  </si>
  <si>
    <t>Paula Jiménez</t>
  </si>
  <si>
    <t>Comercial Nova S.A.</t>
  </si>
  <si>
    <t>Servicios Empresariales Orion</t>
  </si>
  <si>
    <t>José Hernández</t>
  </si>
  <si>
    <t>Luis Castillo</t>
  </si>
  <si>
    <t>Andrea López</t>
  </si>
  <si>
    <t>Constructora Horizonte</t>
  </si>
  <si>
    <t>Gasto</t>
  </si>
  <si>
    <t>Ingreso</t>
  </si>
  <si>
    <t>Publicidad</t>
  </si>
  <si>
    <t>Ventas</t>
  </si>
  <si>
    <t>Servicios</t>
  </si>
  <si>
    <t>Proveedores</t>
  </si>
  <si>
    <t>Salarios</t>
  </si>
  <si>
    <t>Alquiler</t>
  </si>
  <si>
    <t>Impuestos</t>
  </si>
  <si>
    <t>Intereses</t>
  </si>
  <si>
    <t>Davivienda</t>
  </si>
  <si>
    <t>Scotiabank</t>
  </si>
  <si>
    <t>Banco de Costa Rica</t>
  </si>
  <si>
    <t>BAC Credomatic</t>
  </si>
  <si>
    <t>Banco Nacional</t>
  </si>
  <si>
    <t>Cuenta Corriente</t>
  </si>
  <si>
    <t>Cuenta Ahorros</t>
  </si>
  <si>
    <t>Tarjeta Crédito Empresarial</t>
  </si>
  <si>
    <t>Efectivo</t>
  </si>
  <si>
    <t>Tarjeta Crédito</t>
  </si>
  <si>
    <t>Tarjeta Débito</t>
  </si>
  <si>
    <t>Transferencia</t>
  </si>
  <si>
    <t>Pagado</t>
  </si>
  <si>
    <t>Pendiente</t>
  </si>
  <si>
    <t>Total Ingresos</t>
  </si>
  <si>
    <t>Mes</t>
  </si>
  <si>
    <t>RESUMEN GENERAL</t>
  </si>
  <si>
    <t>Indicador</t>
  </si>
  <si>
    <t>Resultado</t>
  </si>
  <si>
    <t>Resultado Neto</t>
  </si>
  <si>
    <t>Total Gastos</t>
  </si>
  <si>
    <t>Suma total de ingresos</t>
  </si>
  <si>
    <t>Suma total de gastos</t>
  </si>
  <si>
    <t>Ingresos menos gastos</t>
  </si>
  <si>
    <t>Total Impuestos</t>
  </si>
  <si>
    <t>Cantidad Transacciones</t>
  </si>
  <si>
    <t>Descripción</t>
  </si>
  <si>
    <t>Cantidad de transacciones</t>
  </si>
  <si>
    <t>Impuestos totales</t>
  </si>
  <si>
    <t>Resultado Bruto</t>
  </si>
  <si>
    <t>Ingresos menos gastos y impuestos</t>
  </si>
  <si>
    <t>CONSULTA TRANSACCION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</si>
  <si>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</si>
  <si>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</si>
  <si>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</si>
  <si>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</si>
  <si>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</si>
  <si>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</si>
  <si>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</si>
  <si>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</si>
  <si>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</si>
  <si>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</si>
  <si>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</si>
  <si>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</si>
  <si>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general</t>
  </si>
  <si>
    <t>Suma de Monto_Total</t>
  </si>
  <si>
    <t>ANÁLISIS</t>
  </si>
  <si>
    <t>Gastos por Categoría</t>
  </si>
  <si>
    <t>Gasto VS Ingreso</t>
  </si>
  <si>
    <t>Cuenta de ID_Transaccion</t>
  </si>
  <si>
    <t>(Todas)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</si>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</sst>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2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3" fillId="0" borderId="0" xfId="0" applyFont="1"/>
    <xf numFmtId="0" fontId="0" fillId="4" borderId="2" xfId="0" applyFont="1" applyFill="1" applyBorder="1"/>
    <xf numFmtId="0" fontId="0" fillId="0" borderId="0" xfId="0" applyNumberFormat="1"/>
    <xf numFmtId="0" fontId="0" fillId="0" borderId="6" xfId="0" applyBorder="1"/>
    <xf numFmtId="0" fontId="0" fillId="3" borderId="7" xfId="0" applyFill="1" applyBorder="1"/>
    <xf numFmtId="0" fontId="0" fillId="3" borderId="9" xfId="0" applyFill="1" applyBorder="1"/>
    <xf numFmtId="0" fontId="0" fillId="0" borderId="8" xfId="0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165" fontId="0" fillId="3" borderId="4" xfId="0" applyNumberFormat="1" applyFont="1" applyFill="1" applyBorder="1"/>
    <xf numFmtId="0" fontId="0" fillId="3" borderId="5" xfId="0" applyFill="1" applyBorder="1"/>
    <xf numFmtId="0" fontId="0" fillId="3" borderId="2" xfId="0" applyFill="1" applyBorder="1"/>
    <xf numFmtId="0" fontId="0" fillId="0" borderId="13" xfId="0" applyBorder="1"/>
    <xf numFmtId="0" fontId="5" fillId="0" borderId="8" xfId="0" applyFont="1" applyBorder="1"/>
    <xf numFmtId="0" fontId="5" fillId="6" borderId="4" xfId="0" applyFont="1" applyFill="1" applyBorder="1"/>
    <xf numFmtId="0" fontId="5" fillId="6" borderId="3" xfId="0" applyFont="1" applyFill="1" applyBorder="1"/>
    <xf numFmtId="0" fontId="0" fillId="3" borderId="7" xfId="0" applyFont="1" applyFill="1" applyBorder="1"/>
    <xf numFmtId="165" fontId="0" fillId="3" borderId="4" xfId="0" applyNumberFormat="1" applyFill="1" applyBorder="1"/>
    <xf numFmtId="0" fontId="0" fillId="0" borderId="0" xfId="0" applyFont="1"/>
    <xf numFmtId="0" fontId="2" fillId="2" borderId="2" xfId="0" applyFont="1" applyFill="1" applyBorder="1"/>
    <xf numFmtId="14" fontId="0" fillId="3" borderId="2" xfId="0" applyNumberFormat="1" applyFont="1" applyFill="1" applyBorder="1"/>
    <xf numFmtId="0" fontId="0" fillId="3" borderId="2" xfId="0" applyFont="1" applyFill="1" applyBorder="1"/>
    <xf numFmtId="165" fontId="0" fillId="3" borderId="2" xfId="0" applyNumberFormat="1" applyFont="1" applyFill="1" applyBorder="1"/>
    <xf numFmtId="165" fontId="0" fillId="3" borderId="5" xfId="0" applyNumberFormat="1" applyFont="1" applyFill="1" applyBorder="1"/>
    <xf numFmtId="0" fontId="0" fillId="0" borderId="0" xfId="0" pivotButton="1"/>
    <xf numFmtId="0" fontId="4" fillId="5" borderId="0" xfId="0" applyFont="1" applyFill="1" applyAlignment="1">
      <alignment horizontal="left" vertical="center"/>
    </xf>
    <xf numFmtId="0" fontId="5" fillId="6" borderId="4" xfId="0" applyFont="1" applyFill="1" applyBorder="1"/>
    <xf numFmtId="0" fontId="5" fillId="6" borderId="3" xfId="0" applyFont="1" applyFill="1" applyBorder="1"/>
    <xf numFmtId="0" fontId="0" fillId="3" borderId="4" xfId="0" applyFill="1" applyBorder="1"/>
    <xf numFmtId="0" fontId="0" fillId="3" borderId="3" xfId="0" applyFill="1" applyBorder="1"/>
    <xf numFmtId="0" fontId="6" fillId="5" borderId="0" xfId="0" applyFont="1" applyFill="1" applyAlignment="1">
      <alignment horizontal="left" vertical="center"/>
    </xf>
    <xf numFmtId="0" fontId="0" fillId="7" borderId="0" xfId="0" applyFill="1"/>
  </cellXfs>
  <cellStyles count="1">
    <cellStyle name="Normal" xfId="0" builtinId="0"/>
  </cellStyles>
  <dxfs count="78"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[PROYECTO.xlsx]Análisis!TablaDinámica1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R">
                <a:solidFill>
                  <a:schemeClr val="tx1"/>
                </a:solidFill>
              </a:rPr>
              <a:t>Gastos</a:t>
            </a:r>
            <a:r>
              <a:rPr lang="es-CR" baseline="0">
                <a:solidFill>
                  <a:schemeClr val="tx1"/>
                </a:solidFill>
              </a:rPr>
              <a:t> VS Ingreso</a:t>
            </a:r>
            <a:endParaRPr lang="es-CR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Análisis!$C$6:$C$7</c:f>
              <c:strCache>
                <c:ptCount val="1"/>
                <c:pt idx="0">
                  <c:v>Gasto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cat>
            <c:strRef>
              <c:f>Análisis!$B$8:$B$20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Análisis!$C$8:$C$20</c:f>
              <c:numCache>
                <c:formatCode>_-[$$-409]* #\ ##0.00_ ;_-[$$-409]* \-#\ ##0.00\ ;_-[$$-409]* "-"??_ ;_-@_ </c:formatCode>
                <c:ptCount val="12"/>
                <c:pt idx="0">
                  <c:v>1424630.32</c:v>
                </c:pt>
                <c:pt idx="1">
                  <c:v>1505742.0199999996</c:v>
                </c:pt>
                <c:pt idx="2">
                  <c:v>1696372.0500000003</c:v>
                </c:pt>
                <c:pt idx="3">
                  <c:v>1305790.7200000002</c:v>
                </c:pt>
                <c:pt idx="4">
                  <c:v>1653669.1100000003</c:v>
                </c:pt>
                <c:pt idx="5">
                  <c:v>1617925.6999999988</c:v>
                </c:pt>
                <c:pt idx="6">
                  <c:v>1505467.6400000011</c:v>
                </c:pt>
                <c:pt idx="7">
                  <c:v>1805664.95</c:v>
                </c:pt>
                <c:pt idx="8">
                  <c:v>1544425.69</c:v>
                </c:pt>
                <c:pt idx="9">
                  <c:v>1538866.0100000009</c:v>
                </c:pt>
                <c:pt idx="10">
                  <c:v>1537208.7300000002</c:v>
                </c:pt>
                <c:pt idx="11">
                  <c:v>1587617.62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3F-4E0A-A54D-837E42608ECE}"/>
            </c:ext>
          </c:extLst>
        </c:ser>
        <c:ser>
          <c:idx val="1"/>
          <c:order val="1"/>
          <c:tx>
            <c:strRef>
              <c:f>Análisis!$D$6:$D$7</c:f>
              <c:strCache>
                <c:ptCount val="1"/>
                <c:pt idx="0">
                  <c:v>Ingreso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Análisis!$B$8:$B$20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Análisis!$D$8:$D$20</c:f>
              <c:numCache>
                <c:formatCode>_-[$$-409]* #\ ##0.00_ ;_-[$$-409]* \-#\ ##0.00\ ;_-[$$-409]* "-"??_ ;_-@_ </c:formatCode>
                <c:ptCount val="12"/>
                <c:pt idx="0">
                  <c:v>1791650.4200000002</c:v>
                </c:pt>
                <c:pt idx="1">
                  <c:v>1747990.2399999993</c:v>
                </c:pt>
                <c:pt idx="2">
                  <c:v>1888746.5299999996</c:v>
                </c:pt>
                <c:pt idx="3">
                  <c:v>1517170.7200000011</c:v>
                </c:pt>
                <c:pt idx="4">
                  <c:v>1861806.4300000004</c:v>
                </c:pt>
                <c:pt idx="5">
                  <c:v>1927975.0699999998</c:v>
                </c:pt>
                <c:pt idx="6">
                  <c:v>1813585.6100000003</c:v>
                </c:pt>
                <c:pt idx="7">
                  <c:v>1653344.8700000003</c:v>
                </c:pt>
                <c:pt idx="8">
                  <c:v>1819156.0899999992</c:v>
                </c:pt>
                <c:pt idx="9">
                  <c:v>1735587.9099999992</c:v>
                </c:pt>
                <c:pt idx="10">
                  <c:v>1792359.69</c:v>
                </c:pt>
                <c:pt idx="11">
                  <c:v>1752575.9299999995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3F-4E0A-A54D-837E42608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02341008"/>
        <c:axId val="2102351408"/>
      </c:barChart>
      <c:catAx>
        <c:axId val="21023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102351408"/>
        <c:crosses val="autoZero"/>
        <c:auto val="1"/>
        <c:lblAlgn val="ctr"/>
        <c:lblOffset val="100"/>
        <c:noMultiLvlLbl val="0"/>
      </c:catAx>
      <c:valAx>
        <c:axId val="210235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1023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[PROYECTO.xlsx]Análisis!TablaDinámica2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Gasto</a:t>
            </a:r>
            <a:r>
              <a:rPr lang="en-US" baseline="0">
                <a:solidFill>
                  <a:schemeClr val="tx1"/>
                </a:solidFill>
              </a:rPr>
              <a:t> Por Categoría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lumMod val="60000"/>
                  <a:shade val="51000"/>
                  <a:satMod val="130000"/>
                </a:schemeClr>
              </a:gs>
              <a:gs pos="80000">
                <a:schemeClr val="accent1">
                  <a:lumMod val="60000"/>
                  <a:shade val="93000"/>
                  <a:satMod val="130000"/>
                </a:schemeClr>
              </a:gs>
              <a:gs pos="100000">
                <a:schemeClr val="accent1">
                  <a:lumMod val="6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2">
                  <a:lumMod val="60000"/>
                  <a:shade val="51000"/>
                  <a:satMod val="130000"/>
                </a:schemeClr>
              </a:gs>
              <a:gs pos="80000">
                <a:schemeClr val="accent2">
                  <a:lumMod val="60000"/>
                  <a:shade val="93000"/>
                  <a:satMod val="130000"/>
                </a:schemeClr>
              </a:gs>
              <a:gs pos="100000">
                <a:schemeClr val="accent2">
                  <a:lumMod val="6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Análisis!$H$8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E5E-45F4-BC96-7B42F153600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E5E-45F4-BC96-7B42F153600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E5E-45F4-BC96-7B42F153600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E5E-45F4-BC96-7B42F153600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E5E-45F4-BC96-7B42F153600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E5E-45F4-BC96-7B42F153600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E5E-45F4-BC96-7B42F153600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E5E-45F4-BC96-7B42F153600D}"/>
              </c:ext>
            </c:extLst>
          </c:dPt>
          <c:cat>
            <c:strRef>
              <c:f>Análisis!$G$9:$G$17</c:f>
              <c:strCache>
                <c:ptCount val="8"/>
                <c:pt idx="0">
                  <c:v>Alquiler</c:v>
                </c:pt>
                <c:pt idx="1">
                  <c:v>Impuestos</c:v>
                </c:pt>
                <c:pt idx="2">
                  <c:v>Intereses</c:v>
                </c:pt>
                <c:pt idx="3">
                  <c:v>Proveedores</c:v>
                </c:pt>
                <c:pt idx="4">
                  <c:v>Publicidad</c:v>
                </c:pt>
                <c:pt idx="5">
                  <c:v>Salarios</c:v>
                </c:pt>
                <c:pt idx="6">
                  <c:v>Servicios</c:v>
                </c:pt>
                <c:pt idx="7">
                  <c:v>Ventas</c:v>
                </c:pt>
              </c:strCache>
            </c:strRef>
          </c:cat>
          <c:val>
            <c:numRef>
              <c:f>Análisis!$H$9:$H$17</c:f>
              <c:numCache>
                <c:formatCode>_-[$$-409]* #\ ##0.00_ ;_-[$$-409]* \-#\ ##0.00\ ;_-[$$-409]* "-"??_ ;_-@_ </c:formatCode>
                <c:ptCount val="8"/>
                <c:pt idx="0">
                  <c:v>5188058.9800000032</c:v>
                </c:pt>
                <c:pt idx="1">
                  <c:v>5210849.1100000003</c:v>
                </c:pt>
                <c:pt idx="2">
                  <c:v>5050530.6200000029</c:v>
                </c:pt>
                <c:pt idx="3">
                  <c:v>5073405.3399999961</c:v>
                </c:pt>
                <c:pt idx="4">
                  <c:v>5048575.2799999993</c:v>
                </c:pt>
                <c:pt idx="5">
                  <c:v>4643391.5299999956</c:v>
                </c:pt>
                <c:pt idx="6">
                  <c:v>4941757.0299999975</c:v>
                </c:pt>
                <c:pt idx="7">
                  <c:v>4868762.1800000025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E5E-45F4-BC96-7B42F1536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[PROYECTO.xlsx]Análisis!TablaDinámica3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Top</a:t>
            </a:r>
            <a:r>
              <a:rPr lang="en-US" baseline="0">
                <a:solidFill>
                  <a:schemeClr val="tx1"/>
                </a:solidFill>
              </a:rPr>
              <a:t> 10 Clientes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Análisis!$H$21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Análisis!$G$22:$G$42</c:f>
              <c:strCache>
                <c:ptCount val="20"/>
                <c:pt idx="0">
                  <c:v>Daniel Rojas</c:v>
                </c:pt>
                <c:pt idx="1">
                  <c:v>Carlos Mora</c:v>
                </c:pt>
                <c:pt idx="2">
                  <c:v>Fernando Arias</c:v>
                </c:pt>
                <c:pt idx="3">
                  <c:v>Paula Jiménez</c:v>
                </c:pt>
                <c:pt idx="4">
                  <c:v>Luis Castillo</c:v>
                </c:pt>
                <c:pt idx="5">
                  <c:v>TechMarket LATAM</c:v>
                </c:pt>
                <c:pt idx="6">
                  <c:v>Sofía Vargas</c:v>
                </c:pt>
                <c:pt idx="7">
                  <c:v>Constructora Horizonte</c:v>
                </c:pt>
                <c:pt idx="8">
                  <c:v>Logística Andina</c:v>
                </c:pt>
                <c:pt idx="9">
                  <c:v>Distribuidora Central</c:v>
                </c:pt>
                <c:pt idx="10">
                  <c:v>Inversiones Atlas</c:v>
                </c:pt>
                <c:pt idx="11">
                  <c:v>Andrea López</c:v>
                </c:pt>
                <c:pt idx="12">
                  <c:v>Comercial Nova S.A.</c:v>
                </c:pt>
                <c:pt idx="13">
                  <c:v>Servicios Empresariales Orion</c:v>
                </c:pt>
                <c:pt idx="14">
                  <c:v>Grupo Soluciones CR</c:v>
                </c:pt>
                <c:pt idx="15">
                  <c:v>Laura Salazar</c:v>
                </c:pt>
                <c:pt idx="16">
                  <c:v>José Hernández</c:v>
                </c:pt>
                <c:pt idx="17">
                  <c:v>María Fernández</c:v>
                </c:pt>
                <c:pt idx="18">
                  <c:v>Finanzas del Pacífico</c:v>
                </c:pt>
                <c:pt idx="19">
                  <c:v>Agroexport El Valle</c:v>
                </c:pt>
              </c:strCache>
            </c:strRef>
          </c:cat>
          <c:val>
            <c:numRef>
              <c:f>Análisis!$H$22:$H$42</c:f>
              <c:numCache>
                <c:formatCode>_-[$$-409]* #\ ##0.00_ ;_-[$$-409]* \-#\ ##0.00\ ;_-[$$-409]* "-"??_ ;_-@_ </c:formatCode>
                <c:ptCount val="20"/>
                <c:pt idx="0">
                  <c:v>2128915.7200000011</c:v>
                </c:pt>
                <c:pt idx="1">
                  <c:v>2097324.7299999986</c:v>
                </c:pt>
                <c:pt idx="2">
                  <c:v>2095642.8199999996</c:v>
                </c:pt>
                <c:pt idx="3">
                  <c:v>2091231.9600000009</c:v>
                </c:pt>
                <c:pt idx="4">
                  <c:v>2078281.5699999998</c:v>
                </c:pt>
                <c:pt idx="5">
                  <c:v>2063733.3899999997</c:v>
                </c:pt>
                <c:pt idx="6">
                  <c:v>2056552.1600000004</c:v>
                </c:pt>
                <c:pt idx="7">
                  <c:v>2051448.9</c:v>
                </c:pt>
                <c:pt idx="8">
                  <c:v>2043264.419999999</c:v>
                </c:pt>
                <c:pt idx="9">
                  <c:v>2005973.429999999</c:v>
                </c:pt>
                <c:pt idx="10">
                  <c:v>2001667.5100000002</c:v>
                </c:pt>
                <c:pt idx="11">
                  <c:v>1998309.0199999984</c:v>
                </c:pt>
                <c:pt idx="12">
                  <c:v>1979711.5700000003</c:v>
                </c:pt>
                <c:pt idx="13">
                  <c:v>1955518.149999999</c:v>
                </c:pt>
                <c:pt idx="14">
                  <c:v>1929044.9699999988</c:v>
                </c:pt>
                <c:pt idx="15">
                  <c:v>1916407.8300000005</c:v>
                </c:pt>
                <c:pt idx="16">
                  <c:v>1908212.4000000001</c:v>
                </c:pt>
                <c:pt idx="17">
                  <c:v>1889128.4700000009</c:v>
                </c:pt>
                <c:pt idx="18">
                  <c:v>1882380.5500000005</c:v>
                </c:pt>
                <c:pt idx="19">
                  <c:v>1852580.5000000002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1-4D27-A283-A5C941453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08238992"/>
        <c:axId val="408232752"/>
      </c:barChart>
      <c:catAx>
        <c:axId val="408238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08232752"/>
        <c:crosses val="autoZero"/>
        <c:auto val="1"/>
        <c:lblAlgn val="ctr"/>
        <c:lblOffset val="100"/>
        <c:noMultiLvlLbl val="0"/>
      </c:catAx>
      <c:valAx>
        <c:axId val="40823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0823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9933</xdr:colOff>
      <xdr:row>5</xdr:row>
      <xdr:rowOff>0</xdr:rowOff>
    </xdr:from>
    <xdr:to>
      <xdr:col>5</xdr:col>
      <xdr:colOff>0</xdr:colOff>
      <xdr:row>20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73C56D8-CE43-4F68-BF16-12A5CAD0E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191253</xdr:colOff>
      <xdr:row>5</xdr:row>
      <xdr:rowOff>0</xdr:rowOff>
    </xdr:from>
    <xdr:to>
      <xdr:col>7</xdr:col>
      <xdr:colOff>0</xdr:colOff>
      <xdr:row>20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87B0500-1F04-4E17-AAEA-8D0F919665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20</xdr:row>
      <xdr:rowOff>179294</xdr:rowOff>
    </xdr:from>
    <xdr:to>
      <xdr:col>7</xdr:col>
      <xdr:colOff>0</xdr:colOff>
      <xdr:row>36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E89A807-5F11-4DFA-9B98-925A18CF5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37</xdr:row>
      <xdr:rowOff>0</xdr:rowOff>
    </xdr:from>
    <xdr:to>
      <xdr:col>3</xdr:col>
      <xdr:colOff>263832</xdr:colOff>
      <xdr:row>42</xdr:row>
      <xdr:rowOff>1663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Tipo_Transaccion">
              <a:extLst>
                <a:ext uri="{FF2B5EF4-FFF2-40B4-BE49-F238E27FC236}">
                  <a16:creationId xmlns:a16="http://schemas.microsoft.com/office/drawing/2014/main" id="{07002D45-E434-40AA-855D-E7B2B9BA2D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_Transacc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8429" y="6794500"/>
              <a:ext cx="1824117" cy="9088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448235</xdr:colOff>
      <xdr:row>37</xdr:row>
      <xdr:rowOff>0</xdr:rowOff>
    </xdr:from>
    <xdr:to>
      <xdr:col>5</xdr:col>
      <xdr:colOff>971176</xdr:colOff>
      <xdr:row>42</xdr:row>
      <xdr:rowOff>788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Categoria">
              <a:extLst>
                <a:ext uri="{FF2B5EF4-FFF2-40B4-BE49-F238E27FC236}">
                  <a16:creationId xmlns:a16="http://schemas.microsoft.com/office/drawing/2014/main" id="{5A50C01E-D593-43BE-9FEA-6D0E18AF4C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6949" y="6794500"/>
              <a:ext cx="3688870" cy="9079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1161540</xdr:colOff>
      <xdr:row>37</xdr:row>
      <xdr:rowOff>14941</xdr:rowOff>
    </xdr:from>
    <xdr:to>
      <xdr:col>7</xdr:col>
      <xdr:colOff>0</xdr:colOff>
      <xdr:row>42</xdr:row>
      <xdr:rowOff>14941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Cliente">
              <a:extLst>
                <a:ext uri="{FF2B5EF4-FFF2-40B4-BE49-F238E27FC236}">
                  <a16:creationId xmlns:a16="http://schemas.microsoft.com/office/drawing/2014/main" id="{5FFA7FB7-8438-4EB7-93A3-35543D32A4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66183" y="6809441"/>
              <a:ext cx="3337888" cy="9071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Anchieta" refreshedDate="46037.611598958334" createdVersion="7" refreshedVersion="7" minRefreshableVersion="3" recordCount="5000" xr:uid="{CA62C8A4-E24A-4681-85ED-755CC8033A27}">
  <cacheSource type="worksheet">
    <worksheetSource name="Tabla1"/>
  </cacheSource>
  <cacheFields count="14">
    <cacheField name="Fecha" numFmtId="164">
      <sharedItems containsSemiMixedTypes="0" containsNonDate="0" containsDate="1" containsString="0" minDate="2024-01-01T00:00:00" maxDate="2025-01-01T00:00:00" count="366">
        <d v="2024-02-22T00:00:00"/>
        <d v="2024-01-14T00:00:00"/>
        <d v="2024-03-22T00:00:00"/>
        <d v="2024-07-02T00:00:00"/>
        <d v="2024-05-30T00:00:00"/>
        <d v="2024-02-21T00:00:00"/>
        <d v="2024-12-25T00:00:00"/>
        <d v="2024-11-23T00:00:00"/>
        <d v="2024-04-18T00:00:00"/>
        <d v="2024-05-06T00:00:00"/>
        <d v="2024-02-16T00:00:00"/>
        <d v="2024-08-27T00:00:00"/>
        <d v="2024-08-20T00:00:00"/>
        <d v="2024-03-23T00:00:00"/>
        <d v="2024-06-06T00:00:00"/>
        <d v="2024-08-31T00:00:00"/>
        <d v="2024-12-09T00:00:00"/>
        <d v="2024-10-10T00:00:00"/>
        <d v="2024-06-18T00:00:00"/>
        <d v="2024-08-30T00:00:00"/>
        <d v="2024-01-28T00:00:00"/>
        <d v="2024-03-12T00:00:00"/>
        <d v="2024-10-03T00:00:00"/>
        <d v="2024-01-31T00:00:00"/>
        <d v="2024-10-11T00:00:00"/>
        <d v="2024-10-26T00:00:00"/>
        <d v="2024-04-30T00:00:00"/>
        <d v="2024-06-09T00:00:00"/>
        <d v="2024-11-14T00:00:00"/>
        <d v="2024-07-08T00:00:00"/>
        <d v="2024-03-09T00:00:00"/>
        <d v="2024-11-20T00:00:00"/>
        <d v="2024-06-19T00:00:00"/>
        <d v="2024-12-19T00:00:00"/>
        <d v="2024-01-21T00:00:00"/>
        <d v="2024-05-01T00:00:00"/>
        <d v="2024-04-26T00:00:00"/>
        <d v="2024-09-17T00:00:00"/>
        <d v="2024-11-01T00:00:00"/>
        <d v="2024-08-11T00:00:00"/>
        <d v="2024-03-04T00:00:00"/>
        <d v="2024-12-06T00:00:00"/>
        <d v="2024-08-08T00:00:00"/>
        <d v="2024-03-27T00:00:00"/>
        <d v="2024-01-24T00:00:00"/>
        <d v="2024-05-04T00:00:00"/>
        <d v="2024-05-07T00:00:00"/>
        <d v="2024-05-26T00:00:00"/>
        <d v="2024-03-19T00:00:00"/>
        <d v="2024-08-03T00:00:00"/>
        <d v="2024-08-02T00:00:00"/>
        <d v="2024-06-21T00:00:00"/>
        <d v="2024-12-05T00:00:00"/>
        <d v="2024-07-07T00:00:00"/>
        <d v="2024-07-11T00:00:00"/>
        <d v="2024-10-16T00:00:00"/>
        <d v="2024-09-07T00:00:00"/>
        <d v="2024-10-02T00:00:00"/>
        <d v="2024-06-30T00:00:00"/>
        <d v="2024-07-27T00:00:00"/>
        <d v="2024-07-26T00:00:00"/>
        <d v="2024-05-18T00:00:00"/>
        <d v="2024-09-04T00:00:00"/>
        <d v="2024-01-08T00:00:00"/>
        <d v="2024-09-08T00:00:00"/>
        <d v="2024-05-09T00:00:00"/>
        <d v="2024-10-15T00:00:00"/>
        <d v="2024-08-14T00:00:00"/>
        <d v="2024-05-15T00:00:00"/>
        <d v="2024-10-31T00:00:00"/>
        <d v="2024-03-13T00:00:00"/>
        <d v="2024-12-24T00:00:00"/>
        <d v="2024-11-05T00:00:00"/>
        <d v="2024-11-29T00:00:00"/>
        <d v="2024-06-13T00:00:00"/>
        <d v="2024-06-10T00:00:00"/>
        <d v="2024-09-22T00:00:00"/>
        <d v="2024-08-12T00:00:00"/>
        <d v="2024-02-28T00:00:00"/>
        <d v="2024-08-29T00:00:00"/>
        <d v="2024-07-31T00:00:00"/>
        <d v="2024-07-29T00:00:00"/>
        <d v="2024-10-29T00:00:00"/>
        <d v="2024-03-20T00:00:00"/>
        <d v="2024-11-16T00:00:00"/>
        <d v="2024-02-20T00:00:00"/>
        <d v="2024-07-10T00:00:00"/>
        <d v="2024-07-14T00:00:00"/>
        <d v="2024-12-07T00:00:00"/>
        <d v="2024-08-05T00:00:00"/>
        <d v="2024-09-11T00:00:00"/>
        <d v="2024-11-17T00:00:00"/>
        <d v="2024-05-31T00:00:00"/>
        <d v="2024-07-21T00:00:00"/>
        <d v="2024-04-29T00:00:00"/>
        <d v="2024-05-21T00:00:00"/>
        <d v="2024-03-16T00:00:00"/>
        <d v="2024-11-10T00:00:00"/>
        <d v="2024-02-25T00:00:00"/>
        <d v="2024-11-15T00:00:00"/>
        <d v="2024-07-23T00:00:00"/>
        <d v="2024-12-17T00:00:00"/>
        <d v="2024-11-03T00:00:00"/>
        <d v="2024-05-19T00:00:00"/>
        <d v="2024-06-15T00:00:00"/>
        <d v="2024-12-04T00:00:00"/>
        <d v="2024-05-25T00:00:00"/>
        <d v="2024-07-13T00:00:00"/>
        <d v="2024-02-09T00:00:00"/>
        <d v="2024-07-24T00:00:00"/>
        <d v="2024-04-11T00:00:00"/>
        <d v="2024-05-20T00:00:00"/>
        <d v="2024-10-19T00:00:00"/>
        <d v="2024-02-13T00:00:00"/>
        <d v="2024-05-24T00:00:00"/>
        <d v="2024-07-16T00:00:00"/>
        <d v="2024-12-01T00:00:00"/>
        <d v="2024-08-04T00:00:00"/>
        <d v="2024-09-05T00:00:00"/>
        <d v="2024-11-12T00:00:00"/>
        <d v="2024-07-05T00:00:00"/>
        <d v="2024-08-28T00:00:00"/>
        <d v="2024-01-03T00:00:00"/>
        <d v="2024-09-12T00:00:00"/>
        <d v="2024-05-03T00:00:00"/>
        <d v="2024-01-23T00:00:00"/>
        <d v="2024-12-16T00:00:00"/>
        <d v="2024-11-27T00:00:00"/>
        <d v="2024-06-05T00:00:00"/>
        <d v="2024-06-29T00:00:00"/>
        <d v="2024-03-14T00:00:00"/>
        <d v="2024-10-17T00:00:00"/>
        <d v="2024-09-28T00:00:00"/>
        <d v="2024-07-17T00:00:00"/>
        <d v="2024-03-10T00:00:00"/>
        <d v="2024-05-28T00:00:00"/>
        <d v="2024-09-09T00:00:00"/>
        <d v="2024-09-02T00:00:00"/>
        <d v="2024-09-21T00:00:00"/>
        <d v="2024-06-04T00:00:00"/>
        <d v="2024-11-21T00:00:00"/>
        <d v="2024-08-01T00:00:00"/>
        <d v="2024-04-14T00:00:00"/>
        <d v="2024-09-20T00:00:00"/>
        <d v="2024-02-19T00:00:00"/>
        <d v="2024-09-15T00:00:00"/>
        <d v="2024-11-30T00:00:00"/>
        <d v="2024-07-06T00:00:00"/>
        <d v="2024-08-18T00:00:00"/>
        <d v="2024-09-16T00:00:00"/>
        <d v="2024-03-28T00:00:00"/>
        <d v="2024-06-24T00:00:00"/>
        <d v="2024-06-01T00:00:00"/>
        <d v="2024-10-20T00:00:00"/>
        <d v="2024-02-10T00:00:00"/>
        <d v="2024-11-11T00:00:00"/>
        <d v="2024-05-27T00:00:00"/>
        <d v="2024-03-31T00:00:00"/>
        <d v="2024-02-24T00:00:00"/>
        <d v="2024-02-27T00:00:00"/>
        <d v="2024-04-08T00:00:00"/>
        <d v="2024-06-17T00:00:00"/>
        <d v="2024-09-01T00:00:00"/>
        <d v="2024-10-25T00:00:00"/>
        <d v="2024-10-13T00:00:00"/>
        <d v="2024-06-27T00:00:00"/>
        <d v="2024-10-05T00:00:00"/>
        <d v="2024-08-16T00:00:00"/>
        <d v="2024-01-29T00:00:00"/>
        <d v="2024-01-25T00:00:00"/>
        <d v="2024-10-12T00:00:00"/>
        <d v="2024-10-27T00:00:00"/>
        <d v="2024-03-01T00:00:00"/>
        <d v="2024-09-30T00:00:00"/>
        <d v="2024-06-12T00:00:00"/>
        <d v="2024-05-05T00:00:00"/>
        <d v="2024-12-08T00:00:00"/>
        <d v="2024-08-21T00:00:00"/>
        <d v="2024-11-13T00:00:00"/>
        <d v="2024-01-22T00:00:00"/>
        <d v="2024-07-18T00:00:00"/>
        <d v="2024-04-28T00:00:00"/>
        <d v="2024-02-12T00:00:00"/>
        <d v="2024-01-07T00:00:00"/>
        <d v="2024-05-17T00:00:00"/>
        <d v="2024-02-05T00:00:00"/>
        <d v="2024-07-12T00:00:00"/>
        <d v="2024-10-01T00:00:00"/>
        <d v="2024-11-26T00:00:00"/>
        <d v="2024-01-13T00:00:00"/>
        <d v="2024-06-02T00:00:00"/>
        <d v="2024-10-09T00:00:00"/>
        <d v="2024-08-09T00:00:00"/>
        <d v="2024-12-26T00:00:00"/>
        <d v="2024-08-22T00:00:00"/>
        <d v="2024-04-03T00:00:00"/>
        <d v="2024-09-06T00:00:00"/>
        <d v="2024-04-22T00:00:00"/>
        <d v="2024-02-08T00:00:00"/>
        <d v="2024-02-17T00:00:00"/>
        <d v="2024-06-14T00:00:00"/>
        <d v="2024-08-23T00:00:00"/>
        <d v="2024-03-08T00:00:00"/>
        <d v="2024-11-28T00:00:00"/>
        <d v="2024-04-19T00:00:00"/>
        <d v="2024-07-15T00:00:00"/>
        <d v="2024-06-11T00:00:00"/>
        <d v="2024-08-10T00:00:00"/>
        <d v="2024-03-24T00:00:00"/>
        <d v="2024-01-16T00:00:00"/>
        <d v="2024-07-03T00:00:00"/>
        <d v="2024-04-01T00:00:00"/>
        <d v="2024-08-26T00:00:00"/>
        <d v="2024-07-28T00:00:00"/>
        <d v="2024-09-23T00:00:00"/>
        <d v="2024-07-20T00:00:00"/>
        <d v="2024-01-26T00:00:00"/>
        <d v="2024-01-18T00:00:00"/>
        <d v="2024-05-16T00:00:00"/>
        <d v="2024-03-30T00:00:00"/>
        <d v="2024-01-01T00:00:00"/>
        <d v="2024-02-04T00:00:00"/>
        <d v="2024-07-30T00:00:00"/>
        <d v="2024-02-14T00:00:00"/>
        <d v="2024-02-11T00:00:00"/>
        <d v="2024-05-14T00:00:00"/>
        <d v="2024-10-28T00:00:00"/>
        <d v="2024-09-25T00:00:00"/>
        <d v="2024-12-15T00:00:00"/>
        <d v="2024-12-29T00:00:00"/>
        <d v="2024-09-03T00:00:00"/>
        <d v="2024-06-20T00:00:00"/>
        <d v="2024-10-18T00:00:00"/>
        <d v="2024-01-30T00:00:00"/>
        <d v="2024-02-15T00:00:00"/>
        <d v="2024-04-06T00:00:00"/>
        <d v="2024-02-23T00:00:00"/>
        <d v="2024-12-18T00:00:00"/>
        <d v="2024-12-13T00:00:00"/>
        <d v="2024-04-07T00:00:00"/>
        <d v="2024-03-06T00:00:00"/>
        <d v="2024-12-22T00:00:00"/>
        <d v="2024-05-08T00:00:00"/>
        <d v="2024-03-07T00:00:00"/>
        <d v="2024-06-26T00:00:00"/>
        <d v="2024-02-07T00:00:00"/>
        <d v="2024-10-06T00:00:00"/>
        <d v="2024-09-19T00:00:00"/>
        <d v="2024-10-24T00:00:00"/>
        <d v="2024-10-23T00:00:00"/>
        <d v="2024-04-24T00:00:00"/>
        <d v="2024-01-06T00:00:00"/>
        <d v="2024-04-05T00:00:00"/>
        <d v="2024-11-06T00:00:00"/>
        <d v="2024-12-03T00:00:00"/>
        <d v="2024-10-08T00:00:00"/>
        <d v="2024-12-02T00:00:00"/>
        <d v="2024-04-21T00:00:00"/>
        <d v="2024-04-15T00:00:00"/>
        <d v="2024-10-21T00:00:00"/>
        <d v="2024-05-12T00:00:00"/>
        <d v="2024-03-17T00:00:00"/>
        <d v="2024-10-14T00:00:00"/>
        <d v="2024-11-18T00:00:00"/>
        <d v="2024-03-03T00:00:00"/>
        <d v="2024-01-12T00:00:00"/>
        <d v="2024-02-02T00:00:00"/>
        <d v="2024-05-13T00:00:00"/>
        <d v="2024-03-15T00:00:00"/>
        <d v="2024-02-18T00:00:00"/>
        <d v="2024-02-06T00:00:00"/>
        <d v="2024-12-28T00:00:00"/>
        <d v="2024-08-17T00:00:00"/>
        <d v="2024-04-23T00:00:00"/>
        <d v="2024-03-11T00:00:00"/>
        <d v="2024-10-22T00:00:00"/>
        <d v="2024-06-03T00:00:00"/>
        <d v="2024-06-23T00:00:00"/>
        <d v="2024-06-07T00:00:00"/>
        <d v="2024-07-22T00:00:00"/>
        <d v="2024-06-28T00:00:00"/>
        <d v="2024-04-09T00:00:00"/>
        <d v="2024-03-25T00:00:00"/>
        <d v="2024-01-20T00:00:00"/>
        <d v="2024-01-15T00:00:00"/>
        <d v="2024-12-21T00:00:00"/>
        <d v="2024-09-26T00:00:00"/>
        <d v="2024-05-22T00:00:00"/>
        <d v="2024-03-18T00:00:00"/>
        <d v="2024-03-26T00:00:00"/>
        <d v="2024-11-22T00:00:00"/>
        <d v="2024-07-19T00:00:00"/>
        <d v="2024-04-12T00:00:00"/>
        <d v="2024-01-10T00:00:00"/>
        <d v="2024-04-13T00:00:00"/>
        <d v="2024-11-19T00:00:00"/>
        <d v="2024-08-07T00:00:00"/>
        <d v="2024-09-14T00:00:00"/>
        <d v="2024-08-15T00:00:00"/>
        <d v="2024-06-25T00:00:00"/>
        <d v="2024-02-29T00:00:00"/>
        <d v="2024-11-24T00:00:00"/>
        <d v="2024-08-06T00:00:00"/>
        <d v="2024-08-25T00:00:00"/>
        <d v="2024-09-24T00:00:00"/>
        <d v="2024-10-04T00:00:00"/>
        <d v="2024-03-21T00:00:00"/>
        <d v="2024-09-13T00:00:00"/>
        <d v="2024-01-11T00:00:00"/>
        <d v="2024-05-10T00:00:00"/>
        <d v="2024-11-25T00:00:00"/>
        <d v="2024-01-27T00:00:00"/>
        <d v="2024-07-01T00:00:00"/>
        <d v="2024-11-04T00:00:00"/>
        <d v="2024-09-27T00:00:00"/>
        <d v="2024-12-10T00:00:00"/>
        <d v="2024-11-08T00:00:00"/>
        <d v="2024-05-29T00:00:00"/>
        <d v="2024-07-09T00:00:00"/>
        <d v="2024-12-31T00:00:00"/>
        <d v="2024-03-05T00:00:00"/>
        <d v="2024-01-17T00:00:00"/>
        <d v="2024-09-29T00:00:00"/>
        <d v="2024-03-02T00:00:00"/>
        <d v="2024-12-23T00:00:00"/>
        <d v="2024-12-20T00:00:00"/>
        <d v="2024-12-11T00:00:00"/>
        <d v="2024-04-10T00:00:00"/>
        <d v="2024-09-10T00:00:00"/>
        <d v="2024-07-25T00:00:00"/>
        <d v="2024-04-17T00:00:00"/>
        <d v="2024-01-05T00:00:00"/>
        <d v="2024-01-04T00:00:00"/>
        <d v="2024-10-30T00:00:00"/>
        <d v="2024-12-27T00:00:00"/>
        <d v="2024-10-07T00:00:00"/>
        <d v="2024-07-04T00:00:00"/>
        <d v="2024-12-30T00:00:00"/>
        <d v="2024-04-02T00:00:00"/>
        <d v="2024-02-26T00:00:00"/>
        <d v="2024-03-29T00:00:00"/>
        <d v="2024-04-04T00:00:00"/>
        <d v="2024-01-02T00:00:00"/>
        <d v="2024-01-09T00:00:00"/>
        <d v="2024-08-24T00:00:00"/>
        <d v="2024-04-25T00:00:00"/>
        <d v="2024-01-19T00:00:00"/>
        <d v="2024-04-27T00:00:00"/>
        <d v="2024-08-13T00:00:00"/>
        <d v="2024-11-09T00:00:00"/>
        <d v="2024-12-14T00:00:00"/>
        <d v="2024-06-16T00:00:00"/>
        <d v="2024-05-02T00:00:00"/>
        <d v="2024-04-16T00:00:00"/>
        <d v="2024-05-23T00:00:00"/>
        <d v="2024-04-20T00:00:00"/>
        <d v="2024-06-08T00:00:00"/>
        <d v="2024-02-03T00:00:00"/>
        <d v="2024-08-19T00:00:00"/>
        <d v="2024-12-12T00:00:00"/>
        <d v="2024-11-02T00:00:00"/>
        <d v="2024-02-01T00:00:00"/>
        <d v="2024-11-07T00:00:00"/>
        <d v="2024-09-18T00:00:00"/>
        <d v="2024-06-22T00:00:00"/>
        <d v="2024-05-11T00:00:00"/>
      </sharedItems>
      <fieldGroup par="13" base="0">
        <rangePr groupBy="days" startDate="2024-01-01T00:00:00" endDate="2025-01-01T00:00:00"/>
        <groupItems count="368">
          <s v="&lt;1/1/2024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1/2025"/>
        </groupItems>
      </fieldGroup>
    </cacheField>
    <cacheField name="Mes" numFmtId="0">
      <sharedItems count="12">
        <s v="febrero"/>
        <s v="enero"/>
        <s v="marzo"/>
        <s v="julio"/>
        <s v="mayo"/>
        <s v="diciembre"/>
        <s v="noviembre"/>
        <s v="abril"/>
        <s v="agosto"/>
        <s v="junio"/>
        <s v="octubre"/>
        <s v="septiembre"/>
      </sharedItems>
    </cacheField>
    <cacheField name="ID_Transaccion" numFmtId="0">
      <sharedItems/>
    </cacheField>
    <cacheField name="Cliente" numFmtId="0">
      <sharedItems count="20">
        <s v="Grupo Soluciones CR"/>
        <s v="Inversiones Atlas"/>
        <s v="Laura Salazar"/>
        <s v="Distribuidora Central"/>
        <s v="Fernando Arias"/>
        <s v="Finanzas del Pacífico"/>
        <s v="Logística Andina"/>
        <s v="Daniel Rojas"/>
        <s v="Sofía Vargas"/>
        <s v="TechMarket LATAM"/>
        <s v="Carlos Mora"/>
        <s v="Agroexport El Valle"/>
        <s v="María Fernández"/>
        <s v="Paula Jiménez"/>
        <s v="Comercial Nova S.A."/>
        <s v="Servicios Empresariales Orion"/>
        <s v="José Hernández"/>
        <s v="Luis Castillo"/>
        <s v="Andrea López"/>
        <s v="Constructora Horizonte"/>
      </sharedItems>
    </cacheField>
    <cacheField name="Tipo_Transaccion" numFmtId="0">
      <sharedItems count="2">
        <s v="Gasto"/>
        <s v="Ingreso"/>
      </sharedItems>
    </cacheField>
    <cacheField name="Categoria" numFmtId="0">
      <sharedItems count="8">
        <s v="Publicidad"/>
        <s v="Ventas"/>
        <s v="Servicios"/>
        <s v="Proveedores"/>
        <s v="Salarios"/>
        <s v="Alquiler"/>
        <s v="Impuestos"/>
        <s v="Intereses"/>
      </sharedItems>
    </cacheField>
    <cacheField name="Monto_Base" numFmtId="165">
      <sharedItems containsSemiMixedTypes="0" containsString="0" containsNumber="1" minValue="51.39" maxValue="14990.41"/>
    </cacheField>
    <cacheField name="Impuesto" numFmtId="165">
      <sharedItems containsSemiMixedTypes="0" containsString="0" containsNumber="1" minValue="0" maxValue="1948.75"/>
    </cacheField>
    <cacheField name="Monto_Total" numFmtId="165">
      <sharedItems containsSemiMixedTypes="0" containsString="0" containsNumber="1" minValue="58.07" maxValue="16939.16" count="4994">
        <n v="3387"/>
        <n v="8593.7200000000012"/>
        <n v="11394.17"/>
        <n v="6474.8"/>
        <n v="1387.71"/>
        <n v="12837"/>
        <n v="10069.120000000001"/>
        <n v="14843.37"/>
        <n v="4052.73"/>
        <n v="4009.96"/>
        <n v="8664.18"/>
        <n v="6503.39"/>
        <n v="7401.21"/>
        <n v="6373.21"/>
        <n v="14901.189999999999"/>
        <n v="2225.48"/>
        <n v="6796.8700000000008"/>
        <n v="411.84"/>
        <n v="15352.210000000001"/>
        <n v="4161.58"/>
        <n v="7032.02"/>
        <n v="9116.24"/>
        <n v="806.3"/>
        <n v="12976.52"/>
        <n v="10464.040000000001"/>
        <n v="1022.22"/>
        <n v="11463.210000000001"/>
        <n v="3103.68"/>
        <n v="189.27"/>
        <n v="13195.09"/>
        <n v="14087"/>
        <n v="3495.9700000000003"/>
        <n v="709.1"/>
        <n v="1722.51"/>
        <n v="5264.06"/>
        <n v="13890.17"/>
        <n v="4038.75"/>
        <n v="4612.6000000000004"/>
        <n v="5988.58"/>
        <n v="702.80000000000007"/>
        <n v="806.35"/>
        <n v="9967.64"/>
        <n v="2918.01"/>
        <n v="4903.4799999999996"/>
        <n v="13465.46"/>
        <n v="2545.8200000000002"/>
        <n v="8408.26"/>
        <n v="904.86"/>
        <n v="13463.26"/>
        <n v="1208.3800000000001"/>
        <n v="6527.31"/>
        <n v="980.87"/>
        <n v="11314.45"/>
        <n v="483.92"/>
        <n v="10055.64"/>
        <n v="6460.89"/>
        <n v="7081.09"/>
        <n v="14234.009999999998"/>
        <n v="11872.91"/>
        <n v="9783.7199999999993"/>
        <n v="11953.6"/>
        <n v="12751.16"/>
        <n v="10461.42"/>
        <n v="14950.34"/>
        <n v="7338.87"/>
        <n v="4133.8500000000004"/>
        <n v="5027.17"/>
        <n v="10557.68"/>
        <n v="3292.3"/>
        <n v="3087.8900000000003"/>
        <n v="9586.15"/>
        <n v="14484.19"/>
        <n v="2576.9700000000003"/>
        <n v="7667.2599999999993"/>
        <n v="10623.640000000001"/>
        <n v="7667.08"/>
        <n v="10326.4"/>
        <n v="15402.75"/>
        <n v="11690.69"/>
        <n v="12465.35"/>
        <n v="8004.91"/>
        <n v="6154.8"/>
        <n v="6849.65"/>
        <n v="860.35"/>
        <n v="13918.71"/>
        <n v="1631.13"/>
        <n v="12529.12"/>
        <n v="4723.29"/>
        <n v="6725.88"/>
        <n v="4002.19"/>
        <n v="1937.38"/>
        <n v="14769.61"/>
        <n v="14314.39"/>
        <n v="7387.79"/>
        <n v="4435.8500000000004"/>
        <n v="10352.949999999999"/>
        <n v="6920.58"/>
        <n v="9602.1299999999992"/>
        <n v="6499.08"/>
        <n v="15440"/>
        <n v="9442.31"/>
        <n v="5575.93"/>
        <n v="14512.39"/>
        <n v="1400.03"/>
        <n v="1669.77"/>
        <n v="1794.31"/>
        <n v="7720.13"/>
        <n v="539.11"/>
        <n v="955.22"/>
        <n v="13348.22"/>
        <n v="5607.0300000000007"/>
        <n v="1693.4"/>
        <n v="941.71"/>
        <n v="8568.1"/>
        <n v="6422.79"/>
        <n v="2188.31"/>
        <n v="11906.79"/>
        <n v="12419.92"/>
        <n v="14306.21"/>
        <n v="13770.12"/>
        <n v="14527.56"/>
        <n v="5971.15"/>
        <n v="545.62"/>
        <n v="2171.0300000000002"/>
        <n v="5582.29"/>
        <n v="4653.2699999999995"/>
        <n v="7319.25"/>
        <n v="3509.9300000000003"/>
        <n v="2676.64"/>
        <n v="373.11"/>
        <n v="408.85"/>
        <n v="7416.5999999999995"/>
        <n v="1191.8699999999999"/>
        <n v="2530.4500000000003"/>
        <n v="10232.950000000001"/>
        <n v="9489.2099999999991"/>
        <n v="900.51"/>
        <n v="15413.539999999999"/>
        <n v="16652.43"/>
        <n v="5490.27"/>
        <n v="8391.5499999999993"/>
        <n v="5297.39"/>
        <n v="10970.119999999999"/>
        <n v="16065.93"/>
        <n v="11238.8"/>
        <n v="794.62"/>
        <n v="16368.81"/>
        <n v="12262.52"/>
        <n v="4872.2099999999991"/>
        <n v="13960.56"/>
        <n v="471.4"/>
        <n v="7634.95"/>
        <n v="11653.78"/>
        <n v="1707.33"/>
        <n v="9241.4"/>
        <n v="14810.13"/>
        <n v="11007.47"/>
        <n v="12464.24"/>
        <n v="4436.97"/>
        <n v="597.48"/>
        <n v="7438.13"/>
        <n v="12027.16"/>
        <n v="11221.74"/>
        <n v="10915.88"/>
        <n v="14294.2"/>
        <n v="6174.49"/>
        <n v="8630.1299999999992"/>
        <n v="8487.1"/>
        <n v="3042.67"/>
        <n v="8272.4599999999991"/>
        <n v="4055.81"/>
        <n v="5281.5099999999993"/>
        <n v="7926.06"/>
        <n v="8809.06"/>
        <n v="3796.55"/>
        <n v="2948.68"/>
        <n v="11516.04"/>
        <n v="12080.09"/>
        <n v="7289.55"/>
        <n v="11421.94"/>
        <n v="3756.39"/>
        <n v="2888.02"/>
        <n v="16024.789999999999"/>
        <n v="8982.91"/>
        <n v="11469.66"/>
        <n v="5825.91"/>
        <n v="8389.59"/>
        <n v="13638.300000000001"/>
        <n v="8926.18"/>
        <n v="10123.41"/>
        <n v="9914.25"/>
        <n v="376.41"/>
        <n v="10601.34"/>
        <n v="15465.470000000001"/>
        <n v="3411.76"/>
        <n v="4352.45"/>
        <n v="16195.09"/>
        <n v="2102.23"/>
        <n v="7038.61"/>
        <n v="9775.5499999999993"/>
        <n v="7116.04"/>
        <n v="9651.36"/>
        <n v="2932.53"/>
        <n v="8538.33"/>
        <n v="2812.48"/>
        <n v="12790.09"/>
        <n v="7918.66"/>
        <n v="16229.670000000002"/>
        <n v="11549.85"/>
        <n v="14057.39"/>
        <n v="10220.41"/>
        <n v="8480.4699999999993"/>
        <n v="9826.2000000000007"/>
        <n v="6963.6900000000005"/>
        <n v="11096.97"/>
        <n v="7878.26"/>
        <n v="4170.96"/>
        <n v="10090.299999999999"/>
        <n v="8119.41"/>
        <n v="4561.38"/>
        <n v="9446.7699999999986"/>
        <n v="6416.23"/>
        <n v="16405.79"/>
        <n v="13837.28"/>
        <n v="3235.24"/>
        <n v="15888.41"/>
        <n v="5740.89"/>
        <n v="12923.08"/>
        <n v="330.51"/>
        <n v="5728.6"/>
        <n v="11004.94"/>
        <n v="16024.029999999999"/>
        <n v="3751.44"/>
        <n v="300.06"/>
        <n v="4127.3"/>
        <n v="6912.02"/>
        <n v="8312.89"/>
        <n v="13427.13"/>
        <n v="2731.35"/>
        <n v="9629.9700000000012"/>
        <n v="1510.4"/>
        <n v="3460.67"/>
        <n v="10710.97"/>
        <n v="1418.23"/>
        <n v="7639.04"/>
        <n v="14647.73"/>
        <n v="2919.98"/>
        <n v="6345.48"/>
        <n v="1863.64"/>
        <n v="12241.36"/>
        <n v="14470.39"/>
        <n v="5506.98"/>
        <n v="12477.66"/>
        <n v="10742.78"/>
        <n v="11909.560000000001"/>
        <n v="9571.2599999999984"/>
        <n v="7684.61"/>
        <n v="5207.26"/>
        <n v="5325.42"/>
        <n v="4817.7"/>
        <n v="8773.44"/>
        <n v="10876.43"/>
        <n v="3532.92"/>
        <n v="1981.6000000000001"/>
        <n v="6002.75"/>
        <n v="5215.4400000000005"/>
        <n v="7203.1100000000006"/>
        <n v="5370.8600000000006"/>
        <n v="16338.94"/>
        <n v="9608.0500000000011"/>
        <n v="8268.41"/>
        <n v="1786.68"/>
        <n v="14674.28"/>
        <n v="13799.87"/>
        <n v="14288.34"/>
        <n v="2527.0600000000004"/>
        <n v="5658.83"/>
        <n v="13040.17"/>
        <n v="7445.99"/>
        <n v="10634.859999999999"/>
        <n v="14935.63"/>
        <n v="11282.38"/>
        <n v="74.849999999999994"/>
        <n v="14822.92"/>
        <n v="5350.1"/>
        <n v="7491.32"/>
        <n v="10016.469999999999"/>
        <n v="9405.3100000000013"/>
        <n v="5049.2400000000007"/>
        <n v="16728.399999999998"/>
        <n v="9979.119999999999"/>
        <n v="6382.45"/>
        <n v="16516.07"/>
        <n v="4186.62"/>
        <n v="11907.28"/>
        <n v="11582.88"/>
        <n v="7746.39"/>
        <n v="3915.05"/>
        <n v="13807.39"/>
        <n v="4105.3100000000004"/>
        <n v="1220.9100000000001"/>
        <n v="4409.3500000000004"/>
        <n v="164.25"/>
        <n v="1604.04"/>
        <n v="15620.05"/>
        <n v="10821.300000000001"/>
        <n v="12771.16"/>
        <n v="13232.369999999999"/>
        <n v="1855.01"/>
        <n v="13699.63"/>
        <n v="6750.4500000000007"/>
        <n v="7862.0300000000007"/>
        <n v="10309.959999999999"/>
        <n v="13728.39"/>
        <n v="7467.09"/>
        <n v="13257.19"/>
        <n v="1361.44"/>
        <n v="8190.54"/>
        <n v="10143.89"/>
        <n v="11153.240000000002"/>
        <n v="4052.6800000000003"/>
        <n v="9214.880000000001"/>
        <n v="8950.06"/>
        <n v="377.6"/>
        <n v="5154.3700000000008"/>
        <n v="9999.7000000000007"/>
        <n v="2772.12"/>
        <n v="5915.34"/>
        <n v="3780.64"/>
        <n v="14538.07"/>
        <n v="7680.33"/>
        <n v="13324.57"/>
        <n v="9129.4"/>
        <n v="9925.94"/>
        <n v="120.96000000000001"/>
        <n v="10837.77"/>
        <n v="9645.9"/>
        <n v="7485.26"/>
        <n v="14562.05"/>
        <n v="7170.12"/>
        <n v="16479.760000000002"/>
        <n v="5458.18"/>
        <n v="11808.93"/>
        <n v="15681.78"/>
        <n v="610.11"/>
        <n v="12654.82"/>
        <n v="14588.82"/>
        <n v="7518.6399999999994"/>
        <n v="2077.96"/>
        <n v="7767.5199999999995"/>
        <n v="6348.77"/>
        <n v="4311.79"/>
        <n v="7723.55"/>
        <n v="10705.47"/>
        <n v="5160.79"/>
        <n v="10281.98"/>
        <n v="2291.44"/>
        <n v="3928.42"/>
        <n v="7634.36"/>
        <n v="14206.5"/>
        <n v="3945.36"/>
        <n v="14711.57"/>
        <n v="6969.18"/>
        <n v="4735.54"/>
        <n v="13321.46"/>
        <n v="119.8"/>
        <n v="11489.14"/>
        <n v="2546.9499999999998"/>
        <n v="5420.8"/>
        <n v="10018.48"/>
        <n v="11239.490000000002"/>
        <n v="8070.7199999999993"/>
        <n v="6311.44"/>
        <n v="9154.58"/>
        <n v="15435.61"/>
        <n v="2576.0700000000002"/>
        <n v="6990.95"/>
        <n v="14437.029999999999"/>
        <n v="5620.7"/>
        <n v="12008.49"/>
        <n v="12043.86"/>
        <n v="1738.42"/>
        <n v="8825.91"/>
        <n v="12593.54"/>
        <n v="12750.779999999999"/>
        <n v="12265.69"/>
        <n v="14711.03"/>
        <n v="13432.49"/>
        <n v="14319.98"/>
        <n v="93.61"/>
        <n v="12336.49"/>
        <n v="13986.1"/>
        <n v="14459.63"/>
        <n v="12397.119999999999"/>
        <n v="6777.92"/>
        <n v="10692.52"/>
        <n v="12056.84"/>
        <n v="6490.7300000000005"/>
        <n v="11723.06"/>
        <n v="4070.32"/>
        <n v="243.83"/>
        <n v="5026.1900000000005"/>
        <n v="8371.15"/>
        <n v="2653.09"/>
        <n v="14356.97"/>
        <n v="13256.78"/>
        <n v="1765.09"/>
        <n v="4391.21"/>
        <n v="4838.68"/>
        <n v="3123.41"/>
        <n v="1358.44"/>
        <n v="9471.75"/>
        <n v="11896.85"/>
        <n v="12984.66"/>
        <n v="12671.789999999999"/>
        <n v="762.2"/>
        <n v="15355.73"/>
        <n v="11391.67"/>
        <n v="3001.39"/>
        <n v="13506.77"/>
        <n v="14381.95"/>
        <n v="10209.719999999999"/>
        <n v="10962.130000000001"/>
        <n v="13784.869999999999"/>
        <n v="5518.99"/>
        <n v="6203.46"/>
        <n v="12488.76"/>
        <n v="3548.58"/>
        <n v="16622.099999999999"/>
        <n v="8835.7999999999993"/>
        <n v="11900.23"/>
        <n v="3629.7599999999998"/>
        <n v="11463.49"/>
        <n v="9744.69"/>
        <n v="7773.78"/>
        <n v="13016.17"/>
        <n v="8968.17"/>
        <n v="14019.22"/>
        <n v="13534.67"/>
        <n v="14079.4"/>
        <n v="13655.78"/>
        <n v="8837.1"/>
        <n v="11063.9"/>
        <n v="9383.49"/>
        <n v="11049.95"/>
        <n v="13336.16"/>
        <n v="8024.6399999999994"/>
        <n v="12295.76"/>
        <n v="3065.52"/>
        <n v="6133.7599999999993"/>
        <n v="8811.9"/>
        <n v="14451.15"/>
        <n v="3013.45"/>
        <n v="10428.17"/>
        <n v="2020.68"/>
        <n v="10527.24"/>
        <n v="5358.91"/>
        <n v="14800.17"/>
        <n v="11473.33"/>
        <n v="13476.91"/>
        <n v="8938.01"/>
        <n v="10488.76"/>
        <n v="6165.2199999999993"/>
        <n v="2799.51"/>
        <n v="8592.58"/>
        <n v="13571.93"/>
        <n v="4535.51"/>
        <n v="8106.91"/>
        <n v="346.54"/>
        <n v="11632.43"/>
        <n v="9487.5400000000009"/>
        <n v="9812.5499999999993"/>
        <n v="2551.41"/>
        <n v="1796.69"/>
        <n v="4490.24"/>
        <n v="9415.89"/>
        <n v="14625.97"/>
        <n v="7875.72"/>
        <n v="5518.46"/>
        <n v="8049.73"/>
        <n v="9317.7200000000012"/>
        <n v="3347.86"/>
        <n v="2860.61"/>
        <n v="10522.07"/>
        <n v="16482.600000000002"/>
        <n v="8394.7800000000007"/>
        <n v="12661.02"/>
        <n v="13862.73"/>
        <n v="7841.61"/>
        <n v="9456.01"/>
        <n v="15049.81"/>
        <n v="9934.08"/>
        <n v="2720.58"/>
        <n v="8297.8700000000008"/>
        <n v="10879.77"/>
        <n v="5524.5999999999995"/>
        <n v="8147.01"/>
        <n v="4844.38"/>
        <n v="6176.58"/>
        <n v="1865.03"/>
        <n v="9109.01"/>
        <n v="12339.3"/>
        <n v="16284.17"/>
        <n v="9490.23"/>
        <n v="13443.949999999999"/>
        <n v="12680.57"/>
        <n v="14426.69"/>
        <n v="167.47"/>
        <n v="6064.77"/>
        <n v="9670"/>
        <n v="687.84"/>
        <n v="13053.31"/>
        <n v="9177.7999999999993"/>
        <n v="3370.18"/>
        <n v="4492.0199999999995"/>
        <n v="6734.8200000000006"/>
        <n v="10286.83"/>
        <n v="5876.73"/>
        <n v="814.64"/>
        <n v="16087.44"/>
        <n v="5011.5600000000004"/>
        <n v="3869.07"/>
        <n v="11212.5"/>
        <n v="13562.89"/>
        <n v="644.29999999999995"/>
        <n v="5362.9"/>
        <n v="3867.38"/>
        <n v="4117.03"/>
        <n v="14628.630000000001"/>
        <n v="3167.19"/>
        <n v="11697.66"/>
        <n v="11668.72"/>
        <n v="8358.73"/>
        <n v="3377.19"/>
        <n v="13008.28"/>
        <n v="7685.76"/>
        <n v="4975.54"/>
        <n v="7887.9800000000005"/>
        <n v="6790.74"/>
        <n v="10789.7"/>
        <n v="5711.25"/>
        <n v="7144.71"/>
        <n v="262.74"/>
        <n v="6181.76"/>
        <n v="3179.1000000000004"/>
        <n v="1895.9899999999998"/>
        <n v="1442.24"/>
        <n v="8010.24"/>
        <n v="9708.8900000000012"/>
        <n v="7904.6"/>
        <n v="16599.59"/>
        <n v="730.11"/>
        <n v="4651.2"/>
        <n v="12489.04"/>
        <n v="9426.65"/>
        <n v="3163.52"/>
        <n v="9416.34"/>
        <n v="4108.8900000000003"/>
        <n v="1727.86"/>
        <n v="5802.24"/>
        <n v="12297.03"/>
        <n v="7943.66"/>
        <n v="2928.56"/>
        <n v="1990.13"/>
        <n v="2166.27"/>
        <n v="808.36"/>
        <n v="6677.35"/>
        <n v="16505.39"/>
        <n v="7084.66"/>
        <n v="6826.58"/>
        <n v="13029.72"/>
        <n v="9056.44"/>
        <n v="5143.68"/>
        <n v="1987.8200000000002"/>
        <n v="8993.9699999999993"/>
        <n v="15045.449999999999"/>
        <n v="3124.64"/>
        <n v="14376.05"/>
        <n v="3566.86"/>
        <n v="9954.19"/>
        <n v="2057.4499999999998"/>
        <n v="14587.490000000002"/>
        <n v="5361.84"/>
        <n v="13902.14"/>
        <n v="2174.21"/>
        <n v="10412.870000000001"/>
        <n v="5326.07"/>
        <n v="8614.26"/>
        <n v="14440.390000000001"/>
        <n v="15431.81"/>
        <n v="5848.41"/>
        <n v="12321.17"/>
        <n v="7895.33"/>
        <n v="7980.11"/>
        <n v="15559.869999999999"/>
        <n v="11110.65"/>
        <n v="10108.39"/>
        <n v="4311.91"/>
        <n v="1515.87"/>
        <n v="9924.14"/>
        <n v="13184.529999999999"/>
        <n v="7401.24"/>
        <n v="9228.7999999999993"/>
        <n v="13186.76"/>
        <n v="15338.650000000001"/>
        <n v="112.38"/>
        <n v="6228.63"/>
        <n v="11218.609999999999"/>
        <n v="659.57"/>
        <n v="8032.4"/>
        <n v="3214.59"/>
        <n v="11102"/>
        <n v="13921.66"/>
        <n v="993.5"/>
        <n v="14186.69"/>
        <n v="11375.37"/>
        <n v="1745.31"/>
        <n v="3087.41"/>
        <n v="8893.27"/>
        <n v="5932.96"/>
        <n v="6990.03"/>
        <n v="2686.04"/>
        <n v="9271.4500000000007"/>
        <n v="1109.3499999999999"/>
        <n v="5566.02"/>
        <n v="9940.7599999999984"/>
        <n v="6893.22"/>
        <n v="2362.4899999999998"/>
        <n v="9823"/>
        <n v="4223.6000000000004"/>
        <n v="7114.1299999999992"/>
        <n v="8423.6"/>
        <n v="9732.2199999999993"/>
        <n v="7891.04"/>
        <n v="7987.26"/>
        <n v="1708.95"/>
        <n v="2394.66"/>
        <n v="13474.1"/>
        <n v="7546.68"/>
        <n v="1531.46"/>
        <n v="8441.2199999999993"/>
        <n v="5913.48"/>
        <n v="8701.6299999999992"/>
        <n v="2957.74"/>
        <n v="6866.1"/>
        <n v="2031.64"/>
        <n v="11300.02"/>
        <n v="15785.51"/>
        <n v="14545.6"/>
        <n v="11510.43"/>
        <n v="986.21"/>
        <n v="11494.470000000001"/>
        <n v="6772.6399999999994"/>
        <n v="14663.98"/>
        <n v="12365.189999999999"/>
        <n v="1038.43"/>
        <n v="12055.050000000001"/>
        <n v="7436.8"/>
        <n v="9824.5"/>
        <n v="14915.28"/>
        <n v="5629.37"/>
        <n v="5392.91"/>
        <n v="7732.3"/>
        <n v="1482.71"/>
        <n v="5137.68"/>
        <n v="7835.8200000000006"/>
        <n v="12264.73"/>
        <n v="14531.109999999999"/>
        <n v="1212.1400000000001"/>
        <n v="2065.52"/>
        <n v="3178.1099999999997"/>
        <n v="8586.18"/>
        <n v="16503.670000000002"/>
        <n v="14158.22"/>
        <n v="1920.13"/>
        <n v="5802.48"/>
        <n v="14775.19"/>
        <n v="5975.73"/>
        <n v="1149.6799999999998"/>
        <n v="11484.01"/>
        <n v="7695.65"/>
        <n v="558.64"/>
        <n v="4576.1499999999996"/>
        <n v="7596.68"/>
        <n v="4752.66"/>
        <n v="7397.62"/>
        <n v="7164.87"/>
        <n v="11508.74"/>
        <n v="11489.65"/>
        <n v="893.92"/>
        <n v="2924.67"/>
        <n v="9989.7000000000007"/>
        <n v="5732.16"/>
        <n v="12613.69"/>
        <n v="9387.36"/>
        <n v="3185.6"/>
        <n v="3806.41"/>
        <n v="9929.0499999999993"/>
        <n v="3643.59"/>
        <n v="12364.48"/>
        <n v="524.52"/>
        <n v="2361.29"/>
        <n v="5359.45"/>
        <n v="9702.24"/>
        <n v="5619.29"/>
        <n v="3673.54"/>
        <n v="4781.5200000000004"/>
        <n v="12329.41"/>
        <n v="9602.2900000000009"/>
        <n v="15725.35"/>
        <n v="13198.04"/>
        <n v="10774.92"/>
        <n v="10443.39"/>
        <n v="5356.3600000000006"/>
        <n v="13108.91"/>
        <n v="2769.24"/>
        <n v="3963.66"/>
        <n v="14211.29"/>
        <n v="3275.46"/>
        <n v="16869.04"/>
        <n v="3570.51"/>
        <n v="16517.52"/>
        <n v="936.86"/>
        <n v="13174.56"/>
        <n v="14678.82"/>
        <n v="6564.84"/>
        <n v="978.32999999999993"/>
        <n v="745.62"/>
        <n v="1637.3600000000001"/>
        <n v="15605.5"/>
        <n v="6367.21"/>
        <n v="8933.35"/>
        <n v="5515.98"/>
        <n v="16359.56"/>
        <n v="1853"/>
        <n v="7369.86"/>
        <n v="10711"/>
        <n v="4396.01"/>
        <n v="5048.2199999999993"/>
        <n v="11220.66"/>
        <n v="11803.35"/>
        <n v="9375.9699999999993"/>
        <n v="6535.29"/>
        <n v="13038.27"/>
        <n v="290.90999999999997"/>
        <n v="7418.5"/>
        <n v="376.16"/>
        <n v="3060.01"/>
        <n v="11069.32"/>
        <n v="10728.64"/>
        <n v="7447.09"/>
        <n v="5865.2900000000009"/>
        <n v="12504.56"/>
        <n v="2640.7"/>
        <n v="9463.3200000000015"/>
        <n v="5762.02"/>
        <n v="11552.14"/>
        <n v="13261.34"/>
        <n v="2709.33"/>
        <n v="1888.6"/>
        <n v="1324.25"/>
        <n v="7040.43"/>
        <n v="1488.7"/>
        <n v="16573.830000000002"/>
        <n v="12413.7"/>
        <n v="13320.74"/>
        <n v="10890.23"/>
        <n v="11367.84"/>
        <n v="14273.79"/>
        <n v="6824.55"/>
        <n v="8835.49"/>
        <n v="14051.71"/>
        <n v="5570.95"/>
        <n v="10989.17"/>
        <n v="7750.34"/>
        <n v="9715.5999999999985"/>
        <n v="7314.59"/>
        <n v="13894.39"/>
        <n v="8508.17"/>
        <n v="13001.87"/>
        <n v="14373.29"/>
        <n v="9676.52"/>
        <n v="11176.72"/>
        <n v="12113.47"/>
        <n v="6253.3"/>
        <n v="2489.7399999999998"/>
        <n v="456.21"/>
        <n v="5663.92"/>
        <n v="4075.85"/>
        <n v="13710.34"/>
        <n v="1304.43"/>
        <n v="674.79"/>
        <n v="12600.34"/>
        <n v="1572.1"/>
        <n v="9545.7900000000009"/>
        <n v="287.33"/>
        <n v="9445.75"/>
        <n v="16477.64"/>
        <n v="14046.91"/>
        <n v="13713.449999999999"/>
        <n v="3369.1"/>
        <n v="1160.67"/>
        <n v="11555.57"/>
        <n v="10218.59"/>
        <n v="4777.82"/>
        <n v="3382.44"/>
        <n v="14255.62"/>
        <n v="13161.62"/>
        <n v="5348.8899999999994"/>
        <n v="1572.32"/>
        <n v="12975.51"/>
        <n v="11052.85"/>
        <n v="10072.42"/>
        <n v="3685.13"/>
        <n v="7988.4"/>
        <n v="7186.59"/>
        <n v="9016.4500000000007"/>
        <n v="7731.26"/>
        <n v="8177.99"/>
        <n v="6102.46"/>
        <n v="14630.87"/>
        <n v="2719.19"/>
        <n v="15870.75"/>
        <n v="1821.48"/>
        <n v="13819.15"/>
        <n v="14802.019999999999"/>
        <n v="8648.77"/>
        <n v="10748.97"/>
        <n v="14638.44"/>
        <n v="2058.2399999999998"/>
        <n v="6794.71"/>
        <n v="7518.16"/>
        <n v="2059.87"/>
        <n v="11190.91"/>
        <n v="11757.77"/>
        <n v="12276.17"/>
        <n v="6460.45"/>
        <n v="5218.68"/>
        <n v="11454.48"/>
        <n v="9655.2300000000014"/>
        <n v="3238.2"/>
        <n v="598.08999999999992"/>
        <n v="3128.09"/>
        <n v="5576.82"/>
        <n v="16191.43"/>
        <n v="7562"/>
        <n v="10274.51"/>
        <n v="4920.34"/>
        <n v="15260.05"/>
        <n v="4681.54"/>
        <n v="1349.42"/>
        <n v="7864.12"/>
        <n v="4290.1099999999997"/>
        <n v="12111.390000000001"/>
        <n v="5025.63"/>
        <n v="2710.21"/>
        <n v="11718.87"/>
        <n v="15408.58"/>
        <n v="3782.66"/>
        <n v="5507.6900000000005"/>
        <n v="1845.28"/>
        <n v="3774.7"/>
        <n v="11524.8"/>
        <n v="10184.61"/>
        <n v="9147.57"/>
        <n v="4050.07"/>
        <n v="3070.08"/>
        <n v="5420.84"/>
        <n v="3126.97"/>
        <n v="1016.02"/>
        <n v="10068.11"/>
        <n v="4194.1400000000003"/>
        <n v="1246.24"/>
        <n v="12303.08"/>
        <n v="4403.0600000000004"/>
        <n v="10737.21"/>
        <n v="14107.26"/>
        <n v="15803.43"/>
        <n v="15708.65"/>
        <n v="14166.77"/>
        <n v="10605.74"/>
        <n v="8811.89"/>
        <n v="145.97999999999999"/>
        <n v="11008.98"/>
        <n v="7669.74"/>
        <n v="9421.2199999999993"/>
        <n v="4187.59"/>
        <n v="4551.54"/>
        <n v="7124.82"/>
        <n v="11292"/>
        <n v="10892.04"/>
        <n v="7747.96"/>
        <n v="3541.7"/>
        <n v="5020.87"/>
        <n v="2562.39"/>
        <n v="7403.38"/>
        <n v="9998.8700000000008"/>
        <n v="9826.1"/>
        <n v="1562.3700000000001"/>
        <n v="4696.4399999999996"/>
        <n v="1857.1100000000001"/>
        <n v="2254.0100000000002"/>
        <n v="16896.77"/>
        <n v="2636.1800000000003"/>
        <n v="14866.4"/>
        <n v="7941.27"/>
        <n v="12754.66"/>
        <n v="3186.01"/>
        <n v="1679.0800000000002"/>
        <n v="558.19000000000005"/>
        <n v="4164.4799999999996"/>
        <n v="10892.15"/>
        <n v="8236.19"/>
        <n v="13788.689999999999"/>
        <n v="14618.75"/>
        <n v="11081.89"/>
        <n v="14495.83"/>
        <n v="2140.83"/>
        <n v="3233.72"/>
        <n v="8270.24"/>
        <n v="14105.98"/>
        <n v="13935.66"/>
        <n v="11611.3"/>
        <n v="4679.3500000000004"/>
        <n v="1478.33"/>
        <n v="2751.05"/>
        <n v="11165.039999999999"/>
        <n v="2787.41"/>
        <n v="10794.61"/>
        <n v="2845.84"/>
        <n v="8466.17"/>
        <n v="12121.16"/>
        <n v="10134.11"/>
        <n v="6369.7"/>
        <n v="5110.66"/>
        <n v="15133.84"/>
        <n v="127.06"/>
        <n v="8994.7899999999991"/>
        <n v="6735.49"/>
        <n v="2141.12"/>
        <n v="6721.76"/>
        <n v="8274.35"/>
        <n v="2187.17"/>
        <n v="8168.6500000000005"/>
        <n v="4805.92"/>
        <n v="3243.7799999999997"/>
        <n v="13940.02"/>
        <n v="10517.37"/>
        <n v="4599.1400000000003"/>
        <n v="747.26"/>
        <n v="6147.76"/>
        <n v="13313.55"/>
        <n v="15967.1"/>
        <n v="7121.58"/>
        <n v="7268.17"/>
        <n v="13476.539999999999"/>
        <n v="8459.35"/>
        <n v="10059.36"/>
        <n v="2608.08"/>
        <n v="14810.99"/>
        <n v="1294.53"/>
        <n v="13975.59"/>
        <n v="12261.86"/>
        <n v="6284.12"/>
        <n v="15993.07"/>
        <n v="2481.1"/>
        <n v="6543.45"/>
        <n v="14082.05"/>
        <n v="12890.01"/>
        <n v="10656.93"/>
        <n v="68.099999999999994"/>
        <n v="13829.28"/>
        <n v="16214.56"/>
        <n v="3064.6800000000003"/>
        <n v="13137.26"/>
        <n v="5466.75"/>
        <n v="2212.7800000000002"/>
        <n v="10416.64"/>
        <n v="8104.27"/>
        <n v="10561.25"/>
        <n v="13817.52"/>
        <n v="3200.52"/>
        <n v="6335.55"/>
        <n v="2443.17"/>
        <n v="7999.56"/>
        <n v="10263.11"/>
        <n v="10654.82"/>
        <n v="3322.65"/>
        <n v="2514.12"/>
        <n v="469.33"/>
        <n v="3228.15"/>
        <n v="768.33"/>
        <n v="12757.75"/>
        <n v="456.63"/>
        <n v="13283.8"/>
        <n v="4969.83"/>
        <n v="9633.44"/>
        <n v="5356.3"/>
        <n v="12061.95"/>
        <n v="5483.91"/>
        <n v="1298.18"/>
        <n v="14467.66"/>
        <n v="5266.62"/>
        <n v="3032.09"/>
        <n v="7735.92"/>
        <n v="1110.6500000000001"/>
        <n v="3818.47"/>
        <n v="13075.77"/>
        <n v="14452.32"/>
        <n v="6048.49"/>
        <n v="11274.85"/>
        <n v="4496.16"/>
        <n v="11821.91"/>
        <n v="13804.08"/>
        <n v="5315.56"/>
        <n v="2694.58"/>
        <n v="14930.68"/>
        <n v="8560.0300000000007"/>
        <n v="2973.63"/>
        <n v="7638.03"/>
        <n v="499.9"/>
        <n v="8358.31"/>
        <n v="6076.63"/>
        <n v="14298.24"/>
        <n v="7446.07"/>
        <n v="10774.8"/>
        <n v="13071.11"/>
        <n v="7812.77"/>
        <n v="8406.02"/>
        <n v="16261.039999999999"/>
        <n v="5103.5200000000004"/>
        <n v="2417.9"/>
        <n v="13483.66"/>
        <n v="3028.6"/>
        <n v="3788.89"/>
        <n v="13248.72"/>
        <n v="3035.83"/>
        <n v="4437.43"/>
        <n v="11873.9"/>
        <n v="194.01"/>
        <n v="8446.5300000000007"/>
        <n v="8630.5300000000007"/>
        <n v="13617.34"/>
        <n v="10043.450000000001"/>
        <n v="12632.56"/>
        <n v="12456.26"/>
        <n v="9204.19"/>
        <n v="3840.88"/>
        <n v="12289.21"/>
        <n v="1324.22"/>
        <n v="1938.02"/>
        <n v="14646.42"/>
        <n v="9909.24"/>
        <n v="13884.03"/>
        <n v="12724.71"/>
        <n v="3231.69"/>
        <n v="4120.4399999999996"/>
        <n v="13907.57"/>
        <n v="844.7"/>
        <n v="6070.25"/>
        <n v="3765.97"/>
        <n v="3882.28"/>
        <n v="2606.89"/>
        <n v="12542.33"/>
        <n v="2170.41"/>
        <n v="11530.61"/>
        <n v="725.39"/>
        <n v="5202.29"/>
        <n v="252.74"/>
        <n v="16589.11"/>
        <n v="3134.3"/>
        <n v="15435.109999999999"/>
        <n v="14148.57"/>
        <n v="7021.45"/>
        <n v="319.91000000000003"/>
        <n v="6007.33"/>
        <n v="12104.9"/>
        <n v="3768.49"/>
        <n v="8480.42"/>
        <n v="4550.88"/>
        <n v="8952.1299999999992"/>
        <n v="14423.63"/>
        <n v="8725.82"/>
        <n v="6968.98"/>
        <n v="12338"/>
        <n v="8778.01"/>
        <n v="10592.37"/>
        <n v="3507.73"/>
        <n v="7281.61"/>
        <n v="3178.55"/>
        <n v="14388.42"/>
        <n v="12211.73"/>
        <n v="9694.3799999999992"/>
        <n v="186.34"/>
        <n v="11137.27"/>
        <n v="13746.59"/>
        <n v="8788.17"/>
        <n v="15838.98"/>
        <n v="975.8"/>
        <n v="5482"/>
        <n v="10198.790000000001"/>
        <n v="3495"/>
        <n v="12494.42"/>
        <n v="9400.7900000000009"/>
        <n v="819.61"/>
        <n v="13093.02"/>
        <n v="9901.57"/>
        <n v="2132.36"/>
        <n v="16629.97"/>
        <n v="657.91000000000008"/>
        <n v="15788.52"/>
        <n v="10446.84"/>
        <n v="2945"/>
        <n v="14864.53"/>
        <n v="795.08"/>
        <n v="9880.86"/>
        <n v="12103.83"/>
        <n v="5912.3899999999994"/>
        <n v="12589.93"/>
        <n v="368.28"/>
        <n v="7455.59"/>
        <n v="9052.15"/>
        <n v="5816.25"/>
        <n v="8610.41"/>
        <n v="4798.51"/>
        <n v="9252.43"/>
        <n v="12721.51"/>
        <n v="9584.26"/>
        <n v="6634.57"/>
        <n v="3987.1499999999996"/>
        <n v="16134.109999999999"/>
        <n v="8620.4500000000007"/>
        <n v="1117.33"/>
        <n v="7086.74"/>
        <n v="1851.13"/>
        <n v="6494.44"/>
        <n v="11192.66"/>
        <n v="11995.14"/>
        <n v="1241.3699999999999"/>
        <n v="8561.67"/>
        <n v="1813.56"/>
        <n v="2543.23"/>
        <n v="10366.200000000001"/>
        <n v="10694.15"/>
        <n v="9480.94"/>
        <n v="11441.15"/>
        <n v="8389.9599999999991"/>
        <n v="14305.03"/>
        <n v="1822.34"/>
        <n v="11314.89"/>
        <n v="8306.7099999999991"/>
        <n v="5039.1000000000004"/>
        <n v="12416.35"/>
        <n v="6829.29"/>
        <n v="12629.39"/>
        <n v="10116.549999999999"/>
        <n v="10780.03"/>
        <n v="10664.36"/>
        <n v="13174.45"/>
        <n v="4466.49"/>
        <n v="2684.11"/>
        <n v="482.99"/>
        <n v="5901.11"/>
        <n v="10805.26"/>
        <n v="16069.470000000001"/>
        <n v="15467.24"/>
        <n v="14215.77"/>
        <n v="15936.63"/>
        <n v="5149.32"/>
        <n v="14618.43"/>
        <n v="12487.98"/>
        <n v="4686.16"/>
        <n v="16390.59"/>
        <n v="14274.29"/>
        <n v="7178.25"/>
        <n v="14666.46"/>
        <n v="931.05"/>
        <n v="13077.85"/>
        <n v="10647.58"/>
        <n v="11365.46"/>
        <n v="15015.75"/>
        <n v="2042.8899999999999"/>
        <n v="12052.07"/>
        <n v="2505.36"/>
        <n v="5324.58"/>
        <n v="10098.91"/>
        <n v="12320.28"/>
        <n v="10068.240000000002"/>
        <n v="8656.0499999999993"/>
        <n v="1599.53"/>
        <n v="2370.4900000000002"/>
        <n v="9519.31"/>
        <n v="13255.12"/>
        <n v="10441.74"/>
        <n v="11572.63"/>
        <n v="7524.7800000000007"/>
        <n v="9121.2800000000007"/>
        <n v="14568.55"/>
        <n v="6299.2199999999993"/>
        <n v="7546.71"/>
        <n v="14200.98"/>
        <n v="3315.93"/>
        <n v="10336.69"/>
        <n v="5154.71"/>
        <n v="3192.93"/>
        <n v="5256.0300000000007"/>
        <n v="4220.5"/>
        <n v="4437.8900000000003"/>
        <n v="599.13"/>
        <n v="11876.1"/>
        <n v="4463.1000000000004"/>
        <n v="8478.35"/>
        <n v="8089.29"/>
        <n v="7472.89"/>
        <n v="9034.08"/>
        <n v="14312.03"/>
        <n v="2250.81"/>
        <n v="6935.79"/>
        <n v="14547.1"/>
        <n v="5203.4399999999996"/>
        <n v="11457.69"/>
        <n v="8974.24"/>
        <n v="6292.44"/>
        <n v="711.51"/>
        <n v="5311.94"/>
        <n v="7000.59"/>
        <n v="8641.5"/>
        <n v="3916.8"/>
        <n v="11793.15"/>
        <n v="7747.7"/>
        <n v="7831.75"/>
        <n v="8164.09"/>
        <n v="8956.89"/>
        <n v="12334.48"/>
        <n v="743.07"/>
        <n v="15724.22"/>
        <n v="11914.99"/>
        <n v="11422.75"/>
        <n v="10189.209999999999"/>
        <n v="6963.5"/>
        <n v="10384.949999999999"/>
        <n v="5810.36"/>
        <n v="4376.04"/>
        <n v="4412.75"/>
        <n v="9599.5099999999984"/>
        <n v="10312.91"/>
        <n v="12980.15"/>
        <n v="11568.97"/>
        <n v="4329.9399999999996"/>
        <n v="9860.0499999999993"/>
        <n v="2397.46"/>
        <n v="9674.08"/>
        <n v="10859.75"/>
        <n v="3553.5800000000004"/>
        <n v="14789.08"/>
        <n v="1101.97"/>
        <n v="13768.32"/>
        <n v="12860.769999999999"/>
        <n v="13496.18"/>
        <n v="5841.56"/>
        <n v="2557.14"/>
        <n v="8085.7300000000005"/>
        <n v="468.67"/>
        <n v="9295.98"/>
        <n v="13068.19"/>
        <n v="3543.8199999999997"/>
        <n v="12607.66"/>
        <n v="8628.5400000000009"/>
        <n v="4382.46"/>
        <n v="1415.82"/>
        <n v="7899.67"/>
        <n v="7166.74"/>
        <n v="14604.150000000001"/>
        <n v="7414.45"/>
        <n v="4707.08"/>
        <n v="15148.6"/>
        <n v="13883.17"/>
        <n v="8533.32"/>
        <n v="2698.44"/>
        <n v="3469.42"/>
        <n v="6773.13"/>
        <n v="9704.6"/>
        <n v="404"/>
        <n v="4163.95"/>
        <n v="16729.189999999999"/>
        <n v="13857.91"/>
        <n v="9754.86"/>
        <n v="2149.9899999999998"/>
        <n v="6939.02"/>
        <n v="7275.6200000000008"/>
        <n v="14398.83"/>
        <n v="9039.83"/>
        <n v="6796.76"/>
        <n v="6051.92"/>
        <n v="2299.9"/>
        <n v="2873.27"/>
        <n v="9180.2800000000007"/>
        <n v="16798.02"/>
        <n v="6687.09"/>
        <n v="10027.34"/>
        <n v="11257.75"/>
        <n v="14176.21"/>
        <n v="12556.19"/>
        <n v="728.27"/>
        <n v="964.66"/>
        <n v="12590.91"/>
        <n v="6875.63"/>
        <n v="634.64"/>
        <n v="15213.16"/>
        <n v="12860.89"/>
        <n v="14355.74"/>
        <n v="3866.86"/>
        <n v="3175.4900000000002"/>
        <n v="9934.9699999999993"/>
        <n v="10777.63"/>
        <n v="9449.26"/>
        <n v="11187.16"/>
        <n v="9965.56"/>
        <n v="1654.34"/>
        <n v="8321.81"/>
        <n v="12446.4"/>
        <n v="6382.65"/>
        <n v="14387.9"/>
        <n v="62.48"/>
        <n v="2199.6799999999998"/>
        <n v="14151.24"/>
        <n v="7546.76"/>
        <n v="3978.8500000000004"/>
        <n v="5753.45"/>
        <n v="7866.45"/>
        <n v="9589"/>
        <n v="1764.96"/>
        <n v="9528.19"/>
        <n v="2041.04"/>
        <n v="8621.51"/>
        <n v="10708.210000000001"/>
        <n v="5318.06"/>
        <n v="9491.14"/>
        <n v="5999.7099999999991"/>
        <n v="9610.15"/>
        <n v="14391.66"/>
        <n v="10504.64"/>
        <n v="5981.51"/>
        <n v="3726.26"/>
        <n v="11001.710000000001"/>
        <n v="6247.16"/>
        <n v="10615.85"/>
        <n v="14373.46"/>
        <n v="1616.87"/>
        <n v="10510.3"/>
        <n v="13442.83"/>
        <n v="10718.5"/>
        <n v="4991.47"/>
        <n v="9980.5400000000009"/>
        <n v="554.65"/>
        <n v="5750.3"/>
        <n v="14906.970000000001"/>
        <n v="5128.82"/>
        <n v="85.71"/>
        <n v="14337.89"/>
        <n v="9753.119999999999"/>
        <n v="13693.009999999998"/>
        <n v="9072.3799999999992"/>
        <n v="4216.05"/>
        <n v="13755.57"/>
        <n v="5467.7599999999993"/>
        <n v="459.14"/>
        <n v="7936.87"/>
        <n v="16388.59"/>
        <n v="13664.4"/>
        <n v="8588.6200000000008"/>
        <n v="11199.35"/>
        <n v="10171.51"/>
        <n v="13969.23"/>
        <n v="2233.87"/>
        <n v="9127.2900000000009"/>
        <n v="11426.79"/>
        <n v="8145.45"/>
        <n v="10451.43"/>
        <n v="16081.49"/>
        <n v="2338.81"/>
        <n v="13076.49"/>
        <n v="1714.92"/>
        <n v="15286.32"/>
        <n v="12932.32"/>
        <n v="10299.870000000001"/>
        <n v="13795.43"/>
        <n v="16935.48"/>
        <n v="6989.1100000000006"/>
        <n v="6935.69"/>
        <n v="10863.45"/>
        <n v="9677.7999999999993"/>
        <n v="3031.18"/>
        <n v="6576.89"/>
        <n v="7055.27"/>
        <n v="15601.42"/>
        <n v="14258.5"/>
        <n v="1567.42"/>
        <n v="8446.8799999999992"/>
        <n v="11347.32"/>
        <n v="8794.1200000000008"/>
        <n v="2699.67"/>
        <n v="10685.55"/>
        <n v="2920.75"/>
        <n v="4501.41"/>
        <n v="14788.31"/>
        <n v="5856.54"/>
        <n v="10623.84"/>
        <n v="13704.69"/>
        <n v="1313.62"/>
        <n v="14756.55"/>
        <n v="11952.02"/>
        <n v="901.15"/>
        <n v="4922.9000000000005"/>
        <n v="4503.91"/>
        <n v="2478.23"/>
        <n v="11044.88"/>
        <n v="8400.59"/>
        <n v="10486.24"/>
        <n v="7520.44"/>
        <n v="7000.93"/>
        <n v="7144.9699999999993"/>
        <n v="13425.599999999999"/>
        <n v="2291"/>
        <n v="2889.69"/>
        <n v="1050.25"/>
        <n v="6274.36"/>
        <n v="9006.7800000000007"/>
        <n v="314.76"/>
        <n v="8347.19"/>
        <n v="13796.35"/>
        <n v="12729.88"/>
        <n v="11672.63"/>
        <n v="6073.43"/>
        <n v="12370.84"/>
        <n v="11871.1"/>
        <n v="11064.890000000001"/>
        <n v="12869.57"/>
        <n v="5509.79"/>
        <n v="8274.4"/>
        <n v="5530.2300000000005"/>
        <n v="2617.0499999999997"/>
        <n v="6218.99"/>
        <n v="7633.21"/>
        <n v="772.68999999999994"/>
        <n v="7678.19"/>
        <n v="3933.65"/>
        <n v="9115.3000000000011"/>
        <n v="5707.13"/>
        <n v="3108.62"/>
        <n v="13305.45"/>
        <n v="265.31"/>
        <n v="13816.24"/>
        <n v="14461.28"/>
        <n v="1503.63"/>
        <n v="9821.7099999999991"/>
        <n v="15588.5"/>
        <n v="14750.33"/>
        <n v="1157.2399999999998"/>
        <n v="14594.96"/>
        <n v="468.92"/>
        <n v="11889.86"/>
        <n v="11182.58"/>
        <n v="6342.74"/>
        <n v="15003.41"/>
        <n v="9001.9500000000007"/>
        <n v="14858.03"/>
        <n v="11611.829999999998"/>
        <n v="8676.44"/>
        <n v="2495.1799999999998"/>
        <n v="453.59000000000003"/>
        <n v="14267.64"/>
        <n v="3166.3"/>
        <n v="5304.88"/>
        <n v="709.8"/>
        <n v="6473.51"/>
        <n v="9225.07"/>
        <n v="4697.84"/>
        <n v="13538.81"/>
        <n v="3420.39"/>
        <n v="3390.17"/>
        <n v="2286.4300000000003"/>
        <n v="10781.039999999999"/>
        <n v="1024.3699999999999"/>
        <n v="1515.71"/>
        <n v="2013.6000000000001"/>
        <n v="1070.01"/>
        <n v="12915.76"/>
        <n v="6608.77"/>
        <n v="8514.0499999999993"/>
        <n v="781.38"/>
        <n v="8154.67"/>
        <n v="10189.59"/>
        <n v="4248.46"/>
        <n v="11373.39"/>
        <n v="8014.45"/>
        <n v="15713.73"/>
        <n v="4213.91"/>
        <n v="3106.74"/>
        <n v="3149.32"/>
        <n v="2237.7800000000002"/>
        <n v="13773.880000000001"/>
        <n v="10667.53"/>
        <n v="3116"/>
        <n v="11768.87"/>
        <n v="4298.6099999999997"/>
        <n v="12935.279999999999"/>
        <n v="1912.22"/>
        <n v="1870.64"/>
        <n v="6958.08"/>
        <n v="13233"/>
        <n v="9117.98"/>
        <n v="5364.64"/>
        <n v="10313.06"/>
        <n v="5745.52"/>
        <n v="3466.92"/>
        <n v="16597.96"/>
        <n v="1395.3999999999999"/>
        <n v="6973.78"/>
        <n v="9313.1"/>
        <n v="13863.38"/>
        <n v="13350.140000000001"/>
        <n v="7980.68"/>
        <n v="10667.63"/>
        <n v="7840.56"/>
        <n v="7875.88"/>
        <n v="14279.91"/>
        <n v="8287.3700000000008"/>
        <n v="2177.61"/>
        <n v="6976.32"/>
        <n v="7913.49"/>
        <n v="5319.61"/>
        <n v="419.02"/>
        <n v="9345.5"/>
        <n v="16927.11"/>
        <n v="10477.67"/>
        <n v="7124.33"/>
        <n v="14565.33"/>
        <n v="11365.300000000001"/>
        <n v="7924.3"/>
        <n v="4119.22"/>
        <n v="9432.6299999999992"/>
        <n v="8520.26"/>
        <n v="6913.98"/>
        <n v="4038"/>
        <n v="9178.06"/>
        <n v="13507"/>
        <n v="8016.85"/>
        <n v="5633.75"/>
        <n v="1657.7"/>
        <n v="2403.04"/>
        <n v="9991.8799999999992"/>
        <n v="11924.15"/>
        <n v="1048.96"/>
        <n v="10331.5"/>
        <n v="13439.07"/>
        <n v="586.61"/>
        <n v="12245.93"/>
        <n v="1443.58"/>
        <n v="7115.79"/>
        <n v="13090.98"/>
        <n v="6552.32"/>
        <n v="6139.68"/>
        <n v="4528.22"/>
        <n v="3803.4900000000002"/>
        <n v="294.33"/>
        <n v="12835.75"/>
        <n v="4965.18"/>
        <n v="6262.86"/>
        <n v="1189.58"/>
        <n v="5758.5599999999995"/>
        <n v="5330.94"/>
        <n v="5835.78"/>
        <n v="1598.36"/>
        <n v="14154.310000000001"/>
        <n v="7707.73"/>
        <n v="14618.81"/>
        <n v="9392.9500000000007"/>
        <n v="15920.32"/>
        <n v="14720.59"/>
        <n v="16633.32"/>
        <n v="16521.560000000001"/>
        <n v="5318.63"/>
        <n v="15578.89"/>
        <n v="16088.16"/>
        <n v="4001.02"/>
        <n v="8001.7800000000007"/>
        <n v="7415.16"/>
        <n v="2086.35"/>
        <n v="4364.33"/>
        <n v="13815.349999999999"/>
        <n v="12409.91"/>
        <n v="12173.140000000001"/>
        <n v="12292.71"/>
        <n v="3549.76"/>
        <n v="3819.06"/>
        <n v="6230.39"/>
        <n v="8817.94"/>
        <n v="4081.11"/>
        <n v="14798.07"/>
        <n v="4113.59"/>
        <n v="15239.970000000001"/>
        <n v="13039.039999999999"/>
        <n v="12432.99"/>
        <n v="5729.83"/>
        <n v="8010.67"/>
        <n v="6995.25"/>
        <n v="3349.95"/>
        <n v="14870.17"/>
        <n v="13662.8"/>
        <n v="15703.73"/>
        <n v="58.07"/>
        <n v="3309.25"/>
        <n v="5040.08"/>
        <n v="12529.46"/>
        <n v="6383.72"/>
        <n v="2653.7"/>
        <n v="16166.45"/>
        <n v="3372.18"/>
        <n v="12507.07"/>
        <n v="13553.45"/>
        <n v="4468.08"/>
        <n v="11861.26"/>
        <n v="7842.7"/>
        <n v="1469.37"/>
        <n v="905.85"/>
        <n v="12769.349999999999"/>
        <n v="3025.11"/>
        <n v="7951.05"/>
        <n v="1375.89"/>
        <n v="7033.0499999999993"/>
        <n v="11787.84"/>
        <n v="6985.93"/>
        <n v="4580.76"/>
        <n v="8234.7900000000009"/>
        <n v="4580.57"/>
        <n v="4498.92"/>
        <n v="16287.33"/>
        <n v="16040.15"/>
        <n v="4442.8"/>
        <n v="11591.95"/>
        <n v="10121.48"/>
        <n v="16438.66"/>
        <n v="13671.78"/>
        <n v="4129.46"/>
        <n v="14963.03"/>
        <n v="11694.75"/>
        <n v="13210.33"/>
        <n v="3995.11"/>
        <n v="2052.1999999999998"/>
        <n v="3508.68"/>
        <n v="15963.42"/>
        <n v="5098.54"/>
        <n v="12452.27"/>
        <n v="7814.12"/>
        <n v="8845.4600000000009"/>
        <n v="1284.31"/>
        <n v="8656.57"/>
        <n v="16678.349999999999"/>
        <n v="13237.539999999999"/>
        <n v="10955.1"/>
        <n v="16834.97"/>
        <n v="6072.68"/>
        <n v="13342.81"/>
        <n v="4451.3900000000003"/>
        <n v="5030.4799999999996"/>
        <n v="6000.01"/>
        <n v="7823.91"/>
        <n v="14044.539999999999"/>
        <n v="6919.16"/>
        <n v="5203.53"/>
        <n v="13693.49"/>
        <n v="3646.98"/>
        <n v="166.53"/>
        <n v="8569.1200000000008"/>
        <n v="8973.1"/>
        <n v="11616.13"/>
        <n v="9580.67"/>
        <n v="12123.78"/>
        <n v="385.28"/>
        <n v="440.58"/>
        <n v="1383.34"/>
        <n v="9258.15"/>
        <n v="6473.15"/>
        <n v="1862.9"/>
        <n v="14661.91"/>
        <n v="4307.17"/>
        <n v="13918.88"/>
        <n v="14892.06"/>
        <n v="8609.17"/>
        <n v="14383.48"/>
        <n v="16270.33"/>
        <n v="6069.76"/>
        <n v="1311.07"/>
        <n v="271.74"/>
        <n v="8889.0499999999993"/>
        <n v="4030.1800000000003"/>
        <n v="13544.02"/>
        <n v="12699.73"/>
        <n v="14438.33"/>
        <n v="5887.92"/>
        <n v="14454.68"/>
        <n v="10792.17"/>
        <n v="6008.98"/>
        <n v="10928.94"/>
        <n v="11686.77"/>
        <n v="2148.29"/>
        <n v="9283.42"/>
        <n v="8018.95"/>
        <n v="16038.85"/>
        <n v="6294.1100000000006"/>
        <n v="11606.4"/>
        <n v="15705.259999999998"/>
        <n v="4073.55"/>
        <n v="6832.47"/>
        <n v="8095.37"/>
        <n v="16151.45"/>
        <n v="9255"/>
        <n v="6154.83"/>
        <n v="6270.44"/>
        <n v="2116.37"/>
        <n v="11959.21"/>
        <n v="13781.08"/>
        <n v="6349.39"/>
        <n v="14728.25"/>
        <n v="9441.61"/>
        <n v="7518.79"/>
        <n v="2248.1999999999998"/>
        <n v="12009.76"/>
        <n v="10647.23"/>
        <n v="4489.2"/>
        <n v="6881.9000000000005"/>
        <n v="4846.6899999999996"/>
        <n v="5554.2199999999993"/>
        <n v="8263.14"/>
        <n v="7538.6"/>
        <n v="9798.1099999999988"/>
        <n v="9623.34"/>
        <n v="11850.81"/>
        <n v="11069.87"/>
        <n v="12988.23"/>
        <n v="2842.58"/>
        <n v="10795.53"/>
        <n v="13779.45"/>
        <n v="4538.54"/>
        <n v="2810.61"/>
        <n v="3582.5"/>
        <n v="14313.71"/>
        <n v="3415.59"/>
        <n v="1285.58"/>
        <n v="12418.41"/>
        <n v="2002.05"/>
        <n v="763.51"/>
        <n v="681.94"/>
        <n v="7748.84"/>
        <n v="4861.8599999999997"/>
        <n v="2294.41"/>
        <n v="12166.45"/>
        <n v="16424.37"/>
        <n v="5841.16"/>
        <n v="15770.59"/>
        <n v="951.62"/>
        <n v="3911.62"/>
        <n v="3804.1"/>
        <n v="14351.01"/>
        <n v="5610.95"/>
        <n v="6541.06"/>
        <n v="13674.3"/>
        <n v="2791.12"/>
        <n v="10070.07"/>
        <n v="7708.63"/>
        <n v="14551.04"/>
        <n v="350.94"/>
        <n v="493.78"/>
        <n v="12347.65"/>
        <n v="7893.01"/>
        <n v="1547.5"/>
        <n v="1908.64"/>
        <n v="4759.95"/>
        <n v="10979.57"/>
        <n v="10293.08"/>
        <n v="3710.29"/>
        <n v="7437.1600000000008"/>
        <n v="2846.33"/>
        <n v="1630.08"/>
        <n v="6296.57"/>
        <n v="10977.8"/>
        <n v="4596.51"/>
        <n v="6593.13"/>
        <n v="8069.2199999999993"/>
        <n v="11480.91"/>
        <n v="6977.22"/>
        <n v="10715.06"/>
        <n v="15253.68"/>
        <n v="1649.78"/>
        <n v="12534.54"/>
        <n v="7699.92"/>
        <n v="2439.12"/>
        <n v="9088.14"/>
        <n v="2312.5100000000002"/>
        <n v="5122.8599999999997"/>
        <n v="3528.1"/>
        <n v="8366.59"/>
        <n v="2212.44"/>
        <n v="472.41"/>
        <n v="10100.48"/>
        <n v="4643.0599999999995"/>
        <n v="10641.800000000001"/>
        <n v="10345.9"/>
        <n v="12260.050000000001"/>
        <n v="1972.0300000000002"/>
        <n v="3765.87"/>
        <n v="8258.44"/>
        <n v="752.03"/>
        <n v="4936.7700000000004"/>
        <n v="11356.18"/>
        <n v="7238.79"/>
        <n v="10523.95"/>
        <n v="2763.92"/>
        <n v="10424.549999999999"/>
        <n v="1392.18"/>
        <n v="1886.87"/>
        <n v="9818.2300000000014"/>
        <n v="9596.98"/>
        <n v="11044.47"/>
        <n v="9417.32"/>
        <n v="8561.75"/>
        <n v="4313.84"/>
        <n v="2660.87"/>
        <n v="3681.3"/>
        <n v="12303.73"/>
        <n v="12409.19"/>
        <n v="12206.08"/>
        <n v="14548.400000000001"/>
        <n v="12646.27"/>
        <n v="849.63"/>
        <n v="11959.26"/>
        <n v="13118.3"/>
        <n v="8702.69"/>
        <n v="594.62"/>
        <n v="14105.84"/>
        <n v="16540.939999999999"/>
        <n v="8791.81"/>
        <n v="308.26"/>
        <n v="1763.48"/>
        <n v="3255.29"/>
        <n v="10017.460000000001"/>
        <n v="13002"/>
        <n v="14167.66"/>
        <n v="12519.66"/>
        <n v="1425.81"/>
        <n v="12126.05"/>
        <n v="13115.27"/>
        <n v="5856.79"/>
        <n v="5493.06"/>
        <n v="399.44"/>
        <n v="12746.59"/>
        <n v="12913.33"/>
        <n v="6935.53"/>
        <n v="11771.67"/>
        <n v="6564.35"/>
        <n v="12236.820000000002"/>
        <n v="4818.46"/>
        <n v="15904.24"/>
        <n v="6917.4"/>
        <n v="125.6"/>
        <n v="2358.23"/>
        <n v="15986.58"/>
        <n v="15022.59"/>
        <n v="14207.71"/>
        <n v="12154.45"/>
        <n v="9546.84"/>
        <n v="5878.24"/>
        <n v="3472.1099999999997"/>
        <n v="2348.25"/>
        <n v="14563.76"/>
        <n v="14619.439999999999"/>
        <n v="15108.539999999999"/>
        <n v="6118.09"/>
        <n v="10585.08"/>
        <n v="3129.55"/>
        <n v="10681.56"/>
        <n v="13215"/>
        <n v="857.05"/>
        <n v="10494.56"/>
        <n v="13085.25"/>
        <n v="3681.82"/>
        <n v="705.2"/>
        <n v="12022.12"/>
        <n v="4919.22"/>
        <n v="4743.33"/>
        <n v="10646.369999999999"/>
        <n v="11645.86"/>
        <n v="16337.68"/>
        <n v="9292.77"/>
        <n v="10764.01"/>
        <n v="6689.41"/>
        <n v="14051.789999999999"/>
        <n v="4323.74"/>
        <n v="13390.150000000001"/>
        <n v="14228.970000000001"/>
        <n v="15030.88"/>
        <n v="15199.57"/>
        <n v="5321.95"/>
        <n v="6307.84"/>
        <n v="15384.5"/>
        <n v="11889.11"/>
        <n v="12266.94"/>
        <n v="8056.18"/>
        <n v="6505.08"/>
        <n v="9305.5"/>
        <n v="9877.48"/>
        <n v="10446.709999999999"/>
        <n v="4197.49"/>
        <n v="8680.25"/>
        <n v="16589.760000000002"/>
        <n v="10447.02"/>
        <n v="5723.68"/>
        <n v="14026.8"/>
        <n v="13029.1"/>
        <n v="5702.9"/>
        <n v="1186.3499999999999"/>
        <n v="259.18"/>
        <n v="4007.34"/>
        <n v="11693.1"/>
        <n v="10271.299999999999"/>
        <n v="6831.55"/>
        <n v="3873.11"/>
        <n v="9074.26"/>
        <n v="9887.32"/>
        <n v="16058.61"/>
        <n v="16092.41"/>
        <n v="16614.46"/>
        <n v="8823.06"/>
        <n v="5925.76"/>
        <n v="3048.0499999999997"/>
        <n v="3187.96"/>
        <n v="2766.77"/>
        <n v="3124.24"/>
        <n v="4549.91"/>
        <n v="1608.53"/>
        <n v="1397.86"/>
        <n v="11099.91"/>
        <n v="8456.2899999999991"/>
        <n v="7874.8"/>
        <n v="114.03"/>
        <n v="15726.42"/>
        <n v="10955.85"/>
        <n v="9083.02"/>
        <n v="16839.43"/>
        <n v="3029.93"/>
        <n v="16381.71"/>
        <n v="15152.89"/>
        <n v="3866.01"/>
        <n v="13615.6"/>
        <n v="6495.17"/>
        <n v="13399.58"/>
        <n v="11701.29"/>
        <n v="16648.490000000002"/>
        <n v="9520.4600000000009"/>
        <n v="3148.7"/>
        <n v="1046.7"/>
        <n v="12423.71"/>
        <n v="252.6"/>
        <n v="3477.12"/>
        <n v="5435.7400000000007"/>
        <n v="1208.52"/>
        <n v="10064.630000000001"/>
        <n v="13629.21"/>
        <n v="1679.87"/>
        <n v="15360.95"/>
        <n v="1159.19"/>
        <n v="10140.5"/>
        <n v="3486.14"/>
        <n v="3125.86"/>
        <n v="8271.6299999999992"/>
        <n v="2426.3200000000002"/>
        <n v="8607.32"/>
        <n v="10374.86"/>
        <n v="10500.52"/>
        <n v="7512.94"/>
        <n v="790.7"/>
        <n v="8993.43"/>
        <n v="10430.49"/>
        <n v="3757.8"/>
        <n v="5963.05"/>
        <n v="3434.9"/>
        <n v="8511.77"/>
        <n v="1806.8600000000001"/>
        <n v="7210.01"/>
        <n v="12015.28"/>
        <n v="12731.44"/>
        <n v="2088.59"/>
        <n v="4994.97"/>
        <n v="8310.6299999999992"/>
        <n v="3820.7400000000002"/>
        <n v="2718.4300000000003"/>
        <n v="4013.59"/>
        <n v="11732.39"/>
        <n v="15026.19"/>
        <n v="2865.44"/>
        <n v="2492.37"/>
        <n v="10961"/>
        <n v="2327.6999999999998"/>
        <n v="3389.06"/>
        <n v="6591.22"/>
        <n v="10897.99"/>
        <n v="547.15"/>
        <n v="7729.84"/>
        <n v="13813.289999999999"/>
        <n v="6238.1"/>
        <n v="2659.5600000000004"/>
        <n v="10172.280000000001"/>
        <n v="8257.75"/>
        <n v="16600.75"/>
        <n v="10060.66"/>
        <n v="1806.1499999999999"/>
        <n v="2631.32"/>
        <n v="2495.0700000000002"/>
        <n v="10292.23"/>
        <n v="16547.29"/>
        <n v="4100.88"/>
        <n v="11830.94"/>
        <n v="7052.35"/>
        <n v="9639.15"/>
        <n v="11106.87"/>
        <n v="678.52"/>
        <n v="9704"/>
        <n v="5061.6099999999997"/>
        <n v="3824.3500000000004"/>
        <n v="14424.480000000001"/>
        <n v="9237.11"/>
        <n v="4485.0300000000007"/>
        <n v="3057.83"/>
        <n v="9585.2000000000007"/>
        <n v="11180.929999999998"/>
        <n v="345.51"/>
        <n v="4810.41"/>
        <n v="12389.47"/>
        <n v="12479.23"/>
        <n v="1110.45"/>
        <n v="13100.87"/>
        <n v="9345.11"/>
        <n v="7677.1900000000005"/>
        <n v="14956.800000000001"/>
        <n v="10783.869999999999"/>
        <n v="9384.24"/>
        <n v="1731.48"/>
        <n v="5553.08"/>
        <n v="12819.84"/>
        <n v="7947.2699999999995"/>
        <n v="8138.22"/>
        <n v="5561.16"/>
        <n v="3101.89"/>
        <n v="9442.7000000000007"/>
        <n v="2183.65"/>
        <n v="372.83"/>
        <n v="6114.14"/>
        <n v="14228.38"/>
        <n v="4955.8899999999994"/>
        <n v="2827.4700000000003"/>
        <n v="14244.800000000001"/>
        <n v="14837.19"/>
        <n v="7084.09"/>
        <n v="832.32"/>
        <n v="6601.09"/>
        <n v="7564.67"/>
        <n v="1965.44"/>
        <n v="14247.92"/>
        <n v="8401.4599999999991"/>
        <n v="5523.3600000000006"/>
        <n v="2804.34"/>
        <n v="11907.27"/>
        <n v="5616.86"/>
        <n v="159.66"/>
        <n v="112.66"/>
        <n v="10755.27"/>
        <n v="10699.86"/>
        <n v="10706.4"/>
        <n v="1180.9299999999998"/>
        <n v="7628.79"/>
        <n v="7461.94"/>
        <n v="3031.61"/>
        <n v="3354.71"/>
        <n v="15874.550000000001"/>
        <n v="2984.67"/>
        <n v="7576.99"/>
        <n v="8704.02"/>
        <n v="1359.95"/>
        <n v="3848.8100000000004"/>
        <n v="9163.39"/>
        <n v="3456.73"/>
        <n v="13573.8"/>
        <n v="2601.91"/>
        <n v="2480.0299999999997"/>
        <n v="15238.92"/>
        <n v="6410.54"/>
        <n v="8979.0300000000007"/>
        <n v="4162.78"/>
        <n v="5587.58"/>
        <n v="12633.939999999999"/>
        <n v="393.95"/>
        <n v="5249.12"/>
        <n v="14016.47"/>
        <n v="5113.3500000000004"/>
        <n v="5717.76"/>
        <n v="3174.34"/>
        <n v="10747.869999999999"/>
        <n v="8792.51"/>
        <n v="5923.67"/>
        <n v="532.44000000000005"/>
        <n v="4460.03"/>
        <n v="15147.490000000002"/>
        <n v="14630.93"/>
        <n v="2467.3700000000003"/>
        <n v="1785.09"/>
        <n v="6304.92"/>
        <n v="11490.65"/>
        <n v="6830.02"/>
        <n v="3086.27"/>
        <n v="9795.9"/>
        <n v="258.17"/>
        <n v="16431.78"/>
        <n v="15663.21"/>
        <n v="159.47999999999999"/>
        <n v="4629.95"/>
        <n v="14323.53"/>
        <n v="12989.97"/>
        <n v="11912.09"/>
        <n v="9070.35"/>
        <n v="10328.76"/>
        <n v="15839.26"/>
        <n v="9706.77"/>
        <n v="498.87"/>
        <n v="9249.27"/>
        <n v="9188.0400000000009"/>
        <n v="2082.88"/>
        <n v="9299.91"/>
        <n v="14749.59"/>
        <n v="11002.570000000002"/>
        <n v="9911.17"/>
        <n v="10894.57"/>
        <n v="10237.83"/>
        <n v="5764.86"/>
        <n v="14900.85"/>
        <n v="1947.18"/>
        <n v="7692.02"/>
        <n v="1332.02"/>
        <n v="13325.039999999999"/>
        <n v="2037.5700000000002"/>
        <n v="2897.52"/>
        <n v="13185.81"/>
        <n v="6828.88"/>
        <n v="6122.6"/>
        <n v="3461.25"/>
        <n v="8172.73"/>
        <n v="446.02"/>
        <n v="12270.720000000001"/>
        <n v="4979.41"/>
        <n v="6189.16"/>
        <n v="14154.57"/>
        <n v="10755.9"/>
        <n v="15609.51"/>
        <n v="553.53"/>
        <n v="11855.55"/>
        <n v="175.9"/>
        <n v="15907.130000000001"/>
        <n v="13256.37"/>
        <n v="401.8"/>
        <n v="12277.36"/>
        <n v="11119.449999999999"/>
        <n v="3404.61"/>
        <n v="14814.26"/>
        <n v="6238.7000000000007"/>
        <n v="9488.7200000000012"/>
        <n v="14011.380000000001"/>
        <n v="13981.64"/>
        <n v="11862.1"/>
        <n v="595.66999999999996"/>
        <n v="14654.079999999998"/>
        <n v="2604.31"/>
        <n v="16441.440000000002"/>
        <n v="8223.19"/>
        <n v="3863.4"/>
        <n v="14896.43"/>
        <n v="2776.32"/>
        <n v="12021.03"/>
        <n v="12110.52"/>
        <n v="1830.9099999999999"/>
        <n v="3601.7200000000003"/>
        <n v="731.53"/>
        <n v="12331.06"/>
        <n v="5098.57"/>
        <n v="2381.08"/>
        <n v="520.91"/>
        <n v="7242.77"/>
        <n v="8416.89"/>
        <n v="270.22000000000003"/>
        <n v="2475.9299999999998"/>
        <n v="3930.74"/>
        <n v="3726.32"/>
        <n v="5856.51"/>
        <n v="4266.9399999999996"/>
        <n v="3344.84"/>
        <n v="2545.92"/>
        <n v="3504.77"/>
        <n v="12311.77"/>
        <n v="4834.8599999999997"/>
        <n v="15389.16"/>
        <n v="6176.68"/>
        <n v="2344.9499999999998"/>
        <n v="598.34"/>
        <n v="5456.72"/>
        <n v="5429.4800000000005"/>
        <n v="10599.88"/>
        <n v="10294.51"/>
        <n v="3797.54"/>
        <n v="15988.400000000001"/>
        <n v="15144.36"/>
        <n v="2686.66"/>
        <n v="8068.51"/>
        <n v="4748.3500000000004"/>
        <n v="10674.67"/>
        <n v="12683.92"/>
        <n v="3020.3199999999997"/>
        <n v="6417.6"/>
        <n v="1982.6999999999998"/>
        <n v="16195.77"/>
        <n v="1480.05"/>
        <n v="9286.5500000000011"/>
        <n v="15042.619999999999"/>
        <n v="3177.57"/>
        <n v="8469.86"/>
        <n v="959.94"/>
        <n v="7861.59"/>
        <n v="11074.73"/>
        <n v="9705.93"/>
        <n v="9370.26"/>
        <n v="12250.16"/>
        <n v="9602.08"/>
        <n v="9314.4599999999991"/>
        <n v="3746.63"/>
        <n v="15359.779999999999"/>
        <n v="3429.24"/>
        <n v="5032.3600000000006"/>
        <n v="9590.02"/>
        <n v="7562.8099999999995"/>
        <n v="16392.190000000002"/>
        <n v="2442.79"/>
        <n v="8810.06"/>
        <n v="10852.08"/>
        <n v="5777.27"/>
        <n v="9704.07"/>
        <n v="11968.96"/>
        <n v="4100.04"/>
        <n v="13764.01"/>
        <n v="16455.830000000002"/>
        <n v="5166.97"/>
        <n v="14933.38"/>
        <n v="5805.24"/>
        <n v="12451.66"/>
        <n v="12551.880000000001"/>
        <n v="12508.93"/>
        <n v="11336.98"/>
        <n v="3244.3500000000004"/>
        <n v="1529.43"/>
        <n v="728.14"/>
        <n v="2953.37"/>
        <n v="12512.48"/>
        <n v="2764.9100000000003"/>
        <n v="13979.88"/>
        <n v="13855.86"/>
        <n v="230.89000000000001"/>
        <n v="6698.16"/>
        <n v="10917.57"/>
        <n v="6629.59"/>
        <n v="7874.22"/>
        <n v="9373.9500000000007"/>
        <n v="390.53000000000003"/>
        <n v="4905.47"/>
        <n v="4595.25"/>
        <n v="6120.17"/>
        <n v="11682.859999999999"/>
        <n v="3893.63"/>
        <n v="4853.24"/>
        <n v="11408.29"/>
        <n v="4173.32"/>
        <n v="13446.66"/>
        <n v="11191.37"/>
        <n v="13871.32"/>
        <n v="355.49"/>
        <n v="7560.7199999999993"/>
        <n v="10004.780000000001"/>
        <n v="13323.4"/>
        <n v="4970"/>
        <n v="4604.96"/>
        <n v="12665.45"/>
        <n v="11002"/>
        <n v="3128.69"/>
        <n v="11424.2"/>
        <n v="11600.59"/>
        <n v="6108.12"/>
        <n v="10321.959999999999"/>
        <n v="450.42"/>
        <n v="4422.8500000000004"/>
        <n v="13280.9"/>
        <n v="10767.27"/>
        <n v="6469.5"/>
        <n v="13144.07"/>
        <n v="3093.63"/>
        <n v="10203.380000000001"/>
        <n v="2545"/>
        <n v="9176.23"/>
        <n v="5909.1"/>
        <n v="1016.3700000000001"/>
        <n v="9471.7000000000007"/>
        <n v="13748.789999999999"/>
        <n v="15915.91"/>
        <n v="6105.78"/>
        <n v="5662.72"/>
        <n v="10513.69"/>
        <n v="6007.71"/>
        <n v="14985.99"/>
        <n v="8800.34"/>
        <n v="3198.61"/>
        <n v="6002.42"/>
        <n v="8840.42"/>
        <n v="6791.55"/>
        <n v="780.39"/>
        <n v="2670.9"/>
        <n v="9802.9500000000007"/>
        <n v="12407.150000000001"/>
        <n v="2326.9699999999998"/>
        <n v="2438.5500000000002"/>
        <n v="5746.8"/>
        <n v="9494.8799999999992"/>
        <n v="1495.4099999999999"/>
        <n v="9717.4"/>
        <n v="3901.53"/>
        <n v="1499.15"/>
        <n v="978.54"/>
        <n v="8767.4"/>
        <n v="4162.17"/>
        <n v="12723.119999999999"/>
        <n v="4854.22"/>
        <n v="14650.43"/>
        <n v="9095.0300000000007"/>
        <n v="5478.66"/>
        <n v="848.65"/>
        <n v="12166.18"/>
        <n v="1432.22"/>
        <n v="8735.4"/>
        <n v="6674.4000000000005"/>
        <n v="13010.93"/>
        <n v="5124.2300000000005"/>
        <n v="8968.8799999999992"/>
        <n v="11556.740000000002"/>
        <n v="8435.11"/>
        <n v="4464.2700000000004"/>
        <n v="7166.93"/>
        <n v="1406.77"/>
        <n v="13152.17"/>
        <n v="13846.59"/>
        <n v="1989.61"/>
        <n v="4993.13"/>
        <n v="5595.92"/>
        <n v="14577.84"/>
        <n v="6219.8700000000008"/>
        <n v="10456.9"/>
        <n v="2039.07"/>
        <n v="5445.91"/>
        <n v="9473.5800000000017"/>
        <n v="15029.46"/>
        <n v="1894.05"/>
        <n v="1788.9099999999999"/>
        <n v="12962.21"/>
        <n v="8570.2799999999988"/>
        <n v="7205.16"/>
        <n v="2234.89"/>
        <n v="896.39"/>
        <n v="4823.8"/>
        <n v="6473.79"/>
        <n v="9426.66"/>
        <n v="16845.600000000002"/>
        <n v="2826.06"/>
        <n v="3649.7799999999997"/>
        <n v="5498.91"/>
        <n v="13780.77"/>
        <n v="422.93999999999994"/>
        <n v="12914.91"/>
        <n v="9089.52"/>
        <n v="14293.349999999999"/>
        <n v="3066.01"/>
        <n v="3170.06"/>
        <n v="15923.44"/>
        <n v="13886.42"/>
        <n v="10435.23"/>
        <n v="13420.699999999999"/>
        <n v="7619.78"/>
        <n v="14293.83"/>
        <n v="9747.91"/>
        <n v="12702.33"/>
        <n v="262.38"/>
        <n v="1957.01"/>
        <n v="11215.22"/>
        <n v="11878.63"/>
        <n v="4537.5600000000004"/>
        <n v="3520.16"/>
        <n v="5849.6"/>
        <n v="4623.91"/>
        <n v="9371.81"/>
        <n v="13638.63"/>
        <n v="160.76"/>
        <n v="9999.3700000000008"/>
        <n v="4360.3900000000003"/>
        <n v="7839.24"/>
        <n v="5325.86"/>
        <n v="15817.34"/>
        <n v="13919"/>
        <n v="13738.380000000001"/>
        <n v="8131.33"/>
        <n v="10834.039999999999"/>
        <n v="8350.82"/>
        <n v="6987.38"/>
        <n v="9621.2900000000009"/>
        <n v="2570.36"/>
        <n v="5015.25"/>
        <n v="1684.51"/>
        <n v="9861.7800000000007"/>
        <n v="13346.75"/>
        <n v="2899.93"/>
        <n v="12587.72"/>
        <n v="2767.81"/>
        <n v="9193.89"/>
        <n v="9361.7199999999993"/>
        <n v="11100.85"/>
        <n v="586.88"/>
        <n v="10563.84"/>
        <n v="14297.6"/>
        <n v="8389.5"/>
        <n v="9356.2799999999988"/>
        <n v="2306.52"/>
        <n v="12527.75"/>
        <n v="11017.949999999999"/>
        <n v="3330.72"/>
        <n v="9937.23"/>
        <n v="6930.61"/>
        <n v="12015.47"/>
        <n v="5136.9399999999996"/>
        <n v="7772.85"/>
        <n v="16474.600000000002"/>
        <n v="14430.02"/>
        <n v="9901.68"/>
        <n v="5389.55"/>
        <n v="12314.92"/>
        <n v="3318.52"/>
        <n v="6822.44"/>
        <n v="10674.52"/>
        <n v="3013.71"/>
        <n v="13522.26"/>
        <n v="2691.46"/>
        <n v="6399.19"/>
        <n v="9593.6200000000008"/>
        <n v="10593.24"/>
        <n v="9111.66"/>
        <n v="12001.560000000001"/>
        <n v="9016.76"/>
        <n v="13733.3"/>
        <n v="1131.94"/>
        <n v="8069.99"/>
        <n v="4151.5"/>
        <n v="12779.42"/>
        <n v="7369.76"/>
        <n v="8760.59"/>
        <n v="443.57"/>
        <n v="13224.77"/>
        <n v="5136.21"/>
        <n v="11656.21"/>
        <n v="7913.45"/>
        <n v="8768.2900000000009"/>
        <n v="11854.33"/>
        <n v="3538.76"/>
        <n v="2603.91"/>
        <n v="6377.51"/>
        <n v="3703.65"/>
        <n v="3176.5"/>
        <n v="2564.59"/>
        <n v="1591.3"/>
        <n v="3126.81"/>
        <n v="3977.6"/>
        <n v="1671.62"/>
        <n v="3393.23"/>
        <n v="11959.28"/>
        <n v="3287.85"/>
        <n v="4511.4699999999993"/>
        <n v="6587.12"/>
        <n v="5375.36"/>
        <n v="4049.29"/>
        <n v="4035.69"/>
        <n v="13860.87"/>
        <n v="11440.25"/>
        <n v="13860.5"/>
        <n v="14265.99"/>
        <n v="7528.16"/>
        <n v="9609.89"/>
        <n v="1771.3"/>
        <n v="13679.47"/>
        <n v="9116.58"/>
        <n v="2283.31"/>
        <n v="10909.630000000001"/>
        <n v="13761.56"/>
        <n v="13920.310000000001"/>
        <n v="8529"/>
        <n v="5608.33"/>
        <n v="1748.15"/>
        <n v="4654.4900000000007"/>
        <n v="826.69"/>
        <n v="9027.41"/>
        <n v="11586.3"/>
        <n v="13891.15"/>
        <n v="16185.960000000001"/>
        <n v="5449.7800000000007"/>
        <n v="15611.71"/>
        <n v="3089.01"/>
        <n v="2465.5"/>
        <n v="14434.289999999999"/>
        <n v="7388.35"/>
        <n v="9239.26"/>
        <n v="4853.5599999999995"/>
        <n v="6193.92"/>
        <n v="5090.17"/>
        <n v="4837.29"/>
        <n v="14718.37"/>
        <n v="5516.02"/>
        <n v="6884.98"/>
        <n v="437.53999999999996"/>
        <n v="12924.13"/>
        <n v="8145.36"/>
        <n v="2569.08"/>
        <n v="3113.91"/>
        <n v="6102.95"/>
        <n v="12326.07"/>
        <n v="5919.04"/>
        <n v="13428.48"/>
        <n v="486.7"/>
        <n v="3676.64"/>
        <n v="12008.02"/>
        <n v="6569.3799999999992"/>
        <n v="1701.03"/>
        <n v="13813.23"/>
        <n v="8659.89"/>
        <n v="306.06"/>
        <n v="12830.449999999999"/>
        <n v="1443.84"/>
        <n v="9543.52"/>
        <n v="4076.83"/>
        <n v="15276.76"/>
        <n v="4651.82"/>
        <n v="6905.11"/>
        <n v="2836.2"/>
        <n v="5414.6"/>
        <n v="13679.14"/>
        <n v="8256.15"/>
        <n v="8146.53"/>
        <n v="14558.52"/>
        <n v="9962.33"/>
        <n v="1665.09"/>
        <n v="10263.469999999999"/>
        <n v="1536.78"/>
        <n v="14548.92"/>
        <n v="10918"/>
        <n v="4308.71"/>
        <n v="16020.529999999999"/>
        <n v="10686.9"/>
        <n v="13296.83"/>
        <n v="2689.85"/>
        <n v="5826.41"/>
        <n v="2136.16"/>
        <n v="6240.57"/>
        <n v="545.02"/>
        <n v="4442.95"/>
        <n v="1594.06"/>
        <n v="15184.92"/>
        <n v="2496.83"/>
        <n v="12091.96"/>
        <n v="10105.99"/>
        <n v="8850.77"/>
        <n v="9400.84"/>
        <n v="2187.77"/>
        <n v="12552.54"/>
        <n v="2269.39"/>
        <n v="15142.050000000001"/>
        <n v="5635.03"/>
        <n v="1637.8600000000001"/>
        <n v="15707.73"/>
        <n v="5961.59"/>
        <n v="16754.7"/>
        <n v="3108.66"/>
        <n v="10870.54"/>
        <n v="13365.26"/>
        <n v="14704.630000000001"/>
        <n v="1364.83"/>
        <n v="3717.95"/>
        <n v="1094.3700000000001"/>
        <n v="3282.02"/>
        <n v="7610"/>
        <n v="4263.3900000000003"/>
        <n v="15067.68"/>
        <n v="6236.37"/>
        <n v="6606.18"/>
        <n v="10805.29"/>
        <n v="8841.5300000000007"/>
        <n v="9829.43"/>
        <n v="7964.76"/>
        <n v="6444.97"/>
        <n v="2405.9699999999998"/>
        <n v="9587.67"/>
        <n v="14525.8"/>
        <n v="12988.91"/>
        <n v="1857.02"/>
        <n v="66.400000000000006"/>
        <n v="12157.78"/>
        <n v="12538.42"/>
        <n v="5674.16"/>
        <n v="658.34"/>
        <n v="10445.89"/>
        <n v="10600.460000000001"/>
        <n v="415.51"/>
        <n v="11839.43"/>
        <n v="12031.279999999999"/>
        <n v="10057.9"/>
        <n v="5404.44"/>
        <n v="6550.43"/>
        <n v="1604.27"/>
        <n v="6693.04"/>
        <n v="13754.5"/>
        <n v="4828.46"/>
        <n v="6039.63"/>
        <n v="5751.77"/>
        <n v="1170.9100000000001"/>
        <n v="11865.4"/>
        <n v="9518.69"/>
        <n v="2427.17"/>
        <n v="12709.72"/>
        <n v="197.85"/>
        <n v="12675.880000000001"/>
        <n v="6907.42"/>
        <n v="6968.77"/>
        <n v="15671.47"/>
        <n v="8569.65"/>
        <n v="9352.94"/>
        <n v="9611.4699999999993"/>
        <n v="5508.3099999999995"/>
        <n v="4790.46"/>
        <n v="8596.27"/>
        <n v="9741.89"/>
        <n v="4480.74"/>
        <n v="10911.6"/>
        <n v="1003.93"/>
        <n v="11232.7"/>
        <n v="12321.56"/>
        <n v="346.2"/>
        <n v="3626.31"/>
        <n v="14193.25"/>
        <n v="5460.21"/>
        <n v="9846.98"/>
        <n v="9543.2899999999991"/>
        <n v="7891.65"/>
        <n v="5137.49"/>
        <n v="12005.66"/>
        <n v="920.37"/>
        <n v="15378.66"/>
        <n v="7180.66"/>
        <n v="16822.57"/>
        <n v="2409.2400000000002"/>
        <n v="1226.1099999999999"/>
        <n v="6103.86"/>
        <n v="8901.4699999999993"/>
        <n v="3930.18"/>
        <n v="11300.18"/>
        <n v="7134.9"/>
        <n v="1477.25"/>
        <n v="4403.68"/>
        <n v="2438.77"/>
        <n v="351.66"/>
        <n v="5725.7300000000005"/>
        <n v="16065.5"/>
        <n v="904.91"/>
        <n v="13325.22"/>
        <n v="5710.02"/>
        <n v="10677.63"/>
        <n v="13734.51"/>
        <n v="323.40999999999997"/>
        <n v="3665.4500000000003"/>
        <n v="12310.45"/>
        <n v="10206.99"/>
        <n v="64.63"/>
        <n v="4801.05"/>
        <n v="13311.46"/>
        <n v="3604.21"/>
        <n v="9400.23"/>
        <n v="7597.88"/>
        <n v="1553.22"/>
        <n v="13505.32"/>
        <n v="3811.3100000000004"/>
        <n v="12711.19"/>
        <n v="447.32"/>
        <n v="6533.84"/>
        <n v="164.95999999999998"/>
        <n v="6333.72"/>
        <n v="7718.04"/>
        <n v="12704.54"/>
        <n v="8181.35"/>
        <n v="12683.369999999999"/>
        <n v="5075.88"/>
        <n v="16129.45"/>
        <n v="3191.4"/>
        <n v="456.84"/>
        <n v="9368.3100000000013"/>
        <n v="12370.79"/>
        <n v="5780.36"/>
        <n v="8706.19"/>
        <n v="7802.98"/>
        <n v="10173.32"/>
        <n v="4770.07"/>
        <n v="14818.28"/>
        <n v="3625.41"/>
        <n v="10131.41"/>
        <n v="3307.88"/>
        <n v="1979.47"/>
        <n v="1997.8899999999999"/>
        <n v="8697.02"/>
        <n v="5604.99"/>
        <n v="8196.27"/>
        <n v="13718.64"/>
        <n v="13475.55"/>
        <n v="8593.15"/>
        <n v="5360.23"/>
        <n v="11638.79"/>
        <n v="9463.08"/>
        <n v="11051.64"/>
        <n v="14017.87"/>
        <n v="10609.89"/>
        <n v="7013.15"/>
        <n v="15118.07"/>
        <n v="10057.56"/>
        <n v="6199.72"/>
        <n v="9209.69"/>
        <n v="7953.5"/>
        <n v="6569.68"/>
        <n v="11252.77"/>
        <n v="8767.14"/>
        <n v="8551.7800000000007"/>
        <n v="11099.869999999999"/>
        <n v="6984.72"/>
        <n v="1582.79"/>
        <n v="4299.97"/>
        <n v="3102.83"/>
        <n v="9674.2799999999988"/>
        <n v="6895.96"/>
        <n v="2088.79"/>
        <n v="6777.11"/>
        <n v="11886.68"/>
        <n v="1257.8599999999999"/>
        <n v="6311.53"/>
        <n v="8357.880000000001"/>
        <n v="8653.48"/>
        <n v="7292.86"/>
        <n v="13497.65"/>
        <n v="14775.69"/>
        <n v="12905.55"/>
        <n v="3365.2999999999997"/>
        <n v="9335.6200000000008"/>
        <n v="13602.94"/>
        <n v="5589.93"/>
        <n v="9451.58"/>
        <n v="3370.61"/>
        <n v="12581.07"/>
        <n v="15094.960000000001"/>
        <n v="4011.24"/>
        <n v="8832.1299999999992"/>
        <n v="7012.68"/>
        <n v="7035.33"/>
        <n v="5413.26"/>
        <n v="12531.93"/>
        <n v="3700.28"/>
        <n v="7317.96"/>
        <n v="1068.92"/>
        <n v="14904.6"/>
        <n v="1193.69"/>
        <n v="4245.93"/>
        <n v="12084.92"/>
        <n v="11740.98"/>
        <n v="4756.9400000000005"/>
        <n v="5350.57"/>
        <n v="6793.46"/>
        <n v="3954.19"/>
        <n v="1591.52"/>
        <n v="7043.99"/>
        <n v="7606.96"/>
        <n v="8040.95"/>
        <n v="13158.52"/>
        <n v="5447.04"/>
        <n v="9983.06"/>
        <n v="14688.78"/>
        <n v="11181.21"/>
        <n v="7109.12"/>
        <n v="1472.98"/>
        <n v="3263.04"/>
        <n v="6147.66"/>
        <n v="11252.22"/>
        <n v="5151.59"/>
        <n v="16649.34"/>
        <n v="12010.92"/>
        <n v="6067.87"/>
        <n v="8445.2900000000009"/>
        <n v="11240.82"/>
        <n v="2519.02"/>
        <n v="15924.15"/>
        <n v="11491.57"/>
        <n v="9388.77"/>
        <n v="6794.77"/>
        <n v="5912.53"/>
        <n v="12088.62"/>
        <n v="1157.33"/>
        <n v="9449.5"/>
        <n v="8654.27"/>
        <n v="5260.36"/>
        <n v="1965.78"/>
        <n v="12367.01"/>
        <n v="5730.97"/>
        <n v="12897.87"/>
        <n v="15231.55"/>
        <n v="9181.64"/>
        <n v="5054.1099999999997"/>
        <n v="9015.52"/>
        <n v="11979.150000000001"/>
        <n v="13400.83"/>
        <n v="11817.6"/>
        <n v="7964.36"/>
        <n v="14163.759999999998"/>
        <n v="2499.02"/>
        <n v="8321.7900000000009"/>
        <n v="193.44"/>
        <n v="5652.18"/>
        <n v="6281.59"/>
        <n v="12844.09"/>
        <n v="9379.56"/>
        <n v="12521.59"/>
        <n v="5135.75"/>
        <n v="3302.28"/>
        <n v="9536.77"/>
        <n v="5586.36"/>
        <n v="3536.71"/>
        <n v="6627.62"/>
        <n v="4579.74"/>
        <n v="1572.64"/>
        <n v="6896.9299999999994"/>
        <n v="1918.59"/>
        <n v="11509.17"/>
        <n v="15980.039999999999"/>
        <n v="9739.9599999999991"/>
        <n v="9312.64"/>
        <n v="8266.48"/>
        <n v="13358.69"/>
        <n v="12585.79"/>
        <n v="6821.4599999999991"/>
        <n v="14614.19"/>
        <n v="15916.630000000001"/>
        <n v="338.46"/>
        <n v="7827.71"/>
        <n v="5357.95"/>
        <n v="7576.98"/>
        <n v="10563.3"/>
        <n v="4619.2699999999995"/>
        <n v="4653.3100000000004"/>
        <n v="6901.5499999999993"/>
        <n v="2980.46"/>
        <n v="8432.76"/>
        <n v="13736.48"/>
        <n v="16222.130000000001"/>
        <n v="9949.01"/>
        <n v="14458.23"/>
        <n v="4331.83"/>
        <n v="2854.32"/>
        <n v="14204.83"/>
        <n v="10077.870000000001"/>
        <n v="14622.92"/>
        <n v="83.86"/>
        <n v="11229.86"/>
        <n v="7273.58"/>
        <n v="674.86"/>
        <n v="718.51"/>
        <n v="4512.7299999999996"/>
        <n v="13311.6"/>
        <n v="13813.730000000001"/>
        <n v="6765.0199999999995"/>
        <n v="1812.09"/>
        <n v="13501.869999999999"/>
        <n v="2166.39"/>
        <n v="6953.33"/>
        <n v="8629.9599999999991"/>
        <n v="2599.6799999999998"/>
        <n v="13979.39"/>
        <n v="2924.07"/>
        <n v="15430.869999999999"/>
        <n v="3584.44"/>
        <n v="12991.76"/>
        <n v="10161.02"/>
        <n v="4519.71"/>
        <n v="9227.0499999999993"/>
        <n v="6594.57"/>
        <n v="12051.06"/>
        <n v="4634.7700000000004"/>
        <n v="2619.2599999999998"/>
        <n v="10342.189999999999"/>
        <n v="13836.43"/>
        <n v="9390.7000000000007"/>
        <n v="2494.4900000000002"/>
        <n v="12883.56"/>
        <n v="4346.92"/>
        <n v="4785.38"/>
        <n v="10394.849999999999"/>
        <n v="1582.72"/>
        <n v="7989.38"/>
        <n v="4379.97"/>
        <n v="11413.98"/>
        <n v="8188.13"/>
        <n v="15548.73"/>
        <n v="9615.86"/>
        <n v="9641.5999999999985"/>
        <n v="6435.3"/>
        <n v="10538.68"/>
        <n v="11562.76"/>
        <n v="6005.32"/>
        <n v="2017.54"/>
        <n v="3830.29"/>
        <n v="11037.42"/>
        <n v="9092.99"/>
        <n v="3475.34"/>
        <n v="1480.02"/>
        <n v="5975.94"/>
        <n v="11966.96"/>
        <n v="8921.18"/>
        <n v="12040.98"/>
        <n v="4575.42"/>
        <n v="5812.91"/>
        <n v="3572.73"/>
        <n v="9548.58"/>
        <n v="7174.47"/>
        <n v="4621.3"/>
        <n v="9415.94"/>
        <n v="7194.34"/>
        <n v="8928.7999999999993"/>
        <n v="11523.300000000001"/>
        <n v="5305.97"/>
        <n v="2182.9499999999998"/>
        <n v="9773.7900000000009"/>
        <n v="14744.92"/>
        <n v="10942.48"/>
        <n v="11935.52"/>
        <n v="2227.4499999999998"/>
        <n v="9637.4"/>
        <n v="12180.8"/>
        <n v="4193.79"/>
        <n v="7771.3200000000006"/>
        <n v="5806.82"/>
        <n v="2633.2200000000003"/>
        <n v="3944.5600000000004"/>
        <n v="1675.53"/>
        <n v="12069.38"/>
        <n v="1114.54"/>
        <n v="7684.84"/>
        <n v="12143.75"/>
        <n v="12881.91"/>
        <n v="16623.309999999998"/>
        <n v="15121.74"/>
        <n v="4724.28"/>
        <n v="13165.1"/>
        <n v="1903.03"/>
        <n v="14095.98"/>
        <n v="5818.81"/>
        <n v="7935.26"/>
        <n v="14899.25"/>
        <n v="8151.31"/>
        <n v="7795.44"/>
        <n v="13041.64"/>
        <n v="6204.26"/>
        <n v="6769.13"/>
        <n v="6495.05"/>
        <n v="15532.720000000001"/>
        <n v="6456.41"/>
        <n v="6451.17"/>
        <n v="8235.2099999999991"/>
        <n v="16194.949999999999"/>
        <n v="11304.33"/>
        <n v="4682.3500000000004"/>
        <n v="521.02"/>
        <n v="14789.44"/>
        <n v="2331.4299999999998"/>
        <n v="2221.8200000000002"/>
        <n v="687.56000000000006"/>
        <n v="6128.45"/>
        <n v="5746.47"/>
        <n v="8962.83"/>
        <n v="2430.63"/>
        <n v="2760.66"/>
        <n v="4021.5"/>
        <n v="6480.4"/>
        <n v="5779.36"/>
        <n v="14365.269999999999"/>
        <n v="1127.3900000000001"/>
        <n v="1929.38"/>
        <n v="10803.82"/>
        <n v="7051.6"/>
        <n v="1084.67"/>
        <n v="14198.17"/>
        <n v="3376.14"/>
        <n v="6698.7599999999993"/>
        <n v="342.36"/>
        <n v="8315.91"/>
        <n v="4465.07"/>
        <n v="968.42"/>
        <n v="7656.05"/>
        <n v="15621.38"/>
        <n v="8633.1200000000008"/>
        <n v="15794.1"/>
        <n v="15630.85"/>
        <n v="4225.78"/>
        <n v="9644.36"/>
        <n v="14862.54"/>
        <n v="12179.83"/>
        <n v="12952.13"/>
        <n v="12874.45"/>
        <n v="3948.58"/>
        <n v="14061.52"/>
        <n v="9132.5"/>
        <n v="12728.57"/>
        <n v="5441.26"/>
        <n v="6772.21"/>
        <n v="6635.3399999999992"/>
        <n v="1153.3"/>
        <n v="16064.08"/>
        <n v="8132.8"/>
        <n v="11481.05"/>
        <n v="2192.6099999999997"/>
        <n v="8947.0299999999988"/>
        <n v="3259.23"/>
        <n v="15481.29"/>
        <n v="2545.6200000000003"/>
        <n v="13656.5"/>
        <n v="14047.42"/>
        <n v="12031.45"/>
        <n v="3350.76"/>
        <n v="5416.2000000000007"/>
        <n v="2617.37"/>
        <n v="2899.6600000000003"/>
        <n v="5530.01"/>
        <n v="11554.95"/>
        <n v="4361.91"/>
        <n v="16327.9"/>
        <n v="1605.89"/>
        <n v="9230.35"/>
        <n v="3826.65"/>
        <n v="10758.22"/>
        <n v="148.41999999999999"/>
        <n v="11575.81"/>
        <n v="10609.970000000001"/>
        <n v="8727.39"/>
        <n v="11714.39"/>
        <n v="703.29"/>
        <n v="14936.68"/>
        <n v="14774.12"/>
        <n v="10916.9"/>
        <n v="1010.95"/>
        <n v="507.88"/>
        <n v="6935.8200000000006"/>
        <n v="6115.61"/>
        <n v="14187.2"/>
        <n v="8557.5499999999993"/>
        <n v="14321.97"/>
        <n v="11585.25"/>
        <n v="6971.95"/>
        <n v="4725.2"/>
        <n v="2045.4199999999998"/>
        <n v="16228.279999999999"/>
        <n v="6672.17"/>
        <n v="12027.93"/>
        <n v="16904.73"/>
        <n v="2763.93"/>
        <n v="7802.28"/>
        <n v="11120.08"/>
        <n v="14028.87"/>
        <n v="7712.32"/>
        <n v="10953.65"/>
        <n v="13049.75"/>
        <n v="2344.5100000000002"/>
        <n v="580.07000000000005"/>
        <n v="7618.91"/>
        <n v="8113.87"/>
        <n v="12105.24"/>
        <n v="8636.0500000000011"/>
        <n v="254.13"/>
        <n v="1526.21"/>
        <n v="12142.49"/>
        <n v="4206.67"/>
        <n v="5360.4400000000005"/>
        <n v="4304.8100000000004"/>
        <n v="11501.27"/>
        <n v="5545.67"/>
        <n v="6217.18"/>
        <n v="4891.4399999999996"/>
        <n v="148.91999999999999"/>
        <n v="12874.49"/>
        <n v="11785.34"/>
        <n v="16053.73"/>
        <n v="6895.78"/>
        <n v="709.81999999999994"/>
        <n v="13416"/>
        <n v="9820.7999999999993"/>
        <n v="1493.11"/>
        <n v="7565.18"/>
        <n v="11043.31"/>
        <n v="11763.18"/>
        <n v="10570.14"/>
        <n v="12677.41"/>
        <n v="2694.42"/>
        <n v="6650.71"/>
        <n v="14910.41"/>
        <n v="11943.7"/>
        <n v="510.01"/>
        <n v="2207.96"/>
        <n v="14745.58"/>
        <n v="9452.07"/>
        <n v="13089.73"/>
        <n v="14027.59"/>
        <n v="10505.85"/>
        <n v="15706.18"/>
        <n v="10911.37"/>
        <n v="10306.86"/>
        <n v="6213.75"/>
        <n v="8945.2999999999993"/>
        <n v="889.54"/>
        <n v="14120.31"/>
        <n v="13392.48"/>
        <n v="5859.5"/>
        <n v="4161.74"/>
        <n v="4284.46"/>
        <n v="2780.73"/>
        <n v="11737.920000000002"/>
        <n v="12286.67"/>
        <n v="9779.9699999999993"/>
        <n v="5225.17"/>
        <n v="15621.98"/>
        <n v="6730.5"/>
        <n v="10248.780000000001"/>
        <n v="8053.26"/>
        <n v="14113.59"/>
        <n v="4746.72"/>
        <n v="10445.92"/>
        <n v="2644.44"/>
        <n v="1826.49"/>
        <n v="533.28"/>
        <n v="649.85"/>
        <n v="16278.01"/>
        <n v="6304.63"/>
        <n v="9172"/>
        <n v="5681.8"/>
        <n v="2413.31"/>
        <n v="8860.51"/>
        <n v="13257.25"/>
        <n v="11900.41"/>
        <n v="14703.43"/>
        <n v="7094.41"/>
        <n v="7638.91"/>
        <n v="4549.49"/>
        <n v="2933.52"/>
        <n v="5127.87"/>
        <n v="2932.0299999999997"/>
        <n v="5837.17"/>
        <n v="1604.78"/>
        <n v="3531.06"/>
        <n v="7516.94"/>
        <n v="8043.15"/>
        <n v="8761.1200000000008"/>
        <n v="9560.89"/>
        <n v="9785.81"/>
        <n v="6068.1100000000006"/>
        <n v="6239.1"/>
        <n v="1983.04"/>
        <n v="9141.89"/>
        <n v="9193.5"/>
        <n v="7542.1900000000005"/>
        <n v="10360.700000000001"/>
        <n v="1489.4"/>
        <n v="10672.46"/>
        <n v="6975.28"/>
        <n v="2625.93"/>
        <n v="4002.0099999999998"/>
        <n v="12193.300000000001"/>
        <n v="9136.34"/>
        <n v="1340.84"/>
        <n v="1076.43"/>
        <n v="2825.31"/>
        <n v="14970.94"/>
        <n v="8429.23"/>
        <n v="2408.86"/>
        <n v="6688.13"/>
        <n v="854.83"/>
        <n v="15055.509999999998"/>
        <n v="443.81"/>
        <n v="15165.470000000001"/>
        <n v="12008.42"/>
        <n v="497.38"/>
        <n v="14313.89"/>
        <n v="254.28"/>
        <n v="16727.25"/>
        <n v="8890.369999999999"/>
        <n v="3782.23"/>
        <n v="4315.45"/>
        <n v="12618.91"/>
        <n v="5373.26"/>
        <n v="11685.37"/>
        <n v="16153.43"/>
        <n v="7807.28"/>
        <n v="7391.85"/>
        <n v="13359.41"/>
        <n v="122.82"/>
        <n v="8183.55"/>
        <n v="1818.03"/>
        <n v="12701.55"/>
        <n v="11135.7"/>
        <n v="13688.789999999999"/>
        <n v="11829.54"/>
        <n v="2325.21"/>
        <n v="12620.949999999999"/>
        <n v="371.07"/>
        <n v="1232.8499999999999"/>
        <n v="13080.5"/>
        <n v="13150.28"/>
        <n v="8662.36"/>
        <n v="2569.91"/>
        <n v="6941.31"/>
        <n v="12077.89"/>
        <n v="1585.3200000000002"/>
        <n v="14282.98"/>
        <n v="5350.5700000000006"/>
        <n v="12898.71"/>
        <n v="5706.44"/>
        <n v="14175.95"/>
        <n v="16761.560000000001"/>
        <n v="16939.16"/>
        <n v="3232.64"/>
        <n v="8415.5400000000009"/>
        <n v="2630.1"/>
        <n v="9236.85"/>
        <n v="14060.269999999999"/>
        <n v="13039.76"/>
        <n v="8290.6999999999989"/>
        <n v="13580.57"/>
        <n v="8363.16"/>
        <n v="13545"/>
        <n v="5957.75"/>
        <n v="7175.6"/>
        <n v="3197.04"/>
        <n v="5212.43"/>
        <n v="10999.99"/>
        <n v="6025.7"/>
        <n v="12221.88"/>
        <n v="3496.69"/>
        <n v="2418.4299999999998"/>
        <n v="653.59999999999991"/>
        <n v="15862.15"/>
        <n v="15039.16"/>
        <n v="6138.96"/>
        <n v="8907"/>
        <n v="13410"/>
        <n v="6267.38"/>
        <n v="3540.9300000000003"/>
        <n v="10795.01"/>
        <n v="442.64000000000004"/>
        <n v="2214.92"/>
        <n v="14857.48"/>
        <n v="12290.08"/>
        <n v="2575"/>
        <n v="3905.72"/>
        <n v="11828.73"/>
        <n v="7727.54"/>
        <n v="5733.53"/>
        <n v="2928.6"/>
        <n v="11333.45"/>
        <n v="10813.96"/>
        <n v="9983.8799999999992"/>
        <n v="11814.04"/>
        <n v="9595.58"/>
        <n v="6558.17"/>
        <n v="11175.79"/>
        <n v="8319.23"/>
        <n v="4675.84"/>
        <n v="2721.32"/>
        <n v="4015"/>
        <n v="14951.35"/>
        <n v="126.38"/>
        <n v="6436.14"/>
        <n v="6920.36"/>
        <n v="13782.289999999999"/>
        <n v="9595.18"/>
        <n v="3716.9"/>
        <n v="11250.66"/>
        <n v="16806.72"/>
        <n v="9498.89"/>
        <n v="13162.45"/>
        <n v="7549.91"/>
        <n v="12002.49"/>
        <n v="3562.5099999999998"/>
        <n v="755.02"/>
        <n v="2359.77"/>
        <n v="15347.07"/>
        <n v="6468.43"/>
        <n v="15247.43"/>
        <n v="6090.47"/>
        <n v="13414.41"/>
        <n v="8582.27"/>
        <n v="1156.31"/>
        <n v="4333.47"/>
        <n v="4671.3900000000003"/>
        <n v="14055.03"/>
        <n v="8932.11"/>
        <n v="1377.13"/>
        <n v="2728.17"/>
        <n v="3354.9700000000003"/>
        <n v="10100.83"/>
        <n v="1317.8"/>
        <n v="4087.52"/>
        <n v="5708.26"/>
        <n v="14280.09"/>
        <n v="5803.71"/>
        <n v="6816.61"/>
        <n v="3421.99"/>
        <n v="10405.790000000001"/>
        <n v="10269.16"/>
        <n v="14620.720000000001"/>
        <n v="10353.16"/>
        <n v="1623.03"/>
        <n v="12929.65"/>
        <n v="6802.29"/>
        <n v="12709.48"/>
        <n v="4937.6899999999996"/>
        <n v="5739.6299999999992"/>
        <n v="5980.82"/>
        <n v="1231.5"/>
        <n v="9439.92"/>
        <n v="8178.3"/>
        <n v="1435.3400000000001"/>
        <n v="13977.02"/>
        <n v="13887"/>
        <n v="12726.72"/>
        <n v="9422.14"/>
        <n v="6245.5300000000007"/>
        <n v="8351.9499999999989"/>
        <n v="3927"/>
        <n v="10302.15"/>
        <n v="3874.78"/>
        <n v="105.79"/>
        <n v="2099.3000000000002"/>
        <n v="4472.9399999999996"/>
        <n v="9950.75"/>
        <n v="1462.79"/>
        <n v="1731.35"/>
        <n v="547.91"/>
        <n v="4320.76"/>
        <n v="2545.4499999999998"/>
        <n v="5740.3899999999994"/>
        <n v="7347.33"/>
        <n v="4395.41"/>
        <n v="6513.68"/>
        <n v="14684.35"/>
        <n v="4651.87"/>
        <n v="1351.11"/>
        <n v="14234.289999999999"/>
        <n v="7729.35"/>
        <n v="2052.83"/>
        <n v="6202.92"/>
        <n v="9985.3700000000008"/>
        <n v="1822.25"/>
        <n v="134.26"/>
        <n v="11435.13"/>
        <n v="4682.05"/>
        <n v="9884.9"/>
        <n v="12298.01"/>
        <n v="13611.51"/>
        <n v="8421.4"/>
        <n v="13169.06"/>
        <n v="3934.77"/>
        <n v="6933.53"/>
        <n v="3587.78"/>
        <n v="4747.68"/>
        <n v="3071.26"/>
        <n v="3752.22"/>
        <n v="12029.130000000001"/>
        <n v="721.56"/>
        <n v="7162.86"/>
        <n v="4307.1000000000004"/>
        <n v="443.82"/>
        <n v="5045.1000000000004"/>
        <n v="14974.240000000002"/>
        <n v="5490.54"/>
        <n v="14030.85"/>
        <n v="1830.63"/>
        <n v="7512.74"/>
        <n v="3235.35"/>
        <n v="3176.7799999999997"/>
        <n v="13631.92"/>
        <n v="14225.07"/>
        <n v="7847.24"/>
        <n v="12612.04"/>
        <n v="416.85999999999996"/>
        <n v="552.36"/>
        <n v="13869.65"/>
        <n v="378.78"/>
        <n v="5140.71"/>
        <n v="3301.84"/>
        <n v="14095.460000000001"/>
        <n v="2511.8000000000002"/>
        <n v="7591.43"/>
        <n v="3692.99"/>
        <n v="1594.55"/>
        <n v="11111.73"/>
        <n v="15814.36"/>
        <n v="12889.1"/>
        <n v="11526.21"/>
        <n v="1936.56"/>
        <n v="304.55"/>
        <n v="13451"/>
        <n v="2352.87"/>
        <n v="3989.44"/>
        <n v="6768.2999999999993"/>
        <n v="15368.8"/>
        <n v="6023.1500000000005"/>
        <n v="6357.98"/>
        <n v="4557.76"/>
        <n v="1556.55"/>
        <n v="3384.86"/>
        <n v="14693.81"/>
        <n v="2639.51"/>
        <n v="4161.5200000000004"/>
        <n v="9510.07"/>
        <n v="13113.91"/>
        <n v="8714.48"/>
        <n v="2276.04"/>
        <n v="12923.019999999999"/>
        <n v="7550.91"/>
        <n v="4624.03"/>
        <n v="12130.89"/>
        <n v="13440.189999999999"/>
        <n v="14383.12"/>
        <n v="8424.76"/>
        <n v="845.84"/>
        <n v="7546.57"/>
        <n v="12393.84"/>
        <n v="15540.47"/>
        <n v="14523.32"/>
        <n v="5359.22"/>
        <n v="7541.62"/>
        <n v="9713.65"/>
        <n v="3837.23"/>
        <n v="15244.48"/>
        <n v="9313.58"/>
        <n v="1947.3"/>
        <n v="9291.11"/>
        <n v="14364.3"/>
        <n v="10987.02"/>
        <n v="1893.4199999999998"/>
        <n v="16922"/>
        <n v="4820.53"/>
        <n v="3801.17"/>
        <n v="7720.8899999999994"/>
        <n v="10683.47"/>
        <n v="15318.439999999999"/>
        <n v="7867.39"/>
        <n v="16474.259999999998"/>
        <n v="11024.44"/>
        <n v="2865.76"/>
        <n v="6213.36"/>
        <n v="1219.18"/>
        <n v="3272.37"/>
        <n v="5389.93"/>
        <n v="2075.5700000000002"/>
        <n v="12435.39"/>
        <n v="14628.98"/>
        <n v="7961.33"/>
        <n v="16136.4"/>
        <n v="11628.06"/>
        <n v="4913.76"/>
        <n v="13924.74"/>
        <n v="14458.07"/>
        <n v="6409.41"/>
        <n v="13362.43"/>
        <n v="14220.64"/>
        <n v="14793.67"/>
        <n v="12358.05"/>
        <n v="1833.38"/>
        <n v="3074.09"/>
        <n v="14674.79"/>
        <n v="814.74"/>
        <n v="2877.59"/>
        <n v="14160.89"/>
        <n v="8078.85"/>
        <n v="14286.79"/>
        <n v="6501.7699999999995"/>
        <n v="10189.75"/>
        <n v="7758.21"/>
        <n v="846.29"/>
        <n v="3203.7000000000003"/>
        <n v="8580.25"/>
        <n v="13589.7"/>
        <n v="14483.27"/>
        <n v="15507.77"/>
        <n v="1217.25"/>
        <n v="8766.27"/>
        <n v="3385.85"/>
        <n v="297.76"/>
        <n v="5121.88"/>
        <n v="15612.419999999998"/>
        <n v="6302.21"/>
        <n v="611.88"/>
        <n v="12631.36"/>
        <n v="14837.68"/>
        <n v="11267.22"/>
        <n v="4179.1099999999997"/>
        <n v="913.40000000000009"/>
        <n v="5898.18"/>
        <n v="4973.6000000000004"/>
        <n v="7424.13"/>
        <n v="7400.9600000000009"/>
        <n v="6616.71"/>
        <n v="3058.1200000000003"/>
        <n v="8577.91"/>
        <n v="3712.2400000000002"/>
        <n v="5486.8700000000008"/>
        <n v="928.89"/>
        <n v="8179.2"/>
        <n v="13309.38"/>
        <n v="3289.7200000000003"/>
        <n v="14967.869999999999"/>
        <n v="15836.49"/>
        <n v="9464.49"/>
        <n v="7506.73"/>
        <n v="10864.83"/>
        <n v="727.46"/>
        <n v="14964.5"/>
        <n v="4727.71"/>
        <n v="16917.72"/>
        <n v="13487.43"/>
        <n v="7197.66"/>
        <n v="9834.68"/>
        <n v="4721.3"/>
        <n v="141.63999999999999"/>
        <n v="7593.3"/>
        <n v="9182.77"/>
        <n v="5082.87"/>
        <n v="8748.43"/>
        <n v="1653.46"/>
        <n v="1152.6500000000001"/>
        <n v="12657.01"/>
        <n v="8772.7800000000007"/>
        <n v="14315.56"/>
        <n v="1101.44"/>
        <n v="14611.14"/>
        <n v="8662.58"/>
        <n v="2235.58"/>
        <n v="825.85"/>
        <n v="2796.57"/>
        <n v="3227.54"/>
        <n v="789.47"/>
        <n v="10682.609999999999"/>
        <n v="2040.71"/>
        <n v="9871.2000000000007"/>
        <n v="13771.48"/>
        <n v="9061.26"/>
        <n v="630.58000000000004"/>
        <n v="9695.75"/>
        <n v="10932.32"/>
        <n v="13612.23"/>
        <n v="15269.57"/>
        <n v="514.9"/>
        <n v="12538.800000000001"/>
        <n v="6121.97"/>
        <n v="6780.13"/>
        <n v="16526.89"/>
        <n v="11546.98"/>
        <n v="10336.84"/>
        <n v="6162.38"/>
        <n v="5135"/>
        <n v="16606.420000000002"/>
        <n v="11659.54"/>
        <n v="5258.99"/>
        <n v="13539.12"/>
        <n v="4290.2700000000004"/>
        <n v="13027.4"/>
        <n v="1498.62"/>
        <n v="4638.4800000000005"/>
        <n v="14588.95"/>
        <n v="2142.38"/>
        <n v="252.14"/>
        <n v="2689.22"/>
        <n v="8430.0499999999993"/>
        <n v="11342.63"/>
        <n v="14433.18"/>
        <n v="1070.55"/>
        <n v="5924.24"/>
        <n v="5733.79"/>
        <n v="11836.02"/>
        <n v="3834.02"/>
        <n v="12110.65"/>
        <n v="14406.22"/>
        <n v="15314.91"/>
        <n v="7043.44"/>
        <n v="8623.89"/>
        <n v="16142.48"/>
        <n v="3303.22"/>
        <n v="14070.57"/>
        <n v="10049.519999999999"/>
        <n v="12648.72"/>
        <n v="6619.76"/>
        <n v="10187.550000000001"/>
        <n v="13775.92"/>
        <n v="1534.52"/>
        <n v="14068.96"/>
        <n v="2587.14"/>
        <n v="10614.1"/>
        <n v="9138.27"/>
        <n v="80.41"/>
        <n v="14570.2"/>
        <n v="16436.3"/>
        <n v="930.56999999999994"/>
        <n v="16762.560000000001"/>
        <n v="9117.73"/>
        <n v="2603.08"/>
        <n v="2740.82"/>
        <n v="13788.54"/>
        <n v="11853.92"/>
        <n v="15918.810000000001"/>
        <n v="7552.17"/>
        <n v="14244.92"/>
        <n v="2680.83"/>
        <n v="16197.14"/>
        <n v="12987.34"/>
        <n v="3948.82"/>
        <n v="3883.32"/>
        <n v="14368.15"/>
        <n v="7584.86"/>
        <n v="1133.57"/>
        <n v="13898.22"/>
        <n v="7262.97"/>
        <n v="14786.97"/>
        <n v="13171.17"/>
        <n v="138.59"/>
        <n v="3124.85"/>
        <n v="11094.09"/>
        <n v="9830.83"/>
        <n v="12254.69"/>
        <n v="1534.73"/>
        <n v="16812.03"/>
        <n v="2837.56"/>
        <n v="12508.43"/>
        <n v="2934.14"/>
        <n v="6303.06"/>
        <n v="9791.25"/>
        <n v="3213.75"/>
        <n v="1112.51"/>
        <n v="6294.46"/>
        <n v="9810.9699999999993"/>
        <n v="7235.84"/>
        <n v="8812.43"/>
        <n v="9740.2899999999991"/>
        <n v="11118.99"/>
        <n v="8943.93"/>
        <n v="13578.17"/>
        <n v="4397.17"/>
        <n v="15628.59"/>
        <n v="7869.9"/>
        <n v="5186.8599999999997"/>
        <n v="1287.33"/>
        <n v="14534.75"/>
        <n v="1070.96"/>
        <n v="2234.2200000000003"/>
        <n v="13600.150000000001"/>
        <n v="2909.03"/>
        <n v="9120.43"/>
        <n v="1557.85"/>
        <n v="12402.58"/>
        <n v="6404.09"/>
        <n v="3242.79"/>
        <n v="962.91"/>
        <n v="14992.81"/>
        <n v="11411.5"/>
        <n v="2138.7199999999998"/>
        <n v="8236.6200000000008"/>
        <n v="9462.52"/>
        <n v="6591.69"/>
        <n v="7965.2300000000005"/>
        <n v="13548.279999999999"/>
        <n v="5897.36"/>
        <n v="2718.87"/>
        <n v="3267.51"/>
        <n v="16720.189999999999"/>
        <n v="1309.92"/>
        <n v="735.58"/>
        <n v="3802.15"/>
        <n v="7884.76"/>
        <n v="12715.32"/>
        <n v="9185.86"/>
        <n v="9530.34"/>
        <n v="5576.66"/>
        <n v="4688.99"/>
        <n v="14077.2"/>
        <n v="7451.45"/>
        <n v="10569.35"/>
        <n v="11972.15"/>
        <n v="1369.72"/>
        <n v="7225.36"/>
        <n v="6227.53"/>
        <n v="10510.66"/>
        <n v="2115.13"/>
        <n v="10316.869999999999"/>
        <n v="6939.94"/>
        <n v="12752.380000000001"/>
        <n v="5182.8"/>
        <n v="7794.71"/>
        <n v="13353.880000000001"/>
        <n v="13692.83"/>
        <n v="7129.97"/>
        <n v="6272"/>
        <n v="14755.35"/>
        <n v="13347.93"/>
        <n v="11328.19"/>
        <n v="2105.77"/>
        <n v="16368.119999999999"/>
        <n v="6569.89"/>
        <n v="6202.57"/>
        <n v="8925.02"/>
        <n v="8231.369999999999"/>
        <n v="9552.2800000000007"/>
        <n v="6412.14"/>
        <n v="1977.84"/>
        <n v="7915.29"/>
        <n v="15363.93"/>
        <n v="14202.7"/>
        <n v="4538.32"/>
        <n v="5446.14"/>
        <n v="8481.7900000000009"/>
        <n v="12714.79"/>
        <n v="14298.62"/>
        <n v="11322.49"/>
        <n v="7275.75"/>
        <n v="10333.4"/>
        <n v="7937.89"/>
        <n v="13261.62"/>
        <n v="11044.22"/>
        <n v="5592.04"/>
        <n v="13951.22"/>
        <n v="1879.98"/>
        <n v="1141.29"/>
        <n v="5374.5399999999991"/>
        <n v="10040.99"/>
        <n v="15163.24"/>
        <n v="9219.68"/>
        <n v="7522.72"/>
        <n v="4056.22"/>
        <n v="4631.03"/>
        <n v="11948.99"/>
        <n v="14619.329999999998"/>
        <n v="5443.38"/>
        <n v="13381.65"/>
        <n v="2971.95"/>
        <n v="4253.9000000000005"/>
        <n v="11231.779999999999"/>
        <n v="15175.4"/>
        <n v="13225.73"/>
        <n v="14960.599999999999"/>
        <n v="13309.07"/>
        <n v="11998.23"/>
        <n v="7948.9500000000007"/>
        <n v="10729.42"/>
        <n v="1316.66"/>
        <n v="11216.81"/>
        <n v="3678.5899999999997"/>
        <n v="1089.6299999999999"/>
        <n v="13765.15"/>
        <n v="490.85"/>
        <n v="14099.56"/>
        <n v="7163.91"/>
        <n v="9126.68"/>
        <n v="1366.19"/>
        <n v="94.1"/>
        <n v="2844.9"/>
        <n v="15067.45"/>
        <n v="11454.76"/>
        <n v="4886.6500000000005"/>
        <n v="2921.2999999999997"/>
        <n v="6881.51"/>
        <n v="541.6"/>
        <n v="7062.24"/>
        <n v="131.54"/>
        <n v="9022.5400000000009"/>
        <n v="5390.53"/>
        <n v="1018.42"/>
        <n v="13727.4"/>
        <n v="4858.67"/>
        <n v="619.11"/>
        <n v="8423.9599999999991"/>
        <n v="6896.58"/>
        <n v="9336.43"/>
        <n v="2176.0300000000002"/>
        <n v="12888.939999999999"/>
        <n v="7073.29"/>
        <n v="10596.22"/>
        <n v="12690.08"/>
        <n v="4507.29"/>
        <n v="11049.22"/>
        <n v="1492.93"/>
        <n v="4256.5"/>
        <n v="1528.97"/>
        <n v="8258.68"/>
        <n v="5693.25"/>
        <n v="13671.35"/>
        <n v="10602.47"/>
        <n v="11213.34"/>
        <n v="12014.2"/>
        <n v="5221.0099999999993"/>
        <n v="11221.45"/>
        <n v="6579.89"/>
        <n v="8625.69"/>
        <n v="9022.25"/>
        <n v="11249.64"/>
        <n v="11523.46"/>
        <n v="4582.2299999999996"/>
        <n v="11822.57"/>
        <n v="6798.83"/>
        <n v="11156.41"/>
        <n v="4133.13"/>
        <n v="268.96000000000004"/>
        <n v="4888.0200000000004"/>
        <n v="10324.629999999999"/>
        <n v="6114.0700000000006"/>
        <n v="7060.26"/>
        <n v="9606.44"/>
        <n v="3554.3"/>
        <n v="6361.03"/>
        <n v="8392.74"/>
        <n v="1324.86"/>
        <n v="5860.78"/>
        <n v="15958.21"/>
        <n v="14596.75"/>
        <n v="3432.02"/>
        <n v="5257.06"/>
        <n v="2534.71"/>
        <n v="14502.89"/>
        <n v="5202.3599999999997"/>
        <n v="1783.24"/>
        <n v="14500.42"/>
        <n v="8545.76"/>
        <n v="3466.6"/>
        <n v="16133.32"/>
        <n v="10380.290000000001"/>
        <n v="10749.099999999999"/>
        <n v="16153.54"/>
        <n v="6861.3399999999992"/>
        <n v="4296.38"/>
        <n v="15418.15"/>
        <n v="4060.29"/>
        <n v="2108.11"/>
        <n v="9562.8599999999988"/>
        <n v="12513.15"/>
        <n v="12000.779999999999"/>
        <n v="16039.27"/>
        <n v="2355.8000000000002"/>
        <n v="10596.82"/>
        <n v="15706.91"/>
        <n v="12793.79"/>
        <n v="13137.890000000001"/>
        <n v="8710.61"/>
        <n v="8319.42"/>
        <n v="6686.7000000000007"/>
        <n v="10794.29"/>
        <n v="14716.26"/>
        <n v="11671.46"/>
        <n v="6579.1799999999994"/>
        <n v="7671.15"/>
        <n v="4281.71"/>
        <n v="16043.08"/>
        <n v="5019.7"/>
        <n v="16383.64"/>
        <n v="9944.3799999999992"/>
        <n v="9480.07"/>
        <n v="14101.6"/>
        <n v="9349.83"/>
        <n v="6940.04"/>
        <n v="3673.22"/>
        <n v="2036.76"/>
        <n v="6119.58"/>
        <n v="9021.31"/>
        <n v="11536.9"/>
        <n v="8939.77"/>
        <n v="1008.96"/>
        <n v="5400.85"/>
        <n v="2413.0700000000002"/>
        <n v="5372.45"/>
        <n v="4338.3999999999996"/>
        <n v="8570.9"/>
        <n v="12885.46"/>
        <n v="10337.85"/>
        <n v="4219.5"/>
        <n v="6066.31"/>
        <n v="5694.16"/>
        <n v="7246.95"/>
        <n v="7070.28"/>
        <n v="12285.77"/>
        <n v="3189.06"/>
        <n v="1013.14"/>
        <n v="15100.85"/>
        <n v="8078.2699999999995"/>
        <n v="6673.28"/>
        <n v="1064.74"/>
        <n v="7460.15"/>
        <n v="9252.9"/>
        <n v="1216.6099999999999"/>
        <n v="11176.09"/>
        <n v="13282.25"/>
        <n v="12883.79"/>
        <n v="11540.62"/>
        <n v="12728.830000000002"/>
        <n v="11468.92"/>
        <n v="11224.48"/>
        <n v="7526.76"/>
        <n v="14467.84"/>
        <n v="15415.699999999999"/>
        <n v="4551.47"/>
        <n v="461.57000000000005"/>
        <n v="9194"/>
        <n v="8644.92"/>
        <n v="154.26"/>
        <n v="1704.41"/>
        <n v="5045.76"/>
        <n v="15047.81"/>
        <n v="4290.0600000000004"/>
        <n v="10908.18"/>
        <n v="3853.56"/>
        <n v="12450.85"/>
        <n v="9928.82"/>
        <n v="2597.41"/>
        <n v="8541.6"/>
        <n v="12051.31"/>
        <n v="5019.32"/>
        <n v="6708.4500000000007"/>
        <n v="3316.28"/>
        <n v="4626.74"/>
        <n v="7273.11"/>
        <n v="11315"/>
        <n v="3961.29"/>
        <n v="2393.14"/>
        <n v="9011.26"/>
        <n v="4389.68"/>
        <n v="10926.33"/>
        <n v="8033.44"/>
        <n v="1646.0500000000002"/>
        <n v="9203.23"/>
        <n v="9392.25"/>
        <n v="12038.05"/>
        <n v="3512.41"/>
        <n v="14951.09"/>
        <n v="8260.7900000000009"/>
        <n v="3910.91"/>
        <n v="13141.23"/>
        <n v="3087.87"/>
        <n v="12749.869999999999"/>
        <n v="12664.890000000001"/>
        <n v="916.66000000000008"/>
        <n v="2688.15"/>
        <n v="4425.55"/>
        <n v="12196.09"/>
        <n v="15425.97"/>
        <n v="1849.56"/>
        <n v="10524.57"/>
        <n v="3054.62"/>
        <n v="13172.79"/>
        <n v="3234.21"/>
        <n v="3615.28"/>
        <n v="641.78000000000009"/>
        <n v="8676.83"/>
        <n v="12113.14"/>
        <n v="11775.609999999999"/>
        <n v="4404.32"/>
        <n v="6541.5499999999993"/>
        <n v="2704.93"/>
        <n v="16021.66"/>
        <n v="16544.52"/>
        <n v="13161.91"/>
        <n v="6160.99"/>
        <n v="5494.34"/>
        <n v="1944.28"/>
        <n v="13120.13"/>
        <n v="990.48"/>
        <n v="14880.45"/>
        <n v="12983.939999999999"/>
        <n v="3390.6000000000004"/>
        <n v="14080.7"/>
        <n v="11134.86"/>
        <n v="9250.58"/>
        <n v="15163.369999999999"/>
        <n v="8756.4"/>
        <n v="3716.14"/>
        <n v="5152.05"/>
        <n v="1698.77"/>
        <n v="15473.34"/>
        <n v="11977.45"/>
        <n v="9347.32"/>
        <n v="64.739999999999995"/>
        <n v="10745.74"/>
        <n v="16611.68"/>
        <n v="4629.0700000000006"/>
        <n v="444.5"/>
        <n v="1724.52"/>
        <n v="7584.58"/>
        <n v="4639.62"/>
        <n v="7377.6500000000005"/>
        <n v="14280.49"/>
        <n v="5808"/>
        <n v="15346.550000000001"/>
        <n v="2251.7200000000003"/>
        <n v="11665.33"/>
        <n v="12608.1"/>
        <n v="7186.04"/>
        <n v="5044.74"/>
        <n v="357.94"/>
        <n v="2463.2600000000002"/>
        <n v="15008.47"/>
        <n v="10133.07"/>
        <n v="6508.04"/>
        <n v="8153.2"/>
        <n v="11263.419999999998"/>
        <n v="8946.2800000000007"/>
        <n v="12790"/>
        <n v="3692.82"/>
        <n v="1995.3"/>
        <n v="10509.73"/>
        <n v="14979.220000000001"/>
        <n v="399.86"/>
        <n v="8962.4500000000007"/>
        <n v="3837.7"/>
        <n v="12104.48"/>
        <n v="14547.88"/>
        <n v="12809.54"/>
        <n v="11080.1"/>
        <n v="10213.69"/>
        <n v="768.92"/>
        <n v="15471.169999999998"/>
        <n v="14287.06"/>
        <n v="7818.45"/>
        <n v="3739.69"/>
        <n v="7369.82"/>
        <n v="13768.82"/>
        <n v="10351.290000000001"/>
        <n v="12916.47"/>
        <n v="1131.48"/>
        <n v="5881.52"/>
        <n v="8679.24"/>
        <n v="12703.390000000001"/>
        <n v="9867.32"/>
        <n v="7776.59"/>
        <n v="4996.8599999999997"/>
        <n v="13164.68"/>
        <n v="2391.23"/>
        <n v="10413.17"/>
        <n v="11305.68"/>
        <n v="6164.0300000000007"/>
        <n v="13026.970000000001"/>
        <n v="1602.86"/>
        <n v="12764.86"/>
        <n v="13458.15"/>
        <n v="5396.41"/>
        <n v="81.97999999999999"/>
        <n v="6556.86"/>
        <n v="11453.77"/>
        <n v="3019.56"/>
        <n v="5883.55"/>
        <n v="801.67"/>
        <n v="2001.94"/>
        <n v="6060.5"/>
        <n v="9117.15"/>
        <n v="9229.26"/>
        <n v="6817.62"/>
        <n v="13786.34"/>
        <n v="7276.42"/>
        <n v="6693.41"/>
        <n v="1946.15"/>
        <n v="4899.07"/>
        <n v="12377.9"/>
        <n v="12902.95"/>
        <n v="3589.34"/>
        <n v="16908.310000000001"/>
        <n v="11470.41"/>
        <n v="758.66"/>
        <n v="11161.38"/>
        <n v="9943.31"/>
        <n v="10397.92"/>
        <n v="5217.1899999999996"/>
        <n v="1859.95"/>
        <n v="10764.33"/>
        <n v="11483.97"/>
        <n v="6588.81"/>
        <n v="14450.699999999999"/>
        <n v="6613.3099999999995"/>
        <n v="6774.44"/>
        <n v="1803.71"/>
        <n v="6949"/>
        <n v="9106.86"/>
        <n v="14935.45"/>
        <n v="5436.26"/>
        <n v="5601.0999999999995"/>
        <n v="3207.89"/>
        <n v="4924.0200000000004"/>
        <n v="1798.29"/>
        <n v="9463.81"/>
        <n v="679.28"/>
        <n v="6121.76"/>
        <n v="5013.8999999999996"/>
        <n v="5004.3"/>
        <n v="4038.51"/>
        <n v="10550.1"/>
        <n v="4672.2300000000005"/>
        <n v="229.57999999999998"/>
        <n v="13987.470000000001"/>
        <n v="14549.949999999999"/>
        <n v="6493.2999999999993"/>
        <n v="2671.4"/>
        <n v="2624.62"/>
        <n v="8352.83"/>
        <n v="12869.29"/>
        <n v="14150.36"/>
        <n v="5581.19"/>
        <n v="3891.42"/>
        <n v="2068.8000000000002"/>
        <n v="11052.34"/>
        <n v="7431.5"/>
        <n v="2673.6800000000003"/>
        <n v="3567.34"/>
        <n v="13949.51"/>
        <n v="7682.78"/>
        <n v="6666.7900000000009"/>
        <n v="2614.96"/>
        <n v="7610.54"/>
        <n v="8084.55"/>
        <n v="3456.39"/>
        <n v="13651.88"/>
        <n v="1334.36"/>
        <n v="753.03"/>
        <n v="7705.76"/>
        <n v="8089.3"/>
        <n v="11634.66"/>
        <n v="13725.36"/>
        <n v="3573.42"/>
        <n v="12155.6"/>
        <n v="16302.42"/>
        <n v="616.79000000000008"/>
        <n v="9590.0300000000007"/>
        <n v="13995.04"/>
        <n v="4970.99"/>
        <n v="8699.5300000000007"/>
        <n v="5997.17"/>
        <n v="9374.33"/>
        <n v="8017.59"/>
        <n v="14462.86"/>
        <n v="11574.3"/>
        <n v="8213.8700000000008"/>
        <n v="14805.5"/>
        <n v="8185.11"/>
        <n v="12418.25"/>
        <n v="3316.0299999999997"/>
        <n v="1465.35"/>
        <n v="2867.26"/>
        <n v="6790.3799999999992"/>
        <n v="1837.1399999999999"/>
        <n v="740.71"/>
        <n v="14272.47"/>
        <n v="10160.52"/>
        <n v="11073.76"/>
        <n v="7054.01"/>
        <n v="6684.73"/>
        <n v="2915.06"/>
        <n v="8958.09"/>
        <n v="4792.8599999999997"/>
        <n v="11910.990000000002"/>
        <n v="7551.6200000000008"/>
        <n v="13575.21"/>
        <n v="13397.07"/>
        <n v="3134.13"/>
        <n v="11285.04"/>
        <n v="5396.96"/>
        <n v="11728.14"/>
        <n v="3126.34"/>
        <n v="9900.23"/>
        <n v="1938.12"/>
        <n v="9437.31"/>
        <n v="1016.21"/>
        <n v="12761.470000000001"/>
        <n v="1487.12"/>
        <n v="12843.43"/>
        <n v="11227.99"/>
        <n v="9598.9500000000007"/>
        <n v="3766.71"/>
        <n v="1193.72"/>
        <n v="369.72"/>
        <n v="8491.66"/>
        <n v="7606.41"/>
        <n v="1356.6999999999998"/>
        <n v="8719.48"/>
        <n v="16274.71"/>
        <n v="16199.44"/>
        <n v="8825.9699999999993"/>
        <n v="2882.72"/>
        <n v="3526.22"/>
        <n v="568.55999999999995"/>
        <n v="9283.32"/>
        <n v="3878.23"/>
        <n v="5046.5599999999995"/>
        <n v="7190.2100000000009"/>
        <n v="11201.23"/>
        <n v="2856.47"/>
        <n v="2599.4299999999998"/>
        <n v="7879.65"/>
        <n v="14760.51"/>
        <n v="7223.58"/>
        <n v="1198.5999999999999"/>
        <n v="3390.31"/>
        <n v="7580.65"/>
        <n v="4663.37"/>
        <n v="12818.14"/>
        <n v="8798.4500000000007"/>
        <n v="8764.18"/>
        <n v="14994.61"/>
        <n v="10231.89"/>
        <n v="12196.73"/>
        <n v="3529.16"/>
        <n v="198.77"/>
        <n v="15195.710000000001"/>
        <n v="3139.76"/>
        <n v="3695.32"/>
        <n v="12160.77"/>
        <n v="10554.09"/>
        <n v="9658.2599999999984"/>
        <n v="14983.52"/>
        <n v="4453.87"/>
        <n v="8481.4500000000007"/>
        <n v="15678.86"/>
        <n v="5844.6"/>
        <n v="7811.25"/>
        <n v="3860.31"/>
        <n v="2597.42"/>
        <n v="7548.48"/>
        <n v="2939.18"/>
        <n v="9620.66"/>
        <n v="11649.44"/>
        <n v="12287.45"/>
        <n v="7103.56"/>
        <n v="4207.05"/>
        <n v="3185.52"/>
        <n v="11728.05"/>
        <n v="13341.6"/>
        <n v="9522.77"/>
        <n v="6300.03"/>
        <n v="14525.259999999998"/>
        <n v="5236.24"/>
        <n v="10216.049999999999"/>
        <n v="7630.2699999999995"/>
        <n v="10671.54"/>
        <n v="11787.2"/>
        <n v="2064.8000000000002"/>
        <n v="584.92999999999995"/>
        <n v="14900.76"/>
        <n v="5886.13"/>
        <n v="502.23"/>
        <n v="7943.18"/>
        <n v="11043.95"/>
        <n v="13197.419999999998"/>
        <n v="16282.8"/>
        <n v="10227.41"/>
        <n v="6638.06"/>
        <n v="5196.8100000000004"/>
        <n v="7231.36"/>
        <n v="3701.43"/>
        <n v="14098.41"/>
        <n v="11826.259999999998"/>
        <n v="13521.62"/>
        <n v="7399.1900000000005"/>
        <n v="9565.5499999999993"/>
        <n v="3291.8"/>
        <n v="6558.9299999999994"/>
        <n v="14824.800000000001"/>
        <n v="5398.36"/>
        <n v="14617.259999999998"/>
        <n v="8858.2999999999993"/>
        <n v="2527.84"/>
        <n v="6674.55"/>
        <n v="11167.65"/>
        <n v="1365.63"/>
        <n v="1006.41"/>
        <n v="12015.44"/>
        <n v="14960.95"/>
        <n v="8117.2300000000005"/>
        <n v="15348.34"/>
        <n v="11977.29"/>
        <n v="1297.24"/>
        <n v="15587.36"/>
        <n v="4085.36"/>
        <n v="4272.29"/>
        <n v="16221.119999999999"/>
        <n v="918.87"/>
        <n v="792.8"/>
        <n v="173.04"/>
        <n v="9960.73"/>
        <n v="8480.32"/>
        <n v="14211.39"/>
        <n v="8366.49"/>
        <n v="15364.33"/>
        <n v="11881.58"/>
        <n v="6190.07"/>
        <n v="12314.75"/>
        <n v="6615.12"/>
        <n v="2354.71"/>
        <n v="4306.49"/>
        <n v="11676.050000000001"/>
        <n v="7628.21"/>
        <n v="6530.36"/>
        <n v="9959.380000000001"/>
        <n v="16140.039999999999"/>
        <n v="13434.84"/>
        <n v="10336.700000000001"/>
        <n v="11974.08"/>
        <n v="6098.9000000000005"/>
        <n v="1108.44"/>
        <n v="13490.21"/>
        <n v="5817.12"/>
        <n v="10510.69"/>
        <n v="9207.35"/>
        <n v="16650"/>
        <n v="12782.17"/>
        <n v="14188.619999999999"/>
        <n v="6357.1500000000005"/>
        <n v="4496.1899999999996"/>
        <n v="1748.05"/>
        <n v="4959.63"/>
        <n v="5772.99"/>
        <n v="3394.25"/>
        <n v="1800.14"/>
        <n v="251.21"/>
        <n v="12703.95"/>
        <n v="12472.83"/>
        <n v="10517.35"/>
        <n v="678.53"/>
        <n v="3020.49"/>
        <n v="9165.67"/>
        <n v="6634.34"/>
        <n v="11168.83"/>
        <n v="16818.78"/>
        <n v="11726.78"/>
        <n v="13789.84"/>
        <n v="514.23"/>
        <n v="11633"/>
        <n v="5861.04"/>
        <n v="5386"/>
        <n v="555.58000000000004"/>
        <n v="6170.88"/>
        <n v="7934.66"/>
        <n v="13149.54"/>
        <n v="12336.59"/>
        <n v="9279.2000000000007"/>
        <n v="175.4"/>
        <n v="15007.779999999999"/>
        <n v="4363.97"/>
        <n v="3714.81"/>
        <n v="4836.6400000000003"/>
        <n v="12635.87"/>
        <n v="7122.5099999999993"/>
        <n v="8130.66"/>
        <n v="14259.400000000001"/>
        <n v="3731.47"/>
        <n v="6157.11"/>
        <n v="3833.35"/>
        <n v="1796.82"/>
        <n v="9976.6299999999992"/>
        <n v="9728.94"/>
        <n v="6530.15"/>
        <n v="12173.69"/>
        <n v="2369.27"/>
        <n v="3885.5"/>
        <n v="10605.2"/>
        <n v="587.88"/>
        <n v="4306.91"/>
        <n v="12526.24"/>
        <n v="8073.66"/>
        <n v="3112.4900000000002"/>
        <n v="1898.02"/>
        <n v="12974.73"/>
        <n v="6934.62"/>
        <n v="5109.55"/>
        <n v="1239"/>
        <n v="5419.3"/>
        <n v="14949.88"/>
        <n v="10941.59"/>
        <n v="3447.59"/>
        <n v="10413.76"/>
        <n v="13706.99"/>
        <n v="7670.0999999999995"/>
        <n v="9836.82"/>
        <n v="6062.07"/>
        <n v="5840.62"/>
        <n v="13388.96"/>
        <n v="885.31"/>
        <n v="10367.469999999999"/>
        <n v="3591.8199999999997"/>
        <n v="5269.28"/>
        <n v="11519.86"/>
        <n v="9344.65"/>
        <n v="6892.69"/>
        <n v="10300.189999999999"/>
        <n v="10264.66"/>
        <n v="5862.61"/>
        <n v="7698.68"/>
        <n v="7141.79"/>
        <n v="14368.24"/>
        <n v="1114.93"/>
        <n v="12717.169999999998"/>
        <n v="2954.24"/>
        <n v="9565.67"/>
        <n v="15266.38"/>
        <n v="4904.67"/>
        <n v="12673.58"/>
        <n v="5549.79"/>
        <n v="8926.0400000000009"/>
        <n v="8315.31"/>
        <n v="12813.16"/>
        <n v="13440.7"/>
        <n v="2002.17"/>
        <n v="14271.4"/>
        <n v="978.75"/>
        <n v="5165.3599999999997"/>
        <n v="10890.51"/>
        <n v="8835.24"/>
        <n v="11423.32"/>
        <n v="3343.51"/>
        <n v="12039.77"/>
        <n v="7211.09"/>
        <n v="912.31"/>
        <n v="9151.2800000000007"/>
        <n v="8265.09"/>
        <n v="8724.82"/>
        <n v="13194.300000000001"/>
        <n v="13812.92"/>
        <n v="12224.88"/>
        <n v="10916.01"/>
        <n v="15366.98"/>
        <n v="13438.29"/>
        <n v="7064.29"/>
        <n v="6496.43"/>
        <n v="4257.26"/>
        <n v="15392.17"/>
        <n v="10591.810000000001"/>
        <n v="15201.18"/>
        <n v="14556.72"/>
        <n v="16931.91"/>
        <n v="16924.07"/>
        <n v="6737.48"/>
        <n v="6319.21"/>
        <n v="9006.2999999999993"/>
        <n v="14750.49"/>
        <n v="6368.53"/>
        <n v="8096.22"/>
        <n v="6110.73"/>
        <n v="12099.47"/>
        <n v="4148.33"/>
        <n v="3804.17"/>
        <n v="14149.95"/>
        <n v="7157.13"/>
        <n v="7164.04"/>
        <n v="8669.2800000000007"/>
        <n v="7877.47"/>
        <n v="16476.3"/>
        <n v="12680.42"/>
        <n v="3212.58"/>
        <n v="4249.01"/>
        <n v="6820.87"/>
        <n v="2420.06"/>
        <n v="13091.71"/>
        <n v="1326.4199999999998"/>
        <n v="16125.04"/>
        <n v="305"/>
        <n v="11052.96"/>
        <n v="10314.379999999999"/>
        <n v="11499.5"/>
        <n v="1736.76"/>
        <n v="16638.47"/>
        <n v="14254.02"/>
        <n v="12137.09"/>
        <n v="9685.7000000000007"/>
        <n v="1166.52"/>
        <n v="2750.83"/>
        <n v="2272"/>
        <n v="3059.0499999999997"/>
        <n v="411.43"/>
        <n v="13158.42"/>
        <n v="370.76"/>
        <n v="2383.71"/>
        <n v="14120.68"/>
        <n v="662.21"/>
        <n v="10456.82"/>
        <n v="6179.04"/>
        <n v="5332.4900000000007"/>
        <n v="12161.53"/>
        <n v="3085.07"/>
        <n v="9636.18"/>
        <n v="13492.87"/>
        <n v="14814.539999999999"/>
        <n v="5440.67"/>
        <n v="14478.07"/>
        <n v="12912.2"/>
        <n v="93.51"/>
        <n v="12990.79"/>
        <n v="12046.08"/>
        <n v="11013.86"/>
        <n v="4399.68"/>
        <n v="8298.61"/>
        <n v="5089.88"/>
        <n v="2508.54"/>
        <n v="13673.51"/>
        <n v="16171.8"/>
        <n v="12046.93"/>
        <n v="5050.24"/>
        <n v="5513.1"/>
        <n v="9280.1700000000019"/>
        <n v="6617.39"/>
        <n v="3231.2700000000004"/>
        <n v="11066.400000000001"/>
        <n v="10826.75"/>
        <n v="8348.4500000000007"/>
        <n v="7971.22"/>
        <n v="10676.48"/>
        <n v="3192.91"/>
        <n v="3193.2200000000003"/>
        <n v="13348.92"/>
        <n v="10823.51"/>
        <n v="12676.75"/>
        <n v="14046.29"/>
        <n v="7088.82"/>
        <n v="9143.84"/>
        <n v="12152.189999999999"/>
        <n v="5571.6299999999992"/>
        <n v="364.81"/>
        <n v="620.63"/>
        <n v="12992.19"/>
        <n v="3736.83"/>
        <n v="10750.42"/>
        <n v="5757.19"/>
        <n v="11008.14"/>
        <n v="1009.96"/>
        <n v="10819.15"/>
        <n v="9297.380000000001"/>
        <n v="15092.349999999999"/>
        <n v="8358.41"/>
        <n v="3731.34"/>
        <n v="7682.62"/>
        <n v="111.99"/>
        <n v="7376.74"/>
        <n v="14885.43"/>
        <n v="5890.76"/>
        <n v="6772.09"/>
        <n v="6084.78"/>
        <n v="7984.77"/>
        <n v="2645.83"/>
        <n v="13354.17"/>
        <n v="12421.65"/>
        <n v="9503.4699999999993"/>
        <n v="13868.59"/>
        <n v="14924.84"/>
        <n v="684.07"/>
        <n v="2828"/>
        <n v="7813.8600000000006"/>
        <n v="9471.7800000000007"/>
        <n v="9684.02"/>
        <n v="13597.59"/>
        <n v="13343.48"/>
        <n v="7486.4500000000007"/>
        <n v="4066.66"/>
        <n v="16715.080000000002"/>
        <n v="7458.5300000000007"/>
        <n v="3669.5299999999997"/>
        <n v="4819.37"/>
        <n v="9388.4500000000007"/>
        <n v="8841.39"/>
        <n v="4824.18"/>
        <n v="11774.03"/>
        <n v="809.36"/>
        <n v="3328.42"/>
        <n v="5680.23"/>
        <n v="4955.7"/>
        <n v="13145.96"/>
        <n v="10327.76"/>
        <n v="12858.37"/>
        <n v="16631.190000000002"/>
        <n v="13621.97"/>
        <n v="10203.75"/>
        <n v="16842.45"/>
        <n v="6832.07"/>
        <n v="6728.84"/>
        <n v="3580.34"/>
        <n v="12211.59"/>
        <n v="8024.37"/>
        <n v="3996.38"/>
        <n v="14254.72"/>
        <n v="4079.57"/>
        <n v="8494.43"/>
        <n v="10320.629999999999"/>
        <n v="5466.4"/>
        <n v="4322.87"/>
        <n v="13087.65"/>
        <n v="14724.65"/>
        <n v="7230.62"/>
        <n v="16698.77"/>
        <n v="13194.689999999999"/>
        <n v="6086.13"/>
        <n v="2462.3599999999997"/>
        <n v="5977.78"/>
        <n v="4071.91"/>
        <n v="6480.93"/>
        <n v="15562.83"/>
        <n v="5485.16"/>
        <n v="14864.57"/>
        <n v="10822.12"/>
        <n v="9792.2199999999993"/>
        <n v="14082.77"/>
        <n v="5936.39"/>
        <n v="257.64999999999998"/>
        <n v="12404.44"/>
        <n v="1955.74"/>
        <n v="4575.59"/>
        <n v="5127.7700000000004"/>
        <n v="7472.77"/>
        <n v="13142.519999999999"/>
        <n v="931.43"/>
        <n v="10476.779999999999"/>
        <n v="4956.53"/>
        <n v="4642.5"/>
        <n v="1871.98"/>
        <n v="14401.32"/>
        <n v="15152.64"/>
        <n v="5603.44"/>
        <n v="1121.02"/>
        <n v="11524.7"/>
        <n v="11579.87"/>
        <n v="12788.880000000001"/>
        <n v="7616.49"/>
        <n v="640.28"/>
        <n v="8736.16"/>
        <n v="2574.4"/>
        <n v="13638.44"/>
        <n v="12850.19"/>
        <n v="14683.04"/>
        <n v="11787"/>
        <n v="9241.64"/>
        <n v="1586.7"/>
        <n v="10684.56"/>
        <n v="6777.1"/>
        <n v="620.14"/>
        <n v="1132.3800000000001"/>
        <n v="8012.05"/>
        <n v="4107.79"/>
        <n v="13301.68"/>
        <n v="13881.12"/>
        <n v="2475.41"/>
        <n v="420.83"/>
        <n v="6689.7199999999993"/>
        <n v="11859.04"/>
        <n v="12311.92"/>
        <n v="14728.6"/>
        <n v="1654.35"/>
        <n v="10237.200000000001"/>
        <n v="8782.5399999999991"/>
        <n v="2230.62"/>
        <n v="7692.36"/>
        <n v="4397.83"/>
        <n v="14656.23"/>
        <n v="12178.07"/>
        <n v="16513.55"/>
        <n v="12092.830000000002"/>
        <n v="2155.46"/>
        <n v="10545.17"/>
        <n v="5933.52"/>
        <n v="12213.73"/>
        <n v="4500.4799999999996"/>
        <n v="10401.129999999999"/>
        <n v="1456.73"/>
        <n v="10483.74"/>
        <n v="8883.2099999999991"/>
        <n v="9457.52"/>
        <n v="3387.51"/>
        <n v="4025.99"/>
        <n v="10739.64"/>
        <n v="8109.03"/>
        <n v="3945.23"/>
        <n v="10260.11"/>
        <n v="1769.72"/>
        <n v="2987.79"/>
        <n v="14012.369999999999"/>
        <n v="1879.03"/>
        <n v="607.28"/>
        <n v="8837.36"/>
        <n v="2075.17"/>
        <n v="12422.37"/>
        <n v="259.44"/>
        <n v="4472.88"/>
        <n v="7904.9400000000005"/>
        <n v="4077.2"/>
        <n v="9848.2199999999993"/>
        <n v="15729.32"/>
        <n v="226.8"/>
        <n v="6450.04"/>
        <n v="14634.31"/>
        <n v="14397.13"/>
        <n v="3439.14"/>
        <n v="10350.98"/>
        <n v="6813.9299999999994"/>
        <n v="5482.34"/>
        <n v="4114.51"/>
        <n v="9426.9"/>
        <n v="12153.43"/>
        <n v="4093.22"/>
        <n v="11038.54"/>
        <n v="7773.9800000000005"/>
        <n v="10299.91"/>
        <n v="7225.21"/>
        <n v="14537.42"/>
        <n v="2017.65"/>
        <n v="9341.33"/>
        <n v="4368.2299999999996"/>
        <n v="14562.169999999998"/>
        <n v="7598.11"/>
        <n v="13140.71"/>
        <n v="5430.8"/>
        <n v="10884.53"/>
        <n v="3401.25"/>
        <n v="12735.22"/>
        <n v="6854.06"/>
        <n v="11489.01"/>
        <n v="11009.1"/>
        <n v="2713.56"/>
        <n v="14367.76"/>
        <n v="14115.47"/>
        <n v="1735.0700000000002"/>
        <n v="13158.25"/>
        <n v="13658.69"/>
        <n v="10775.08"/>
        <n v="2323.0100000000002"/>
        <n v="15707.27"/>
        <n v="7080.15"/>
        <n v="5944.78"/>
        <n v="3037.2"/>
        <n v="13760.1"/>
        <n v="10140.720000000001"/>
        <n v="7906.4400000000005"/>
        <n v="3524.62"/>
        <n v="16451.59"/>
        <n v="8906.65"/>
        <n v="4071.31"/>
        <n v="701.17"/>
        <n v="5695.57"/>
        <n v="729.6"/>
        <n v="7125.4"/>
        <n v="8458.01"/>
        <n v="10024.779999999999"/>
        <n v="704.74"/>
        <n v="10693.72"/>
        <n v="442.08"/>
        <n v="9700.61"/>
        <n v="3125.74"/>
        <n v="14020.94"/>
        <n v="14333.73"/>
        <n v="9411.66"/>
        <n v="2227.36"/>
        <n v="13132.04"/>
        <n v="4529.18"/>
        <n v="10262.980000000001"/>
        <n v="6148.09"/>
        <n v="5670.66"/>
        <n v="4212.03"/>
        <n v="7074.75"/>
        <n v="5483.55"/>
        <n v="3337.9700000000003"/>
        <n v="3199.92"/>
        <n v="10841.96"/>
        <n v="15587.89"/>
        <n v="2823.6"/>
        <n v="15346.06"/>
        <n v="10914.34"/>
        <n v="12146.83"/>
        <n v="9843"/>
        <n v="13716.949999999999"/>
        <n v="8415.4"/>
        <n v="10800.48"/>
        <n v="668.03"/>
        <n v="13888.25"/>
        <n v="11096.02"/>
        <n v="11799.98"/>
        <n v="3441.61"/>
        <n v="4096.28"/>
        <n v="8139.29"/>
        <n v="11473.5"/>
        <n v="16804.66"/>
        <n v="6551.24"/>
        <n v="16657.150000000001"/>
        <n v="5028.6900000000005"/>
        <n v="12538.95"/>
        <n v="11170.64"/>
        <n v="4841.24"/>
        <n v="1296.2199999999998"/>
        <n v="11798.4"/>
        <n v="11572.96"/>
        <n v="15889.65"/>
        <n v="823.67"/>
        <n v="1806.35"/>
        <n v="3985.51"/>
        <n v="14208.37"/>
        <n v="2516.62"/>
        <n v="8254.4599999999991"/>
        <n v="714.94"/>
        <n v="13762.82"/>
        <n v="8779.42"/>
        <n v="4528.01"/>
        <n v="9689.39"/>
        <n v="690.44"/>
        <n v="12488.900000000001"/>
        <n v="8387.85"/>
        <n v="12598.19"/>
        <n v="1304.26"/>
        <n v="12447.849999999999"/>
        <n v="14664.4"/>
        <n v="6663.2099999999991"/>
        <n v="800.55000000000007"/>
        <n v="7915.58"/>
        <n v="5442.57"/>
        <n v="12009.78"/>
        <n v="1168.6300000000001"/>
        <n v="12934.789999999999"/>
        <n v="3593.3"/>
        <n v="5025.96"/>
        <n v="13884.25"/>
        <n v="13612.53"/>
        <n v="12762.35"/>
        <n v="11229.73"/>
        <n v="1014.72"/>
        <n v="2010.6799999999998"/>
        <n v="8979.33"/>
        <n v="13305.04"/>
        <n v="13442.14"/>
        <n v="11703.939999999999"/>
        <n v="2582.13"/>
        <n v="13547.42"/>
        <n v="11352.77"/>
        <n v="9457.0299999999988"/>
        <n v="15328.18"/>
        <n v="10240.75"/>
        <n v="2733.2400000000002"/>
        <n v="10880.46"/>
        <n v="11040.48"/>
        <n v="7609.83"/>
        <n v="8307.85"/>
        <n v="315.55"/>
        <n v="9059.9599999999991"/>
        <n v="13464.119999999999"/>
        <n v="337.85"/>
        <n v="1181.76"/>
        <n v="10296.99"/>
        <n v="13212.14"/>
        <n v="6894.95"/>
        <n v="9772.9599999999991"/>
        <n v="566.77"/>
        <n v="14561.73"/>
        <n v="1313.8"/>
        <n v="9636.91"/>
        <n v="6682.04"/>
        <n v="1210.58"/>
        <n v="433.48"/>
        <n v="15720.449999999999"/>
        <n v="4960.84"/>
        <n v="13294.92"/>
        <n v="14463.47"/>
        <n v="6304.2999999999993"/>
        <n v="6159.26"/>
        <n v="7456.4299999999994"/>
        <n v="1206.31"/>
        <n v="15340.060000000001"/>
        <n v="418.56"/>
        <n v="12056.72"/>
        <n v="8111.98"/>
        <n v="12087.98"/>
        <n v="15078.96"/>
        <n v="3556.48"/>
        <n v="6776.77"/>
        <n v="13204.38"/>
        <n v="1933.08"/>
        <n v="14282.57"/>
        <n v="10393.25"/>
        <n v="13188.060000000001"/>
        <n v="5899.31"/>
        <n v="6697"/>
        <n v="12409.28"/>
        <n v="6818.08"/>
        <n v="11786.76"/>
        <n v="4946.21"/>
        <n v="11930.63"/>
        <n v="751.04"/>
        <n v="9260.36"/>
        <n v="13471.47"/>
        <n v="8489.83"/>
        <n v="9259.06"/>
        <n v="903.45"/>
        <n v="13129.04"/>
        <n v="6291.57"/>
        <n v="9496.7799999999988"/>
        <n v="14659.78"/>
        <n v="13768.92"/>
        <n v="2078.94"/>
        <n v="14288.439999999999"/>
        <n v="10926.49"/>
        <n v="479.83"/>
        <n v="14850.93"/>
        <n v="9493.42"/>
        <n v="620.27"/>
        <n v="13476.48"/>
        <n v="4007.69"/>
        <n v="2486.6"/>
        <n v="3418.75"/>
        <n v="9385.83"/>
        <n v="11798.15"/>
        <n v="13126.39"/>
        <n v="7695.66"/>
        <n v="3118.52"/>
        <n v="11736.01"/>
        <n v="12057.92"/>
        <n v="4601.08"/>
        <n v="14833.02"/>
        <n v="2524.77"/>
        <n v="986.81"/>
        <n v="7468.98"/>
        <n v="9003.73"/>
        <n v="14943.72"/>
        <n v="12044.259999999998"/>
        <n v="4643.87"/>
        <n v="16635.849999999999"/>
        <n v="7894.39"/>
        <n v="2727.96"/>
        <n v="9905.5299999999988"/>
        <n v="10073.6"/>
        <n v="1678.75"/>
        <n v="8519.5400000000009"/>
        <n v="11635.25"/>
        <n v="7759.63"/>
        <n v="955.33"/>
        <n v="3619.91"/>
        <n v="10905.4"/>
        <n v="14139.28"/>
        <n v="10452.68"/>
        <n v="316.95"/>
        <n v="3305.61"/>
        <n v="4746.96"/>
        <n v="14996.42"/>
        <n v="11019.48"/>
        <n v="15176.01"/>
        <n v="7341.68"/>
        <n v="8200.0300000000007"/>
        <n v="14039.93"/>
        <n v="14755.11"/>
        <n v="7856"/>
        <n v="15074.349999999999"/>
        <n v="13998.699999999999"/>
        <n v="6119.91"/>
        <n v="6934.1399999999994"/>
        <n v="4358.95"/>
        <n v="10905.82"/>
        <n v="1857.57"/>
        <n v="10872.01"/>
        <n v="450.67"/>
        <n v="2963.6699999999996"/>
        <n v="3912.08"/>
      </sharedItems>
    </cacheField>
    <cacheField name="Banco" numFmtId="0">
      <sharedItems count="5">
        <s v="Davivienda"/>
        <s v="Scotiabank"/>
        <s v="Banco de Costa Rica"/>
        <s v="BAC Credomatic"/>
        <s v="Banco Nacional"/>
      </sharedItems>
    </cacheField>
    <cacheField name="Cuenta" numFmtId="0">
      <sharedItems/>
    </cacheField>
    <cacheField name="Forma_Pago" numFmtId="0">
      <sharedItems/>
    </cacheField>
    <cacheField name="Estado" numFmtId="0">
      <sharedItems/>
    </cacheField>
    <cacheField name="Meses" numFmtId="0" databaseField="0">
      <fieldGroup base="0">
        <rangePr groupBy="months" startDate="2024-01-01T00:00:00" endDate="2025-01-01T00:00:00"/>
        <groupItems count="14">
          <s v="&lt;1/1/20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 pivotCacheId="2166555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s v="TX-100000"/>
    <x v="0"/>
    <x v="0"/>
    <x v="0"/>
    <n v="3387"/>
    <n v="0"/>
    <x v="0"/>
    <x v="0"/>
    <s v="Cuenta Corriente"/>
    <s v="Efectivo"/>
    <s v="Pagado"/>
  </r>
  <r>
    <x v="1"/>
    <x v="1"/>
    <s v="TX-100001"/>
    <x v="1"/>
    <x v="1"/>
    <x v="0"/>
    <n v="7605.06"/>
    <n v="988.66"/>
    <x v="1"/>
    <x v="0"/>
    <s v="Cuenta Corriente"/>
    <s v="Efectivo"/>
    <s v="Pagado"/>
  </r>
  <r>
    <x v="2"/>
    <x v="2"/>
    <s v="TX-100002"/>
    <x v="2"/>
    <x v="0"/>
    <x v="1"/>
    <n v="11394.17"/>
    <n v="0"/>
    <x v="2"/>
    <x v="1"/>
    <s v="Cuenta Ahorros"/>
    <s v="Tarjeta Crédito"/>
    <s v="Pagado"/>
  </r>
  <r>
    <x v="3"/>
    <x v="3"/>
    <s v="TX-100003"/>
    <x v="3"/>
    <x v="1"/>
    <x v="2"/>
    <n v="5729.91"/>
    <n v="744.89"/>
    <x v="3"/>
    <x v="2"/>
    <s v="Tarjeta Crédito Empresarial"/>
    <s v="Tarjeta Crédito"/>
    <s v="Pagado"/>
  </r>
  <r>
    <x v="4"/>
    <x v="4"/>
    <s v="TX-100004"/>
    <x v="4"/>
    <x v="1"/>
    <x v="3"/>
    <n v="1228.06"/>
    <n v="159.65"/>
    <x v="4"/>
    <x v="0"/>
    <s v="Cuenta Ahorros"/>
    <s v="Tarjeta Débito"/>
    <s v="Pagado"/>
  </r>
  <r>
    <x v="5"/>
    <x v="0"/>
    <s v="TX-100005"/>
    <x v="5"/>
    <x v="0"/>
    <x v="2"/>
    <n v="12837"/>
    <n v="0"/>
    <x v="5"/>
    <x v="1"/>
    <s v="Cuenta Ahorros"/>
    <s v="Efectivo"/>
    <s v="Pendiente"/>
  </r>
  <r>
    <x v="6"/>
    <x v="5"/>
    <s v="TX-100006"/>
    <x v="3"/>
    <x v="0"/>
    <x v="0"/>
    <n v="10069.120000000001"/>
    <n v="0"/>
    <x v="6"/>
    <x v="3"/>
    <s v="Tarjeta Crédito Empresarial"/>
    <s v="Tarjeta Débito"/>
    <s v="Pagado"/>
  </r>
  <r>
    <x v="7"/>
    <x v="6"/>
    <s v="TX-100007"/>
    <x v="6"/>
    <x v="0"/>
    <x v="4"/>
    <n v="14843.37"/>
    <n v="0"/>
    <x v="7"/>
    <x v="0"/>
    <s v="Cuenta Corriente"/>
    <s v="Tarjeta Crédito"/>
    <s v="Pagado"/>
  </r>
  <r>
    <x v="8"/>
    <x v="7"/>
    <s v="TX-100008"/>
    <x v="0"/>
    <x v="0"/>
    <x v="3"/>
    <n v="4052.73"/>
    <n v="0"/>
    <x v="8"/>
    <x v="0"/>
    <s v="Tarjeta Crédito Empresarial"/>
    <s v="Tarjeta Crédito"/>
    <s v="Pagado"/>
  </r>
  <r>
    <x v="9"/>
    <x v="4"/>
    <s v="TX-100009"/>
    <x v="7"/>
    <x v="0"/>
    <x v="5"/>
    <n v="4009.96"/>
    <n v="0"/>
    <x v="9"/>
    <x v="0"/>
    <s v="Tarjeta Crédito Empresarial"/>
    <s v="Tarjeta Crédito"/>
    <s v="Pendiente"/>
  </r>
  <r>
    <x v="10"/>
    <x v="0"/>
    <s v="TX-100010"/>
    <x v="8"/>
    <x v="1"/>
    <x v="5"/>
    <n v="7667.42"/>
    <n v="996.76"/>
    <x v="10"/>
    <x v="3"/>
    <s v="Cuenta Corriente"/>
    <s v="Tarjeta Débito"/>
    <s v="Pagado"/>
  </r>
  <r>
    <x v="11"/>
    <x v="8"/>
    <s v="TX-100011"/>
    <x v="2"/>
    <x v="1"/>
    <x v="3"/>
    <n v="5755.21"/>
    <n v="748.18"/>
    <x v="11"/>
    <x v="0"/>
    <s v="Cuenta Ahorros"/>
    <s v="Transferencia"/>
    <s v="Pagado"/>
  </r>
  <r>
    <x v="12"/>
    <x v="8"/>
    <s v="TX-100012"/>
    <x v="8"/>
    <x v="1"/>
    <x v="4"/>
    <n v="6549.74"/>
    <n v="851.47"/>
    <x v="12"/>
    <x v="3"/>
    <s v="Tarjeta Crédito Empresarial"/>
    <s v="Tarjeta Crédito"/>
    <s v="Pagado"/>
  </r>
  <r>
    <x v="13"/>
    <x v="2"/>
    <s v="TX-100013"/>
    <x v="9"/>
    <x v="1"/>
    <x v="5"/>
    <n v="5640.01"/>
    <n v="733.2"/>
    <x v="13"/>
    <x v="0"/>
    <s v="Tarjeta Crédito Empresarial"/>
    <s v="Transferencia"/>
    <s v="Pendiente"/>
  </r>
  <r>
    <x v="14"/>
    <x v="9"/>
    <s v="TX-100014"/>
    <x v="10"/>
    <x v="1"/>
    <x v="6"/>
    <n v="13186.89"/>
    <n v="1714.3"/>
    <x v="14"/>
    <x v="4"/>
    <s v="Cuenta Corriente"/>
    <s v="Tarjeta Débito"/>
    <s v="Pagado"/>
  </r>
  <r>
    <x v="15"/>
    <x v="8"/>
    <s v="TX-100015"/>
    <x v="6"/>
    <x v="1"/>
    <x v="5"/>
    <n v="1969.45"/>
    <n v="256.02999999999997"/>
    <x v="15"/>
    <x v="0"/>
    <s v="Cuenta Corriente"/>
    <s v="Tarjeta Crédito"/>
    <s v="Pendiente"/>
  </r>
  <r>
    <x v="16"/>
    <x v="5"/>
    <s v="TX-100016"/>
    <x v="11"/>
    <x v="1"/>
    <x v="4"/>
    <n v="6014.93"/>
    <n v="781.94"/>
    <x v="16"/>
    <x v="2"/>
    <s v="Cuenta Ahorros"/>
    <s v="Efectivo"/>
    <s v="Pagado"/>
  </r>
  <r>
    <x v="17"/>
    <x v="10"/>
    <s v="TX-100017"/>
    <x v="5"/>
    <x v="1"/>
    <x v="6"/>
    <n v="364.46"/>
    <n v="47.38"/>
    <x v="17"/>
    <x v="4"/>
    <s v="Tarjeta Crédito Empresarial"/>
    <s v="Tarjeta Débito"/>
    <s v="Pagado"/>
  </r>
  <r>
    <x v="18"/>
    <x v="9"/>
    <s v="TX-100018"/>
    <x v="0"/>
    <x v="1"/>
    <x v="2"/>
    <n v="13586.03"/>
    <n v="1766.18"/>
    <x v="18"/>
    <x v="3"/>
    <s v="Tarjeta Crédito Empresarial"/>
    <s v="Tarjeta Débito"/>
    <s v="Pendiente"/>
  </r>
  <r>
    <x v="19"/>
    <x v="8"/>
    <s v="TX-100019"/>
    <x v="12"/>
    <x v="1"/>
    <x v="7"/>
    <n v="3682.81"/>
    <n v="478.77"/>
    <x v="19"/>
    <x v="1"/>
    <s v="Cuenta Corriente"/>
    <s v="Transferencia"/>
    <s v="Pagado"/>
  </r>
  <r>
    <x v="20"/>
    <x v="1"/>
    <s v="TX-100020"/>
    <x v="8"/>
    <x v="0"/>
    <x v="3"/>
    <n v="7032.02"/>
    <n v="0"/>
    <x v="20"/>
    <x v="3"/>
    <s v="Cuenta Corriente"/>
    <s v="Efectivo"/>
    <s v="Pendiente"/>
  </r>
  <r>
    <x v="21"/>
    <x v="2"/>
    <s v="TX-100021"/>
    <x v="5"/>
    <x v="1"/>
    <x v="0"/>
    <n v="8067.47"/>
    <n v="1048.77"/>
    <x v="21"/>
    <x v="1"/>
    <s v="Cuenta Corriente"/>
    <s v="Tarjeta Crédito"/>
    <s v="Pendiente"/>
  </r>
  <r>
    <x v="22"/>
    <x v="10"/>
    <s v="TX-100022"/>
    <x v="1"/>
    <x v="0"/>
    <x v="2"/>
    <n v="806.3"/>
    <n v="0"/>
    <x v="22"/>
    <x v="3"/>
    <s v="Cuenta Corriente"/>
    <s v="Tarjeta Débito"/>
    <s v="Pagado"/>
  </r>
  <r>
    <x v="23"/>
    <x v="1"/>
    <s v="TX-100023"/>
    <x v="13"/>
    <x v="0"/>
    <x v="0"/>
    <n v="12976.52"/>
    <n v="0"/>
    <x v="23"/>
    <x v="4"/>
    <s v="Cuenta Ahorros"/>
    <s v="Transferencia"/>
    <s v="Pendiente"/>
  </r>
  <r>
    <x v="24"/>
    <x v="10"/>
    <s v="TX-100024"/>
    <x v="13"/>
    <x v="0"/>
    <x v="3"/>
    <n v="10464.040000000001"/>
    <n v="0"/>
    <x v="24"/>
    <x v="1"/>
    <s v="Cuenta Corriente"/>
    <s v="Tarjeta Débito"/>
    <s v="Pendiente"/>
  </r>
  <r>
    <x v="25"/>
    <x v="10"/>
    <s v="TX-100025"/>
    <x v="0"/>
    <x v="1"/>
    <x v="6"/>
    <n v="904.62"/>
    <n v="117.6"/>
    <x v="25"/>
    <x v="1"/>
    <s v="Tarjeta Crédito Empresarial"/>
    <s v="Tarjeta Débito"/>
    <s v="Pagado"/>
  </r>
  <r>
    <x v="26"/>
    <x v="7"/>
    <s v="TX-100026"/>
    <x v="14"/>
    <x v="1"/>
    <x v="2"/>
    <n v="10144.43"/>
    <n v="1318.78"/>
    <x v="26"/>
    <x v="1"/>
    <s v="Cuenta Corriente"/>
    <s v="Tarjeta Débito"/>
    <s v="Pagado"/>
  </r>
  <r>
    <x v="27"/>
    <x v="9"/>
    <s v="TX-100027"/>
    <x v="15"/>
    <x v="0"/>
    <x v="4"/>
    <n v="3103.68"/>
    <n v="0"/>
    <x v="27"/>
    <x v="4"/>
    <s v="Cuenta Ahorros"/>
    <s v="Efectivo"/>
    <s v="Pagado"/>
  </r>
  <r>
    <x v="28"/>
    <x v="6"/>
    <s v="TX-100028"/>
    <x v="13"/>
    <x v="0"/>
    <x v="2"/>
    <n v="189.27"/>
    <n v="0"/>
    <x v="28"/>
    <x v="0"/>
    <s v="Cuenta Corriente"/>
    <s v="Transferencia"/>
    <s v="Pagado"/>
  </r>
  <r>
    <x v="29"/>
    <x v="3"/>
    <s v="TX-100029"/>
    <x v="16"/>
    <x v="0"/>
    <x v="2"/>
    <n v="13195.09"/>
    <n v="0"/>
    <x v="29"/>
    <x v="2"/>
    <s v="Cuenta Corriente"/>
    <s v="Efectivo"/>
    <s v="Pendiente"/>
  </r>
  <r>
    <x v="30"/>
    <x v="2"/>
    <s v="TX-100030"/>
    <x v="11"/>
    <x v="0"/>
    <x v="2"/>
    <n v="14087"/>
    <n v="0"/>
    <x v="30"/>
    <x v="2"/>
    <s v="Cuenta Corriente"/>
    <s v="Transferencia"/>
    <s v="Pagado"/>
  </r>
  <r>
    <x v="31"/>
    <x v="6"/>
    <s v="TX-100031"/>
    <x v="17"/>
    <x v="1"/>
    <x v="6"/>
    <n v="3093.78"/>
    <n v="402.19"/>
    <x v="31"/>
    <x v="2"/>
    <s v="Tarjeta Crédito Empresarial"/>
    <s v="Efectivo"/>
    <s v="Pendiente"/>
  </r>
  <r>
    <x v="32"/>
    <x v="9"/>
    <s v="TX-100032"/>
    <x v="1"/>
    <x v="0"/>
    <x v="4"/>
    <n v="709.1"/>
    <n v="0"/>
    <x v="32"/>
    <x v="4"/>
    <s v="Tarjeta Crédito Empresarial"/>
    <s v="Tarjeta Crédito"/>
    <s v="Pagado"/>
  </r>
  <r>
    <x v="33"/>
    <x v="5"/>
    <s v="TX-100033"/>
    <x v="4"/>
    <x v="0"/>
    <x v="1"/>
    <n v="1722.51"/>
    <n v="0"/>
    <x v="33"/>
    <x v="4"/>
    <s v="Tarjeta Crédito Empresarial"/>
    <s v="Transferencia"/>
    <s v="Pendiente"/>
  </r>
  <r>
    <x v="34"/>
    <x v="1"/>
    <s v="TX-100034"/>
    <x v="15"/>
    <x v="1"/>
    <x v="1"/>
    <n v="4658.46"/>
    <n v="605.6"/>
    <x v="34"/>
    <x v="2"/>
    <s v="Cuenta Corriente"/>
    <s v="Tarjeta Débito"/>
    <s v="Pagado"/>
  </r>
  <r>
    <x v="35"/>
    <x v="4"/>
    <s v="TX-100035"/>
    <x v="4"/>
    <x v="0"/>
    <x v="5"/>
    <n v="13890.17"/>
    <n v="0"/>
    <x v="35"/>
    <x v="4"/>
    <s v="Cuenta Corriente"/>
    <s v="Efectivo"/>
    <s v="Pagado"/>
  </r>
  <r>
    <x v="6"/>
    <x v="5"/>
    <s v="TX-100036"/>
    <x v="3"/>
    <x v="0"/>
    <x v="0"/>
    <n v="4038.75"/>
    <n v="0"/>
    <x v="36"/>
    <x v="3"/>
    <s v="Cuenta Ahorros"/>
    <s v="Transferencia"/>
    <s v="Pendiente"/>
  </r>
  <r>
    <x v="36"/>
    <x v="7"/>
    <s v="TX-100037"/>
    <x v="5"/>
    <x v="0"/>
    <x v="6"/>
    <n v="4612.6000000000004"/>
    <n v="0"/>
    <x v="37"/>
    <x v="4"/>
    <s v="Cuenta Corriente"/>
    <s v="Tarjeta Débito"/>
    <s v="Pendiente"/>
  </r>
  <r>
    <x v="37"/>
    <x v="11"/>
    <s v="TX-100038"/>
    <x v="17"/>
    <x v="1"/>
    <x v="4"/>
    <n v="5299.63"/>
    <n v="688.95"/>
    <x v="38"/>
    <x v="1"/>
    <s v="Tarjeta Crédito Empresarial"/>
    <s v="Tarjeta Crédito"/>
    <s v="Pagado"/>
  </r>
  <r>
    <x v="38"/>
    <x v="6"/>
    <s v="TX-100039"/>
    <x v="9"/>
    <x v="1"/>
    <x v="4"/>
    <n v="621.95000000000005"/>
    <n v="80.849999999999994"/>
    <x v="39"/>
    <x v="1"/>
    <s v="Cuenta Ahorros"/>
    <s v="Tarjeta Crédito"/>
    <s v="Pendiente"/>
  </r>
  <r>
    <x v="39"/>
    <x v="8"/>
    <s v="TX-100040"/>
    <x v="15"/>
    <x v="1"/>
    <x v="4"/>
    <n v="713.58"/>
    <n v="92.77"/>
    <x v="40"/>
    <x v="3"/>
    <s v="Tarjeta Crédito Empresarial"/>
    <s v="Tarjeta Débito"/>
    <s v="Pendiente"/>
  </r>
  <r>
    <x v="40"/>
    <x v="2"/>
    <s v="TX-100041"/>
    <x v="18"/>
    <x v="0"/>
    <x v="6"/>
    <n v="9967.64"/>
    <n v="0"/>
    <x v="41"/>
    <x v="2"/>
    <s v="Tarjeta Crédito Empresarial"/>
    <s v="Tarjeta Crédito"/>
    <s v="Pendiente"/>
  </r>
  <r>
    <x v="41"/>
    <x v="5"/>
    <s v="TX-100042"/>
    <x v="7"/>
    <x v="0"/>
    <x v="5"/>
    <n v="2918.01"/>
    <n v="0"/>
    <x v="42"/>
    <x v="1"/>
    <s v="Tarjeta Crédito Empresarial"/>
    <s v="Tarjeta Débito"/>
    <s v="Pendiente"/>
  </r>
  <r>
    <x v="42"/>
    <x v="8"/>
    <s v="TX-100043"/>
    <x v="4"/>
    <x v="1"/>
    <x v="4"/>
    <n v="4339.3599999999997"/>
    <n v="564.12"/>
    <x v="43"/>
    <x v="0"/>
    <s v="Tarjeta Crédito Empresarial"/>
    <s v="Tarjeta Crédito"/>
    <s v="Pendiente"/>
  </r>
  <r>
    <x v="43"/>
    <x v="2"/>
    <s v="TX-100044"/>
    <x v="13"/>
    <x v="1"/>
    <x v="7"/>
    <n v="11916.34"/>
    <n v="1549.12"/>
    <x v="44"/>
    <x v="3"/>
    <s v="Cuenta Ahorros"/>
    <s v="Tarjeta Crédito"/>
    <s v="Pagado"/>
  </r>
  <r>
    <x v="44"/>
    <x v="1"/>
    <s v="TX-100045"/>
    <x v="9"/>
    <x v="1"/>
    <x v="0"/>
    <n v="2252.94"/>
    <n v="292.88"/>
    <x v="45"/>
    <x v="4"/>
    <s v="Cuenta Ahorros"/>
    <s v="Transferencia"/>
    <s v="Pendiente"/>
  </r>
  <r>
    <x v="45"/>
    <x v="4"/>
    <s v="TX-100046"/>
    <x v="2"/>
    <x v="1"/>
    <x v="3"/>
    <n v="7440.94"/>
    <n v="967.32"/>
    <x v="46"/>
    <x v="4"/>
    <s v="Tarjeta Crédito Empresarial"/>
    <s v="Transferencia"/>
    <s v="Pagado"/>
  </r>
  <r>
    <x v="46"/>
    <x v="4"/>
    <s v="TX-100047"/>
    <x v="12"/>
    <x v="1"/>
    <x v="7"/>
    <n v="800.76"/>
    <n v="104.1"/>
    <x v="47"/>
    <x v="3"/>
    <s v="Cuenta Ahorros"/>
    <s v="Tarjeta Débito"/>
    <s v="Pendiente"/>
  </r>
  <r>
    <x v="15"/>
    <x v="8"/>
    <s v="TX-100048"/>
    <x v="13"/>
    <x v="0"/>
    <x v="7"/>
    <n v="13463.26"/>
    <n v="0"/>
    <x v="48"/>
    <x v="1"/>
    <s v="Cuenta Ahorros"/>
    <s v="Tarjeta Débito"/>
    <s v="Pendiente"/>
  </r>
  <r>
    <x v="47"/>
    <x v="4"/>
    <s v="TX-100049"/>
    <x v="12"/>
    <x v="0"/>
    <x v="7"/>
    <n v="1208.3800000000001"/>
    <n v="0"/>
    <x v="49"/>
    <x v="4"/>
    <s v="Cuenta Ahorros"/>
    <s v="Tarjeta Crédito"/>
    <s v="Pendiente"/>
  </r>
  <r>
    <x v="48"/>
    <x v="2"/>
    <s v="TX-100050"/>
    <x v="14"/>
    <x v="1"/>
    <x v="0"/>
    <n v="5776.38"/>
    <n v="750.93"/>
    <x v="50"/>
    <x v="4"/>
    <s v="Cuenta Corriente"/>
    <s v="Efectivo"/>
    <s v="Pendiente"/>
  </r>
  <r>
    <x v="49"/>
    <x v="8"/>
    <s v="TX-100051"/>
    <x v="4"/>
    <x v="0"/>
    <x v="3"/>
    <n v="980.87"/>
    <n v="0"/>
    <x v="51"/>
    <x v="1"/>
    <s v="Tarjeta Crédito Empresarial"/>
    <s v="Transferencia"/>
    <s v="Pendiente"/>
  </r>
  <r>
    <x v="50"/>
    <x v="8"/>
    <s v="TX-100052"/>
    <x v="10"/>
    <x v="0"/>
    <x v="4"/>
    <n v="11314.45"/>
    <n v="0"/>
    <x v="52"/>
    <x v="0"/>
    <s v="Tarjeta Crédito Empresarial"/>
    <s v="Tarjeta Débito"/>
    <s v="Pendiente"/>
  </r>
  <r>
    <x v="51"/>
    <x v="9"/>
    <s v="TX-100053"/>
    <x v="9"/>
    <x v="0"/>
    <x v="7"/>
    <n v="483.92"/>
    <n v="0"/>
    <x v="53"/>
    <x v="1"/>
    <s v="Tarjeta Crédito Empresarial"/>
    <s v="Tarjeta Débito"/>
    <s v="Pendiente"/>
  </r>
  <r>
    <x v="52"/>
    <x v="5"/>
    <s v="TX-100054"/>
    <x v="19"/>
    <x v="1"/>
    <x v="3"/>
    <n v="8898.7999999999993"/>
    <n v="1156.8399999999999"/>
    <x v="54"/>
    <x v="3"/>
    <s v="Cuenta Corriente"/>
    <s v="Efectivo"/>
    <s v="Pagado"/>
  </r>
  <r>
    <x v="8"/>
    <x v="7"/>
    <s v="TX-100055"/>
    <x v="16"/>
    <x v="1"/>
    <x v="4"/>
    <n v="5717.6"/>
    <n v="743.29"/>
    <x v="55"/>
    <x v="1"/>
    <s v="Cuenta Ahorros"/>
    <s v="Tarjeta Crédito"/>
    <s v="Pendiente"/>
  </r>
  <r>
    <x v="22"/>
    <x v="10"/>
    <s v="TX-100056"/>
    <x v="7"/>
    <x v="0"/>
    <x v="2"/>
    <n v="7081.09"/>
    <n v="0"/>
    <x v="56"/>
    <x v="3"/>
    <s v="Cuenta Ahorros"/>
    <s v="Tarjeta Débito"/>
    <s v="Pagado"/>
  </r>
  <r>
    <x v="28"/>
    <x v="6"/>
    <s v="TX-100057"/>
    <x v="0"/>
    <x v="1"/>
    <x v="0"/>
    <n v="12596.47"/>
    <n v="1637.54"/>
    <x v="57"/>
    <x v="4"/>
    <s v="Cuenta Corriente"/>
    <s v="Tarjeta Débito"/>
    <s v="Pendiente"/>
  </r>
  <r>
    <x v="53"/>
    <x v="3"/>
    <s v="TX-100058"/>
    <x v="19"/>
    <x v="1"/>
    <x v="7"/>
    <n v="10507"/>
    <n v="1365.91"/>
    <x v="58"/>
    <x v="4"/>
    <s v="Tarjeta Crédito Empresarial"/>
    <s v="Transferencia"/>
    <s v="Pagado"/>
  </r>
  <r>
    <x v="54"/>
    <x v="3"/>
    <s v="TX-100059"/>
    <x v="18"/>
    <x v="1"/>
    <x v="4"/>
    <n v="8658.16"/>
    <n v="1125.56"/>
    <x v="59"/>
    <x v="1"/>
    <s v="Tarjeta Crédito Empresarial"/>
    <s v="Tarjeta Débito"/>
    <s v="Pagado"/>
  </r>
  <r>
    <x v="55"/>
    <x v="10"/>
    <s v="TX-100060"/>
    <x v="1"/>
    <x v="0"/>
    <x v="2"/>
    <n v="11953.6"/>
    <n v="0"/>
    <x v="60"/>
    <x v="3"/>
    <s v="Cuenta Ahorros"/>
    <s v="Efectivo"/>
    <s v="Pendiente"/>
  </r>
  <r>
    <x v="56"/>
    <x v="11"/>
    <s v="TX-100061"/>
    <x v="11"/>
    <x v="0"/>
    <x v="1"/>
    <n v="12751.16"/>
    <n v="0"/>
    <x v="61"/>
    <x v="3"/>
    <s v="Cuenta Ahorros"/>
    <s v="Tarjeta Crédito"/>
    <s v="Pendiente"/>
  </r>
  <r>
    <x v="57"/>
    <x v="10"/>
    <s v="TX-100062"/>
    <x v="15"/>
    <x v="1"/>
    <x v="4"/>
    <n v="9257.89"/>
    <n v="1203.53"/>
    <x v="62"/>
    <x v="1"/>
    <s v="Cuenta Ahorros"/>
    <s v="Efectivo"/>
    <s v="Pendiente"/>
  </r>
  <r>
    <x v="45"/>
    <x v="4"/>
    <s v="TX-100063"/>
    <x v="12"/>
    <x v="1"/>
    <x v="4"/>
    <n v="13230.39"/>
    <n v="1719.95"/>
    <x v="63"/>
    <x v="1"/>
    <s v="Tarjeta Crédito Empresarial"/>
    <s v="Efectivo"/>
    <s v="Pendiente"/>
  </r>
  <r>
    <x v="58"/>
    <x v="9"/>
    <s v="TX-100064"/>
    <x v="6"/>
    <x v="0"/>
    <x v="5"/>
    <n v="7338.87"/>
    <n v="0"/>
    <x v="64"/>
    <x v="2"/>
    <s v="Cuenta Ahorros"/>
    <s v="Tarjeta Crédito"/>
    <s v="Pendiente"/>
  </r>
  <r>
    <x v="59"/>
    <x v="3"/>
    <s v="TX-100065"/>
    <x v="11"/>
    <x v="1"/>
    <x v="2"/>
    <n v="3658.27"/>
    <n v="475.58"/>
    <x v="65"/>
    <x v="1"/>
    <s v="Tarjeta Crédito Empresarial"/>
    <s v="Tarjeta Débito"/>
    <s v="Pendiente"/>
  </r>
  <r>
    <x v="60"/>
    <x v="3"/>
    <s v="TX-100066"/>
    <x v="13"/>
    <x v="1"/>
    <x v="2"/>
    <n v="4448.82"/>
    <n v="578.35"/>
    <x v="66"/>
    <x v="4"/>
    <s v="Cuenta Ahorros"/>
    <s v="Tarjeta Crédito"/>
    <s v="Pendiente"/>
  </r>
  <r>
    <x v="61"/>
    <x v="4"/>
    <s v="TX-100067"/>
    <x v="7"/>
    <x v="0"/>
    <x v="6"/>
    <n v="10557.68"/>
    <n v="0"/>
    <x v="67"/>
    <x v="2"/>
    <s v="Cuenta Ahorros"/>
    <s v="Tarjeta Débito"/>
    <s v="Pagado"/>
  </r>
  <r>
    <x v="62"/>
    <x v="11"/>
    <s v="TX-100068"/>
    <x v="3"/>
    <x v="1"/>
    <x v="5"/>
    <n v="2913.54"/>
    <n v="378.76"/>
    <x v="68"/>
    <x v="2"/>
    <s v="Tarjeta Crédito Empresarial"/>
    <s v="Tarjeta Crédito"/>
    <s v="Pagado"/>
  </r>
  <r>
    <x v="63"/>
    <x v="1"/>
    <s v="TX-100069"/>
    <x v="9"/>
    <x v="1"/>
    <x v="6"/>
    <n v="2732.65"/>
    <n v="355.24"/>
    <x v="69"/>
    <x v="0"/>
    <s v="Cuenta Corriente"/>
    <s v="Tarjeta Crédito"/>
    <s v="Pagado"/>
  </r>
  <r>
    <x v="64"/>
    <x v="11"/>
    <s v="TX-100070"/>
    <x v="11"/>
    <x v="0"/>
    <x v="5"/>
    <n v="9586.15"/>
    <n v="0"/>
    <x v="70"/>
    <x v="3"/>
    <s v="Cuenta Corriente"/>
    <s v="Tarjeta Crédito"/>
    <s v="Pendiente"/>
  </r>
  <r>
    <x v="65"/>
    <x v="4"/>
    <s v="TX-100071"/>
    <x v="13"/>
    <x v="0"/>
    <x v="5"/>
    <n v="14484.19"/>
    <n v="0"/>
    <x v="71"/>
    <x v="1"/>
    <s v="Cuenta Corriente"/>
    <s v="Transferencia"/>
    <s v="Pendiente"/>
  </r>
  <r>
    <x v="66"/>
    <x v="10"/>
    <s v="TX-100072"/>
    <x v="18"/>
    <x v="1"/>
    <x v="5"/>
    <n v="2280.5"/>
    <n v="296.47000000000003"/>
    <x v="72"/>
    <x v="2"/>
    <s v="Cuenta Corriente"/>
    <s v="Tarjeta Débito"/>
    <s v="Pagado"/>
  </r>
  <r>
    <x v="67"/>
    <x v="8"/>
    <s v="TX-100073"/>
    <x v="2"/>
    <x v="1"/>
    <x v="3"/>
    <n v="6785.19"/>
    <n v="882.07"/>
    <x v="73"/>
    <x v="2"/>
    <s v="Tarjeta Crédito Empresarial"/>
    <s v="Efectivo"/>
    <s v="Pendiente"/>
  </r>
  <r>
    <x v="68"/>
    <x v="4"/>
    <s v="TX-100074"/>
    <x v="19"/>
    <x v="1"/>
    <x v="0"/>
    <n v="9401.4500000000007"/>
    <n v="1222.19"/>
    <x v="74"/>
    <x v="3"/>
    <s v="Cuenta Corriente"/>
    <s v="Tarjeta Débito"/>
    <s v="Pagado"/>
  </r>
  <r>
    <x v="69"/>
    <x v="10"/>
    <s v="TX-100075"/>
    <x v="14"/>
    <x v="1"/>
    <x v="3"/>
    <n v="6785.03"/>
    <n v="882.05"/>
    <x v="75"/>
    <x v="1"/>
    <s v="Cuenta Ahorros"/>
    <s v="Transferencia"/>
    <s v="Pagado"/>
  </r>
  <r>
    <x v="68"/>
    <x v="4"/>
    <s v="TX-100076"/>
    <x v="17"/>
    <x v="0"/>
    <x v="2"/>
    <n v="10326.4"/>
    <n v="0"/>
    <x v="76"/>
    <x v="0"/>
    <s v="Tarjeta Crédito Empresarial"/>
    <s v="Tarjeta Débito"/>
    <s v="Pendiente"/>
  </r>
  <r>
    <x v="70"/>
    <x v="2"/>
    <s v="TX-100077"/>
    <x v="11"/>
    <x v="1"/>
    <x v="5"/>
    <n v="13630.75"/>
    <n v="1772"/>
    <x v="77"/>
    <x v="3"/>
    <s v="Cuenta Corriente"/>
    <s v="Tarjeta Débito"/>
    <s v="Pendiente"/>
  </r>
  <r>
    <x v="71"/>
    <x v="5"/>
    <s v="TX-100078"/>
    <x v="13"/>
    <x v="1"/>
    <x v="7"/>
    <n v="10345.74"/>
    <n v="1344.95"/>
    <x v="78"/>
    <x v="1"/>
    <s v="Cuenta Ahorros"/>
    <s v="Efectivo"/>
    <s v="Pendiente"/>
  </r>
  <r>
    <x v="72"/>
    <x v="6"/>
    <s v="TX-100079"/>
    <x v="19"/>
    <x v="1"/>
    <x v="3"/>
    <n v="11031.28"/>
    <n v="1434.07"/>
    <x v="79"/>
    <x v="2"/>
    <s v="Cuenta Corriente"/>
    <s v="Transferencia"/>
    <s v="Pagado"/>
  </r>
  <r>
    <x v="73"/>
    <x v="6"/>
    <s v="TX-100080"/>
    <x v="9"/>
    <x v="1"/>
    <x v="5"/>
    <n v="7083.99"/>
    <n v="920.92"/>
    <x v="80"/>
    <x v="1"/>
    <s v="Cuenta Ahorros"/>
    <s v="Tarjeta Débito"/>
    <s v="Pendiente"/>
  </r>
  <r>
    <x v="74"/>
    <x v="9"/>
    <s v="TX-100081"/>
    <x v="18"/>
    <x v="0"/>
    <x v="6"/>
    <n v="6154.8"/>
    <n v="0"/>
    <x v="81"/>
    <x v="3"/>
    <s v="Cuenta Corriente"/>
    <s v="Tarjeta Crédito"/>
    <s v="Pendiente"/>
  </r>
  <r>
    <x v="75"/>
    <x v="9"/>
    <s v="TX-100082"/>
    <x v="17"/>
    <x v="0"/>
    <x v="1"/>
    <n v="6849.65"/>
    <n v="0"/>
    <x v="82"/>
    <x v="2"/>
    <s v="Cuenta Ahorros"/>
    <s v="Transferencia"/>
    <s v="Pendiente"/>
  </r>
  <r>
    <x v="76"/>
    <x v="11"/>
    <s v="TX-100083"/>
    <x v="11"/>
    <x v="0"/>
    <x v="3"/>
    <n v="860.35"/>
    <n v="0"/>
    <x v="83"/>
    <x v="2"/>
    <s v="Tarjeta Crédito Empresarial"/>
    <s v="Efectivo"/>
    <s v="Pendiente"/>
  </r>
  <r>
    <x v="77"/>
    <x v="8"/>
    <s v="TX-100084"/>
    <x v="5"/>
    <x v="0"/>
    <x v="5"/>
    <n v="13918.71"/>
    <n v="0"/>
    <x v="84"/>
    <x v="1"/>
    <s v="Cuenta Corriente"/>
    <s v="Transferencia"/>
    <s v="Pagado"/>
  </r>
  <r>
    <x v="78"/>
    <x v="0"/>
    <s v="TX-100085"/>
    <x v="9"/>
    <x v="1"/>
    <x v="3"/>
    <n v="1443.48"/>
    <n v="187.65"/>
    <x v="85"/>
    <x v="1"/>
    <s v="Cuenta Corriente"/>
    <s v="Tarjeta Débito"/>
    <s v="Pendiente"/>
  </r>
  <r>
    <x v="79"/>
    <x v="8"/>
    <s v="TX-100086"/>
    <x v="4"/>
    <x v="0"/>
    <x v="3"/>
    <n v="12529.12"/>
    <n v="0"/>
    <x v="86"/>
    <x v="4"/>
    <s v="Cuenta Ahorros"/>
    <s v="Tarjeta Débito"/>
    <s v="Pendiente"/>
  </r>
  <r>
    <x v="80"/>
    <x v="3"/>
    <s v="TX-100087"/>
    <x v="19"/>
    <x v="1"/>
    <x v="2"/>
    <n v="4179.8999999999996"/>
    <n v="543.39"/>
    <x v="87"/>
    <x v="2"/>
    <s v="Tarjeta Crédito Empresarial"/>
    <s v="Tarjeta Crédito"/>
    <s v="Pagado"/>
  </r>
  <r>
    <x v="62"/>
    <x v="11"/>
    <s v="TX-100088"/>
    <x v="17"/>
    <x v="0"/>
    <x v="5"/>
    <n v="6725.88"/>
    <n v="0"/>
    <x v="88"/>
    <x v="2"/>
    <s v="Cuenta Ahorros"/>
    <s v="Efectivo"/>
    <s v="Pendiente"/>
  </r>
  <r>
    <x v="81"/>
    <x v="3"/>
    <s v="TX-100089"/>
    <x v="12"/>
    <x v="1"/>
    <x v="3"/>
    <n v="3541.76"/>
    <n v="460.43"/>
    <x v="89"/>
    <x v="3"/>
    <s v="Cuenta Ahorros"/>
    <s v="Efectivo"/>
    <s v="Pendiente"/>
  </r>
  <r>
    <x v="82"/>
    <x v="10"/>
    <s v="TX-100090"/>
    <x v="16"/>
    <x v="0"/>
    <x v="1"/>
    <n v="1937.38"/>
    <n v="0"/>
    <x v="90"/>
    <x v="2"/>
    <s v="Cuenta Corriente"/>
    <s v="Efectivo"/>
    <s v="Pagado"/>
  </r>
  <r>
    <x v="83"/>
    <x v="2"/>
    <s v="TX-100091"/>
    <x v="10"/>
    <x v="1"/>
    <x v="3"/>
    <n v="13070.45"/>
    <n v="1699.16"/>
    <x v="91"/>
    <x v="3"/>
    <s v="Cuenta Ahorros"/>
    <s v="Tarjeta Crédito"/>
    <s v="Pendiente"/>
  </r>
  <r>
    <x v="84"/>
    <x v="6"/>
    <s v="TX-100092"/>
    <x v="18"/>
    <x v="0"/>
    <x v="3"/>
    <n v="14314.39"/>
    <n v="0"/>
    <x v="92"/>
    <x v="1"/>
    <s v="Tarjeta Crédito Empresarial"/>
    <s v="Transferencia"/>
    <s v="Pagado"/>
  </r>
  <r>
    <x v="85"/>
    <x v="0"/>
    <s v="TX-100093"/>
    <x v="9"/>
    <x v="1"/>
    <x v="2"/>
    <n v="6537.87"/>
    <n v="849.92"/>
    <x v="93"/>
    <x v="3"/>
    <s v="Cuenta Ahorros"/>
    <s v="Tarjeta Débito"/>
    <s v="Pendiente"/>
  </r>
  <r>
    <x v="86"/>
    <x v="3"/>
    <s v="TX-100094"/>
    <x v="0"/>
    <x v="0"/>
    <x v="1"/>
    <n v="4435.8500000000004"/>
    <n v="0"/>
    <x v="94"/>
    <x v="1"/>
    <s v="Cuenta Corriente"/>
    <s v="Tarjeta Débito"/>
    <s v="Pendiente"/>
  </r>
  <r>
    <x v="87"/>
    <x v="3"/>
    <s v="TX-100095"/>
    <x v="14"/>
    <x v="1"/>
    <x v="2"/>
    <n v="9161.9"/>
    <n v="1191.05"/>
    <x v="95"/>
    <x v="0"/>
    <s v="Tarjeta Crédito Empresarial"/>
    <s v="Tarjeta Débito"/>
    <s v="Pendiente"/>
  </r>
  <r>
    <x v="88"/>
    <x v="5"/>
    <s v="TX-100096"/>
    <x v="5"/>
    <x v="0"/>
    <x v="4"/>
    <n v="6920.58"/>
    <n v="0"/>
    <x v="96"/>
    <x v="3"/>
    <s v="Cuenta Ahorros"/>
    <s v="Tarjeta Crédito"/>
    <s v="Pagado"/>
  </r>
  <r>
    <x v="89"/>
    <x v="8"/>
    <s v="TX-100097"/>
    <x v="6"/>
    <x v="0"/>
    <x v="4"/>
    <n v="9602.1299999999992"/>
    <n v="0"/>
    <x v="97"/>
    <x v="2"/>
    <s v="Cuenta Ahorros"/>
    <s v="Tarjeta Crédito"/>
    <s v="Pagado"/>
  </r>
  <r>
    <x v="3"/>
    <x v="3"/>
    <s v="TX-100098"/>
    <x v="13"/>
    <x v="1"/>
    <x v="0"/>
    <n v="5751.4"/>
    <n v="747.68"/>
    <x v="98"/>
    <x v="0"/>
    <s v="Cuenta Ahorros"/>
    <s v="Tarjeta Crédito"/>
    <s v="Pagado"/>
  </r>
  <r>
    <x v="90"/>
    <x v="11"/>
    <s v="TX-100099"/>
    <x v="17"/>
    <x v="1"/>
    <x v="1"/>
    <n v="13663.72"/>
    <n v="1776.28"/>
    <x v="99"/>
    <x v="2"/>
    <s v="Cuenta Corriente"/>
    <s v="Tarjeta Crédito"/>
    <s v="Pagado"/>
  </r>
  <r>
    <x v="91"/>
    <x v="6"/>
    <s v="TX-100100"/>
    <x v="19"/>
    <x v="0"/>
    <x v="5"/>
    <n v="9442.31"/>
    <n v="0"/>
    <x v="100"/>
    <x v="3"/>
    <s v="Cuenta Ahorros"/>
    <s v="Efectivo"/>
    <s v="Pagado"/>
  </r>
  <r>
    <x v="80"/>
    <x v="3"/>
    <s v="TX-100101"/>
    <x v="16"/>
    <x v="1"/>
    <x v="4"/>
    <n v="4934.45"/>
    <n v="641.48"/>
    <x v="101"/>
    <x v="4"/>
    <s v="Cuenta Corriente"/>
    <s v="Tarjeta Débito"/>
    <s v="Pendiente"/>
  </r>
  <r>
    <x v="92"/>
    <x v="4"/>
    <s v="TX-100102"/>
    <x v="16"/>
    <x v="0"/>
    <x v="7"/>
    <n v="14512.39"/>
    <n v="0"/>
    <x v="102"/>
    <x v="2"/>
    <s v="Cuenta Corriente"/>
    <s v="Efectivo"/>
    <s v="Pagado"/>
  </r>
  <r>
    <x v="93"/>
    <x v="3"/>
    <s v="TX-100103"/>
    <x v="5"/>
    <x v="0"/>
    <x v="6"/>
    <n v="1400.03"/>
    <n v="0"/>
    <x v="103"/>
    <x v="3"/>
    <s v="Cuenta Ahorros"/>
    <s v="Transferencia"/>
    <s v="Pendiente"/>
  </r>
  <r>
    <x v="94"/>
    <x v="7"/>
    <s v="TX-100104"/>
    <x v="17"/>
    <x v="0"/>
    <x v="6"/>
    <n v="1669.77"/>
    <n v="0"/>
    <x v="104"/>
    <x v="1"/>
    <s v="Cuenta Corriente"/>
    <s v="Tarjeta Crédito"/>
    <s v="Pagado"/>
  </r>
  <r>
    <x v="44"/>
    <x v="1"/>
    <s v="TX-100105"/>
    <x v="6"/>
    <x v="0"/>
    <x v="3"/>
    <n v="1794.31"/>
    <n v="0"/>
    <x v="105"/>
    <x v="3"/>
    <s v="Cuenta Ahorros"/>
    <s v="Efectivo"/>
    <s v="Pagado"/>
  </r>
  <r>
    <x v="16"/>
    <x v="5"/>
    <s v="TX-100106"/>
    <x v="5"/>
    <x v="1"/>
    <x v="3"/>
    <n v="6831.97"/>
    <n v="888.16"/>
    <x v="106"/>
    <x v="0"/>
    <s v="Cuenta Ahorros"/>
    <s v="Tarjeta Débito"/>
    <s v="Pendiente"/>
  </r>
  <r>
    <x v="29"/>
    <x v="3"/>
    <s v="TX-100107"/>
    <x v="6"/>
    <x v="0"/>
    <x v="4"/>
    <n v="539.11"/>
    <n v="0"/>
    <x v="107"/>
    <x v="4"/>
    <s v="Cuenta Ahorros"/>
    <s v="Efectivo"/>
    <s v="Pagado"/>
  </r>
  <r>
    <x v="95"/>
    <x v="4"/>
    <s v="TX-100108"/>
    <x v="18"/>
    <x v="0"/>
    <x v="6"/>
    <n v="955.22"/>
    <n v="0"/>
    <x v="108"/>
    <x v="4"/>
    <s v="Cuenta Corriente"/>
    <s v="Efectivo"/>
    <s v="Pagado"/>
  </r>
  <r>
    <x v="45"/>
    <x v="4"/>
    <s v="TX-100109"/>
    <x v="19"/>
    <x v="1"/>
    <x v="1"/>
    <n v="11812.58"/>
    <n v="1535.64"/>
    <x v="109"/>
    <x v="4"/>
    <s v="Tarjeta Crédito Empresarial"/>
    <s v="Tarjeta Débito"/>
    <s v="Pagado"/>
  </r>
  <r>
    <x v="96"/>
    <x v="2"/>
    <s v="TX-100110"/>
    <x v="19"/>
    <x v="1"/>
    <x v="0"/>
    <n v="4961.97"/>
    <n v="645.05999999999995"/>
    <x v="110"/>
    <x v="0"/>
    <s v="Cuenta Corriente"/>
    <s v="Tarjeta Crédito"/>
    <s v="Pagado"/>
  </r>
  <r>
    <x v="1"/>
    <x v="1"/>
    <s v="TX-100111"/>
    <x v="11"/>
    <x v="0"/>
    <x v="5"/>
    <n v="1693.4"/>
    <n v="0"/>
    <x v="111"/>
    <x v="4"/>
    <s v="Cuenta Corriente"/>
    <s v="Tarjeta Crédito"/>
    <s v="Pagado"/>
  </r>
  <r>
    <x v="49"/>
    <x v="8"/>
    <s v="TX-100112"/>
    <x v="10"/>
    <x v="1"/>
    <x v="4"/>
    <n v="833.37"/>
    <n v="108.34"/>
    <x v="112"/>
    <x v="0"/>
    <s v="Cuenta Corriente"/>
    <s v="Transferencia"/>
    <s v="Pendiente"/>
  </r>
  <r>
    <x v="97"/>
    <x v="6"/>
    <s v="TX-100113"/>
    <x v="8"/>
    <x v="1"/>
    <x v="7"/>
    <n v="7582.39"/>
    <n v="985.71"/>
    <x v="113"/>
    <x v="3"/>
    <s v="Tarjeta Crédito Empresarial"/>
    <s v="Tarjeta Crédito"/>
    <s v="Pendiente"/>
  </r>
  <r>
    <x v="98"/>
    <x v="0"/>
    <s v="TX-100114"/>
    <x v="0"/>
    <x v="0"/>
    <x v="3"/>
    <n v="6422.79"/>
    <n v="0"/>
    <x v="114"/>
    <x v="1"/>
    <s v="Tarjeta Crédito Empresarial"/>
    <s v="Efectivo"/>
    <s v="Pagado"/>
  </r>
  <r>
    <x v="99"/>
    <x v="6"/>
    <s v="TX-100115"/>
    <x v="3"/>
    <x v="1"/>
    <x v="2"/>
    <n v="1936.56"/>
    <n v="251.75"/>
    <x v="115"/>
    <x v="0"/>
    <s v="Tarjeta Crédito Empresarial"/>
    <s v="Tarjeta Crédito"/>
    <s v="Pendiente"/>
  </r>
  <r>
    <x v="78"/>
    <x v="0"/>
    <s v="TX-100116"/>
    <x v="13"/>
    <x v="0"/>
    <x v="2"/>
    <n v="11906.79"/>
    <n v="0"/>
    <x v="116"/>
    <x v="0"/>
    <s v="Tarjeta Crédito Empresarial"/>
    <s v="Tarjeta Débito"/>
    <s v="Pendiente"/>
  </r>
  <r>
    <x v="100"/>
    <x v="3"/>
    <s v="TX-100117"/>
    <x v="12"/>
    <x v="0"/>
    <x v="6"/>
    <n v="12419.92"/>
    <n v="0"/>
    <x v="117"/>
    <x v="1"/>
    <s v="Tarjeta Crédito Empresarial"/>
    <s v="Transferencia"/>
    <s v="Pendiente"/>
  </r>
  <r>
    <x v="101"/>
    <x v="5"/>
    <s v="TX-100118"/>
    <x v="8"/>
    <x v="0"/>
    <x v="6"/>
    <n v="14306.21"/>
    <n v="0"/>
    <x v="118"/>
    <x v="1"/>
    <s v="Cuenta Corriente"/>
    <s v="Transferencia"/>
    <s v="Pagado"/>
  </r>
  <r>
    <x v="24"/>
    <x v="10"/>
    <s v="TX-100119"/>
    <x v="15"/>
    <x v="1"/>
    <x v="6"/>
    <n v="12185.95"/>
    <n v="1584.17"/>
    <x v="119"/>
    <x v="3"/>
    <s v="Tarjeta Crédito Empresarial"/>
    <s v="Tarjeta Crédito"/>
    <s v="Pagado"/>
  </r>
  <r>
    <x v="102"/>
    <x v="6"/>
    <s v="TX-100120"/>
    <x v="8"/>
    <x v="0"/>
    <x v="1"/>
    <n v="14527.56"/>
    <n v="0"/>
    <x v="120"/>
    <x v="2"/>
    <s v="Cuenta Ahorros"/>
    <s v="Transferencia"/>
    <s v="Pagado"/>
  </r>
  <r>
    <x v="24"/>
    <x v="10"/>
    <s v="TX-100121"/>
    <x v="6"/>
    <x v="1"/>
    <x v="2"/>
    <n v="5284.2"/>
    <n v="686.95"/>
    <x v="121"/>
    <x v="2"/>
    <s v="Cuenta Corriente"/>
    <s v="Tarjeta Crédito"/>
    <s v="Pagado"/>
  </r>
  <r>
    <x v="103"/>
    <x v="4"/>
    <s v="TX-100122"/>
    <x v="4"/>
    <x v="1"/>
    <x v="4"/>
    <n v="482.85"/>
    <n v="62.77"/>
    <x v="122"/>
    <x v="2"/>
    <s v="Cuenta Ahorros"/>
    <s v="Tarjeta Crédito"/>
    <s v="Pagado"/>
  </r>
  <r>
    <x v="31"/>
    <x v="6"/>
    <s v="TX-100123"/>
    <x v="14"/>
    <x v="0"/>
    <x v="2"/>
    <n v="2171.0300000000002"/>
    <n v="0"/>
    <x v="123"/>
    <x v="3"/>
    <s v="Cuenta Corriente"/>
    <s v="Tarjeta Débito"/>
    <s v="Pendiente"/>
  </r>
  <r>
    <x v="104"/>
    <x v="9"/>
    <s v="TX-100124"/>
    <x v="13"/>
    <x v="0"/>
    <x v="5"/>
    <n v="5582.29"/>
    <n v="0"/>
    <x v="124"/>
    <x v="0"/>
    <s v="Tarjeta Crédito Empresarial"/>
    <s v="Transferencia"/>
    <s v="Pagado"/>
  </r>
  <r>
    <x v="105"/>
    <x v="5"/>
    <s v="TX-100125"/>
    <x v="14"/>
    <x v="1"/>
    <x v="2"/>
    <n v="4117.9399999999996"/>
    <n v="535.33000000000004"/>
    <x v="125"/>
    <x v="1"/>
    <s v="Cuenta Ahorros"/>
    <s v="Efectivo"/>
    <s v="Pendiente"/>
  </r>
  <r>
    <x v="106"/>
    <x v="4"/>
    <s v="TX-100126"/>
    <x v="12"/>
    <x v="1"/>
    <x v="6"/>
    <n v="6477.21"/>
    <n v="842.04"/>
    <x v="126"/>
    <x v="0"/>
    <s v="Cuenta Ahorros"/>
    <s v="Tarjeta Crédito"/>
    <s v="Pagado"/>
  </r>
  <r>
    <x v="8"/>
    <x v="7"/>
    <s v="TX-100127"/>
    <x v="15"/>
    <x v="1"/>
    <x v="1"/>
    <n v="3106.13"/>
    <n v="403.8"/>
    <x v="127"/>
    <x v="4"/>
    <s v="Cuenta Ahorros"/>
    <s v="Tarjeta Crédito"/>
    <s v="Pendiente"/>
  </r>
  <r>
    <x v="107"/>
    <x v="3"/>
    <s v="TX-100128"/>
    <x v="0"/>
    <x v="0"/>
    <x v="3"/>
    <n v="2676.64"/>
    <n v="0"/>
    <x v="128"/>
    <x v="0"/>
    <s v="Tarjeta Crédito Empresarial"/>
    <s v="Tarjeta Débito"/>
    <s v="Pendiente"/>
  </r>
  <r>
    <x v="108"/>
    <x v="0"/>
    <s v="TX-100129"/>
    <x v="15"/>
    <x v="1"/>
    <x v="3"/>
    <n v="330.19"/>
    <n v="42.92"/>
    <x v="129"/>
    <x v="2"/>
    <s v="Tarjeta Crédito Empresarial"/>
    <s v="Efectivo"/>
    <s v="Pendiente"/>
  </r>
  <r>
    <x v="104"/>
    <x v="9"/>
    <s v="TX-100130"/>
    <x v="17"/>
    <x v="1"/>
    <x v="3"/>
    <n v="361.81"/>
    <n v="47.04"/>
    <x v="130"/>
    <x v="4"/>
    <s v="Tarjeta Crédito Empresarial"/>
    <s v="Efectivo"/>
    <s v="Pendiente"/>
  </r>
  <r>
    <x v="109"/>
    <x v="3"/>
    <s v="TX-100131"/>
    <x v="15"/>
    <x v="1"/>
    <x v="0"/>
    <n v="6563.36"/>
    <n v="853.24"/>
    <x v="131"/>
    <x v="0"/>
    <s v="Cuenta Corriente"/>
    <s v="Efectivo"/>
    <s v="Pendiente"/>
  </r>
  <r>
    <x v="31"/>
    <x v="6"/>
    <s v="TX-100132"/>
    <x v="12"/>
    <x v="0"/>
    <x v="5"/>
    <n v="1191.8699999999999"/>
    <n v="0"/>
    <x v="132"/>
    <x v="3"/>
    <s v="Tarjeta Crédito Empresarial"/>
    <s v="Tarjeta Débito"/>
    <s v="Pendiente"/>
  </r>
  <r>
    <x v="110"/>
    <x v="7"/>
    <s v="TX-100133"/>
    <x v="16"/>
    <x v="1"/>
    <x v="2"/>
    <n v="2239.34"/>
    <n v="291.11"/>
    <x v="133"/>
    <x v="4"/>
    <s v="Tarjeta Crédito Empresarial"/>
    <s v="Tarjeta Débito"/>
    <s v="Pagado"/>
  </r>
  <r>
    <x v="55"/>
    <x v="10"/>
    <s v="TX-100134"/>
    <x v="6"/>
    <x v="0"/>
    <x v="7"/>
    <n v="10232.950000000001"/>
    <n v="0"/>
    <x v="134"/>
    <x v="0"/>
    <s v="Cuenta Ahorros"/>
    <s v="Tarjeta Crédito"/>
    <s v="Pagado"/>
  </r>
  <r>
    <x v="111"/>
    <x v="4"/>
    <s v="TX-100135"/>
    <x v="18"/>
    <x v="0"/>
    <x v="7"/>
    <n v="9489.2099999999991"/>
    <n v="0"/>
    <x v="135"/>
    <x v="0"/>
    <s v="Cuenta Corriente"/>
    <s v="Tarjeta Crédito"/>
    <s v="Pagado"/>
  </r>
  <r>
    <x v="47"/>
    <x v="4"/>
    <s v="TX-100136"/>
    <x v="13"/>
    <x v="0"/>
    <x v="1"/>
    <n v="900.51"/>
    <n v="0"/>
    <x v="136"/>
    <x v="3"/>
    <s v="Tarjeta Crédito Empresarial"/>
    <s v="Transferencia"/>
    <s v="Pendiente"/>
  </r>
  <r>
    <x v="112"/>
    <x v="10"/>
    <s v="TX-100137"/>
    <x v="2"/>
    <x v="1"/>
    <x v="7"/>
    <n v="13640.3"/>
    <n v="1773.24"/>
    <x v="137"/>
    <x v="4"/>
    <s v="Cuenta Ahorros"/>
    <s v="Efectivo"/>
    <s v="Pagado"/>
  </r>
  <r>
    <x v="113"/>
    <x v="0"/>
    <s v="TX-100138"/>
    <x v="6"/>
    <x v="1"/>
    <x v="6"/>
    <n v="14736.66"/>
    <n v="1915.77"/>
    <x v="138"/>
    <x v="0"/>
    <s v="Tarjeta Crédito Empresarial"/>
    <s v="Tarjeta Débito"/>
    <s v="Pagado"/>
  </r>
  <r>
    <x v="114"/>
    <x v="4"/>
    <s v="TX-100139"/>
    <x v="6"/>
    <x v="0"/>
    <x v="5"/>
    <n v="5490.27"/>
    <n v="0"/>
    <x v="139"/>
    <x v="1"/>
    <s v="Cuenta Ahorros"/>
    <s v="Tarjeta Crédito"/>
    <s v="Pagado"/>
  </r>
  <r>
    <x v="115"/>
    <x v="3"/>
    <s v="TX-100140"/>
    <x v="18"/>
    <x v="0"/>
    <x v="2"/>
    <n v="8391.5499999999993"/>
    <n v="0"/>
    <x v="140"/>
    <x v="2"/>
    <s v="Cuenta Ahorros"/>
    <s v="Tarjeta Débito"/>
    <s v="Pendiente"/>
  </r>
  <r>
    <x v="116"/>
    <x v="5"/>
    <s v="TX-100141"/>
    <x v="19"/>
    <x v="1"/>
    <x v="6"/>
    <n v="4687.96"/>
    <n v="609.42999999999995"/>
    <x v="141"/>
    <x v="1"/>
    <s v="Cuenta Corriente"/>
    <s v="Transferencia"/>
    <s v="Pendiente"/>
  </r>
  <r>
    <x v="117"/>
    <x v="8"/>
    <s v="TX-100142"/>
    <x v="8"/>
    <x v="1"/>
    <x v="2"/>
    <n v="9708.07"/>
    <n v="1262.05"/>
    <x v="142"/>
    <x v="0"/>
    <s v="Cuenta Ahorros"/>
    <s v="Transferencia"/>
    <s v="Pendiente"/>
  </r>
  <r>
    <x v="118"/>
    <x v="11"/>
    <s v="TX-100143"/>
    <x v="16"/>
    <x v="1"/>
    <x v="6"/>
    <n v="14217.64"/>
    <n v="1848.29"/>
    <x v="143"/>
    <x v="4"/>
    <s v="Cuenta Corriente"/>
    <s v="Tarjeta Débito"/>
    <s v="Pagado"/>
  </r>
  <r>
    <x v="119"/>
    <x v="6"/>
    <s v="TX-100144"/>
    <x v="9"/>
    <x v="1"/>
    <x v="1"/>
    <n v="9945.84"/>
    <n v="1292.96"/>
    <x v="144"/>
    <x v="4"/>
    <s v="Tarjeta Crédito Empresarial"/>
    <s v="Efectivo"/>
    <s v="Pagado"/>
  </r>
  <r>
    <x v="120"/>
    <x v="3"/>
    <s v="TX-100145"/>
    <x v="14"/>
    <x v="1"/>
    <x v="7"/>
    <n v="703.2"/>
    <n v="91.42"/>
    <x v="145"/>
    <x v="4"/>
    <s v="Cuenta Ahorros"/>
    <s v="Tarjeta Crédito"/>
    <s v="Pendiente"/>
  </r>
  <r>
    <x v="121"/>
    <x v="8"/>
    <s v="TX-100146"/>
    <x v="11"/>
    <x v="1"/>
    <x v="4"/>
    <n v="14485.67"/>
    <n v="1883.14"/>
    <x v="146"/>
    <x v="4"/>
    <s v="Cuenta Ahorros"/>
    <s v="Efectivo"/>
    <s v="Pendiente"/>
  </r>
  <r>
    <x v="72"/>
    <x v="6"/>
    <s v="TX-100147"/>
    <x v="7"/>
    <x v="0"/>
    <x v="5"/>
    <n v="12262.52"/>
    <n v="0"/>
    <x v="147"/>
    <x v="4"/>
    <s v="Cuenta Ahorros"/>
    <s v="Transferencia"/>
    <s v="Pendiente"/>
  </r>
  <r>
    <x v="13"/>
    <x v="2"/>
    <s v="TX-100148"/>
    <x v="4"/>
    <x v="1"/>
    <x v="2"/>
    <n v="4311.6899999999996"/>
    <n v="560.52"/>
    <x v="148"/>
    <x v="2"/>
    <s v="Cuenta Ahorros"/>
    <s v="Tarjeta Débito"/>
    <s v="Pendiente"/>
  </r>
  <r>
    <x v="80"/>
    <x v="3"/>
    <s v="TX-100149"/>
    <x v="5"/>
    <x v="0"/>
    <x v="6"/>
    <n v="13960.56"/>
    <n v="0"/>
    <x v="149"/>
    <x v="3"/>
    <s v="Cuenta Ahorros"/>
    <s v="Tarjeta Crédito"/>
    <s v="Pagado"/>
  </r>
  <r>
    <x v="85"/>
    <x v="0"/>
    <s v="TX-100150"/>
    <x v="18"/>
    <x v="0"/>
    <x v="0"/>
    <n v="471.4"/>
    <n v="0"/>
    <x v="150"/>
    <x v="2"/>
    <s v="Cuenta Corriente"/>
    <s v="Tarjeta Débito"/>
    <s v="Pagado"/>
  </r>
  <r>
    <x v="122"/>
    <x v="1"/>
    <s v="TX-100151"/>
    <x v="13"/>
    <x v="1"/>
    <x v="7"/>
    <n v="6756.59"/>
    <n v="878.36"/>
    <x v="151"/>
    <x v="3"/>
    <s v="Cuenta Corriente"/>
    <s v="Tarjeta Crédito"/>
    <s v="Pagado"/>
  </r>
  <r>
    <x v="35"/>
    <x v="4"/>
    <s v="TX-100152"/>
    <x v="11"/>
    <x v="0"/>
    <x v="2"/>
    <n v="11653.78"/>
    <n v="0"/>
    <x v="152"/>
    <x v="2"/>
    <s v="Cuenta Corriente"/>
    <s v="Transferencia"/>
    <s v="Pagado"/>
  </r>
  <r>
    <x v="123"/>
    <x v="11"/>
    <s v="TX-100153"/>
    <x v="2"/>
    <x v="0"/>
    <x v="2"/>
    <n v="1707.33"/>
    <n v="0"/>
    <x v="153"/>
    <x v="0"/>
    <s v="Tarjeta Crédito Empresarial"/>
    <s v="Transferencia"/>
    <s v="Pagado"/>
  </r>
  <r>
    <x v="124"/>
    <x v="4"/>
    <s v="TX-100154"/>
    <x v="9"/>
    <x v="0"/>
    <x v="1"/>
    <n v="9241.4"/>
    <n v="0"/>
    <x v="154"/>
    <x v="0"/>
    <s v="Cuenta Ahorros"/>
    <s v="Tarjeta Débito"/>
    <s v="Pagado"/>
  </r>
  <r>
    <x v="125"/>
    <x v="1"/>
    <s v="TX-100155"/>
    <x v="18"/>
    <x v="1"/>
    <x v="3"/>
    <n v="13106.31"/>
    <n v="1703.82"/>
    <x v="155"/>
    <x v="1"/>
    <s v="Cuenta Ahorros"/>
    <s v="Tarjeta Crédito"/>
    <s v="Pagado"/>
  </r>
  <r>
    <x v="91"/>
    <x v="6"/>
    <s v="TX-100156"/>
    <x v="18"/>
    <x v="0"/>
    <x v="0"/>
    <n v="11007.47"/>
    <n v="0"/>
    <x v="156"/>
    <x v="3"/>
    <s v="Tarjeta Crédito Empresarial"/>
    <s v="Tarjeta Crédito"/>
    <s v="Pagado"/>
  </r>
  <r>
    <x v="126"/>
    <x v="5"/>
    <s v="TX-100157"/>
    <x v="3"/>
    <x v="0"/>
    <x v="5"/>
    <n v="12464.24"/>
    <n v="0"/>
    <x v="157"/>
    <x v="1"/>
    <s v="Tarjeta Crédito Empresarial"/>
    <s v="Efectivo"/>
    <s v="Pagado"/>
  </r>
  <r>
    <x v="125"/>
    <x v="1"/>
    <s v="TX-100158"/>
    <x v="1"/>
    <x v="0"/>
    <x v="1"/>
    <n v="4436.97"/>
    <n v="0"/>
    <x v="158"/>
    <x v="4"/>
    <s v="Cuenta Corriente"/>
    <s v="Tarjeta Crédito"/>
    <s v="Pendiente"/>
  </r>
  <r>
    <x v="127"/>
    <x v="6"/>
    <s v="TX-100159"/>
    <x v="4"/>
    <x v="0"/>
    <x v="4"/>
    <n v="597.48"/>
    <n v="0"/>
    <x v="159"/>
    <x v="4"/>
    <s v="Cuenta Ahorros"/>
    <s v="Tarjeta Crédito"/>
    <s v="Pagado"/>
  </r>
  <r>
    <x v="100"/>
    <x v="3"/>
    <s v="TX-100160"/>
    <x v="17"/>
    <x v="1"/>
    <x v="6"/>
    <n v="6582.42"/>
    <n v="855.71"/>
    <x v="160"/>
    <x v="1"/>
    <s v="Cuenta Ahorros"/>
    <s v="Tarjeta Crédito"/>
    <s v="Pagado"/>
  </r>
  <r>
    <x v="89"/>
    <x v="8"/>
    <s v="TX-100161"/>
    <x v="13"/>
    <x v="0"/>
    <x v="4"/>
    <n v="12027.16"/>
    <n v="0"/>
    <x v="161"/>
    <x v="3"/>
    <s v="Cuenta Ahorros"/>
    <s v="Tarjeta Débito"/>
    <s v="Pendiente"/>
  </r>
  <r>
    <x v="128"/>
    <x v="9"/>
    <s v="TX-100162"/>
    <x v="18"/>
    <x v="1"/>
    <x v="6"/>
    <n v="9930.74"/>
    <n v="1291"/>
    <x v="162"/>
    <x v="1"/>
    <s v="Tarjeta Crédito Empresarial"/>
    <s v="Efectivo"/>
    <s v="Pagado"/>
  </r>
  <r>
    <x v="129"/>
    <x v="9"/>
    <s v="TX-100163"/>
    <x v="8"/>
    <x v="0"/>
    <x v="1"/>
    <n v="10915.88"/>
    <n v="0"/>
    <x v="163"/>
    <x v="0"/>
    <s v="Cuenta Ahorros"/>
    <s v="Tarjeta Crédito"/>
    <s v="Pagado"/>
  </r>
  <r>
    <x v="130"/>
    <x v="2"/>
    <s v="TX-100164"/>
    <x v="15"/>
    <x v="0"/>
    <x v="5"/>
    <n v="14294.2"/>
    <n v="0"/>
    <x v="164"/>
    <x v="0"/>
    <s v="Tarjeta Crédito Empresarial"/>
    <s v="Efectivo"/>
    <s v="Pagado"/>
  </r>
  <r>
    <x v="131"/>
    <x v="10"/>
    <s v="TX-100165"/>
    <x v="1"/>
    <x v="1"/>
    <x v="6"/>
    <n v="5464.15"/>
    <n v="710.34"/>
    <x v="165"/>
    <x v="3"/>
    <s v="Tarjeta Crédito Empresarial"/>
    <s v="Tarjeta Débito"/>
    <s v="Pendiente"/>
  </r>
  <r>
    <x v="132"/>
    <x v="11"/>
    <s v="TX-100166"/>
    <x v="8"/>
    <x v="0"/>
    <x v="2"/>
    <n v="8630.1299999999992"/>
    <n v="0"/>
    <x v="166"/>
    <x v="2"/>
    <s v="Cuenta Ahorros"/>
    <s v="Tarjeta Crédito"/>
    <s v="Pendiente"/>
  </r>
  <r>
    <x v="133"/>
    <x v="3"/>
    <s v="TX-100167"/>
    <x v="1"/>
    <x v="1"/>
    <x v="5"/>
    <n v="7510.71"/>
    <n v="976.39"/>
    <x v="167"/>
    <x v="0"/>
    <s v="Cuenta Corriente"/>
    <s v="Tarjeta Crédito"/>
    <s v="Pendiente"/>
  </r>
  <r>
    <x v="134"/>
    <x v="2"/>
    <s v="TX-100168"/>
    <x v="12"/>
    <x v="0"/>
    <x v="7"/>
    <n v="3042.67"/>
    <n v="0"/>
    <x v="168"/>
    <x v="3"/>
    <s v="Cuenta Ahorros"/>
    <s v="Tarjeta Débito"/>
    <s v="Pendiente"/>
  </r>
  <r>
    <x v="135"/>
    <x v="4"/>
    <s v="TX-100169"/>
    <x v="3"/>
    <x v="0"/>
    <x v="2"/>
    <n v="8272.4599999999991"/>
    <n v="0"/>
    <x v="169"/>
    <x v="2"/>
    <s v="Cuenta Corriente"/>
    <s v="Tarjeta Débito"/>
    <s v="Pendiente"/>
  </r>
  <r>
    <x v="136"/>
    <x v="11"/>
    <s v="TX-100170"/>
    <x v="1"/>
    <x v="1"/>
    <x v="5"/>
    <n v="3589.21"/>
    <n v="466.6"/>
    <x v="170"/>
    <x v="3"/>
    <s v="Cuenta Ahorros"/>
    <s v="Tarjeta Crédito"/>
    <s v="Pendiente"/>
  </r>
  <r>
    <x v="137"/>
    <x v="11"/>
    <s v="TX-100171"/>
    <x v="19"/>
    <x v="1"/>
    <x v="2"/>
    <n v="4673.8999999999996"/>
    <n v="607.61"/>
    <x v="171"/>
    <x v="0"/>
    <s v="Cuenta Ahorros"/>
    <s v="Efectivo"/>
    <s v="Pagado"/>
  </r>
  <r>
    <x v="138"/>
    <x v="11"/>
    <s v="TX-100172"/>
    <x v="3"/>
    <x v="1"/>
    <x v="7"/>
    <n v="7014.21"/>
    <n v="911.85"/>
    <x v="172"/>
    <x v="2"/>
    <s v="Cuenta Corriente"/>
    <s v="Tarjeta Débito"/>
    <s v="Pagado"/>
  </r>
  <r>
    <x v="139"/>
    <x v="9"/>
    <s v="TX-100173"/>
    <x v="4"/>
    <x v="1"/>
    <x v="2"/>
    <n v="7795.63"/>
    <n v="1013.43"/>
    <x v="173"/>
    <x v="4"/>
    <s v="Cuenta Corriente"/>
    <s v="Tarjeta Crédito"/>
    <s v="Pagado"/>
  </r>
  <r>
    <x v="140"/>
    <x v="6"/>
    <s v="TX-100174"/>
    <x v="4"/>
    <x v="0"/>
    <x v="2"/>
    <n v="3796.55"/>
    <n v="0"/>
    <x v="174"/>
    <x v="0"/>
    <s v="Cuenta Ahorros"/>
    <s v="Tarjeta Débito"/>
    <s v="Pendiente"/>
  </r>
  <r>
    <x v="99"/>
    <x v="6"/>
    <s v="TX-100175"/>
    <x v="11"/>
    <x v="1"/>
    <x v="5"/>
    <n v="2609.4499999999998"/>
    <n v="339.23"/>
    <x v="175"/>
    <x v="0"/>
    <s v="Cuenta Ahorros"/>
    <s v="Transferencia"/>
    <s v="Pagado"/>
  </r>
  <r>
    <x v="141"/>
    <x v="8"/>
    <s v="TX-100176"/>
    <x v="0"/>
    <x v="0"/>
    <x v="0"/>
    <n v="11516.04"/>
    <n v="0"/>
    <x v="176"/>
    <x v="0"/>
    <s v="Tarjeta Crédito Empresarial"/>
    <s v="Transferencia"/>
    <s v="Pendiente"/>
  </r>
  <r>
    <x v="126"/>
    <x v="5"/>
    <s v="TX-100177"/>
    <x v="17"/>
    <x v="0"/>
    <x v="0"/>
    <n v="12080.09"/>
    <n v="0"/>
    <x v="177"/>
    <x v="1"/>
    <s v="Cuenta Ahorros"/>
    <s v="Efectivo"/>
    <s v="Pagado"/>
  </r>
  <r>
    <x v="142"/>
    <x v="7"/>
    <s v="TX-100178"/>
    <x v="14"/>
    <x v="0"/>
    <x v="3"/>
    <n v="7289.55"/>
    <n v="0"/>
    <x v="178"/>
    <x v="2"/>
    <s v="Tarjeta Crédito Empresarial"/>
    <s v="Tarjeta Débito"/>
    <s v="Pendiente"/>
  </r>
  <r>
    <x v="143"/>
    <x v="11"/>
    <s v="TX-100179"/>
    <x v="8"/>
    <x v="0"/>
    <x v="5"/>
    <n v="11421.94"/>
    <n v="0"/>
    <x v="179"/>
    <x v="0"/>
    <s v="Cuenta Corriente"/>
    <s v="Tarjeta Crédito"/>
    <s v="Pagado"/>
  </r>
  <r>
    <x v="144"/>
    <x v="0"/>
    <s v="TX-100180"/>
    <x v="18"/>
    <x v="0"/>
    <x v="7"/>
    <n v="3756.39"/>
    <n v="0"/>
    <x v="180"/>
    <x v="3"/>
    <s v="Cuenta Ahorros"/>
    <s v="Efectivo"/>
    <s v="Pendiente"/>
  </r>
  <r>
    <x v="2"/>
    <x v="2"/>
    <s v="TX-100181"/>
    <x v="14"/>
    <x v="0"/>
    <x v="6"/>
    <n v="2888.02"/>
    <n v="0"/>
    <x v="181"/>
    <x v="1"/>
    <s v="Tarjeta Crédito Empresarial"/>
    <s v="Efectivo"/>
    <s v="Pendiente"/>
  </r>
  <r>
    <x v="145"/>
    <x v="11"/>
    <s v="TX-100182"/>
    <x v="13"/>
    <x v="1"/>
    <x v="2"/>
    <n v="14181.23"/>
    <n v="1843.56"/>
    <x v="182"/>
    <x v="1"/>
    <s v="Cuenta Corriente"/>
    <s v="Tarjeta Débito"/>
    <s v="Pendiente"/>
  </r>
  <r>
    <x v="146"/>
    <x v="6"/>
    <s v="TX-100183"/>
    <x v="0"/>
    <x v="0"/>
    <x v="7"/>
    <n v="8982.91"/>
    <n v="0"/>
    <x v="183"/>
    <x v="1"/>
    <s v="Cuenta Ahorros"/>
    <s v="Transferencia"/>
    <s v="Pagado"/>
  </r>
  <r>
    <x v="147"/>
    <x v="3"/>
    <s v="TX-100184"/>
    <x v="16"/>
    <x v="0"/>
    <x v="6"/>
    <n v="11469.66"/>
    <n v="0"/>
    <x v="184"/>
    <x v="3"/>
    <s v="Cuenta Ahorros"/>
    <s v="Transferencia"/>
    <s v="Pagado"/>
  </r>
  <r>
    <x v="148"/>
    <x v="8"/>
    <s v="TX-100185"/>
    <x v="4"/>
    <x v="0"/>
    <x v="2"/>
    <n v="5825.91"/>
    <n v="0"/>
    <x v="185"/>
    <x v="0"/>
    <s v="Cuenta Ahorros"/>
    <s v="Transferencia"/>
    <s v="Pagado"/>
  </r>
  <r>
    <x v="147"/>
    <x v="3"/>
    <s v="TX-100186"/>
    <x v="15"/>
    <x v="0"/>
    <x v="6"/>
    <n v="8389.59"/>
    <n v="0"/>
    <x v="186"/>
    <x v="4"/>
    <s v="Cuenta Corriente"/>
    <s v="Efectivo"/>
    <s v="Pagado"/>
  </r>
  <r>
    <x v="76"/>
    <x v="11"/>
    <s v="TX-100187"/>
    <x v="0"/>
    <x v="1"/>
    <x v="6"/>
    <n v="12069.29"/>
    <n v="1569.01"/>
    <x v="187"/>
    <x v="1"/>
    <s v="Cuenta Corriente"/>
    <s v="Tarjeta Débito"/>
    <s v="Pendiente"/>
  </r>
  <r>
    <x v="149"/>
    <x v="11"/>
    <s v="TX-100188"/>
    <x v="16"/>
    <x v="0"/>
    <x v="4"/>
    <n v="8926.18"/>
    <n v="0"/>
    <x v="188"/>
    <x v="0"/>
    <s v="Tarjeta Crédito Empresarial"/>
    <s v="Efectivo"/>
    <s v="Pendiente"/>
  </r>
  <r>
    <x v="141"/>
    <x v="8"/>
    <s v="TX-100189"/>
    <x v="10"/>
    <x v="0"/>
    <x v="6"/>
    <n v="10123.41"/>
    <n v="0"/>
    <x v="189"/>
    <x v="0"/>
    <s v="Cuenta Ahorros"/>
    <s v="Transferencia"/>
    <s v="Pendiente"/>
  </r>
  <r>
    <x v="150"/>
    <x v="2"/>
    <s v="TX-100190"/>
    <x v="2"/>
    <x v="1"/>
    <x v="1"/>
    <n v="8773.67"/>
    <n v="1140.58"/>
    <x v="190"/>
    <x v="0"/>
    <s v="Tarjeta Crédito Empresarial"/>
    <s v="Efectivo"/>
    <s v="Pagado"/>
  </r>
  <r>
    <x v="27"/>
    <x v="9"/>
    <s v="TX-100191"/>
    <x v="0"/>
    <x v="1"/>
    <x v="0"/>
    <n v="333.11"/>
    <n v="43.3"/>
    <x v="191"/>
    <x v="1"/>
    <s v="Cuenta Corriente"/>
    <s v="Efectivo"/>
    <s v="Pagado"/>
  </r>
  <r>
    <x v="76"/>
    <x v="11"/>
    <s v="TX-100192"/>
    <x v="4"/>
    <x v="0"/>
    <x v="1"/>
    <n v="10601.34"/>
    <n v="0"/>
    <x v="192"/>
    <x v="4"/>
    <s v="Tarjeta Crédito Empresarial"/>
    <s v="Tarjeta Crédito"/>
    <s v="Pendiente"/>
  </r>
  <r>
    <x v="151"/>
    <x v="9"/>
    <s v="TX-100193"/>
    <x v="8"/>
    <x v="1"/>
    <x v="7"/>
    <n v="13686.26"/>
    <n v="1779.21"/>
    <x v="193"/>
    <x v="0"/>
    <s v="Cuenta Ahorros"/>
    <s v="Tarjeta Crédito"/>
    <s v="Pendiente"/>
  </r>
  <r>
    <x v="152"/>
    <x v="9"/>
    <s v="TX-100194"/>
    <x v="5"/>
    <x v="0"/>
    <x v="4"/>
    <n v="3411.76"/>
    <n v="0"/>
    <x v="194"/>
    <x v="2"/>
    <s v="Tarjeta Crédito Empresarial"/>
    <s v="Tarjeta Débito"/>
    <s v="Pendiente"/>
  </r>
  <r>
    <x v="153"/>
    <x v="10"/>
    <s v="TX-100195"/>
    <x v="13"/>
    <x v="0"/>
    <x v="4"/>
    <n v="4352.45"/>
    <n v="0"/>
    <x v="195"/>
    <x v="0"/>
    <s v="Cuenta Ahorros"/>
    <s v="Efectivo"/>
    <s v="Pendiente"/>
  </r>
  <r>
    <x v="154"/>
    <x v="0"/>
    <s v="TX-100196"/>
    <x v="9"/>
    <x v="1"/>
    <x v="4"/>
    <n v="14331.94"/>
    <n v="1863.15"/>
    <x v="196"/>
    <x v="2"/>
    <s v="Cuenta Ahorros"/>
    <s v="Tarjeta Crédito"/>
    <s v="Pendiente"/>
  </r>
  <r>
    <x v="155"/>
    <x v="6"/>
    <s v="TX-100197"/>
    <x v="5"/>
    <x v="0"/>
    <x v="4"/>
    <n v="2102.23"/>
    <n v="0"/>
    <x v="197"/>
    <x v="0"/>
    <s v="Cuenta Corriente"/>
    <s v="Tarjeta Débito"/>
    <s v="Pagado"/>
  </r>
  <r>
    <x v="79"/>
    <x v="8"/>
    <s v="TX-100198"/>
    <x v="5"/>
    <x v="1"/>
    <x v="2"/>
    <n v="6228.86"/>
    <n v="809.75"/>
    <x v="198"/>
    <x v="3"/>
    <s v="Tarjeta Crédito Empresarial"/>
    <s v="Tarjeta Débito"/>
    <s v="Pagado"/>
  </r>
  <r>
    <x v="156"/>
    <x v="4"/>
    <s v="TX-100199"/>
    <x v="15"/>
    <x v="0"/>
    <x v="7"/>
    <n v="9775.5499999999993"/>
    <n v="0"/>
    <x v="199"/>
    <x v="2"/>
    <s v="Cuenta Ahorros"/>
    <s v="Transferencia"/>
    <s v="Pagado"/>
  </r>
  <r>
    <x v="157"/>
    <x v="2"/>
    <s v="TX-100200"/>
    <x v="11"/>
    <x v="1"/>
    <x v="5"/>
    <n v="6297.38"/>
    <n v="818.66"/>
    <x v="200"/>
    <x v="3"/>
    <s v="Cuenta Ahorros"/>
    <s v="Efectivo"/>
    <s v="Pagado"/>
  </r>
  <r>
    <x v="158"/>
    <x v="0"/>
    <s v="TX-100201"/>
    <x v="10"/>
    <x v="1"/>
    <x v="4"/>
    <n v="8541.0300000000007"/>
    <n v="1110.33"/>
    <x v="201"/>
    <x v="2"/>
    <s v="Cuenta Ahorros"/>
    <s v="Efectivo"/>
    <s v="Pendiente"/>
  </r>
  <r>
    <x v="159"/>
    <x v="0"/>
    <s v="TX-100202"/>
    <x v="11"/>
    <x v="0"/>
    <x v="4"/>
    <n v="2932.53"/>
    <n v="0"/>
    <x v="202"/>
    <x v="2"/>
    <s v="Cuenta Corriente"/>
    <s v="Efectivo"/>
    <s v="Pendiente"/>
  </r>
  <r>
    <x v="160"/>
    <x v="7"/>
    <s v="TX-100203"/>
    <x v="0"/>
    <x v="0"/>
    <x v="4"/>
    <n v="8538.33"/>
    <n v="0"/>
    <x v="203"/>
    <x v="4"/>
    <s v="Tarjeta Crédito Empresarial"/>
    <s v="Efectivo"/>
    <s v="Pendiente"/>
  </r>
  <r>
    <x v="21"/>
    <x v="2"/>
    <s v="TX-100204"/>
    <x v="18"/>
    <x v="0"/>
    <x v="2"/>
    <n v="2812.48"/>
    <n v="0"/>
    <x v="204"/>
    <x v="1"/>
    <s v="Cuenta Ahorros"/>
    <s v="Tarjeta Débito"/>
    <s v="Pagado"/>
  </r>
  <r>
    <x v="161"/>
    <x v="9"/>
    <s v="TX-100205"/>
    <x v="7"/>
    <x v="1"/>
    <x v="7"/>
    <n v="11318.66"/>
    <n v="1471.43"/>
    <x v="205"/>
    <x v="2"/>
    <s v="Tarjeta Crédito Empresarial"/>
    <s v="Transferencia"/>
    <s v="Pendiente"/>
  </r>
  <r>
    <x v="2"/>
    <x v="2"/>
    <s v="TX-100206"/>
    <x v="12"/>
    <x v="1"/>
    <x v="2"/>
    <n v="7007.66"/>
    <n v="911"/>
    <x v="206"/>
    <x v="1"/>
    <s v="Tarjeta Crédito Empresarial"/>
    <s v="Tarjeta Crédito"/>
    <s v="Pagado"/>
  </r>
  <r>
    <x v="162"/>
    <x v="11"/>
    <s v="TX-100207"/>
    <x v="8"/>
    <x v="1"/>
    <x v="0"/>
    <n v="14362.54"/>
    <n v="1867.13"/>
    <x v="207"/>
    <x v="4"/>
    <s v="Cuenta Ahorros"/>
    <s v="Tarjeta Crédito"/>
    <s v="Pendiente"/>
  </r>
  <r>
    <x v="38"/>
    <x v="6"/>
    <s v="TX-100208"/>
    <x v="4"/>
    <x v="1"/>
    <x v="0"/>
    <n v="10221.11"/>
    <n v="1328.74"/>
    <x v="208"/>
    <x v="3"/>
    <s v="Tarjeta Crédito Empresarial"/>
    <s v="Efectivo"/>
    <s v="Pendiente"/>
  </r>
  <r>
    <x v="145"/>
    <x v="11"/>
    <s v="TX-100209"/>
    <x v="19"/>
    <x v="1"/>
    <x v="1"/>
    <n v="12440.17"/>
    <n v="1617.22"/>
    <x v="209"/>
    <x v="4"/>
    <s v="Tarjeta Crédito Empresarial"/>
    <s v="Tarjeta Débito"/>
    <s v="Pagado"/>
  </r>
  <r>
    <x v="163"/>
    <x v="10"/>
    <s v="TX-100210"/>
    <x v="4"/>
    <x v="0"/>
    <x v="2"/>
    <n v="10220.41"/>
    <n v="0"/>
    <x v="210"/>
    <x v="1"/>
    <s v="Cuenta Corriente"/>
    <s v="Efectivo"/>
    <s v="Pagado"/>
  </r>
  <r>
    <x v="164"/>
    <x v="10"/>
    <s v="TX-100211"/>
    <x v="16"/>
    <x v="0"/>
    <x v="7"/>
    <n v="8480.4699999999993"/>
    <n v="0"/>
    <x v="211"/>
    <x v="1"/>
    <s v="Tarjeta Crédito Empresarial"/>
    <s v="Tarjeta Crédito"/>
    <s v="Pagado"/>
  </r>
  <r>
    <x v="44"/>
    <x v="1"/>
    <s v="TX-100212"/>
    <x v="17"/>
    <x v="1"/>
    <x v="0"/>
    <n v="8695.75"/>
    <n v="1130.45"/>
    <x v="212"/>
    <x v="1"/>
    <s v="Cuenta Ahorros"/>
    <s v="Transferencia"/>
    <s v="Pagado"/>
  </r>
  <r>
    <x v="134"/>
    <x v="2"/>
    <s v="TX-100213"/>
    <x v="6"/>
    <x v="1"/>
    <x v="4"/>
    <n v="6162.56"/>
    <n v="801.13"/>
    <x v="213"/>
    <x v="1"/>
    <s v="Cuenta Ahorros"/>
    <s v="Efectivo"/>
    <s v="Pendiente"/>
  </r>
  <r>
    <x v="165"/>
    <x v="9"/>
    <s v="TX-100214"/>
    <x v="7"/>
    <x v="1"/>
    <x v="5"/>
    <n v="9820.33"/>
    <n v="1276.6400000000001"/>
    <x v="214"/>
    <x v="3"/>
    <s v="Cuenta Corriente"/>
    <s v="Efectivo"/>
    <s v="Pagado"/>
  </r>
  <r>
    <x v="166"/>
    <x v="10"/>
    <s v="TX-100215"/>
    <x v="0"/>
    <x v="1"/>
    <x v="4"/>
    <n v="6971.91"/>
    <n v="906.35"/>
    <x v="215"/>
    <x v="1"/>
    <s v="Tarjeta Crédito Empresarial"/>
    <s v="Efectivo"/>
    <s v="Pagado"/>
  </r>
  <r>
    <x v="159"/>
    <x v="0"/>
    <s v="TX-100216"/>
    <x v="6"/>
    <x v="0"/>
    <x v="5"/>
    <n v="4170.96"/>
    <n v="0"/>
    <x v="216"/>
    <x v="3"/>
    <s v="Tarjeta Crédito Empresarial"/>
    <s v="Efectivo"/>
    <s v="Pagado"/>
  </r>
  <r>
    <x v="167"/>
    <x v="8"/>
    <s v="TX-100217"/>
    <x v="5"/>
    <x v="1"/>
    <x v="2"/>
    <n v="8929.4699999999993"/>
    <n v="1160.83"/>
    <x v="217"/>
    <x v="0"/>
    <s v="Tarjeta Crédito Empresarial"/>
    <s v="Transferencia"/>
    <s v="Pagado"/>
  </r>
  <r>
    <x v="168"/>
    <x v="1"/>
    <s v="TX-100218"/>
    <x v="15"/>
    <x v="0"/>
    <x v="0"/>
    <n v="8119.41"/>
    <n v="0"/>
    <x v="218"/>
    <x v="4"/>
    <s v="Tarjeta Crédito Empresarial"/>
    <s v="Tarjeta Crédito"/>
    <s v="Pagado"/>
  </r>
  <r>
    <x v="130"/>
    <x v="2"/>
    <s v="TX-100219"/>
    <x v="2"/>
    <x v="0"/>
    <x v="0"/>
    <n v="4561.38"/>
    <n v="0"/>
    <x v="219"/>
    <x v="0"/>
    <s v="Cuenta Corriente"/>
    <s v="Efectivo"/>
    <s v="Pendiente"/>
  </r>
  <r>
    <x v="169"/>
    <x v="1"/>
    <s v="TX-100220"/>
    <x v="10"/>
    <x v="1"/>
    <x v="3"/>
    <n v="8359.9699999999993"/>
    <n v="1086.8"/>
    <x v="220"/>
    <x v="2"/>
    <s v="Tarjeta Crédito Empresarial"/>
    <s v="Efectivo"/>
    <s v="Pendiente"/>
  </r>
  <r>
    <x v="57"/>
    <x v="10"/>
    <s v="TX-100221"/>
    <x v="7"/>
    <x v="1"/>
    <x v="4"/>
    <n v="5678.08"/>
    <n v="738.15"/>
    <x v="221"/>
    <x v="1"/>
    <s v="Cuenta Corriente"/>
    <s v="Tarjeta Débito"/>
    <s v="Pendiente"/>
  </r>
  <r>
    <x v="170"/>
    <x v="10"/>
    <s v="TX-100222"/>
    <x v="6"/>
    <x v="1"/>
    <x v="3"/>
    <n v="14518.4"/>
    <n v="1887.39"/>
    <x v="222"/>
    <x v="0"/>
    <s v="Cuenta Corriente"/>
    <s v="Efectivo"/>
    <s v="Pagado"/>
  </r>
  <r>
    <x v="29"/>
    <x v="3"/>
    <s v="TX-100223"/>
    <x v="12"/>
    <x v="0"/>
    <x v="2"/>
    <n v="13837.28"/>
    <n v="0"/>
    <x v="223"/>
    <x v="3"/>
    <s v="Tarjeta Crédito Empresarial"/>
    <s v="Tarjeta Débito"/>
    <s v="Pagado"/>
  </r>
  <r>
    <x v="171"/>
    <x v="10"/>
    <s v="TX-100224"/>
    <x v="7"/>
    <x v="1"/>
    <x v="2"/>
    <n v="2863.04"/>
    <n v="372.2"/>
    <x v="224"/>
    <x v="0"/>
    <s v="Cuenta Corriente"/>
    <s v="Efectivo"/>
    <s v="Pagado"/>
  </r>
  <r>
    <x v="172"/>
    <x v="2"/>
    <s v="TX-100225"/>
    <x v="17"/>
    <x v="1"/>
    <x v="0"/>
    <n v="14060.54"/>
    <n v="1827.87"/>
    <x v="225"/>
    <x v="1"/>
    <s v="Cuenta Corriente"/>
    <s v="Tarjeta Débito"/>
    <s v="Pendiente"/>
  </r>
  <r>
    <x v="173"/>
    <x v="11"/>
    <s v="TX-100226"/>
    <x v="11"/>
    <x v="0"/>
    <x v="4"/>
    <n v="5740.89"/>
    <n v="0"/>
    <x v="226"/>
    <x v="2"/>
    <s v="Cuenta Ahorros"/>
    <s v="Tarjeta Crédito"/>
    <s v="Pendiente"/>
  </r>
  <r>
    <x v="174"/>
    <x v="9"/>
    <s v="TX-100227"/>
    <x v="13"/>
    <x v="1"/>
    <x v="7"/>
    <n v="11436.35"/>
    <n v="1486.73"/>
    <x v="227"/>
    <x v="4"/>
    <s v="Cuenta Ahorros"/>
    <s v="Tarjeta Crédito"/>
    <s v="Pendiente"/>
  </r>
  <r>
    <x v="17"/>
    <x v="10"/>
    <s v="TX-100228"/>
    <x v="19"/>
    <x v="1"/>
    <x v="5"/>
    <n v="292.49"/>
    <n v="38.020000000000003"/>
    <x v="228"/>
    <x v="0"/>
    <s v="Tarjeta Crédito Empresarial"/>
    <s v="Efectivo"/>
    <s v="Pendiente"/>
  </r>
  <r>
    <x v="175"/>
    <x v="4"/>
    <s v="TX-100229"/>
    <x v="5"/>
    <x v="0"/>
    <x v="0"/>
    <n v="5728.6"/>
    <n v="0"/>
    <x v="229"/>
    <x v="1"/>
    <s v="Tarjeta Crédito Empresarial"/>
    <s v="Tarjeta Crédito"/>
    <s v="Pendiente"/>
  </r>
  <r>
    <x v="129"/>
    <x v="9"/>
    <s v="TX-100230"/>
    <x v="13"/>
    <x v="0"/>
    <x v="5"/>
    <n v="11004.94"/>
    <n v="0"/>
    <x v="230"/>
    <x v="4"/>
    <s v="Cuenta Corriente"/>
    <s v="Efectivo"/>
    <s v="Pagado"/>
  </r>
  <r>
    <x v="176"/>
    <x v="5"/>
    <s v="TX-100231"/>
    <x v="11"/>
    <x v="1"/>
    <x v="2"/>
    <n v="14180.56"/>
    <n v="1843.47"/>
    <x v="231"/>
    <x v="3"/>
    <s v="Cuenta Corriente"/>
    <s v="Efectivo"/>
    <s v="Pagado"/>
  </r>
  <r>
    <x v="177"/>
    <x v="8"/>
    <s v="TX-100232"/>
    <x v="1"/>
    <x v="1"/>
    <x v="1"/>
    <n v="3319.86"/>
    <n v="431.58"/>
    <x v="232"/>
    <x v="2"/>
    <s v="Cuenta Corriente"/>
    <s v="Efectivo"/>
    <s v="Pendiente"/>
  </r>
  <r>
    <x v="111"/>
    <x v="4"/>
    <s v="TX-100233"/>
    <x v="0"/>
    <x v="0"/>
    <x v="1"/>
    <n v="300.06"/>
    <n v="0"/>
    <x v="233"/>
    <x v="0"/>
    <s v="Cuenta Ahorros"/>
    <s v="Transferencia"/>
    <s v="Pendiente"/>
  </r>
  <r>
    <x v="178"/>
    <x v="6"/>
    <s v="TX-100234"/>
    <x v="1"/>
    <x v="1"/>
    <x v="5"/>
    <n v="3652.48"/>
    <n v="474.82"/>
    <x v="234"/>
    <x v="0"/>
    <s v="Cuenta Ahorros"/>
    <s v="Tarjeta Crédito"/>
    <s v="Pendiente"/>
  </r>
  <r>
    <x v="45"/>
    <x v="4"/>
    <s v="TX-100235"/>
    <x v="18"/>
    <x v="0"/>
    <x v="3"/>
    <n v="6912.02"/>
    <n v="0"/>
    <x v="235"/>
    <x v="4"/>
    <s v="Cuenta Ahorros"/>
    <s v="Transferencia"/>
    <s v="Pagado"/>
  </r>
  <r>
    <x v="168"/>
    <x v="1"/>
    <s v="TX-100236"/>
    <x v="15"/>
    <x v="0"/>
    <x v="3"/>
    <n v="8312.89"/>
    <n v="0"/>
    <x v="236"/>
    <x v="3"/>
    <s v="Tarjeta Crédito Empresarial"/>
    <s v="Tarjeta Débito"/>
    <s v="Pagado"/>
  </r>
  <r>
    <x v="179"/>
    <x v="1"/>
    <s v="TX-100237"/>
    <x v="7"/>
    <x v="0"/>
    <x v="2"/>
    <n v="13427.13"/>
    <n v="0"/>
    <x v="237"/>
    <x v="4"/>
    <s v="Cuenta Corriente"/>
    <s v="Efectivo"/>
    <s v="Pendiente"/>
  </r>
  <r>
    <x v="75"/>
    <x v="9"/>
    <s v="TX-100238"/>
    <x v="1"/>
    <x v="0"/>
    <x v="1"/>
    <n v="2731.35"/>
    <n v="0"/>
    <x v="238"/>
    <x v="3"/>
    <s v="Cuenta Corriente"/>
    <s v="Tarjeta Débito"/>
    <s v="Pendiente"/>
  </r>
  <r>
    <x v="180"/>
    <x v="3"/>
    <s v="TX-100239"/>
    <x v="9"/>
    <x v="1"/>
    <x v="0"/>
    <n v="8522.1"/>
    <n v="1107.8699999999999"/>
    <x v="239"/>
    <x v="0"/>
    <s v="Cuenta Ahorros"/>
    <s v="Efectivo"/>
    <s v="Pagado"/>
  </r>
  <r>
    <x v="181"/>
    <x v="7"/>
    <s v="TX-100240"/>
    <x v="11"/>
    <x v="0"/>
    <x v="1"/>
    <n v="1510.4"/>
    <n v="0"/>
    <x v="240"/>
    <x v="3"/>
    <s v="Cuenta Ahorros"/>
    <s v="Efectivo"/>
    <s v="Pendiente"/>
  </r>
  <r>
    <x v="17"/>
    <x v="10"/>
    <s v="TX-100241"/>
    <x v="9"/>
    <x v="0"/>
    <x v="7"/>
    <n v="3460.67"/>
    <n v="0"/>
    <x v="241"/>
    <x v="1"/>
    <s v="Cuenta Ahorros"/>
    <s v="Tarjeta Débito"/>
    <s v="Pendiente"/>
  </r>
  <r>
    <x v="182"/>
    <x v="0"/>
    <s v="TX-100242"/>
    <x v="19"/>
    <x v="0"/>
    <x v="0"/>
    <n v="10710.97"/>
    <n v="0"/>
    <x v="242"/>
    <x v="2"/>
    <s v="Cuenta Corriente"/>
    <s v="Efectivo"/>
    <s v="Pagado"/>
  </r>
  <r>
    <x v="14"/>
    <x v="9"/>
    <s v="TX-100243"/>
    <x v="8"/>
    <x v="0"/>
    <x v="2"/>
    <n v="1418.23"/>
    <n v="0"/>
    <x v="243"/>
    <x v="1"/>
    <s v="Cuenta Ahorros"/>
    <s v="Tarjeta Crédito"/>
    <s v="Pagado"/>
  </r>
  <r>
    <x v="24"/>
    <x v="10"/>
    <s v="TX-100244"/>
    <x v="1"/>
    <x v="1"/>
    <x v="3"/>
    <n v="6760.21"/>
    <n v="878.83"/>
    <x v="244"/>
    <x v="0"/>
    <s v="Cuenta Ahorros"/>
    <s v="Transferencia"/>
    <s v="Pagado"/>
  </r>
  <r>
    <x v="183"/>
    <x v="1"/>
    <s v="TX-100245"/>
    <x v="3"/>
    <x v="1"/>
    <x v="6"/>
    <n v="12962.59"/>
    <n v="1685.14"/>
    <x v="245"/>
    <x v="2"/>
    <s v="Cuenta Ahorros"/>
    <s v="Efectivo"/>
    <s v="Pagado"/>
  </r>
  <r>
    <x v="184"/>
    <x v="4"/>
    <s v="TX-100246"/>
    <x v="19"/>
    <x v="1"/>
    <x v="3"/>
    <n v="2584.0500000000002"/>
    <n v="335.93"/>
    <x v="246"/>
    <x v="2"/>
    <s v="Cuenta Ahorros"/>
    <s v="Efectivo"/>
    <s v="Pagado"/>
  </r>
  <r>
    <x v="62"/>
    <x v="11"/>
    <s v="TX-100247"/>
    <x v="14"/>
    <x v="0"/>
    <x v="4"/>
    <n v="6345.48"/>
    <n v="0"/>
    <x v="247"/>
    <x v="3"/>
    <s v="Cuenta Ahorros"/>
    <s v="Tarjeta Crédito"/>
    <s v="Pagado"/>
  </r>
  <r>
    <x v="139"/>
    <x v="9"/>
    <s v="TX-100248"/>
    <x v="2"/>
    <x v="1"/>
    <x v="7"/>
    <n v="1649.24"/>
    <n v="214.4"/>
    <x v="248"/>
    <x v="3"/>
    <s v="Cuenta Ahorros"/>
    <s v="Tarjeta Crédito"/>
    <s v="Pendiente"/>
  </r>
  <r>
    <x v="73"/>
    <x v="6"/>
    <s v="TX-100249"/>
    <x v="13"/>
    <x v="0"/>
    <x v="3"/>
    <n v="12241.36"/>
    <n v="0"/>
    <x v="249"/>
    <x v="0"/>
    <s v="Cuenta Corriente"/>
    <s v="Tarjeta Crédito"/>
    <s v="Pendiente"/>
  </r>
  <r>
    <x v="174"/>
    <x v="9"/>
    <s v="TX-100250"/>
    <x v="6"/>
    <x v="0"/>
    <x v="5"/>
    <n v="14470.39"/>
    <n v="0"/>
    <x v="250"/>
    <x v="2"/>
    <s v="Tarjeta Crédito Empresarial"/>
    <s v="Efectivo"/>
    <s v="Pagado"/>
  </r>
  <r>
    <x v="66"/>
    <x v="10"/>
    <s v="TX-100251"/>
    <x v="7"/>
    <x v="0"/>
    <x v="3"/>
    <n v="5506.98"/>
    <n v="0"/>
    <x v="251"/>
    <x v="4"/>
    <s v="Tarjeta Crédito Empresarial"/>
    <s v="Tarjeta Débito"/>
    <s v="Pagado"/>
  </r>
  <r>
    <x v="185"/>
    <x v="0"/>
    <s v="TX-100252"/>
    <x v="12"/>
    <x v="0"/>
    <x v="4"/>
    <n v="12477.66"/>
    <n v="0"/>
    <x v="252"/>
    <x v="1"/>
    <s v="Tarjeta Crédito Empresarial"/>
    <s v="Efectivo"/>
    <s v="Pagado"/>
  </r>
  <r>
    <x v="186"/>
    <x v="3"/>
    <s v="TX-100253"/>
    <x v="12"/>
    <x v="0"/>
    <x v="5"/>
    <n v="10742.78"/>
    <n v="0"/>
    <x v="253"/>
    <x v="3"/>
    <s v="Cuenta Ahorros"/>
    <s v="Efectivo"/>
    <s v="Pendiente"/>
  </r>
  <r>
    <x v="187"/>
    <x v="10"/>
    <s v="TX-100254"/>
    <x v="4"/>
    <x v="1"/>
    <x v="6"/>
    <n v="10539.43"/>
    <n v="1370.13"/>
    <x v="254"/>
    <x v="0"/>
    <s v="Tarjeta Crédito Empresarial"/>
    <s v="Transferencia"/>
    <s v="Pagado"/>
  </r>
  <r>
    <x v="188"/>
    <x v="6"/>
    <s v="TX-100255"/>
    <x v="3"/>
    <x v="1"/>
    <x v="1"/>
    <n v="8470.14"/>
    <n v="1101.1199999999999"/>
    <x v="255"/>
    <x v="1"/>
    <s v="Cuenta Ahorros"/>
    <s v="Efectivo"/>
    <s v="Pagado"/>
  </r>
  <r>
    <x v="76"/>
    <x v="11"/>
    <s v="TX-100256"/>
    <x v="1"/>
    <x v="0"/>
    <x v="0"/>
    <n v="7684.61"/>
    <n v="0"/>
    <x v="256"/>
    <x v="0"/>
    <s v="Tarjeta Crédito Empresarial"/>
    <s v="Tarjeta Débito"/>
    <s v="Pendiente"/>
  </r>
  <r>
    <x v="189"/>
    <x v="1"/>
    <s v="TX-100257"/>
    <x v="7"/>
    <x v="0"/>
    <x v="5"/>
    <n v="5207.26"/>
    <n v="0"/>
    <x v="257"/>
    <x v="1"/>
    <s v="Cuenta Corriente"/>
    <s v="Tarjeta Crédito"/>
    <s v="Pendiente"/>
  </r>
  <r>
    <x v="177"/>
    <x v="8"/>
    <s v="TX-100258"/>
    <x v="1"/>
    <x v="1"/>
    <x v="6"/>
    <n v="4712.76"/>
    <n v="612.66"/>
    <x v="258"/>
    <x v="4"/>
    <s v="Tarjeta Crédito Empresarial"/>
    <s v="Efectivo"/>
    <s v="Pendiente"/>
  </r>
  <r>
    <x v="190"/>
    <x v="9"/>
    <s v="TX-100259"/>
    <x v="18"/>
    <x v="0"/>
    <x v="7"/>
    <n v="4817.7"/>
    <n v="0"/>
    <x v="259"/>
    <x v="3"/>
    <s v="Tarjeta Crédito Empresarial"/>
    <s v="Transferencia"/>
    <s v="Pagado"/>
  </r>
  <r>
    <x v="191"/>
    <x v="10"/>
    <s v="TX-100260"/>
    <x v="18"/>
    <x v="1"/>
    <x v="0"/>
    <n v="7764.11"/>
    <n v="1009.33"/>
    <x v="260"/>
    <x v="4"/>
    <s v="Cuenta Ahorros"/>
    <s v="Efectivo"/>
    <s v="Pendiente"/>
  </r>
  <r>
    <x v="192"/>
    <x v="8"/>
    <s v="TX-100261"/>
    <x v="15"/>
    <x v="1"/>
    <x v="5"/>
    <n v="9625.16"/>
    <n v="1251.27"/>
    <x v="261"/>
    <x v="1"/>
    <s v="Cuenta Corriente"/>
    <s v="Tarjeta Débito"/>
    <s v="Pendiente"/>
  </r>
  <r>
    <x v="193"/>
    <x v="5"/>
    <s v="TX-100262"/>
    <x v="7"/>
    <x v="1"/>
    <x v="0"/>
    <n v="3126.48"/>
    <n v="406.44"/>
    <x v="262"/>
    <x v="3"/>
    <s v="Tarjeta Crédito Empresarial"/>
    <s v="Transferencia"/>
    <s v="Pagado"/>
  </r>
  <r>
    <x v="16"/>
    <x v="5"/>
    <s v="TX-100263"/>
    <x v="8"/>
    <x v="1"/>
    <x v="7"/>
    <n v="1753.63"/>
    <n v="227.97"/>
    <x v="263"/>
    <x v="1"/>
    <s v="Tarjeta Crédito Empresarial"/>
    <s v="Tarjeta Crédito"/>
    <s v="Pendiente"/>
  </r>
  <r>
    <x v="194"/>
    <x v="8"/>
    <s v="TX-100264"/>
    <x v="2"/>
    <x v="1"/>
    <x v="6"/>
    <n v="5312.17"/>
    <n v="690.58"/>
    <x v="264"/>
    <x v="0"/>
    <s v="Cuenta Corriente"/>
    <s v="Tarjeta Crédito"/>
    <s v="Pagado"/>
  </r>
  <r>
    <x v="195"/>
    <x v="7"/>
    <s v="TX-100265"/>
    <x v="3"/>
    <x v="1"/>
    <x v="0"/>
    <n v="4615.43"/>
    <n v="600.01"/>
    <x v="265"/>
    <x v="2"/>
    <s v="Tarjeta Crédito Empresarial"/>
    <s v="Tarjeta Débito"/>
    <s v="Pendiente"/>
  </r>
  <r>
    <x v="196"/>
    <x v="11"/>
    <s v="TX-100266"/>
    <x v="2"/>
    <x v="1"/>
    <x v="3"/>
    <n v="6374.43"/>
    <n v="828.68"/>
    <x v="266"/>
    <x v="0"/>
    <s v="Tarjeta Crédito Empresarial"/>
    <s v="Tarjeta Débito"/>
    <s v="Pagado"/>
  </r>
  <r>
    <x v="148"/>
    <x v="8"/>
    <s v="TX-100267"/>
    <x v="17"/>
    <x v="1"/>
    <x v="5"/>
    <n v="4752.97"/>
    <n v="617.89"/>
    <x v="267"/>
    <x v="0"/>
    <s v="Cuenta Corriente"/>
    <s v="Tarjeta Crédito"/>
    <s v="Pagado"/>
  </r>
  <r>
    <x v="145"/>
    <x v="11"/>
    <s v="TX-100268"/>
    <x v="16"/>
    <x v="1"/>
    <x v="3"/>
    <n v="14459.24"/>
    <n v="1879.7"/>
    <x v="268"/>
    <x v="1"/>
    <s v="Cuenta Ahorros"/>
    <s v="Efectivo"/>
    <s v="Pendiente"/>
  </r>
  <r>
    <x v="197"/>
    <x v="7"/>
    <s v="TX-100269"/>
    <x v="13"/>
    <x v="1"/>
    <x v="2"/>
    <n v="8502.7000000000007"/>
    <n v="1105.3499999999999"/>
    <x v="269"/>
    <x v="2"/>
    <s v="Cuenta Corriente"/>
    <s v="Tarjeta Crédito"/>
    <s v="Pagado"/>
  </r>
  <r>
    <x v="159"/>
    <x v="0"/>
    <s v="TX-100270"/>
    <x v="16"/>
    <x v="0"/>
    <x v="7"/>
    <n v="8268.41"/>
    <n v="0"/>
    <x v="270"/>
    <x v="0"/>
    <s v="Cuenta Corriente"/>
    <s v="Tarjeta Crédito"/>
    <s v="Pendiente"/>
  </r>
  <r>
    <x v="146"/>
    <x v="6"/>
    <s v="TX-100271"/>
    <x v="6"/>
    <x v="1"/>
    <x v="3"/>
    <n v="1581.13"/>
    <n v="205.55"/>
    <x v="271"/>
    <x v="4"/>
    <s v="Cuenta Ahorros"/>
    <s v="Transferencia"/>
    <s v="Pendiente"/>
  </r>
  <r>
    <x v="172"/>
    <x v="2"/>
    <s v="TX-100272"/>
    <x v="8"/>
    <x v="1"/>
    <x v="7"/>
    <n v="12986.09"/>
    <n v="1688.19"/>
    <x v="272"/>
    <x v="4"/>
    <s v="Cuenta Corriente"/>
    <s v="Tarjeta Crédito"/>
    <s v="Pendiente"/>
  </r>
  <r>
    <x v="23"/>
    <x v="1"/>
    <s v="TX-100273"/>
    <x v="19"/>
    <x v="1"/>
    <x v="0"/>
    <n v="12212.27"/>
    <n v="1587.6"/>
    <x v="273"/>
    <x v="0"/>
    <s v="Cuenta Ahorros"/>
    <s v="Tarjeta Crédito"/>
    <s v="Pagado"/>
  </r>
  <r>
    <x v="143"/>
    <x v="11"/>
    <s v="TX-100274"/>
    <x v="17"/>
    <x v="0"/>
    <x v="4"/>
    <n v="14288.34"/>
    <n v="0"/>
    <x v="274"/>
    <x v="3"/>
    <s v="Cuenta Corriente"/>
    <s v="Efectivo"/>
    <s v="Pagado"/>
  </r>
  <r>
    <x v="74"/>
    <x v="9"/>
    <s v="TX-100275"/>
    <x v="16"/>
    <x v="1"/>
    <x v="0"/>
    <n v="2236.34"/>
    <n v="290.72000000000003"/>
    <x v="275"/>
    <x v="4"/>
    <s v="Tarjeta Crédito Empresarial"/>
    <s v="Efectivo"/>
    <s v="Pendiente"/>
  </r>
  <r>
    <x v="198"/>
    <x v="0"/>
    <s v="TX-100276"/>
    <x v="19"/>
    <x v="0"/>
    <x v="3"/>
    <n v="5658.83"/>
    <n v="0"/>
    <x v="276"/>
    <x v="3"/>
    <s v="Cuenta Ahorros"/>
    <s v="Tarjeta Crédito"/>
    <s v="Pendiente"/>
  </r>
  <r>
    <x v="199"/>
    <x v="0"/>
    <s v="TX-100277"/>
    <x v="13"/>
    <x v="0"/>
    <x v="1"/>
    <n v="13040.17"/>
    <n v="0"/>
    <x v="277"/>
    <x v="1"/>
    <s v="Tarjeta Crédito Empresarial"/>
    <s v="Tarjeta Crédito"/>
    <s v="Pagado"/>
  </r>
  <r>
    <x v="200"/>
    <x v="9"/>
    <s v="TX-100278"/>
    <x v="12"/>
    <x v="0"/>
    <x v="0"/>
    <n v="7445.99"/>
    <n v="0"/>
    <x v="278"/>
    <x v="2"/>
    <s v="Cuenta Ahorros"/>
    <s v="Tarjeta Débito"/>
    <s v="Pendiente"/>
  </r>
  <r>
    <x v="201"/>
    <x v="8"/>
    <s v="TX-100279"/>
    <x v="10"/>
    <x v="1"/>
    <x v="2"/>
    <n v="9411.3799999999992"/>
    <n v="1223.48"/>
    <x v="279"/>
    <x v="3"/>
    <s v="Cuenta Corriente"/>
    <s v="Tarjeta Débito"/>
    <s v="Pendiente"/>
  </r>
  <r>
    <x v="202"/>
    <x v="2"/>
    <s v="TX-100280"/>
    <x v="10"/>
    <x v="0"/>
    <x v="0"/>
    <n v="14935.63"/>
    <n v="0"/>
    <x v="280"/>
    <x v="2"/>
    <s v="Cuenta Corriente"/>
    <s v="Tarjeta Crédito"/>
    <s v="Pagado"/>
  </r>
  <r>
    <x v="203"/>
    <x v="6"/>
    <s v="TX-100281"/>
    <x v="17"/>
    <x v="1"/>
    <x v="6"/>
    <n v="9984.41"/>
    <n v="1297.97"/>
    <x v="281"/>
    <x v="4"/>
    <s v="Cuenta Corriente"/>
    <s v="Efectivo"/>
    <s v="Pendiente"/>
  </r>
  <r>
    <x v="162"/>
    <x v="11"/>
    <s v="TX-100282"/>
    <x v="15"/>
    <x v="1"/>
    <x v="2"/>
    <n v="66.239999999999995"/>
    <n v="8.61"/>
    <x v="282"/>
    <x v="3"/>
    <s v="Cuenta Corriente"/>
    <s v="Tarjeta Débito"/>
    <s v="Pendiente"/>
  </r>
  <r>
    <x v="117"/>
    <x v="8"/>
    <s v="TX-100283"/>
    <x v="0"/>
    <x v="0"/>
    <x v="2"/>
    <n v="14822.92"/>
    <n v="0"/>
    <x v="283"/>
    <x v="4"/>
    <s v="Cuenta Ahorros"/>
    <s v="Transferencia"/>
    <s v="Pagado"/>
  </r>
  <r>
    <x v="190"/>
    <x v="9"/>
    <s v="TX-100284"/>
    <x v="18"/>
    <x v="1"/>
    <x v="2"/>
    <n v="4734.6000000000004"/>
    <n v="615.5"/>
    <x v="284"/>
    <x v="4"/>
    <s v="Cuenta Ahorros"/>
    <s v="Tarjeta Débito"/>
    <s v="Pagado"/>
  </r>
  <r>
    <x v="204"/>
    <x v="7"/>
    <s v="TX-100285"/>
    <x v="11"/>
    <x v="1"/>
    <x v="5"/>
    <n v="6629.49"/>
    <n v="861.83"/>
    <x v="285"/>
    <x v="4"/>
    <s v="Cuenta Ahorros"/>
    <s v="Efectivo"/>
    <s v="Pagado"/>
  </r>
  <r>
    <x v="205"/>
    <x v="3"/>
    <s v="TX-100286"/>
    <x v="1"/>
    <x v="1"/>
    <x v="2"/>
    <n v="8864.1299999999992"/>
    <n v="1152.3399999999999"/>
    <x v="286"/>
    <x v="2"/>
    <s v="Cuenta Ahorros"/>
    <s v="Tarjeta Crédito"/>
    <s v="Pagado"/>
  </r>
  <r>
    <x v="102"/>
    <x v="6"/>
    <s v="TX-100287"/>
    <x v="9"/>
    <x v="1"/>
    <x v="0"/>
    <n v="8323.2800000000007"/>
    <n v="1082.03"/>
    <x v="287"/>
    <x v="0"/>
    <s v="Cuenta Ahorros"/>
    <s v="Transferencia"/>
    <s v="Pendiente"/>
  </r>
  <r>
    <x v="20"/>
    <x v="1"/>
    <s v="TX-100288"/>
    <x v="11"/>
    <x v="1"/>
    <x v="3"/>
    <n v="4468.3500000000004"/>
    <n v="580.89"/>
    <x v="288"/>
    <x v="4"/>
    <s v="Cuenta Ahorros"/>
    <s v="Efectivo"/>
    <s v="Pagado"/>
  </r>
  <r>
    <x v="206"/>
    <x v="9"/>
    <s v="TX-100289"/>
    <x v="6"/>
    <x v="1"/>
    <x v="1"/>
    <n v="14803.89"/>
    <n v="1924.51"/>
    <x v="289"/>
    <x v="4"/>
    <s v="Cuenta Ahorros"/>
    <s v="Efectivo"/>
    <s v="Pendiente"/>
  </r>
  <r>
    <x v="63"/>
    <x v="1"/>
    <s v="TX-100290"/>
    <x v="6"/>
    <x v="1"/>
    <x v="1"/>
    <n v="8831.08"/>
    <n v="1148.04"/>
    <x v="290"/>
    <x v="2"/>
    <s v="Cuenta Corriente"/>
    <s v="Transferencia"/>
    <s v="Pagado"/>
  </r>
  <r>
    <x v="109"/>
    <x v="3"/>
    <s v="TX-100291"/>
    <x v="4"/>
    <x v="0"/>
    <x v="3"/>
    <n v="6382.45"/>
    <n v="0"/>
    <x v="291"/>
    <x v="3"/>
    <s v="Tarjeta Crédito Empresarial"/>
    <s v="Tarjeta Débito"/>
    <s v="Pendiente"/>
  </r>
  <r>
    <x v="83"/>
    <x v="2"/>
    <s v="TX-100292"/>
    <x v="9"/>
    <x v="1"/>
    <x v="0"/>
    <n v="14615.99"/>
    <n v="1900.08"/>
    <x v="292"/>
    <x v="0"/>
    <s v="Cuenta Ahorros"/>
    <s v="Efectivo"/>
    <s v="Pagado"/>
  </r>
  <r>
    <x v="207"/>
    <x v="8"/>
    <s v="TX-100293"/>
    <x v="7"/>
    <x v="1"/>
    <x v="1"/>
    <n v="3704.97"/>
    <n v="481.65"/>
    <x v="293"/>
    <x v="3"/>
    <s v="Cuenta Ahorros"/>
    <s v="Transferencia"/>
    <s v="Pendiente"/>
  </r>
  <r>
    <x v="208"/>
    <x v="2"/>
    <s v="TX-100294"/>
    <x v="1"/>
    <x v="1"/>
    <x v="5"/>
    <n v="10537.42"/>
    <n v="1369.86"/>
    <x v="294"/>
    <x v="1"/>
    <s v="Cuenta Ahorros"/>
    <s v="Tarjeta Crédito"/>
    <s v="Pagado"/>
  </r>
  <r>
    <x v="209"/>
    <x v="1"/>
    <s v="TX-100295"/>
    <x v="16"/>
    <x v="0"/>
    <x v="2"/>
    <n v="11582.88"/>
    <n v="0"/>
    <x v="295"/>
    <x v="2"/>
    <s v="Cuenta Ahorros"/>
    <s v="Tarjeta Crédito"/>
    <s v="Pagado"/>
  </r>
  <r>
    <x v="210"/>
    <x v="3"/>
    <s v="TX-100296"/>
    <x v="2"/>
    <x v="1"/>
    <x v="7"/>
    <n v="6855.21"/>
    <n v="891.18"/>
    <x v="296"/>
    <x v="3"/>
    <s v="Cuenta Ahorros"/>
    <s v="Tarjeta Débito"/>
    <s v="Pendiente"/>
  </r>
  <r>
    <x v="37"/>
    <x v="11"/>
    <s v="TX-100297"/>
    <x v="9"/>
    <x v="1"/>
    <x v="2"/>
    <n v="3464.65"/>
    <n v="450.4"/>
    <x v="297"/>
    <x v="3"/>
    <s v="Cuenta Corriente"/>
    <s v="Transferencia"/>
    <s v="Pagado"/>
  </r>
  <r>
    <x v="211"/>
    <x v="7"/>
    <s v="TX-100298"/>
    <x v="6"/>
    <x v="0"/>
    <x v="3"/>
    <n v="13807.39"/>
    <n v="0"/>
    <x v="298"/>
    <x v="3"/>
    <s v="Tarjeta Crédito Empresarial"/>
    <s v="Efectivo"/>
    <s v="Pagado"/>
  </r>
  <r>
    <x v="108"/>
    <x v="0"/>
    <s v="TX-100299"/>
    <x v="12"/>
    <x v="0"/>
    <x v="6"/>
    <n v="4105.3100000000004"/>
    <n v="0"/>
    <x v="299"/>
    <x v="0"/>
    <s v="Cuenta Ahorros"/>
    <s v="Transferencia"/>
    <s v="Pagado"/>
  </r>
  <r>
    <x v="212"/>
    <x v="8"/>
    <s v="TX-100300"/>
    <x v="5"/>
    <x v="1"/>
    <x v="3"/>
    <n v="1080.45"/>
    <n v="140.46"/>
    <x v="300"/>
    <x v="2"/>
    <s v="Cuenta Ahorros"/>
    <s v="Tarjeta Crédito"/>
    <s v="Pagado"/>
  </r>
  <r>
    <x v="139"/>
    <x v="9"/>
    <s v="TX-100301"/>
    <x v="10"/>
    <x v="0"/>
    <x v="0"/>
    <n v="4409.3500000000004"/>
    <n v="0"/>
    <x v="301"/>
    <x v="0"/>
    <s v="Cuenta Corriente"/>
    <s v="Efectivo"/>
    <s v="Pendiente"/>
  </r>
  <r>
    <x v="213"/>
    <x v="3"/>
    <s v="TX-100302"/>
    <x v="12"/>
    <x v="1"/>
    <x v="5"/>
    <n v="145.35"/>
    <n v="18.899999999999999"/>
    <x v="302"/>
    <x v="3"/>
    <s v="Cuenta Corriente"/>
    <s v="Tarjeta Crédito"/>
    <s v="Pagado"/>
  </r>
  <r>
    <x v="132"/>
    <x v="11"/>
    <s v="TX-100303"/>
    <x v="10"/>
    <x v="0"/>
    <x v="4"/>
    <n v="1604.04"/>
    <n v="0"/>
    <x v="303"/>
    <x v="4"/>
    <s v="Cuenta Ahorros"/>
    <s v="Efectivo"/>
    <s v="Pagado"/>
  </r>
  <r>
    <x v="214"/>
    <x v="11"/>
    <s v="TX-100304"/>
    <x v="9"/>
    <x v="1"/>
    <x v="1"/>
    <n v="13823.05"/>
    <n v="1797"/>
    <x v="304"/>
    <x v="1"/>
    <s v="Tarjeta Crédito Empresarial"/>
    <s v="Tarjeta Crédito"/>
    <s v="Pendiente"/>
  </r>
  <r>
    <x v="215"/>
    <x v="3"/>
    <s v="TX-100305"/>
    <x v="19"/>
    <x v="1"/>
    <x v="5"/>
    <n v="9576.3700000000008"/>
    <n v="1244.93"/>
    <x v="305"/>
    <x v="3"/>
    <s v="Tarjeta Crédito Empresarial"/>
    <s v="Transferencia"/>
    <s v="Pendiente"/>
  </r>
  <r>
    <x v="215"/>
    <x v="3"/>
    <s v="TX-100306"/>
    <x v="5"/>
    <x v="0"/>
    <x v="4"/>
    <n v="12771.16"/>
    <n v="0"/>
    <x v="306"/>
    <x v="2"/>
    <s v="Cuenta Ahorros"/>
    <s v="Efectivo"/>
    <s v="Pendiente"/>
  </r>
  <r>
    <x v="25"/>
    <x v="10"/>
    <s v="TX-100307"/>
    <x v="1"/>
    <x v="1"/>
    <x v="5"/>
    <n v="11710.06"/>
    <n v="1522.31"/>
    <x v="307"/>
    <x v="3"/>
    <s v="Cuenta Corriente"/>
    <s v="Transferencia"/>
    <s v="Pagado"/>
  </r>
  <r>
    <x v="3"/>
    <x v="3"/>
    <s v="TX-100308"/>
    <x v="13"/>
    <x v="0"/>
    <x v="3"/>
    <n v="1855.01"/>
    <n v="0"/>
    <x v="308"/>
    <x v="4"/>
    <s v="Cuenta Ahorros"/>
    <s v="Tarjeta Crédito"/>
    <s v="Pendiente"/>
  </r>
  <r>
    <x v="139"/>
    <x v="9"/>
    <s v="TX-100309"/>
    <x v="18"/>
    <x v="1"/>
    <x v="5"/>
    <n v="12123.57"/>
    <n v="1576.06"/>
    <x v="309"/>
    <x v="0"/>
    <s v="Cuenta Corriente"/>
    <s v="Tarjeta Débito"/>
    <s v="Pendiente"/>
  </r>
  <r>
    <x v="216"/>
    <x v="1"/>
    <s v="TX-100310"/>
    <x v="1"/>
    <x v="1"/>
    <x v="6"/>
    <n v="5973.85"/>
    <n v="776.6"/>
    <x v="310"/>
    <x v="2"/>
    <s v="Cuenta Ahorros"/>
    <s v="Tarjeta Débito"/>
    <s v="Pagado"/>
  </r>
  <r>
    <x v="21"/>
    <x v="2"/>
    <s v="TX-100311"/>
    <x v="13"/>
    <x v="1"/>
    <x v="2"/>
    <n v="6957.55"/>
    <n v="904.48"/>
    <x v="311"/>
    <x v="3"/>
    <s v="Cuenta Corriente"/>
    <s v="Transferencia"/>
    <s v="Pagado"/>
  </r>
  <r>
    <x v="188"/>
    <x v="6"/>
    <s v="TX-100312"/>
    <x v="5"/>
    <x v="0"/>
    <x v="6"/>
    <n v="10309.959999999999"/>
    <n v="0"/>
    <x v="312"/>
    <x v="3"/>
    <s v="Tarjeta Crédito Empresarial"/>
    <s v="Tarjeta Crédito"/>
    <s v="Pagado"/>
  </r>
  <r>
    <x v="199"/>
    <x v="0"/>
    <s v="TX-100313"/>
    <x v="1"/>
    <x v="1"/>
    <x v="7"/>
    <n v="12149.02"/>
    <n v="1579.37"/>
    <x v="313"/>
    <x v="2"/>
    <s v="Cuenta Corriente"/>
    <s v="Transferencia"/>
    <s v="Pendiente"/>
  </r>
  <r>
    <x v="87"/>
    <x v="3"/>
    <s v="TX-100314"/>
    <x v="14"/>
    <x v="0"/>
    <x v="3"/>
    <n v="7467.09"/>
    <n v="0"/>
    <x v="314"/>
    <x v="1"/>
    <s v="Cuenta Corriente"/>
    <s v="Tarjeta Crédito"/>
    <s v="Pagado"/>
  </r>
  <r>
    <x v="217"/>
    <x v="1"/>
    <s v="TX-100315"/>
    <x v="9"/>
    <x v="0"/>
    <x v="7"/>
    <n v="13257.19"/>
    <n v="0"/>
    <x v="315"/>
    <x v="0"/>
    <s v="Tarjeta Crédito Empresarial"/>
    <s v="Tarjeta Débito"/>
    <s v="Pendiente"/>
  </r>
  <r>
    <x v="205"/>
    <x v="3"/>
    <s v="TX-100316"/>
    <x v="7"/>
    <x v="0"/>
    <x v="1"/>
    <n v="1361.44"/>
    <n v="0"/>
    <x v="316"/>
    <x v="4"/>
    <s v="Cuenta Ahorros"/>
    <s v="Tarjeta Débito"/>
    <s v="Pagado"/>
  </r>
  <r>
    <x v="118"/>
    <x v="11"/>
    <s v="TX-100317"/>
    <x v="15"/>
    <x v="0"/>
    <x v="7"/>
    <n v="8190.54"/>
    <n v="0"/>
    <x v="317"/>
    <x v="2"/>
    <s v="Tarjeta Crédito Empresarial"/>
    <s v="Tarjeta Crédito"/>
    <s v="Pendiente"/>
  </r>
  <r>
    <x v="209"/>
    <x v="1"/>
    <s v="TX-100318"/>
    <x v="16"/>
    <x v="1"/>
    <x v="6"/>
    <n v="8976.89"/>
    <n v="1167"/>
    <x v="318"/>
    <x v="2"/>
    <s v="Cuenta Corriente"/>
    <s v="Efectivo"/>
    <s v="Pendiente"/>
  </r>
  <r>
    <x v="218"/>
    <x v="4"/>
    <s v="TX-100319"/>
    <x v="14"/>
    <x v="1"/>
    <x v="0"/>
    <n v="9870.1200000000008"/>
    <n v="1283.1199999999999"/>
    <x v="319"/>
    <x v="0"/>
    <s v="Tarjeta Crédito Empresarial"/>
    <s v="Transferencia"/>
    <s v="Pagado"/>
  </r>
  <r>
    <x v="206"/>
    <x v="9"/>
    <s v="TX-100320"/>
    <x v="8"/>
    <x v="1"/>
    <x v="5"/>
    <n v="3586.44"/>
    <n v="466.24"/>
    <x v="320"/>
    <x v="2"/>
    <s v="Tarjeta Crédito Empresarial"/>
    <s v="Transferencia"/>
    <s v="Pendiente"/>
  </r>
  <r>
    <x v="219"/>
    <x v="2"/>
    <s v="TX-100321"/>
    <x v="19"/>
    <x v="1"/>
    <x v="7"/>
    <n v="8154.76"/>
    <n v="1060.1199999999999"/>
    <x v="321"/>
    <x v="1"/>
    <s v="Cuenta Corriente"/>
    <s v="Transferencia"/>
    <s v="Pagado"/>
  </r>
  <r>
    <x v="220"/>
    <x v="1"/>
    <s v="TX-100322"/>
    <x v="19"/>
    <x v="1"/>
    <x v="1"/>
    <n v="7920.41"/>
    <n v="1029.6500000000001"/>
    <x v="322"/>
    <x v="2"/>
    <s v="Tarjeta Crédito Empresarial"/>
    <s v="Tarjeta Débito"/>
    <s v="Pagado"/>
  </r>
  <r>
    <x v="171"/>
    <x v="10"/>
    <s v="TX-100323"/>
    <x v="16"/>
    <x v="0"/>
    <x v="1"/>
    <n v="377.6"/>
    <n v="0"/>
    <x v="323"/>
    <x v="4"/>
    <s v="Cuenta Corriente"/>
    <s v="Tarjeta Crédito"/>
    <s v="Pagado"/>
  </r>
  <r>
    <x v="134"/>
    <x v="2"/>
    <s v="TX-100324"/>
    <x v="7"/>
    <x v="1"/>
    <x v="6"/>
    <n v="4561.3900000000003"/>
    <n v="592.98"/>
    <x v="324"/>
    <x v="4"/>
    <s v="Tarjeta Crédito Empresarial"/>
    <s v="Efectivo"/>
    <s v="Pendiente"/>
  </r>
  <r>
    <x v="219"/>
    <x v="2"/>
    <s v="TX-100325"/>
    <x v="16"/>
    <x v="0"/>
    <x v="0"/>
    <n v="9999.7000000000007"/>
    <n v="0"/>
    <x v="325"/>
    <x v="1"/>
    <s v="Cuenta Ahorros"/>
    <s v="Tarjeta Crédito"/>
    <s v="Pagado"/>
  </r>
  <r>
    <x v="206"/>
    <x v="9"/>
    <s v="TX-100326"/>
    <x v="0"/>
    <x v="0"/>
    <x v="1"/>
    <n v="2772.12"/>
    <n v="0"/>
    <x v="326"/>
    <x v="0"/>
    <s v="Cuenta Corriente"/>
    <s v="Transferencia"/>
    <s v="Pendiente"/>
  </r>
  <r>
    <x v="174"/>
    <x v="9"/>
    <s v="TX-100327"/>
    <x v="3"/>
    <x v="1"/>
    <x v="0"/>
    <n v="5234.8100000000004"/>
    <n v="680.53"/>
    <x v="327"/>
    <x v="4"/>
    <s v="Tarjeta Crédito Empresarial"/>
    <s v="Transferencia"/>
    <s v="Pendiente"/>
  </r>
  <r>
    <x v="221"/>
    <x v="0"/>
    <s v="TX-100328"/>
    <x v="10"/>
    <x v="0"/>
    <x v="0"/>
    <n v="3780.64"/>
    <n v="0"/>
    <x v="328"/>
    <x v="2"/>
    <s v="Cuenta Ahorros"/>
    <s v="Transferencia"/>
    <s v="Pagado"/>
  </r>
  <r>
    <x v="222"/>
    <x v="3"/>
    <s v="TX-100329"/>
    <x v="15"/>
    <x v="0"/>
    <x v="3"/>
    <n v="14538.07"/>
    <n v="0"/>
    <x v="329"/>
    <x v="1"/>
    <s v="Cuenta Ahorros"/>
    <s v="Tarjeta Crédito"/>
    <s v="Pendiente"/>
  </r>
  <r>
    <x v="217"/>
    <x v="1"/>
    <s v="TX-100330"/>
    <x v="6"/>
    <x v="1"/>
    <x v="5"/>
    <n v="6796.75"/>
    <n v="883.58"/>
    <x v="330"/>
    <x v="2"/>
    <s v="Cuenta Corriente"/>
    <s v="Tarjeta Crédito"/>
    <s v="Pendiente"/>
  </r>
  <r>
    <x v="13"/>
    <x v="2"/>
    <s v="TX-100331"/>
    <x v="1"/>
    <x v="0"/>
    <x v="5"/>
    <n v="13324.57"/>
    <n v="0"/>
    <x v="331"/>
    <x v="3"/>
    <s v="Tarjeta Crédito Empresarial"/>
    <s v="Transferencia"/>
    <s v="Pendiente"/>
  </r>
  <r>
    <x v="207"/>
    <x v="8"/>
    <s v="TX-100332"/>
    <x v="10"/>
    <x v="0"/>
    <x v="5"/>
    <n v="9129.4"/>
    <n v="0"/>
    <x v="332"/>
    <x v="4"/>
    <s v="Cuenta Corriente"/>
    <s v="Transferencia"/>
    <s v="Pendiente"/>
  </r>
  <r>
    <x v="152"/>
    <x v="9"/>
    <s v="TX-100333"/>
    <x v="5"/>
    <x v="0"/>
    <x v="4"/>
    <n v="9925.94"/>
    <n v="0"/>
    <x v="333"/>
    <x v="4"/>
    <s v="Cuenta Corriente"/>
    <s v="Transferencia"/>
    <s v="Pendiente"/>
  </r>
  <r>
    <x v="223"/>
    <x v="0"/>
    <s v="TX-100334"/>
    <x v="16"/>
    <x v="1"/>
    <x v="6"/>
    <n v="107.04"/>
    <n v="13.92"/>
    <x v="334"/>
    <x v="2"/>
    <s v="Tarjeta Crédito Empresarial"/>
    <s v="Efectivo"/>
    <s v="Pagado"/>
  </r>
  <r>
    <x v="224"/>
    <x v="0"/>
    <s v="TX-100335"/>
    <x v="0"/>
    <x v="1"/>
    <x v="5"/>
    <n v="9590.9500000000007"/>
    <n v="1246.82"/>
    <x v="335"/>
    <x v="1"/>
    <s v="Cuenta Corriente"/>
    <s v="Tarjeta Crédito"/>
    <s v="Pendiente"/>
  </r>
  <r>
    <x v="133"/>
    <x v="3"/>
    <s v="TX-100336"/>
    <x v="13"/>
    <x v="0"/>
    <x v="2"/>
    <n v="9645.9"/>
    <n v="0"/>
    <x v="336"/>
    <x v="4"/>
    <s v="Cuenta Ahorros"/>
    <s v="Efectivo"/>
    <s v="Pendiente"/>
  </r>
  <r>
    <x v="225"/>
    <x v="4"/>
    <s v="TX-100337"/>
    <x v="6"/>
    <x v="1"/>
    <x v="4"/>
    <n v="6624.12"/>
    <n v="861.14"/>
    <x v="337"/>
    <x v="4"/>
    <s v="Cuenta Ahorros"/>
    <s v="Transferencia"/>
    <s v="Pagado"/>
  </r>
  <r>
    <x v="226"/>
    <x v="10"/>
    <s v="TX-100338"/>
    <x v="1"/>
    <x v="0"/>
    <x v="3"/>
    <n v="14562.05"/>
    <n v="0"/>
    <x v="338"/>
    <x v="4"/>
    <s v="Tarjeta Crédito Empresarial"/>
    <s v="Transferencia"/>
    <s v="Pendiente"/>
  </r>
  <r>
    <x v="154"/>
    <x v="0"/>
    <s v="TX-100339"/>
    <x v="4"/>
    <x v="0"/>
    <x v="0"/>
    <n v="7170.12"/>
    <n v="0"/>
    <x v="339"/>
    <x v="1"/>
    <s v="Tarjeta Crédito Empresarial"/>
    <s v="Transferencia"/>
    <s v="Pagado"/>
  </r>
  <r>
    <x v="160"/>
    <x v="7"/>
    <s v="TX-100340"/>
    <x v="6"/>
    <x v="1"/>
    <x v="5"/>
    <n v="14583.86"/>
    <n v="1895.9"/>
    <x v="340"/>
    <x v="4"/>
    <s v="Cuenta Corriente"/>
    <s v="Efectivo"/>
    <s v="Pagado"/>
  </r>
  <r>
    <x v="221"/>
    <x v="0"/>
    <s v="TX-100341"/>
    <x v="12"/>
    <x v="1"/>
    <x v="4"/>
    <n v="4830.25"/>
    <n v="627.92999999999995"/>
    <x v="341"/>
    <x v="3"/>
    <s v="Cuenta Ahorros"/>
    <s v="Efectivo"/>
    <s v="Pendiente"/>
  </r>
  <r>
    <x v="99"/>
    <x v="6"/>
    <s v="TX-100342"/>
    <x v="4"/>
    <x v="0"/>
    <x v="1"/>
    <n v="11808.93"/>
    <n v="0"/>
    <x v="342"/>
    <x v="0"/>
    <s v="Tarjeta Crédito Empresarial"/>
    <s v="Efectivo"/>
    <s v="Pagado"/>
  </r>
  <r>
    <x v="66"/>
    <x v="10"/>
    <s v="TX-100343"/>
    <x v="16"/>
    <x v="1"/>
    <x v="2"/>
    <n v="13877.68"/>
    <n v="1804.1"/>
    <x v="343"/>
    <x v="3"/>
    <s v="Cuenta Ahorros"/>
    <s v="Tarjeta Crédito"/>
    <s v="Pendiente"/>
  </r>
  <r>
    <x v="95"/>
    <x v="4"/>
    <s v="TX-100344"/>
    <x v="7"/>
    <x v="0"/>
    <x v="7"/>
    <n v="610.11"/>
    <n v="0"/>
    <x v="344"/>
    <x v="1"/>
    <s v="Cuenta Corriente"/>
    <s v="Efectivo"/>
    <s v="Pagado"/>
  </r>
  <r>
    <x v="184"/>
    <x v="4"/>
    <s v="TX-100345"/>
    <x v="8"/>
    <x v="1"/>
    <x v="1"/>
    <n v="11198.96"/>
    <n v="1455.86"/>
    <x v="345"/>
    <x v="2"/>
    <s v="Cuenta Corriente"/>
    <s v="Tarjeta Crédito"/>
    <s v="Pendiente"/>
  </r>
  <r>
    <x v="36"/>
    <x v="7"/>
    <s v="TX-100346"/>
    <x v="17"/>
    <x v="0"/>
    <x v="2"/>
    <n v="14588.82"/>
    <n v="0"/>
    <x v="346"/>
    <x v="4"/>
    <s v="Cuenta Ahorros"/>
    <s v="Efectivo"/>
    <s v="Pendiente"/>
  </r>
  <r>
    <x v="59"/>
    <x v="3"/>
    <s v="TX-100347"/>
    <x v="7"/>
    <x v="1"/>
    <x v="0"/>
    <n v="6653.66"/>
    <n v="864.98"/>
    <x v="347"/>
    <x v="1"/>
    <s v="Tarjeta Crédito Empresarial"/>
    <s v="Tarjeta Crédito"/>
    <s v="Pagado"/>
  </r>
  <r>
    <x v="227"/>
    <x v="11"/>
    <s v="TX-100348"/>
    <x v="1"/>
    <x v="0"/>
    <x v="3"/>
    <n v="2077.96"/>
    <n v="0"/>
    <x v="348"/>
    <x v="0"/>
    <s v="Cuenta Corriente"/>
    <s v="Tarjeta Débito"/>
    <s v="Pagado"/>
  </r>
  <r>
    <x v="210"/>
    <x v="3"/>
    <s v="TX-100349"/>
    <x v="0"/>
    <x v="1"/>
    <x v="1"/>
    <n v="6873.91"/>
    <n v="893.61"/>
    <x v="349"/>
    <x v="4"/>
    <s v="Cuenta Ahorros"/>
    <s v="Tarjeta Crédito"/>
    <s v="Pendiente"/>
  </r>
  <r>
    <x v="69"/>
    <x v="10"/>
    <s v="TX-100350"/>
    <x v="18"/>
    <x v="1"/>
    <x v="0"/>
    <n v="5618.38"/>
    <n v="730.39"/>
    <x v="350"/>
    <x v="1"/>
    <s v="Cuenta Corriente"/>
    <s v="Efectivo"/>
    <s v="Pendiente"/>
  </r>
  <r>
    <x v="115"/>
    <x v="3"/>
    <s v="TX-100351"/>
    <x v="16"/>
    <x v="0"/>
    <x v="2"/>
    <n v="4311.79"/>
    <n v="0"/>
    <x v="351"/>
    <x v="3"/>
    <s v="Cuenta Corriente"/>
    <s v="Tarjeta Débito"/>
    <s v="Pagado"/>
  </r>
  <r>
    <x v="228"/>
    <x v="5"/>
    <s v="TX-100352"/>
    <x v="5"/>
    <x v="0"/>
    <x v="3"/>
    <n v="7723.55"/>
    <n v="0"/>
    <x v="352"/>
    <x v="3"/>
    <s v="Cuenta Ahorros"/>
    <s v="Tarjeta Débito"/>
    <s v="Pagado"/>
  </r>
  <r>
    <x v="229"/>
    <x v="5"/>
    <s v="TX-100353"/>
    <x v="5"/>
    <x v="0"/>
    <x v="4"/>
    <n v="10705.47"/>
    <n v="0"/>
    <x v="353"/>
    <x v="2"/>
    <s v="Cuenta Ahorros"/>
    <s v="Efectivo"/>
    <s v="Pendiente"/>
  </r>
  <r>
    <x v="214"/>
    <x v="11"/>
    <s v="TX-100354"/>
    <x v="17"/>
    <x v="1"/>
    <x v="7"/>
    <n v="4567.07"/>
    <n v="593.72"/>
    <x v="354"/>
    <x v="0"/>
    <s v="Cuenta Ahorros"/>
    <s v="Transferencia"/>
    <s v="Pagado"/>
  </r>
  <r>
    <x v="230"/>
    <x v="11"/>
    <s v="TX-100355"/>
    <x v="4"/>
    <x v="0"/>
    <x v="4"/>
    <n v="10281.98"/>
    <n v="0"/>
    <x v="355"/>
    <x v="3"/>
    <s v="Cuenta Ahorros"/>
    <s v="Tarjeta Crédito"/>
    <s v="Pendiente"/>
  </r>
  <r>
    <x v="124"/>
    <x v="4"/>
    <s v="TX-100356"/>
    <x v="17"/>
    <x v="0"/>
    <x v="0"/>
    <n v="2291.44"/>
    <n v="0"/>
    <x v="356"/>
    <x v="3"/>
    <s v="Tarjeta Crédito Empresarial"/>
    <s v="Efectivo"/>
    <s v="Pendiente"/>
  </r>
  <r>
    <x v="50"/>
    <x v="8"/>
    <s v="TX-100357"/>
    <x v="0"/>
    <x v="0"/>
    <x v="4"/>
    <n v="3928.42"/>
    <n v="0"/>
    <x v="357"/>
    <x v="1"/>
    <s v="Cuenta Ahorros"/>
    <s v="Transferencia"/>
    <s v="Pagado"/>
  </r>
  <r>
    <x v="150"/>
    <x v="2"/>
    <s v="TX-100358"/>
    <x v="12"/>
    <x v="0"/>
    <x v="6"/>
    <n v="7634.36"/>
    <n v="0"/>
    <x v="358"/>
    <x v="0"/>
    <s v="Cuenta Corriente"/>
    <s v="Tarjeta Crédito"/>
    <s v="Pagado"/>
  </r>
  <r>
    <x v="231"/>
    <x v="9"/>
    <s v="TX-100359"/>
    <x v="16"/>
    <x v="0"/>
    <x v="5"/>
    <n v="14206.5"/>
    <n v="0"/>
    <x v="359"/>
    <x v="3"/>
    <s v="Cuenta Corriente"/>
    <s v="Tarjeta Crédito"/>
    <s v="Pagado"/>
  </r>
  <r>
    <x v="4"/>
    <x v="4"/>
    <s v="TX-100360"/>
    <x v="7"/>
    <x v="0"/>
    <x v="6"/>
    <n v="3945.36"/>
    <n v="0"/>
    <x v="360"/>
    <x v="1"/>
    <s v="Cuenta Corriente"/>
    <s v="Efectivo"/>
    <s v="Pagado"/>
  </r>
  <r>
    <x v="87"/>
    <x v="3"/>
    <s v="TX-100361"/>
    <x v="6"/>
    <x v="1"/>
    <x v="2"/>
    <n v="13019.09"/>
    <n v="1692.48"/>
    <x v="361"/>
    <x v="0"/>
    <s v="Cuenta Ahorros"/>
    <s v="Efectivo"/>
    <s v="Pagado"/>
  </r>
  <r>
    <x v="232"/>
    <x v="10"/>
    <s v="TX-100362"/>
    <x v="14"/>
    <x v="1"/>
    <x v="6"/>
    <n v="6167.42"/>
    <n v="801.76"/>
    <x v="362"/>
    <x v="1"/>
    <s v="Cuenta Corriente"/>
    <s v="Tarjeta Crédito"/>
    <s v="Pagado"/>
  </r>
  <r>
    <x v="233"/>
    <x v="1"/>
    <s v="TX-100363"/>
    <x v="6"/>
    <x v="0"/>
    <x v="5"/>
    <n v="4735.54"/>
    <n v="0"/>
    <x v="363"/>
    <x v="3"/>
    <s v="Cuenta Ahorros"/>
    <s v="Tarjeta Crédito"/>
    <s v="Pagado"/>
  </r>
  <r>
    <x v="234"/>
    <x v="0"/>
    <s v="TX-100364"/>
    <x v="19"/>
    <x v="1"/>
    <x v="7"/>
    <n v="11788.9"/>
    <n v="1532.56"/>
    <x v="364"/>
    <x v="4"/>
    <s v="Tarjeta Crédito Empresarial"/>
    <s v="Efectivo"/>
    <s v="Pendiente"/>
  </r>
  <r>
    <x v="173"/>
    <x v="11"/>
    <s v="TX-100365"/>
    <x v="7"/>
    <x v="0"/>
    <x v="3"/>
    <n v="119.8"/>
    <n v="0"/>
    <x v="365"/>
    <x v="4"/>
    <s v="Tarjeta Crédito Empresarial"/>
    <s v="Tarjeta Crédito"/>
    <s v="Pagado"/>
  </r>
  <r>
    <x v="84"/>
    <x v="6"/>
    <s v="TX-100366"/>
    <x v="4"/>
    <x v="1"/>
    <x v="1"/>
    <n v="10167.379999999999"/>
    <n v="1321.76"/>
    <x v="366"/>
    <x v="4"/>
    <s v="Cuenta Corriente"/>
    <s v="Tarjeta Crédito"/>
    <s v="Pendiente"/>
  </r>
  <r>
    <x v="44"/>
    <x v="1"/>
    <s v="TX-100367"/>
    <x v="1"/>
    <x v="0"/>
    <x v="4"/>
    <n v="2546.9499999999998"/>
    <n v="0"/>
    <x v="367"/>
    <x v="2"/>
    <s v="Cuenta Ahorros"/>
    <s v="Efectivo"/>
    <s v="Pendiente"/>
  </r>
  <r>
    <x v="235"/>
    <x v="7"/>
    <s v="TX-100368"/>
    <x v="16"/>
    <x v="0"/>
    <x v="7"/>
    <n v="5420.8"/>
    <n v="0"/>
    <x v="368"/>
    <x v="4"/>
    <s v="Cuenta Ahorros"/>
    <s v="Transferencia"/>
    <s v="Pagado"/>
  </r>
  <r>
    <x v="43"/>
    <x v="2"/>
    <s v="TX-100369"/>
    <x v="14"/>
    <x v="1"/>
    <x v="1"/>
    <n v="8865.91"/>
    <n v="1152.57"/>
    <x v="369"/>
    <x v="3"/>
    <s v="Cuenta Ahorros"/>
    <s v="Transferencia"/>
    <s v="Pendiente"/>
  </r>
  <r>
    <x v="146"/>
    <x v="6"/>
    <s v="TX-100370"/>
    <x v="4"/>
    <x v="1"/>
    <x v="1"/>
    <n v="9946.4500000000007"/>
    <n v="1293.04"/>
    <x v="370"/>
    <x v="3"/>
    <s v="Cuenta Corriente"/>
    <s v="Transferencia"/>
    <s v="Pendiente"/>
  </r>
  <r>
    <x v="48"/>
    <x v="2"/>
    <s v="TX-100371"/>
    <x v="7"/>
    <x v="1"/>
    <x v="4"/>
    <n v="7142.23"/>
    <n v="928.49"/>
    <x v="371"/>
    <x v="4"/>
    <s v="Tarjeta Crédito Empresarial"/>
    <s v="Transferencia"/>
    <s v="Pendiente"/>
  </r>
  <r>
    <x v="236"/>
    <x v="0"/>
    <s v="TX-100372"/>
    <x v="18"/>
    <x v="0"/>
    <x v="5"/>
    <n v="6311.44"/>
    <n v="0"/>
    <x v="372"/>
    <x v="0"/>
    <s v="Tarjeta Crédito Empresarial"/>
    <s v="Transferencia"/>
    <s v="Pendiente"/>
  </r>
  <r>
    <x v="225"/>
    <x v="4"/>
    <s v="TX-100373"/>
    <x v="1"/>
    <x v="0"/>
    <x v="0"/>
    <n v="9154.58"/>
    <n v="0"/>
    <x v="373"/>
    <x v="0"/>
    <s v="Cuenta Corriente"/>
    <s v="Tarjeta Crédito"/>
    <s v="Pendiente"/>
  </r>
  <r>
    <x v="237"/>
    <x v="5"/>
    <s v="TX-100374"/>
    <x v="16"/>
    <x v="1"/>
    <x v="7"/>
    <n v="13659.83"/>
    <n v="1775.78"/>
    <x v="374"/>
    <x v="1"/>
    <s v="Cuenta Ahorros"/>
    <s v="Tarjeta Débito"/>
    <s v="Pagado"/>
  </r>
  <r>
    <x v="10"/>
    <x v="0"/>
    <s v="TX-100375"/>
    <x v="1"/>
    <x v="1"/>
    <x v="7"/>
    <n v="2279.71"/>
    <n v="296.36"/>
    <x v="375"/>
    <x v="0"/>
    <s v="Cuenta Corriente"/>
    <s v="Transferencia"/>
    <s v="Pendiente"/>
  </r>
  <r>
    <x v="5"/>
    <x v="0"/>
    <s v="TX-100376"/>
    <x v="6"/>
    <x v="0"/>
    <x v="4"/>
    <n v="6990.95"/>
    <n v="0"/>
    <x v="376"/>
    <x v="4"/>
    <s v="Cuenta Corriente"/>
    <s v="Tarjeta Crédito"/>
    <s v="Pendiente"/>
  </r>
  <r>
    <x v="44"/>
    <x v="1"/>
    <s v="TX-100377"/>
    <x v="7"/>
    <x v="1"/>
    <x v="2"/>
    <n v="12776.13"/>
    <n v="1660.9"/>
    <x v="377"/>
    <x v="3"/>
    <s v="Cuenta Corriente"/>
    <s v="Tarjeta Débito"/>
    <s v="Pendiente"/>
  </r>
  <r>
    <x v="151"/>
    <x v="9"/>
    <s v="TX-100378"/>
    <x v="13"/>
    <x v="0"/>
    <x v="2"/>
    <n v="5620.7"/>
    <n v="0"/>
    <x v="378"/>
    <x v="4"/>
    <s v="Cuenta Corriente"/>
    <s v="Efectivo"/>
    <s v="Pendiente"/>
  </r>
  <r>
    <x v="203"/>
    <x v="6"/>
    <s v="TX-100379"/>
    <x v="17"/>
    <x v="0"/>
    <x v="7"/>
    <n v="12008.49"/>
    <n v="0"/>
    <x v="379"/>
    <x v="4"/>
    <s v="Cuenta Corriente"/>
    <s v="Tarjeta Débito"/>
    <s v="Pagado"/>
  </r>
  <r>
    <x v="238"/>
    <x v="5"/>
    <s v="TX-100380"/>
    <x v="1"/>
    <x v="0"/>
    <x v="7"/>
    <n v="12043.86"/>
    <n v="0"/>
    <x v="380"/>
    <x v="1"/>
    <s v="Cuenta Corriente"/>
    <s v="Efectivo"/>
    <s v="Pendiente"/>
  </r>
  <r>
    <x v="81"/>
    <x v="3"/>
    <s v="TX-100381"/>
    <x v="14"/>
    <x v="0"/>
    <x v="7"/>
    <n v="1738.42"/>
    <n v="0"/>
    <x v="381"/>
    <x v="1"/>
    <s v="Cuenta Corriente"/>
    <s v="Transferencia"/>
    <s v="Pendiente"/>
  </r>
  <r>
    <x v="237"/>
    <x v="5"/>
    <s v="TX-100382"/>
    <x v="10"/>
    <x v="1"/>
    <x v="6"/>
    <n v="7810.54"/>
    <n v="1015.37"/>
    <x v="382"/>
    <x v="0"/>
    <s v="Cuenta Corriente"/>
    <s v="Efectivo"/>
    <s v="Pagado"/>
  </r>
  <r>
    <x v="170"/>
    <x v="10"/>
    <s v="TX-100383"/>
    <x v="8"/>
    <x v="0"/>
    <x v="5"/>
    <n v="12593.54"/>
    <n v="0"/>
    <x v="383"/>
    <x v="0"/>
    <s v="Cuenta Corriente"/>
    <s v="Transferencia"/>
    <s v="Pagado"/>
  </r>
  <r>
    <x v="74"/>
    <x v="9"/>
    <s v="TX-100384"/>
    <x v="13"/>
    <x v="1"/>
    <x v="2"/>
    <n v="11283.88"/>
    <n v="1466.9"/>
    <x v="384"/>
    <x v="4"/>
    <s v="Cuenta Ahorros"/>
    <s v="Tarjeta Crédito"/>
    <s v="Pagado"/>
  </r>
  <r>
    <x v="154"/>
    <x v="0"/>
    <s v="TX-100385"/>
    <x v="11"/>
    <x v="0"/>
    <x v="3"/>
    <n v="12265.69"/>
    <n v="0"/>
    <x v="385"/>
    <x v="1"/>
    <s v="Cuenta Ahorros"/>
    <s v="Efectivo"/>
    <s v="Pagado"/>
  </r>
  <r>
    <x v="146"/>
    <x v="6"/>
    <s v="TX-100386"/>
    <x v="13"/>
    <x v="0"/>
    <x v="2"/>
    <n v="14711.03"/>
    <n v="0"/>
    <x v="386"/>
    <x v="3"/>
    <s v="Cuenta Corriente"/>
    <s v="Efectivo"/>
    <s v="Pendiente"/>
  </r>
  <r>
    <x v="119"/>
    <x v="6"/>
    <s v="TX-100387"/>
    <x v="11"/>
    <x v="1"/>
    <x v="2"/>
    <n v="11887.16"/>
    <n v="1545.33"/>
    <x v="387"/>
    <x v="2"/>
    <s v="Tarjeta Crédito Empresarial"/>
    <s v="Tarjeta Débito"/>
    <s v="Pendiente"/>
  </r>
  <r>
    <x v="18"/>
    <x v="9"/>
    <s v="TX-100388"/>
    <x v="8"/>
    <x v="1"/>
    <x v="0"/>
    <n v="12672.55"/>
    <n v="1647.43"/>
    <x v="388"/>
    <x v="0"/>
    <s v="Tarjeta Crédito Empresarial"/>
    <s v="Efectivo"/>
    <s v="Pendiente"/>
  </r>
  <r>
    <x v="58"/>
    <x v="9"/>
    <s v="TX-100389"/>
    <x v="18"/>
    <x v="1"/>
    <x v="0"/>
    <n v="82.84"/>
    <n v="10.77"/>
    <x v="389"/>
    <x v="2"/>
    <s v="Tarjeta Crédito Empresarial"/>
    <s v="Tarjeta Crédito"/>
    <s v="Pagado"/>
  </r>
  <r>
    <x v="213"/>
    <x v="3"/>
    <s v="TX-100390"/>
    <x v="14"/>
    <x v="0"/>
    <x v="5"/>
    <n v="12336.49"/>
    <n v="0"/>
    <x v="390"/>
    <x v="3"/>
    <s v="Cuenta Ahorros"/>
    <s v="Tarjeta Débito"/>
    <s v="Pagado"/>
  </r>
  <r>
    <x v="239"/>
    <x v="7"/>
    <s v="TX-100391"/>
    <x v="15"/>
    <x v="1"/>
    <x v="7"/>
    <n v="12377.08"/>
    <n v="1609.02"/>
    <x v="391"/>
    <x v="2"/>
    <s v="Cuenta Corriente"/>
    <s v="Efectivo"/>
    <s v="Pagado"/>
  </r>
  <r>
    <x v="122"/>
    <x v="1"/>
    <s v="TX-100392"/>
    <x v="6"/>
    <x v="0"/>
    <x v="5"/>
    <n v="14459.63"/>
    <n v="0"/>
    <x v="392"/>
    <x v="0"/>
    <s v="Tarjeta Crédito Empresarial"/>
    <s v="Transferencia"/>
    <s v="Pendiente"/>
  </r>
  <r>
    <x v="240"/>
    <x v="2"/>
    <s v="TX-100393"/>
    <x v="4"/>
    <x v="1"/>
    <x v="5"/>
    <n v="10970.9"/>
    <n v="1426.22"/>
    <x v="393"/>
    <x v="3"/>
    <s v="Cuenta Ahorros"/>
    <s v="Tarjeta Crédito"/>
    <s v="Pendiente"/>
  </r>
  <r>
    <x v="151"/>
    <x v="9"/>
    <s v="TX-100394"/>
    <x v="2"/>
    <x v="1"/>
    <x v="4"/>
    <n v="5998.16"/>
    <n v="779.76"/>
    <x v="394"/>
    <x v="2"/>
    <s v="Cuenta Ahorros"/>
    <s v="Tarjeta Débito"/>
    <s v="Pagado"/>
  </r>
  <r>
    <x v="17"/>
    <x v="10"/>
    <s v="TX-100395"/>
    <x v="2"/>
    <x v="0"/>
    <x v="6"/>
    <n v="10692.52"/>
    <n v="0"/>
    <x v="395"/>
    <x v="4"/>
    <s v="Cuenta Corriente"/>
    <s v="Tarjeta Débito"/>
    <s v="Pendiente"/>
  </r>
  <r>
    <x v="129"/>
    <x v="9"/>
    <s v="TX-100396"/>
    <x v="16"/>
    <x v="1"/>
    <x v="6"/>
    <n v="10669.77"/>
    <n v="1387.07"/>
    <x v="396"/>
    <x v="0"/>
    <s v="Cuenta Ahorros"/>
    <s v="Efectivo"/>
    <s v="Pendiente"/>
  </r>
  <r>
    <x v="20"/>
    <x v="1"/>
    <s v="TX-100397"/>
    <x v="10"/>
    <x v="1"/>
    <x v="1"/>
    <n v="5744.01"/>
    <n v="746.72"/>
    <x v="397"/>
    <x v="3"/>
    <s v="Cuenta Corriente"/>
    <s v="Tarjeta Crédito"/>
    <s v="Pagado"/>
  </r>
  <r>
    <x v="92"/>
    <x v="4"/>
    <s v="TX-100398"/>
    <x v="17"/>
    <x v="1"/>
    <x v="1"/>
    <n v="10374.39"/>
    <n v="1348.67"/>
    <x v="398"/>
    <x v="4"/>
    <s v="Tarjeta Crédito Empresarial"/>
    <s v="Transferencia"/>
    <s v="Pendiente"/>
  </r>
  <r>
    <x v="241"/>
    <x v="5"/>
    <s v="TX-100399"/>
    <x v="18"/>
    <x v="1"/>
    <x v="3"/>
    <n v="3602.05"/>
    <n v="468.27"/>
    <x v="399"/>
    <x v="2"/>
    <s v="Tarjeta Crédito Empresarial"/>
    <s v="Transferencia"/>
    <s v="Pendiente"/>
  </r>
  <r>
    <x v="242"/>
    <x v="4"/>
    <s v="TX-100400"/>
    <x v="7"/>
    <x v="0"/>
    <x v="1"/>
    <n v="243.83"/>
    <n v="0"/>
    <x v="400"/>
    <x v="4"/>
    <s v="Tarjeta Crédito Empresarial"/>
    <s v="Efectivo"/>
    <s v="Pagado"/>
  </r>
  <r>
    <x v="157"/>
    <x v="2"/>
    <s v="TX-100401"/>
    <x v="2"/>
    <x v="1"/>
    <x v="0"/>
    <n v="4447.96"/>
    <n v="578.23"/>
    <x v="401"/>
    <x v="3"/>
    <s v="Cuenta Corriente"/>
    <s v="Tarjeta Débito"/>
    <s v="Pagado"/>
  </r>
  <r>
    <x v="243"/>
    <x v="2"/>
    <s v="TX-100402"/>
    <x v="10"/>
    <x v="0"/>
    <x v="4"/>
    <n v="8371.15"/>
    <n v="0"/>
    <x v="402"/>
    <x v="4"/>
    <s v="Tarjeta Crédito Empresarial"/>
    <s v="Tarjeta Crédito"/>
    <s v="Pagado"/>
  </r>
  <r>
    <x v="200"/>
    <x v="9"/>
    <s v="TX-100403"/>
    <x v="13"/>
    <x v="1"/>
    <x v="1"/>
    <n v="2347.87"/>
    <n v="305.22000000000003"/>
    <x v="403"/>
    <x v="0"/>
    <s v="Cuenta Corriente"/>
    <s v="Tarjeta Crédito"/>
    <s v="Pendiente"/>
  </r>
  <r>
    <x v="214"/>
    <x v="11"/>
    <s v="TX-100404"/>
    <x v="18"/>
    <x v="0"/>
    <x v="0"/>
    <n v="14356.97"/>
    <n v="0"/>
    <x v="404"/>
    <x v="3"/>
    <s v="Tarjeta Crédito Empresarial"/>
    <s v="Tarjeta Débito"/>
    <s v="Pendiente"/>
  </r>
  <r>
    <x v="52"/>
    <x v="5"/>
    <s v="TX-100405"/>
    <x v="18"/>
    <x v="0"/>
    <x v="0"/>
    <n v="13256.78"/>
    <n v="0"/>
    <x v="405"/>
    <x v="2"/>
    <s v="Cuenta Ahorros"/>
    <s v="Tarjeta Crédito"/>
    <s v="Pendiente"/>
  </r>
  <r>
    <x v="244"/>
    <x v="9"/>
    <s v="TX-100406"/>
    <x v="19"/>
    <x v="0"/>
    <x v="1"/>
    <n v="1765.09"/>
    <n v="0"/>
    <x v="406"/>
    <x v="1"/>
    <s v="Cuenta Corriente"/>
    <s v="Tarjeta Débito"/>
    <s v="Pagado"/>
  </r>
  <r>
    <x v="114"/>
    <x v="4"/>
    <s v="TX-100407"/>
    <x v="7"/>
    <x v="1"/>
    <x v="3"/>
    <n v="3886.03"/>
    <n v="505.18"/>
    <x v="407"/>
    <x v="3"/>
    <s v="Tarjeta Crédito Empresarial"/>
    <s v="Tarjeta Crédito"/>
    <s v="Pendiente"/>
  </r>
  <r>
    <x v="182"/>
    <x v="0"/>
    <s v="TX-100408"/>
    <x v="10"/>
    <x v="0"/>
    <x v="0"/>
    <n v="4838.68"/>
    <n v="0"/>
    <x v="408"/>
    <x v="3"/>
    <s v="Cuenta Corriente"/>
    <s v="Transferencia"/>
    <s v="Pagado"/>
  </r>
  <r>
    <x v="6"/>
    <x v="5"/>
    <s v="TX-100409"/>
    <x v="5"/>
    <x v="0"/>
    <x v="2"/>
    <n v="3123.41"/>
    <n v="0"/>
    <x v="409"/>
    <x v="1"/>
    <s v="Tarjeta Crédito Empresarial"/>
    <s v="Transferencia"/>
    <s v="Pagado"/>
  </r>
  <r>
    <x v="20"/>
    <x v="1"/>
    <s v="TX-100410"/>
    <x v="6"/>
    <x v="0"/>
    <x v="1"/>
    <n v="1358.44"/>
    <n v="0"/>
    <x v="410"/>
    <x v="4"/>
    <s v="Cuenta Ahorros"/>
    <s v="Transferencia"/>
    <s v="Pagado"/>
  </r>
  <r>
    <x v="192"/>
    <x v="8"/>
    <s v="TX-100411"/>
    <x v="7"/>
    <x v="0"/>
    <x v="7"/>
    <n v="9471.75"/>
    <n v="0"/>
    <x v="411"/>
    <x v="2"/>
    <s v="Cuenta Corriente"/>
    <s v="Efectivo"/>
    <s v="Pagado"/>
  </r>
  <r>
    <x v="245"/>
    <x v="0"/>
    <s v="TX-100412"/>
    <x v="19"/>
    <x v="1"/>
    <x v="1"/>
    <n v="10528.19"/>
    <n v="1368.66"/>
    <x v="412"/>
    <x v="2"/>
    <s v="Tarjeta Crédito Empresarial"/>
    <s v="Transferencia"/>
    <s v="Pendiente"/>
  </r>
  <r>
    <x v="77"/>
    <x v="8"/>
    <s v="TX-100413"/>
    <x v="2"/>
    <x v="1"/>
    <x v="4"/>
    <n v="11490.85"/>
    <n v="1493.81"/>
    <x v="413"/>
    <x v="1"/>
    <s v="Cuenta Ahorros"/>
    <s v="Transferencia"/>
    <s v="Pendiente"/>
  </r>
  <r>
    <x v="246"/>
    <x v="10"/>
    <s v="TX-100414"/>
    <x v="11"/>
    <x v="1"/>
    <x v="5"/>
    <n v="11213.97"/>
    <n v="1457.82"/>
    <x v="414"/>
    <x v="2"/>
    <s v="Tarjeta Crédito Empresarial"/>
    <s v="Tarjeta Débito"/>
    <s v="Pendiente"/>
  </r>
  <r>
    <x v="153"/>
    <x v="10"/>
    <s v="TX-100415"/>
    <x v="10"/>
    <x v="1"/>
    <x v="2"/>
    <n v="674.51"/>
    <n v="87.69"/>
    <x v="415"/>
    <x v="0"/>
    <s v="Cuenta Ahorros"/>
    <s v="Transferencia"/>
    <s v="Pendiente"/>
  </r>
  <r>
    <x v="247"/>
    <x v="11"/>
    <s v="TX-100416"/>
    <x v="3"/>
    <x v="1"/>
    <x v="3"/>
    <n v="13589.14"/>
    <n v="1766.59"/>
    <x v="416"/>
    <x v="4"/>
    <s v="Cuenta Corriente"/>
    <s v="Tarjeta Débito"/>
    <s v="Pagado"/>
  </r>
  <r>
    <x v="131"/>
    <x v="10"/>
    <s v="TX-100417"/>
    <x v="12"/>
    <x v="1"/>
    <x v="5"/>
    <n v="10081.120000000001"/>
    <n v="1310.55"/>
    <x v="417"/>
    <x v="3"/>
    <s v="Tarjeta Crédito Empresarial"/>
    <s v="Efectivo"/>
    <s v="Pagado"/>
  </r>
  <r>
    <x v="248"/>
    <x v="10"/>
    <s v="TX-100418"/>
    <x v="18"/>
    <x v="0"/>
    <x v="2"/>
    <n v="3001.39"/>
    <n v="0"/>
    <x v="418"/>
    <x v="1"/>
    <s v="Cuenta Ahorros"/>
    <s v="Tarjeta Crédito"/>
    <s v="Pagado"/>
  </r>
  <r>
    <x v="206"/>
    <x v="9"/>
    <s v="TX-100419"/>
    <x v="1"/>
    <x v="0"/>
    <x v="2"/>
    <n v="13506.77"/>
    <n v="0"/>
    <x v="419"/>
    <x v="1"/>
    <s v="Cuenta Ahorros"/>
    <s v="Tarjeta Crédito"/>
    <s v="Pendiente"/>
  </r>
  <r>
    <x v="43"/>
    <x v="2"/>
    <s v="TX-100420"/>
    <x v="19"/>
    <x v="0"/>
    <x v="6"/>
    <n v="14381.95"/>
    <n v="0"/>
    <x v="420"/>
    <x v="3"/>
    <s v="Cuenta Ahorros"/>
    <s v="Tarjeta Débito"/>
    <s v="Pagado"/>
  </r>
  <r>
    <x v="18"/>
    <x v="9"/>
    <s v="TX-100421"/>
    <x v="17"/>
    <x v="0"/>
    <x v="5"/>
    <n v="10209.719999999999"/>
    <n v="0"/>
    <x v="421"/>
    <x v="1"/>
    <s v="Cuenta Ahorros"/>
    <s v="Efectivo"/>
    <s v="Pendiente"/>
  </r>
  <r>
    <x v="224"/>
    <x v="0"/>
    <s v="TX-100422"/>
    <x v="13"/>
    <x v="1"/>
    <x v="5"/>
    <n v="9701"/>
    <n v="1261.1300000000001"/>
    <x v="422"/>
    <x v="2"/>
    <s v="Cuenta Corriente"/>
    <s v="Tarjeta Débito"/>
    <s v="Pendiente"/>
  </r>
  <r>
    <x v="249"/>
    <x v="10"/>
    <s v="TX-100423"/>
    <x v="1"/>
    <x v="1"/>
    <x v="1"/>
    <n v="12199"/>
    <n v="1585.87"/>
    <x v="423"/>
    <x v="1"/>
    <s v="Tarjeta Crédito Empresarial"/>
    <s v="Tarjeta Débito"/>
    <s v="Pagado"/>
  </r>
  <r>
    <x v="250"/>
    <x v="7"/>
    <s v="TX-100424"/>
    <x v="4"/>
    <x v="0"/>
    <x v="5"/>
    <n v="5518.99"/>
    <n v="0"/>
    <x v="424"/>
    <x v="0"/>
    <s v="Tarjeta Crédito Empresarial"/>
    <s v="Tarjeta Crédito"/>
    <s v="Pagado"/>
  </r>
  <r>
    <x v="251"/>
    <x v="1"/>
    <s v="TX-100425"/>
    <x v="4"/>
    <x v="1"/>
    <x v="3"/>
    <n v="5489.79"/>
    <n v="713.67"/>
    <x v="425"/>
    <x v="4"/>
    <s v="Tarjeta Crédito Empresarial"/>
    <s v="Tarjeta Débito"/>
    <s v="Pagado"/>
  </r>
  <r>
    <x v="62"/>
    <x v="11"/>
    <s v="TX-100426"/>
    <x v="16"/>
    <x v="1"/>
    <x v="5"/>
    <n v="11052"/>
    <n v="1436.76"/>
    <x v="426"/>
    <x v="2"/>
    <s v="Cuenta Corriente"/>
    <s v="Tarjeta Débito"/>
    <s v="Pendiente"/>
  </r>
  <r>
    <x v="176"/>
    <x v="5"/>
    <s v="TX-100427"/>
    <x v="1"/>
    <x v="0"/>
    <x v="6"/>
    <n v="3548.58"/>
    <n v="0"/>
    <x v="427"/>
    <x v="4"/>
    <s v="Tarjeta Crédito Empresarial"/>
    <s v="Tarjeta Crédito"/>
    <s v="Pendiente"/>
  </r>
  <r>
    <x v="200"/>
    <x v="9"/>
    <s v="TX-100428"/>
    <x v="13"/>
    <x v="1"/>
    <x v="1"/>
    <n v="14709.82"/>
    <n v="1912.28"/>
    <x v="428"/>
    <x v="3"/>
    <s v="Tarjeta Crédito Empresarial"/>
    <s v="Tarjeta Crédito"/>
    <s v="Pendiente"/>
  </r>
  <r>
    <x v="108"/>
    <x v="0"/>
    <s v="TX-100429"/>
    <x v="15"/>
    <x v="0"/>
    <x v="6"/>
    <n v="8835.7999999999993"/>
    <n v="0"/>
    <x v="429"/>
    <x v="0"/>
    <s v="Cuenta Ahorros"/>
    <s v="Efectivo"/>
    <s v="Pagado"/>
  </r>
  <r>
    <x v="72"/>
    <x v="6"/>
    <s v="TX-100430"/>
    <x v="8"/>
    <x v="0"/>
    <x v="7"/>
    <n v="11900.23"/>
    <n v="0"/>
    <x v="430"/>
    <x v="3"/>
    <s v="Tarjeta Crédito Empresarial"/>
    <s v="Tarjeta Débito"/>
    <s v="Pendiente"/>
  </r>
  <r>
    <x v="252"/>
    <x v="7"/>
    <s v="TX-100431"/>
    <x v="5"/>
    <x v="1"/>
    <x v="4"/>
    <n v="3212.18"/>
    <n v="417.58"/>
    <x v="431"/>
    <x v="4"/>
    <s v="Cuenta Ahorros"/>
    <s v="Transferencia"/>
    <s v="Pagado"/>
  </r>
  <r>
    <x v="137"/>
    <x v="11"/>
    <s v="TX-100432"/>
    <x v="8"/>
    <x v="1"/>
    <x v="7"/>
    <n v="10144.68"/>
    <n v="1318.81"/>
    <x v="432"/>
    <x v="4"/>
    <s v="Tarjeta Crédito Empresarial"/>
    <s v="Tarjeta Débito"/>
    <s v="Pendiente"/>
  </r>
  <r>
    <x v="13"/>
    <x v="2"/>
    <s v="TX-100433"/>
    <x v="5"/>
    <x v="1"/>
    <x v="5"/>
    <n v="8623.6200000000008"/>
    <n v="1121.07"/>
    <x v="433"/>
    <x v="4"/>
    <s v="Tarjeta Crédito Empresarial"/>
    <s v="Transferencia"/>
    <s v="Pagado"/>
  </r>
  <r>
    <x v="60"/>
    <x v="3"/>
    <s v="TX-100434"/>
    <x v="14"/>
    <x v="0"/>
    <x v="5"/>
    <n v="7773.78"/>
    <n v="0"/>
    <x v="434"/>
    <x v="0"/>
    <s v="Tarjeta Crédito Empresarial"/>
    <s v="Transferencia"/>
    <s v="Pendiente"/>
  </r>
  <r>
    <x v="150"/>
    <x v="2"/>
    <s v="TX-100435"/>
    <x v="5"/>
    <x v="0"/>
    <x v="7"/>
    <n v="13016.17"/>
    <n v="0"/>
    <x v="435"/>
    <x v="4"/>
    <s v="Cuenta Ahorros"/>
    <s v="Tarjeta Débito"/>
    <s v="Pagado"/>
  </r>
  <r>
    <x v="185"/>
    <x v="0"/>
    <s v="TX-100436"/>
    <x v="16"/>
    <x v="0"/>
    <x v="7"/>
    <n v="8968.17"/>
    <n v="0"/>
    <x v="436"/>
    <x v="4"/>
    <s v="Cuenta Ahorros"/>
    <s v="Efectivo"/>
    <s v="Pagado"/>
  </r>
  <r>
    <x v="253"/>
    <x v="6"/>
    <s v="TX-100437"/>
    <x v="0"/>
    <x v="1"/>
    <x v="3"/>
    <n v="12406.39"/>
    <n v="1612.83"/>
    <x v="437"/>
    <x v="3"/>
    <s v="Cuenta Corriente"/>
    <s v="Efectivo"/>
    <s v="Pagado"/>
  </r>
  <r>
    <x v="22"/>
    <x v="10"/>
    <s v="TX-100438"/>
    <x v="1"/>
    <x v="0"/>
    <x v="5"/>
    <n v="13534.67"/>
    <n v="0"/>
    <x v="438"/>
    <x v="3"/>
    <s v="Tarjeta Crédito Empresarial"/>
    <s v="Efectivo"/>
    <s v="Pendiente"/>
  </r>
  <r>
    <x v="230"/>
    <x v="11"/>
    <s v="TX-100439"/>
    <x v="10"/>
    <x v="0"/>
    <x v="0"/>
    <n v="14079.4"/>
    <n v="0"/>
    <x v="439"/>
    <x v="1"/>
    <s v="Cuenta Ahorros"/>
    <s v="Transferencia"/>
    <s v="Pendiente"/>
  </r>
  <r>
    <x v="182"/>
    <x v="0"/>
    <s v="TX-100440"/>
    <x v="9"/>
    <x v="0"/>
    <x v="0"/>
    <n v="13655.78"/>
    <n v="0"/>
    <x v="440"/>
    <x v="2"/>
    <s v="Tarjeta Crédito Empresarial"/>
    <s v="Efectivo"/>
    <s v="Pendiente"/>
  </r>
  <r>
    <x v="54"/>
    <x v="3"/>
    <s v="TX-100441"/>
    <x v="0"/>
    <x v="1"/>
    <x v="2"/>
    <n v="7820.44"/>
    <n v="1016.66"/>
    <x v="441"/>
    <x v="4"/>
    <s v="Tarjeta Crédito Empresarial"/>
    <s v="Tarjeta Crédito"/>
    <s v="Pendiente"/>
  </r>
  <r>
    <x v="65"/>
    <x v="4"/>
    <s v="TX-100442"/>
    <x v="18"/>
    <x v="1"/>
    <x v="3"/>
    <n v="9791.06"/>
    <n v="1272.8399999999999"/>
    <x v="442"/>
    <x v="2"/>
    <s v="Tarjeta Crédito Empresarial"/>
    <s v="Efectivo"/>
    <s v="Pendiente"/>
  </r>
  <r>
    <x v="170"/>
    <x v="10"/>
    <s v="TX-100443"/>
    <x v="7"/>
    <x v="1"/>
    <x v="3"/>
    <n v="8303.9699999999993"/>
    <n v="1079.52"/>
    <x v="443"/>
    <x v="1"/>
    <s v="Cuenta Corriente"/>
    <s v="Tarjeta Crédito"/>
    <s v="Pendiente"/>
  </r>
  <r>
    <x v="254"/>
    <x v="5"/>
    <s v="TX-100444"/>
    <x v="17"/>
    <x v="0"/>
    <x v="3"/>
    <n v="11049.95"/>
    <n v="0"/>
    <x v="444"/>
    <x v="3"/>
    <s v="Tarjeta Crédito Empresarial"/>
    <s v="Tarjeta Débito"/>
    <s v="Pendiente"/>
  </r>
  <r>
    <x v="255"/>
    <x v="10"/>
    <s v="TX-100445"/>
    <x v="1"/>
    <x v="1"/>
    <x v="3"/>
    <n v="11801.91"/>
    <n v="1534.25"/>
    <x v="445"/>
    <x v="0"/>
    <s v="Tarjeta Crédito Empresarial"/>
    <s v="Transferencia"/>
    <s v="Pagado"/>
  </r>
  <r>
    <x v="102"/>
    <x v="6"/>
    <s v="TX-100446"/>
    <x v="10"/>
    <x v="1"/>
    <x v="5"/>
    <n v="7101.45"/>
    <n v="923.19"/>
    <x v="446"/>
    <x v="1"/>
    <s v="Cuenta Corriente"/>
    <s v="Transferencia"/>
    <s v="Pendiente"/>
  </r>
  <r>
    <x v="109"/>
    <x v="3"/>
    <s v="TX-100447"/>
    <x v="3"/>
    <x v="1"/>
    <x v="1"/>
    <n v="10881.2"/>
    <n v="1414.56"/>
    <x v="447"/>
    <x v="0"/>
    <s v="Tarjeta Crédito Empresarial"/>
    <s v="Tarjeta Crédito"/>
    <s v="Pagado"/>
  </r>
  <r>
    <x v="256"/>
    <x v="5"/>
    <s v="TX-100448"/>
    <x v="6"/>
    <x v="0"/>
    <x v="1"/>
    <n v="3065.52"/>
    <n v="0"/>
    <x v="448"/>
    <x v="0"/>
    <s v="Cuenta Ahorros"/>
    <s v="Tarjeta Débito"/>
    <s v="Pagado"/>
  </r>
  <r>
    <x v="116"/>
    <x v="5"/>
    <s v="TX-100449"/>
    <x v="19"/>
    <x v="1"/>
    <x v="1"/>
    <n v="5428.11"/>
    <n v="705.65"/>
    <x v="449"/>
    <x v="3"/>
    <s v="Cuenta Corriente"/>
    <s v="Transferencia"/>
    <s v="Pendiente"/>
  </r>
  <r>
    <x v="76"/>
    <x v="11"/>
    <s v="TX-100450"/>
    <x v="8"/>
    <x v="0"/>
    <x v="3"/>
    <n v="8811.9"/>
    <n v="0"/>
    <x v="450"/>
    <x v="3"/>
    <s v="Tarjeta Crédito Empresarial"/>
    <s v="Transferencia"/>
    <s v="Pagado"/>
  </r>
  <r>
    <x v="95"/>
    <x v="4"/>
    <s v="TX-100451"/>
    <x v="4"/>
    <x v="0"/>
    <x v="6"/>
    <n v="14451.15"/>
    <n v="0"/>
    <x v="451"/>
    <x v="4"/>
    <s v="Tarjeta Crédito Empresarial"/>
    <s v="Tarjeta Débito"/>
    <s v="Pendiente"/>
  </r>
  <r>
    <x v="149"/>
    <x v="11"/>
    <s v="TX-100452"/>
    <x v="2"/>
    <x v="1"/>
    <x v="4"/>
    <n v="2666.77"/>
    <n v="346.68"/>
    <x v="452"/>
    <x v="3"/>
    <s v="Tarjeta Crédito Empresarial"/>
    <s v="Transferencia"/>
    <s v="Pendiente"/>
  </r>
  <r>
    <x v="186"/>
    <x v="3"/>
    <s v="TX-100453"/>
    <x v="18"/>
    <x v="0"/>
    <x v="4"/>
    <n v="10428.17"/>
    <n v="0"/>
    <x v="453"/>
    <x v="0"/>
    <s v="Cuenta Ahorros"/>
    <s v="Tarjeta Débito"/>
    <s v="Pendiente"/>
  </r>
  <r>
    <x v="221"/>
    <x v="0"/>
    <s v="TX-100454"/>
    <x v="13"/>
    <x v="1"/>
    <x v="7"/>
    <n v="1788.21"/>
    <n v="232.47"/>
    <x v="454"/>
    <x v="1"/>
    <s v="Tarjeta Crédito Empresarial"/>
    <s v="Tarjeta Débito"/>
    <s v="Pagado"/>
  </r>
  <r>
    <x v="225"/>
    <x v="4"/>
    <s v="TX-100455"/>
    <x v="7"/>
    <x v="0"/>
    <x v="1"/>
    <n v="10527.24"/>
    <n v="0"/>
    <x v="455"/>
    <x v="4"/>
    <s v="Cuenta Ahorros"/>
    <s v="Transferencia"/>
    <s v="Pendiente"/>
  </r>
  <r>
    <x v="257"/>
    <x v="7"/>
    <s v="TX-100456"/>
    <x v="18"/>
    <x v="1"/>
    <x v="7"/>
    <n v="4742.3999999999996"/>
    <n v="616.51"/>
    <x v="456"/>
    <x v="0"/>
    <s v="Cuenta Ahorros"/>
    <s v="Tarjeta Débito"/>
    <s v="Pagado"/>
  </r>
  <r>
    <x v="258"/>
    <x v="7"/>
    <s v="TX-100457"/>
    <x v="12"/>
    <x v="1"/>
    <x v="0"/>
    <n v="13097.5"/>
    <n v="1702.67"/>
    <x v="457"/>
    <x v="4"/>
    <s v="Cuenta Corriente"/>
    <s v="Tarjeta Débito"/>
    <s v="Pendiente"/>
  </r>
  <r>
    <x v="52"/>
    <x v="5"/>
    <s v="TX-100458"/>
    <x v="1"/>
    <x v="1"/>
    <x v="2"/>
    <n v="10153.39"/>
    <n v="1319.94"/>
    <x v="458"/>
    <x v="1"/>
    <s v="Tarjeta Crédito Empresarial"/>
    <s v="Transferencia"/>
    <s v="Pagado"/>
  </r>
  <r>
    <x v="259"/>
    <x v="10"/>
    <s v="TX-100459"/>
    <x v="8"/>
    <x v="0"/>
    <x v="7"/>
    <n v="13476.91"/>
    <n v="0"/>
    <x v="459"/>
    <x v="2"/>
    <s v="Cuenta Ahorros"/>
    <s v="Tarjeta Débito"/>
    <s v="Pendiente"/>
  </r>
  <r>
    <x v="117"/>
    <x v="8"/>
    <s v="TX-100460"/>
    <x v="12"/>
    <x v="1"/>
    <x v="1"/>
    <n v="7909.74"/>
    <n v="1028.27"/>
    <x v="460"/>
    <x v="1"/>
    <s v="Tarjeta Crédito Empresarial"/>
    <s v="Transferencia"/>
    <s v="Pendiente"/>
  </r>
  <r>
    <x v="201"/>
    <x v="8"/>
    <s v="TX-100461"/>
    <x v="16"/>
    <x v="0"/>
    <x v="2"/>
    <n v="10488.76"/>
    <n v="0"/>
    <x v="461"/>
    <x v="2"/>
    <s v="Tarjeta Crédito Empresarial"/>
    <s v="Transferencia"/>
    <s v="Pagado"/>
  </r>
  <r>
    <x v="260"/>
    <x v="4"/>
    <s v="TX-100462"/>
    <x v="15"/>
    <x v="1"/>
    <x v="6"/>
    <n v="5455.95"/>
    <n v="709.27"/>
    <x v="462"/>
    <x v="4"/>
    <s v="Tarjeta Crédito Empresarial"/>
    <s v="Tarjeta Crédito"/>
    <s v="Pagado"/>
  </r>
  <r>
    <x v="89"/>
    <x v="8"/>
    <s v="TX-100463"/>
    <x v="13"/>
    <x v="0"/>
    <x v="6"/>
    <n v="2799.51"/>
    <n v="0"/>
    <x v="463"/>
    <x v="4"/>
    <s v="Cuenta Ahorros"/>
    <s v="Tarjeta Crédito"/>
    <s v="Pendiente"/>
  </r>
  <r>
    <x v="259"/>
    <x v="10"/>
    <s v="TX-100464"/>
    <x v="17"/>
    <x v="0"/>
    <x v="5"/>
    <n v="8592.58"/>
    <n v="0"/>
    <x v="464"/>
    <x v="4"/>
    <s v="Cuenta Corriente"/>
    <s v="Tarjeta Crédito"/>
    <s v="Pagado"/>
  </r>
  <r>
    <x v="261"/>
    <x v="2"/>
    <s v="TX-100465"/>
    <x v="7"/>
    <x v="1"/>
    <x v="5"/>
    <n v="12010.56"/>
    <n v="1561.37"/>
    <x v="465"/>
    <x v="1"/>
    <s v="Cuenta Corriente"/>
    <s v="Tarjeta Débito"/>
    <s v="Pendiente"/>
  </r>
  <r>
    <x v="262"/>
    <x v="10"/>
    <s v="TX-100466"/>
    <x v="16"/>
    <x v="0"/>
    <x v="7"/>
    <n v="4535.51"/>
    <n v="0"/>
    <x v="466"/>
    <x v="0"/>
    <s v="Cuenta Corriente"/>
    <s v="Efectivo"/>
    <s v="Pagado"/>
  </r>
  <r>
    <x v="263"/>
    <x v="6"/>
    <s v="TX-100467"/>
    <x v="0"/>
    <x v="1"/>
    <x v="4"/>
    <n v="7174.26"/>
    <n v="932.65"/>
    <x v="467"/>
    <x v="3"/>
    <s v="Cuenta Ahorros"/>
    <s v="Tarjeta Crédito"/>
    <s v="Pendiente"/>
  </r>
  <r>
    <x v="264"/>
    <x v="2"/>
    <s v="TX-100468"/>
    <x v="8"/>
    <x v="0"/>
    <x v="6"/>
    <n v="346.54"/>
    <n v="0"/>
    <x v="468"/>
    <x v="2"/>
    <s v="Tarjeta Crédito Empresarial"/>
    <s v="Tarjeta Débito"/>
    <s v="Pagado"/>
  </r>
  <r>
    <x v="167"/>
    <x v="8"/>
    <s v="TX-100469"/>
    <x v="8"/>
    <x v="0"/>
    <x v="7"/>
    <n v="11632.43"/>
    <n v="0"/>
    <x v="469"/>
    <x v="3"/>
    <s v="Cuenta Ahorros"/>
    <s v="Tarjeta Crédito"/>
    <s v="Pendiente"/>
  </r>
  <r>
    <x v="112"/>
    <x v="10"/>
    <s v="TX-100470"/>
    <x v="14"/>
    <x v="0"/>
    <x v="3"/>
    <n v="9487.5400000000009"/>
    <n v="0"/>
    <x v="470"/>
    <x v="1"/>
    <s v="Cuenta Corriente"/>
    <s v="Transferencia"/>
    <s v="Pagado"/>
  </r>
  <r>
    <x v="229"/>
    <x v="5"/>
    <s v="TX-100471"/>
    <x v="12"/>
    <x v="0"/>
    <x v="6"/>
    <n v="9812.5499999999993"/>
    <n v="0"/>
    <x v="471"/>
    <x v="2"/>
    <s v="Tarjeta Crédito Empresarial"/>
    <s v="Efectivo"/>
    <s v="Pendiente"/>
  </r>
  <r>
    <x v="265"/>
    <x v="1"/>
    <s v="TX-100472"/>
    <x v="8"/>
    <x v="0"/>
    <x v="3"/>
    <n v="2551.41"/>
    <n v="0"/>
    <x v="472"/>
    <x v="4"/>
    <s v="Tarjeta Crédito Empresarial"/>
    <s v="Tarjeta Débito"/>
    <s v="Pendiente"/>
  </r>
  <r>
    <x v="266"/>
    <x v="0"/>
    <s v="TX-100473"/>
    <x v="5"/>
    <x v="1"/>
    <x v="3"/>
    <n v="1589.99"/>
    <n v="206.7"/>
    <x v="473"/>
    <x v="1"/>
    <s v="Tarjeta Crédito Empresarial"/>
    <s v="Transferencia"/>
    <s v="Pagado"/>
  </r>
  <r>
    <x v="83"/>
    <x v="2"/>
    <s v="TX-100474"/>
    <x v="4"/>
    <x v="1"/>
    <x v="2"/>
    <n v="3973.66"/>
    <n v="516.58000000000004"/>
    <x v="474"/>
    <x v="3"/>
    <s v="Tarjeta Crédito Empresarial"/>
    <s v="Efectivo"/>
    <s v="Pendiente"/>
  </r>
  <r>
    <x v="202"/>
    <x v="2"/>
    <s v="TX-100475"/>
    <x v="5"/>
    <x v="0"/>
    <x v="7"/>
    <n v="9415.89"/>
    <n v="0"/>
    <x v="475"/>
    <x v="0"/>
    <s v="Cuenta Corriente"/>
    <s v="Transferencia"/>
    <s v="Pagado"/>
  </r>
  <r>
    <x v="22"/>
    <x v="10"/>
    <s v="TX-100476"/>
    <x v="8"/>
    <x v="0"/>
    <x v="7"/>
    <n v="14625.97"/>
    <n v="0"/>
    <x v="476"/>
    <x v="2"/>
    <s v="Tarjeta Crédito Empresarial"/>
    <s v="Efectivo"/>
    <s v="Pagado"/>
  </r>
  <r>
    <x v="7"/>
    <x v="6"/>
    <s v="TX-100477"/>
    <x v="19"/>
    <x v="0"/>
    <x v="3"/>
    <n v="7875.72"/>
    <n v="0"/>
    <x v="477"/>
    <x v="0"/>
    <s v="Cuenta Ahorros"/>
    <s v="Tarjeta Crédito"/>
    <s v="Pendiente"/>
  </r>
  <r>
    <x v="267"/>
    <x v="4"/>
    <s v="TX-100478"/>
    <x v="1"/>
    <x v="0"/>
    <x v="4"/>
    <n v="5518.46"/>
    <n v="0"/>
    <x v="478"/>
    <x v="4"/>
    <s v="Cuenta Ahorros"/>
    <s v="Transferencia"/>
    <s v="Pagado"/>
  </r>
  <r>
    <x v="237"/>
    <x v="5"/>
    <s v="TX-100479"/>
    <x v="3"/>
    <x v="0"/>
    <x v="7"/>
    <n v="8049.73"/>
    <n v="0"/>
    <x v="479"/>
    <x v="1"/>
    <s v="Cuenta Ahorros"/>
    <s v="Tarjeta Crédito"/>
    <s v="Pagado"/>
  </r>
  <r>
    <x v="235"/>
    <x v="7"/>
    <s v="TX-100480"/>
    <x v="17"/>
    <x v="1"/>
    <x v="1"/>
    <n v="8245.77"/>
    <n v="1071.95"/>
    <x v="480"/>
    <x v="1"/>
    <s v="Tarjeta Crédito Empresarial"/>
    <s v="Efectivo"/>
    <s v="Pendiente"/>
  </r>
  <r>
    <x v="154"/>
    <x v="0"/>
    <s v="TX-100481"/>
    <x v="14"/>
    <x v="0"/>
    <x v="3"/>
    <n v="3347.86"/>
    <n v="0"/>
    <x v="481"/>
    <x v="1"/>
    <s v="Tarjeta Crédito Empresarial"/>
    <s v="Tarjeta Débito"/>
    <s v="Pendiente"/>
  </r>
  <r>
    <x v="185"/>
    <x v="0"/>
    <s v="TX-100482"/>
    <x v="4"/>
    <x v="0"/>
    <x v="3"/>
    <n v="2860.61"/>
    <n v="0"/>
    <x v="482"/>
    <x v="4"/>
    <s v="Cuenta Corriente"/>
    <s v="Tarjeta Crédito"/>
    <s v="Pagado"/>
  </r>
  <r>
    <x v="64"/>
    <x v="11"/>
    <s v="TX-100483"/>
    <x v="2"/>
    <x v="0"/>
    <x v="4"/>
    <n v="10522.07"/>
    <n v="0"/>
    <x v="483"/>
    <x v="4"/>
    <s v="Cuenta Ahorros"/>
    <s v="Transferencia"/>
    <s v="Pagado"/>
  </r>
  <r>
    <x v="114"/>
    <x v="4"/>
    <s v="TX-100484"/>
    <x v="11"/>
    <x v="1"/>
    <x v="5"/>
    <n v="14586.37"/>
    <n v="1896.23"/>
    <x v="484"/>
    <x v="2"/>
    <s v="Cuenta Corriente"/>
    <s v="Efectivo"/>
    <s v="Pagado"/>
  </r>
  <r>
    <x v="151"/>
    <x v="9"/>
    <s v="TX-100485"/>
    <x v="1"/>
    <x v="1"/>
    <x v="1"/>
    <n v="7429.01"/>
    <n v="965.77"/>
    <x v="485"/>
    <x v="1"/>
    <s v="Cuenta Ahorros"/>
    <s v="Efectivo"/>
    <s v="Pendiente"/>
  </r>
  <r>
    <x v="268"/>
    <x v="2"/>
    <s v="TX-100486"/>
    <x v="10"/>
    <x v="0"/>
    <x v="2"/>
    <n v="12661.02"/>
    <n v="0"/>
    <x v="486"/>
    <x v="3"/>
    <s v="Cuenta Ahorros"/>
    <s v="Efectivo"/>
    <s v="Pagado"/>
  </r>
  <r>
    <x v="183"/>
    <x v="1"/>
    <s v="TX-100487"/>
    <x v="16"/>
    <x v="1"/>
    <x v="4"/>
    <n v="12267.9"/>
    <n v="1594.83"/>
    <x v="487"/>
    <x v="3"/>
    <s v="Tarjeta Crédito Empresarial"/>
    <s v="Tarjeta Débito"/>
    <s v="Pendiente"/>
  </r>
  <r>
    <x v="269"/>
    <x v="0"/>
    <s v="TX-100488"/>
    <x v="12"/>
    <x v="1"/>
    <x v="0"/>
    <n v="6939.48"/>
    <n v="902.13"/>
    <x v="488"/>
    <x v="0"/>
    <s v="Tarjeta Crédito Empresarial"/>
    <s v="Tarjeta Débito"/>
    <s v="Pendiente"/>
  </r>
  <r>
    <x v="179"/>
    <x v="1"/>
    <s v="TX-100489"/>
    <x v="17"/>
    <x v="0"/>
    <x v="5"/>
    <n v="9456.01"/>
    <n v="0"/>
    <x v="489"/>
    <x v="0"/>
    <s v="Tarjeta Crédito Empresarial"/>
    <s v="Transferencia"/>
    <s v="Pendiente"/>
  </r>
  <r>
    <x v="88"/>
    <x v="5"/>
    <s v="TX-100490"/>
    <x v="17"/>
    <x v="1"/>
    <x v="6"/>
    <n v="13318.42"/>
    <n v="1731.39"/>
    <x v="490"/>
    <x v="4"/>
    <s v="Cuenta Corriente"/>
    <s v="Tarjeta Débito"/>
    <s v="Pendiente"/>
  </r>
  <r>
    <x v="93"/>
    <x v="3"/>
    <s v="TX-100491"/>
    <x v="10"/>
    <x v="1"/>
    <x v="4"/>
    <n v="8791.2199999999993"/>
    <n v="1142.8599999999999"/>
    <x v="491"/>
    <x v="4"/>
    <s v="Cuenta Corriente"/>
    <s v="Transferencia"/>
    <s v="Pendiente"/>
  </r>
  <r>
    <x v="10"/>
    <x v="0"/>
    <s v="TX-100492"/>
    <x v="3"/>
    <x v="1"/>
    <x v="0"/>
    <n v="2407.59"/>
    <n v="312.99"/>
    <x v="492"/>
    <x v="0"/>
    <s v="Cuenta Ahorros"/>
    <s v="Transferencia"/>
    <s v="Pagado"/>
  </r>
  <r>
    <x v="206"/>
    <x v="9"/>
    <s v="TX-100493"/>
    <x v="16"/>
    <x v="1"/>
    <x v="5"/>
    <n v="7343.25"/>
    <n v="954.62"/>
    <x v="493"/>
    <x v="0"/>
    <s v="Tarjeta Crédito Empresarial"/>
    <s v="Tarjeta Crédito"/>
    <s v="Pendiente"/>
  </r>
  <r>
    <x v="242"/>
    <x v="4"/>
    <s v="TX-100494"/>
    <x v="0"/>
    <x v="0"/>
    <x v="6"/>
    <n v="10879.77"/>
    <n v="0"/>
    <x v="494"/>
    <x v="3"/>
    <s v="Cuenta Ahorros"/>
    <s v="Efectivo"/>
    <s v="Pendiente"/>
  </r>
  <r>
    <x v="11"/>
    <x v="8"/>
    <s v="TX-100495"/>
    <x v="12"/>
    <x v="1"/>
    <x v="6"/>
    <n v="4889.03"/>
    <n v="635.57000000000005"/>
    <x v="495"/>
    <x v="2"/>
    <s v="Tarjeta Crédito Empresarial"/>
    <s v="Tarjeta Débito"/>
    <s v="Pagado"/>
  </r>
  <r>
    <x v="12"/>
    <x v="8"/>
    <s v="TX-100496"/>
    <x v="6"/>
    <x v="0"/>
    <x v="4"/>
    <n v="8147.01"/>
    <n v="0"/>
    <x v="496"/>
    <x v="3"/>
    <s v="Tarjeta Crédito Empresarial"/>
    <s v="Efectivo"/>
    <s v="Pagado"/>
  </r>
  <r>
    <x v="266"/>
    <x v="0"/>
    <s v="TX-100497"/>
    <x v="19"/>
    <x v="0"/>
    <x v="0"/>
    <n v="4844.38"/>
    <n v="0"/>
    <x v="497"/>
    <x v="0"/>
    <s v="Cuenta Ahorros"/>
    <s v="Tarjeta Débito"/>
    <s v="Pendiente"/>
  </r>
  <r>
    <x v="74"/>
    <x v="9"/>
    <s v="TX-100498"/>
    <x v="19"/>
    <x v="0"/>
    <x v="6"/>
    <n v="6176.58"/>
    <n v="0"/>
    <x v="498"/>
    <x v="3"/>
    <s v="Cuenta Corriente"/>
    <s v="Transferencia"/>
    <s v="Pagado"/>
  </r>
  <r>
    <x v="160"/>
    <x v="7"/>
    <s v="TX-100499"/>
    <x v="14"/>
    <x v="1"/>
    <x v="0"/>
    <n v="1650.47"/>
    <n v="214.56"/>
    <x v="499"/>
    <x v="3"/>
    <s v="Cuenta Corriente"/>
    <s v="Efectivo"/>
    <s v="Pendiente"/>
  </r>
  <r>
    <x v="270"/>
    <x v="0"/>
    <s v="TX-100500"/>
    <x v="10"/>
    <x v="0"/>
    <x v="0"/>
    <n v="9109.01"/>
    <n v="0"/>
    <x v="500"/>
    <x v="3"/>
    <s v="Cuenta Corriente"/>
    <s v="Efectivo"/>
    <s v="Pagado"/>
  </r>
  <r>
    <x v="271"/>
    <x v="5"/>
    <s v="TX-100501"/>
    <x v="10"/>
    <x v="0"/>
    <x v="3"/>
    <n v="12339.3"/>
    <n v="0"/>
    <x v="501"/>
    <x v="3"/>
    <s v="Tarjeta Crédito Empresarial"/>
    <s v="Tarjeta Crédito"/>
    <s v="Pagado"/>
  </r>
  <r>
    <x v="144"/>
    <x v="0"/>
    <s v="TX-100502"/>
    <x v="9"/>
    <x v="1"/>
    <x v="0"/>
    <n v="14410.77"/>
    <n v="1873.4"/>
    <x v="502"/>
    <x v="3"/>
    <s v="Tarjeta Crédito Empresarial"/>
    <s v="Tarjeta Débito"/>
    <s v="Pendiente"/>
  </r>
  <r>
    <x v="170"/>
    <x v="10"/>
    <s v="TX-100503"/>
    <x v="5"/>
    <x v="1"/>
    <x v="5"/>
    <n v="8398.43"/>
    <n v="1091.8"/>
    <x v="503"/>
    <x v="1"/>
    <s v="Tarjeta Crédito Empresarial"/>
    <s v="Transferencia"/>
    <s v="Pendiente"/>
  </r>
  <r>
    <x v="255"/>
    <x v="10"/>
    <s v="TX-100504"/>
    <x v="7"/>
    <x v="1"/>
    <x v="5"/>
    <n v="11897.3"/>
    <n v="1546.65"/>
    <x v="504"/>
    <x v="1"/>
    <s v="Tarjeta Crédito Empresarial"/>
    <s v="Tarjeta Crédito"/>
    <s v="Pagado"/>
  </r>
  <r>
    <x v="222"/>
    <x v="3"/>
    <s v="TX-100505"/>
    <x v="8"/>
    <x v="0"/>
    <x v="6"/>
    <n v="12680.57"/>
    <n v="0"/>
    <x v="505"/>
    <x v="1"/>
    <s v="Tarjeta Crédito Empresarial"/>
    <s v="Tarjeta Crédito"/>
    <s v="Pagado"/>
  </r>
  <r>
    <x v="272"/>
    <x v="8"/>
    <s v="TX-100506"/>
    <x v="15"/>
    <x v="0"/>
    <x v="6"/>
    <n v="14426.69"/>
    <n v="0"/>
    <x v="506"/>
    <x v="1"/>
    <s v="Cuenta Corriente"/>
    <s v="Transferencia"/>
    <s v="Pendiente"/>
  </r>
  <r>
    <x v="273"/>
    <x v="7"/>
    <s v="TX-100507"/>
    <x v="11"/>
    <x v="1"/>
    <x v="4"/>
    <n v="148.19999999999999"/>
    <n v="19.27"/>
    <x v="507"/>
    <x v="4"/>
    <s v="Cuenta Ahorros"/>
    <s v="Transferencia"/>
    <s v="Pendiente"/>
  </r>
  <r>
    <x v="274"/>
    <x v="2"/>
    <s v="TX-100508"/>
    <x v="1"/>
    <x v="1"/>
    <x v="7"/>
    <n v="5367.05"/>
    <n v="697.72"/>
    <x v="508"/>
    <x v="2"/>
    <s v="Cuenta Ahorros"/>
    <s v="Tarjeta Débito"/>
    <s v="Pagado"/>
  </r>
  <r>
    <x v="257"/>
    <x v="7"/>
    <s v="TX-100509"/>
    <x v="17"/>
    <x v="1"/>
    <x v="3"/>
    <n v="8557.52"/>
    <n v="1112.48"/>
    <x v="509"/>
    <x v="3"/>
    <s v="Tarjeta Crédito Empresarial"/>
    <s v="Tarjeta Crédito"/>
    <s v="Pendiente"/>
  </r>
  <r>
    <x v="275"/>
    <x v="10"/>
    <s v="TX-100510"/>
    <x v="6"/>
    <x v="1"/>
    <x v="4"/>
    <n v="608.71"/>
    <n v="79.13"/>
    <x v="510"/>
    <x v="1"/>
    <s v="Cuenta Corriente"/>
    <s v="Transferencia"/>
    <s v="Pendiente"/>
  </r>
  <r>
    <x v="36"/>
    <x v="7"/>
    <s v="TX-100511"/>
    <x v="7"/>
    <x v="0"/>
    <x v="2"/>
    <n v="13053.31"/>
    <n v="0"/>
    <x v="511"/>
    <x v="0"/>
    <s v="Cuenta Corriente"/>
    <s v="Efectivo"/>
    <s v="Pagado"/>
  </r>
  <r>
    <x v="261"/>
    <x v="2"/>
    <s v="TX-100512"/>
    <x v="4"/>
    <x v="1"/>
    <x v="6"/>
    <n v="8121.95"/>
    <n v="1055.8499999999999"/>
    <x v="512"/>
    <x v="2"/>
    <s v="Tarjeta Crédito Empresarial"/>
    <s v="Tarjeta Débito"/>
    <s v="Pagado"/>
  </r>
  <r>
    <x v="135"/>
    <x v="4"/>
    <s v="TX-100513"/>
    <x v="15"/>
    <x v="0"/>
    <x v="2"/>
    <n v="3370.18"/>
    <n v="0"/>
    <x v="513"/>
    <x v="1"/>
    <s v="Cuenta Corriente"/>
    <s v="Tarjeta Débito"/>
    <s v="Pendiente"/>
  </r>
  <r>
    <x v="100"/>
    <x v="3"/>
    <s v="TX-100514"/>
    <x v="6"/>
    <x v="1"/>
    <x v="3"/>
    <n v="3975.24"/>
    <n v="516.78"/>
    <x v="514"/>
    <x v="0"/>
    <s v="Cuenta Ahorros"/>
    <s v="Tarjeta Débito"/>
    <s v="Pagado"/>
  </r>
  <r>
    <x v="112"/>
    <x v="10"/>
    <s v="TX-100515"/>
    <x v="4"/>
    <x v="1"/>
    <x v="7"/>
    <n v="5960.02"/>
    <n v="774.8"/>
    <x v="515"/>
    <x v="4"/>
    <s v="Tarjeta Crédito Empresarial"/>
    <s v="Tarjeta Débito"/>
    <s v="Pagado"/>
  </r>
  <r>
    <x v="259"/>
    <x v="10"/>
    <s v="TX-100516"/>
    <x v="9"/>
    <x v="0"/>
    <x v="6"/>
    <n v="10286.83"/>
    <n v="0"/>
    <x v="516"/>
    <x v="3"/>
    <s v="Cuenta Corriente"/>
    <s v="Efectivo"/>
    <s v="Pendiente"/>
  </r>
  <r>
    <x v="116"/>
    <x v="5"/>
    <s v="TX-100517"/>
    <x v="8"/>
    <x v="1"/>
    <x v="6"/>
    <n v="5200.6499999999996"/>
    <n v="676.08"/>
    <x v="517"/>
    <x v="3"/>
    <s v="Cuenta Ahorros"/>
    <s v="Tarjeta Débito"/>
    <s v="Pendiente"/>
  </r>
  <r>
    <x v="94"/>
    <x v="7"/>
    <s v="TX-100518"/>
    <x v="2"/>
    <x v="1"/>
    <x v="7"/>
    <n v="720.92"/>
    <n v="93.72"/>
    <x v="518"/>
    <x v="4"/>
    <s v="Tarjeta Crédito Empresarial"/>
    <s v="Tarjeta Crédito"/>
    <s v="Pagado"/>
  </r>
  <r>
    <x v="96"/>
    <x v="2"/>
    <s v="TX-100519"/>
    <x v="1"/>
    <x v="1"/>
    <x v="0"/>
    <n v="14236.67"/>
    <n v="1850.77"/>
    <x v="519"/>
    <x v="2"/>
    <s v="Cuenta Corriente"/>
    <s v="Tarjeta Crédito"/>
    <s v="Pagado"/>
  </r>
  <r>
    <x v="57"/>
    <x v="10"/>
    <s v="TX-100520"/>
    <x v="13"/>
    <x v="0"/>
    <x v="1"/>
    <n v="5011.5600000000004"/>
    <n v="0"/>
    <x v="520"/>
    <x v="4"/>
    <s v="Cuenta Corriente"/>
    <s v="Tarjeta Crédito"/>
    <s v="Pendiente"/>
  </r>
  <r>
    <x v="23"/>
    <x v="1"/>
    <s v="TX-100521"/>
    <x v="0"/>
    <x v="0"/>
    <x v="1"/>
    <n v="3869.07"/>
    <n v="0"/>
    <x v="521"/>
    <x v="2"/>
    <s v="Cuenta Corriente"/>
    <s v="Tarjeta Crédito"/>
    <s v="Pagado"/>
  </r>
  <r>
    <x v="52"/>
    <x v="5"/>
    <s v="TX-100522"/>
    <x v="10"/>
    <x v="1"/>
    <x v="3"/>
    <n v="9922.57"/>
    <n v="1289.93"/>
    <x v="522"/>
    <x v="2"/>
    <s v="Cuenta Corriente"/>
    <s v="Transferencia"/>
    <s v="Pendiente"/>
  </r>
  <r>
    <x v="118"/>
    <x v="11"/>
    <s v="TX-100523"/>
    <x v="12"/>
    <x v="0"/>
    <x v="2"/>
    <n v="13562.89"/>
    <n v="0"/>
    <x v="523"/>
    <x v="0"/>
    <s v="Tarjeta Crédito Empresarial"/>
    <s v="Transferencia"/>
    <s v="Pagado"/>
  </r>
  <r>
    <x v="132"/>
    <x v="11"/>
    <s v="TX-100524"/>
    <x v="11"/>
    <x v="0"/>
    <x v="1"/>
    <n v="644.29999999999995"/>
    <n v="0"/>
    <x v="524"/>
    <x v="2"/>
    <s v="Cuenta Ahorros"/>
    <s v="Efectivo"/>
    <s v="Pendiente"/>
  </r>
  <r>
    <x v="276"/>
    <x v="9"/>
    <s v="TX-100525"/>
    <x v="0"/>
    <x v="0"/>
    <x v="6"/>
    <n v="5362.9"/>
    <n v="0"/>
    <x v="525"/>
    <x v="4"/>
    <s v="Tarjeta Crédito Empresarial"/>
    <s v="Tarjeta Crédito"/>
    <s v="Pagado"/>
  </r>
  <r>
    <x v="277"/>
    <x v="9"/>
    <s v="TX-100526"/>
    <x v="7"/>
    <x v="1"/>
    <x v="4"/>
    <n v="3422.46"/>
    <n v="444.92"/>
    <x v="526"/>
    <x v="1"/>
    <s v="Tarjeta Crédito Empresarial"/>
    <s v="Tarjeta Débito"/>
    <s v="Pagado"/>
  </r>
  <r>
    <x v="48"/>
    <x v="2"/>
    <s v="TX-100527"/>
    <x v="4"/>
    <x v="1"/>
    <x v="3"/>
    <n v="3643.39"/>
    <n v="473.64"/>
    <x v="527"/>
    <x v="1"/>
    <s v="Cuenta Ahorros"/>
    <s v="Tarjeta Crédito"/>
    <s v="Pendiente"/>
  </r>
  <r>
    <x v="278"/>
    <x v="9"/>
    <s v="TX-100528"/>
    <x v="5"/>
    <x v="1"/>
    <x v="0"/>
    <n v="12945.69"/>
    <n v="1682.94"/>
    <x v="528"/>
    <x v="0"/>
    <s v="Cuenta Corriente"/>
    <s v="Efectivo"/>
    <s v="Pagado"/>
  </r>
  <r>
    <x v="268"/>
    <x v="2"/>
    <s v="TX-100529"/>
    <x v="3"/>
    <x v="1"/>
    <x v="2"/>
    <n v="2802.82"/>
    <n v="364.37"/>
    <x v="529"/>
    <x v="3"/>
    <s v="Cuenta Ahorros"/>
    <s v="Efectivo"/>
    <s v="Pendiente"/>
  </r>
  <r>
    <x v="158"/>
    <x v="0"/>
    <s v="TX-100530"/>
    <x v="13"/>
    <x v="0"/>
    <x v="5"/>
    <n v="11697.66"/>
    <n v="0"/>
    <x v="530"/>
    <x v="4"/>
    <s v="Cuenta Corriente"/>
    <s v="Transferencia"/>
    <s v="Pendiente"/>
  </r>
  <r>
    <x v="3"/>
    <x v="3"/>
    <s v="TX-100531"/>
    <x v="19"/>
    <x v="1"/>
    <x v="0"/>
    <n v="10326.299999999999"/>
    <n v="1342.42"/>
    <x v="531"/>
    <x v="3"/>
    <s v="Tarjeta Crédito Empresarial"/>
    <s v="Efectivo"/>
    <s v="Pagado"/>
  </r>
  <r>
    <x v="274"/>
    <x v="2"/>
    <s v="TX-100532"/>
    <x v="8"/>
    <x v="1"/>
    <x v="3"/>
    <n v="7397.11"/>
    <n v="961.62"/>
    <x v="532"/>
    <x v="4"/>
    <s v="Cuenta Corriente"/>
    <s v="Tarjeta Débito"/>
    <s v="Pagado"/>
  </r>
  <r>
    <x v="16"/>
    <x v="5"/>
    <s v="TX-100533"/>
    <x v="10"/>
    <x v="0"/>
    <x v="3"/>
    <n v="3377.19"/>
    <n v="0"/>
    <x v="533"/>
    <x v="4"/>
    <s v="Cuenta Corriente"/>
    <s v="Transferencia"/>
    <s v="Pagado"/>
  </r>
  <r>
    <x v="9"/>
    <x v="4"/>
    <s v="TX-100534"/>
    <x v="2"/>
    <x v="0"/>
    <x v="6"/>
    <n v="13008.28"/>
    <n v="0"/>
    <x v="534"/>
    <x v="1"/>
    <s v="Cuenta Ahorros"/>
    <s v="Transferencia"/>
    <s v="Pendiente"/>
  </r>
  <r>
    <x v="179"/>
    <x v="1"/>
    <s v="TX-100535"/>
    <x v="7"/>
    <x v="1"/>
    <x v="2"/>
    <n v="6801.56"/>
    <n v="884.2"/>
    <x v="535"/>
    <x v="4"/>
    <s v="Tarjeta Crédito Empresarial"/>
    <s v="Efectivo"/>
    <s v="Pagado"/>
  </r>
  <r>
    <x v="279"/>
    <x v="3"/>
    <s v="TX-100536"/>
    <x v="4"/>
    <x v="1"/>
    <x v="0"/>
    <n v="4403.13"/>
    <n v="572.41"/>
    <x v="536"/>
    <x v="2"/>
    <s v="Cuenta Ahorros"/>
    <s v="Efectivo"/>
    <s v="Pagado"/>
  </r>
  <r>
    <x v="188"/>
    <x v="6"/>
    <s v="TX-100537"/>
    <x v="17"/>
    <x v="1"/>
    <x v="5"/>
    <n v="6980.51"/>
    <n v="907.47"/>
    <x v="537"/>
    <x v="1"/>
    <s v="Cuenta Corriente"/>
    <s v="Transferencia"/>
    <s v="Pagado"/>
  </r>
  <r>
    <x v="211"/>
    <x v="7"/>
    <s v="TX-100538"/>
    <x v="15"/>
    <x v="0"/>
    <x v="6"/>
    <n v="6790.74"/>
    <n v="0"/>
    <x v="538"/>
    <x v="1"/>
    <s v="Tarjeta Crédito Empresarial"/>
    <s v="Tarjeta Débito"/>
    <s v="Pendiente"/>
  </r>
  <r>
    <x v="40"/>
    <x v="2"/>
    <s v="TX-100539"/>
    <x v="9"/>
    <x v="0"/>
    <x v="5"/>
    <n v="10789.7"/>
    <n v="0"/>
    <x v="539"/>
    <x v="3"/>
    <s v="Cuenta Corriente"/>
    <s v="Efectivo"/>
    <s v="Pendiente"/>
  </r>
  <r>
    <x v="107"/>
    <x v="3"/>
    <s v="TX-100540"/>
    <x v="11"/>
    <x v="0"/>
    <x v="5"/>
    <n v="5711.25"/>
    <n v="0"/>
    <x v="540"/>
    <x v="3"/>
    <s v="Cuenta Corriente"/>
    <s v="Tarjeta Crédito"/>
    <s v="Pagado"/>
  </r>
  <r>
    <x v="278"/>
    <x v="9"/>
    <s v="TX-100541"/>
    <x v="14"/>
    <x v="1"/>
    <x v="1"/>
    <n v="6322.75"/>
    <n v="821.96"/>
    <x v="541"/>
    <x v="1"/>
    <s v="Cuenta Ahorros"/>
    <s v="Tarjeta Débito"/>
    <s v="Pagado"/>
  </r>
  <r>
    <x v="90"/>
    <x v="11"/>
    <s v="TX-100542"/>
    <x v="5"/>
    <x v="1"/>
    <x v="4"/>
    <n v="232.51"/>
    <n v="30.23"/>
    <x v="542"/>
    <x v="1"/>
    <s v="Tarjeta Crédito Empresarial"/>
    <s v="Transferencia"/>
    <s v="Pendiente"/>
  </r>
  <r>
    <x v="154"/>
    <x v="0"/>
    <s v="TX-100543"/>
    <x v="5"/>
    <x v="0"/>
    <x v="7"/>
    <n v="6181.76"/>
    <n v="0"/>
    <x v="543"/>
    <x v="0"/>
    <s v="Tarjeta Crédito Empresarial"/>
    <s v="Transferencia"/>
    <s v="Pagado"/>
  </r>
  <r>
    <x v="168"/>
    <x v="1"/>
    <s v="TX-100544"/>
    <x v="2"/>
    <x v="1"/>
    <x v="1"/>
    <n v="2813.36"/>
    <n v="365.74"/>
    <x v="544"/>
    <x v="2"/>
    <s v="Cuenta Corriente"/>
    <s v="Tarjeta Débito"/>
    <s v="Pagado"/>
  </r>
  <r>
    <x v="211"/>
    <x v="7"/>
    <s v="TX-100545"/>
    <x v="8"/>
    <x v="1"/>
    <x v="1"/>
    <n v="1677.87"/>
    <n v="218.12"/>
    <x v="545"/>
    <x v="4"/>
    <s v="Tarjeta Crédito Empresarial"/>
    <s v="Tarjeta Crédito"/>
    <s v="Pagado"/>
  </r>
  <r>
    <x v="190"/>
    <x v="9"/>
    <s v="TX-100546"/>
    <x v="2"/>
    <x v="0"/>
    <x v="1"/>
    <n v="1442.24"/>
    <n v="0"/>
    <x v="546"/>
    <x v="2"/>
    <s v="Cuenta Ahorros"/>
    <s v="Efectivo"/>
    <s v="Pagado"/>
  </r>
  <r>
    <x v="264"/>
    <x v="2"/>
    <s v="TX-100547"/>
    <x v="4"/>
    <x v="1"/>
    <x v="4"/>
    <n v="7088.71"/>
    <n v="921.53"/>
    <x v="547"/>
    <x v="2"/>
    <s v="Cuenta Ahorros"/>
    <s v="Efectivo"/>
    <s v="Pagado"/>
  </r>
  <r>
    <x v="263"/>
    <x v="6"/>
    <s v="TX-100548"/>
    <x v="19"/>
    <x v="1"/>
    <x v="2"/>
    <n v="8591.94"/>
    <n v="1116.95"/>
    <x v="548"/>
    <x v="0"/>
    <s v="Cuenta Corriente"/>
    <s v="Efectivo"/>
    <s v="Pendiente"/>
  </r>
  <r>
    <x v="99"/>
    <x v="6"/>
    <s v="TX-100549"/>
    <x v="2"/>
    <x v="0"/>
    <x v="4"/>
    <n v="7904.6"/>
    <n v="0"/>
    <x v="549"/>
    <x v="2"/>
    <s v="Cuenta Corriente"/>
    <s v="Efectivo"/>
    <s v="Pendiente"/>
  </r>
  <r>
    <x v="220"/>
    <x v="1"/>
    <s v="TX-100550"/>
    <x v="16"/>
    <x v="1"/>
    <x v="4"/>
    <n v="14689.9"/>
    <n v="1909.69"/>
    <x v="550"/>
    <x v="3"/>
    <s v="Cuenta Corriente"/>
    <s v="Efectivo"/>
    <s v="Pagado"/>
  </r>
  <r>
    <x v="280"/>
    <x v="9"/>
    <s v="TX-100551"/>
    <x v="19"/>
    <x v="0"/>
    <x v="3"/>
    <n v="730.11"/>
    <n v="0"/>
    <x v="551"/>
    <x v="0"/>
    <s v="Tarjeta Crédito Empresarial"/>
    <s v="Tarjeta Débito"/>
    <s v="Pagado"/>
  </r>
  <r>
    <x v="149"/>
    <x v="11"/>
    <s v="TX-100552"/>
    <x v="9"/>
    <x v="0"/>
    <x v="2"/>
    <n v="4651.2"/>
    <n v="0"/>
    <x v="552"/>
    <x v="0"/>
    <s v="Cuenta Ahorros"/>
    <s v="Transferencia"/>
    <s v="Pagado"/>
  </r>
  <r>
    <x v="281"/>
    <x v="7"/>
    <s v="TX-100553"/>
    <x v="8"/>
    <x v="0"/>
    <x v="1"/>
    <n v="12489.04"/>
    <n v="0"/>
    <x v="553"/>
    <x v="2"/>
    <s v="Cuenta Ahorros"/>
    <s v="Efectivo"/>
    <s v="Pendiente"/>
  </r>
  <r>
    <x v="187"/>
    <x v="10"/>
    <s v="TX-100554"/>
    <x v="14"/>
    <x v="0"/>
    <x v="5"/>
    <n v="9426.65"/>
    <n v="0"/>
    <x v="554"/>
    <x v="2"/>
    <s v="Cuenta Ahorros"/>
    <s v="Efectivo"/>
    <s v="Pagado"/>
  </r>
  <r>
    <x v="126"/>
    <x v="5"/>
    <s v="TX-100555"/>
    <x v="2"/>
    <x v="0"/>
    <x v="1"/>
    <n v="3163.52"/>
    <n v="0"/>
    <x v="555"/>
    <x v="2"/>
    <s v="Cuenta Ahorros"/>
    <s v="Transferencia"/>
    <s v="Pagado"/>
  </r>
  <r>
    <x v="282"/>
    <x v="2"/>
    <s v="TX-100556"/>
    <x v="10"/>
    <x v="0"/>
    <x v="3"/>
    <n v="9416.34"/>
    <n v="0"/>
    <x v="556"/>
    <x v="0"/>
    <s v="Tarjeta Crédito Empresarial"/>
    <s v="Efectivo"/>
    <s v="Pagado"/>
  </r>
  <r>
    <x v="223"/>
    <x v="0"/>
    <s v="TX-100557"/>
    <x v="9"/>
    <x v="0"/>
    <x v="1"/>
    <n v="4108.8900000000003"/>
    <n v="0"/>
    <x v="557"/>
    <x v="1"/>
    <s v="Cuenta Corriente"/>
    <s v="Tarjeta Crédito"/>
    <s v="Pendiente"/>
  </r>
  <r>
    <x v="283"/>
    <x v="1"/>
    <s v="TX-100558"/>
    <x v="12"/>
    <x v="0"/>
    <x v="5"/>
    <n v="1727.86"/>
    <n v="0"/>
    <x v="558"/>
    <x v="4"/>
    <s v="Cuenta Corriente"/>
    <s v="Efectivo"/>
    <s v="Pagado"/>
  </r>
  <r>
    <x v="62"/>
    <x v="11"/>
    <s v="TX-100559"/>
    <x v="4"/>
    <x v="1"/>
    <x v="0"/>
    <n v="5134.7299999999996"/>
    <n v="667.51"/>
    <x v="559"/>
    <x v="0"/>
    <s v="Cuenta Ahorros"/>
    <s v="Tarjeta Crédito"/>
    <s v="Pagado"/>
  </r>
  <r>
    <x v="201"/>
    <x v="8"/>
    <s v="TX-100560"/>
    <x v="11"/>
    <x v="1"/>
    <x v="0"/>
    <n v="10882.33"/>
    <n v="1414.7"/>
    <x v="560"/>
    <x v="1"/>
    <s v="Tarjeta Crédito Empresarial"/>
    <s v="Transferencia"/>
    <s v="Pagado"/>
  </r>
  <r>
    <x v="44"/>
    <x v="1"/>
    <s v="TX-100561"/>
    <x v="10"/>
    <x v="1"/>
    <x v="6"/>
    <n v="7029.79"/>
    <n v="913.87"/>
    <x v="561"/>
    <x v="3"/>
    <s v="Tarjeta Crédito Empresarial"/>
    <s v="Tarjeta Crédito"/>
    <s v="Pagado"/>
  </r>
  <r>
    <x v="95"/>
    <x v="4"/>
    <s v="TX-100562"/>
    <x v="12"/>
    <x v="0"/>
    <x v="0"/>
    <n v="2928.56"/>
    <n v="0"/>
    <x v="562"/>
    <x v="0"/>
    <s v="Cuenta Ahorros"/>
    <s v="Efectivo"/>
    <s v="Pagado"/>
  </r>
  <r>
    <x v="28"/>
    <x v="6"/>
    <s v="TX-100563"/>
    <x v="16"/>
    <x v="1"/>
    <x v="4"/>
    <n v="1761.18"/>
    <n v="228.95"/>
    <x v="563"/>
    <x v="0"/>
    <s v="Tarjeta Crédito Empresarial"/>
    <s v="Transferencia"/>
    <s v="Pagado"/>
  </r>
  <r>
    <x v="193"/>
    <x v="5"/>
    <s v="TX-100564"/>
    <x v="4"/>
    <x v="0"/>
    <x v="4"/>
    <n v="2166.27"/>
    <n v="0"/>
    <x v="564"/>
    <x v="2"/>
    <s v="Tarjeta Crédito Empresarial"/>
    <s v="Tarjeta Débito"/>
    <s v="Pagado"/>
  </r>
  <r>
    <x v="284"/>
    <x v="1"/>
    <s v="TX-100565"/>
    <x v="9"/>
    <x v="0"/>
    <x v="7"/>
    <n v="808.36"/>
    <n v="0"/>
    <x v="565"/>
    <x v="1"/>
    <s v="Tarjeta Crédito Empresarial"/>
    <s v="Transferencia"/>
    <s v="Pagado"/>
  </r>
  <r>
    <x v="193"/>
    <x v="5"/>
    <s v="TX-100566"/>
    <x v="10"/>
    <x v="1"/>
    <x v="3"/>
    <n v="5909.16"/>
    <n v="768.19"/>
    <x v="566"/>
    <x v="0"/>
    <s v="Tarjeta Crédito Empresarial"/>
    <s v="Efectivo"/>
    <s v="Pendiente"/>
  </r>
  <r>
    <x v="212"/>
    <x v="8"/>
    <s v="TX-100567"/>
    <x v="8"/>
    <x v="1"/>
    <x v="2"/>
    <n v="14606.54"/>
    <n v="1898.85"/>
    <x v="567"/>
    <x v="0"/>
    <s v="Cuenta Corriente"/>
    <s v="Transferencia"/>
    <s v="Pendiente"/>
  </r>
  <r>
    <x v="250"/>
    <x v="7"/>
    <s v="TX-100568"/>
    <x v="6"/>
    <x v="0"/>
    <x v="7"/>
    <n v="7084.66"/>
    <n v="0"/>
    <x v="568"/>
    <x v="4"/>
    <s v="Tarjeta Crédito Empresarial"/>
    <s v="Tarjeta Crédito"/>
    <s v="Pendiente"/>
  </r>
  <r>
    <x v="209"/>
    <x v="1"/>
    <s v="TX-100569"/>
    <x v="16"/>
    <x v="0"/>
    <x v="6"/>
    <n v="6826.58"/>
    <n v="0"/>
    <x v="569"/>
    <x v="3"/>
    <s v="Cuenta Ahorros"/>
    <s v="Transferencia"/>
    <s v="Pendiente"/>
  </r>
  <r>
    <x v="72"/>
    <x v="6"/>
    <s v="TX-100570"/>
    <x v="13"/>
    <x v="1"/>
    <x v="4"/>
    <n v="11530.73"/>
    <n v="1498.99"/>
    <x v="570"/>
    <x v="0"/>
    <s v="Cuenta Corriente"/>
    <s v="Transferencia"/>
    <s v="Pendiente"/>
  </r>
  <r>
    <x v="109"/>
    <x v="3"/>
    <s v="TX-100571"/>
    <x v="3"/>
    <x v="1"/>
    <x v="4"/>
    <n v="8014.55"/>
    <n v="1041.8900000000001"/>
    <x v="571"/>
    <x v="0"/>
    <s v="Cuenta Ahorros"/>
    <s v="Tarjeta Débito"/>
    <s v="Pagado"/>
  </r>
  <r>
    <x v="285"/>
    <x v="5"/>
    <s v="TX-100572"/>
    <x v="6"/>
    <x v="0"/>
    <x v="2"/>
    <n v="5143.68"/>
    <n v="0"/>
    <x v="572"/>
    <x v="0"/>
    <s v="Cuenta Ahorros"/>
    <s v="Efectivo"/>
    <s v="Pendiente"/>
  </r>
  <r>
    <x v="38"/>
    <x v="6"/>
    <s v="TX-100573"/>
    <x v="14"/>
    <x v="1"/>
    <x v="7"/>
    <n v="1759.13"/>
    <n v="228.69"/>
    <x v="573"/>
    <x v="1"/>
    <s v="Cuenta Ahorros"/>
    <s v="Transferencia"/>
    <s v="Pendiente"/>
  </r>
  <r>
    <x v="126"/>
    <x v="5"/>
    <s v="TX-100574"/>
    <x v="9"/>
    <x v="0"/>
    <x v="2"/>
    <n v="8993.9699999999993"/>
    <n v="0"/>
    <x v="574"/>
    <x v="0"/>
    <s v="Cuenta Ahorros"/>
    <s v="Tarjeta Crédito"/>
    <s v="Pendiente"/>
  </r>
  <r>
    <x v="140"/>
    <x v="6"/>
    <s v="TX-100575"/>
    <x v="1"/>
    <x v="1"/>
    <x v="5"/>
    <n v="13314.56"/>
    <n v="1730.89"/>
    <x v="575"/>
    <x v="3"/>
    <s v="Cuenta Corriente"/>
    <s v="Tarjeta Débito"/>
    <s v="Pendiente"/>
  </r>
  <r>
    <x v="206"/>
    <x v="9"/>
    <s v="TX-100576"/>
    <x v="7"/>
    <x v="0"/>
    <x v="0"/>
    <n v="3124.64"/>
    <n v="0"/>
    <x v="576"/>
    <x v="2"/>
    <s v="Tarjeta Crédito Empresarial"/>
    <s v="Tarjeta Crédito"/>
    <s v="Pendiente"/>
  </r>
  <r>
    <x v="4"/>
    <x v="4"/>
    <s v="TX-100577"/>
    <x v="18"/>
    <x v="1"/>
    <x v="3"/>
    <n v="12722.17"/>
    <n v="1653.88"/>
    <x v="577"/>
    <x v="3"/>
    <s v="Cuenta Ahorros"/>
    <s v="Transferencia"/>
    <s v="Pagado"/>
  </r>
  <r>
    <x v="6"/>
    <x v="5"/>
    <s v="TX-100578"/>
    <x v="18"/>
    <x v="0"/>
    <x v="1"/>
    <n v="3566.86"/>
    <n v="0"/>
    <x v="578"/>
    <x v="0"/>
    <s v="Cuenta Ahorros"/>
    <s v="Tarjeta Crédito"/>
    <s v="Pendiente"/>
  </r>
  <r>
    <x v="15"/>
    <x v="8"/>
    <s v="TX-100579"/>
    <x v="7"/>
    <x v="0"/>
    <x v="0"/>
    <n v="9954.19"/>
    <n v="0"/>
    <x v="579"/>
    <x v="4"/>
    <s v="Cuenta Corriente"/>
    <s v="Efectivo"/>
    <s v="Pendiente"/>
  </r>
  <r>
    <x v="270"/>
    <x v="0"/>
    <s v="TX-100580"/>
    <x v="16"/>
    <x v="0"/>
    <x v="5"/>
    <n v="2057.4499999999998"/>
    <n v="0"/>
    <x v="580"/>
    <x v="3"/>
    <s v="Cuenta Corriente"/>
    <s v="Efectivo"/>
    <s v="Pendiente"/>
  </r>
  <r>
    <x v="241"/>
    <x v="5"/>
    <s v="TX-100581"/>
    <x v="1"/>
    <x v="1"/>
    <x v="3"/>
    <n v="12909.28"/>
    <n v="1678.21"/>
    <x v="581"/>
    <x v="0"/>
    <s v="Cuenta Ahorros"/>
    <s v="Tarjeta Débito"/>
    <s v="Pendiente"/>
  </r>
  <r>
    <x v="252"/>
    <x v="7"/>
    <s v="TX-100582"/>
    <x v="4"/>
    <x v="0"/>
    <x v="3"/>
    <n v="5361.84"/>
    <n v="0"/>
    <x v="582"/>
    <x v="1"/>
    <s v="Tarjeta Crédito Empresarial"/>
    <s v="Transferencia"/>
    <s v="Pendiente"/>
  </r>
  <r>
    <x v="275"/>
    <x v="10"/>
    <s v="TX-100583"/>
    <x v="11"/>
    <x v="0"/>
    <x v="3"/>
    <n v="13902.14"/>
    <n v="0"/>
    <x v="583"/>
    <x v="2"/>
    <s v="Cuenta Corriente"/>
    <s v="Transferencia"/>
    <s v="Pendiente"/>
  </r>
  <r>
    <x v="286"/>
    <x v="11"/>
    <s v="TX-100584"/>
    <x v="18"/>
    <x v="0"/>
    <x v="2"/>
    <n v="2174.21"/>
    <n v="0"/>
    <x v="584"/>
    <x v="2"/>
    <s v="Cuenta Ahorros"/>
    <s v="Transferencia"/>
    <s v="Pagado"/>
  </r>
  <r>
    <x v="151"/>
    <x v="9"/>
    <s v="TX-100585"/>
    <x v="6"/>
    <x v="1"/>
    <x v="4"/>
    <n v="9214.93"/>
    <n v="1197.94"/>
    <x v="585"/>
    <x v="0"/>
    <s v="Cuenta Corriente"/>
    <s v="Efectivo"/>
    <s v="Pendiente"/>
  </r>
  <r>
    <x v="4"/>
    <x v="4"/>
    <s v="TX-100586"/>
    <x v="2"/>
    <x v="0"/>
    <x v="3"/>
    <n v="5326.07"/>
    <n v="0"/>
    <x v="586"/>
    <x v="2"/>
    <s v="Cuenta Corriente"/>
    <s v="Transferencia"/>
    <s v="Pendiente"/>
  </r>
  <r>
    <x v="256"/>
    <x v="5"/>
    <s v="TX-100587"/>
    <x v="10"/>
    <x v="0"/>
    <x v="5"/>
    <n v="8614.26"/>
    <n v="0"/>
    <x v="587"/>
    <x v="2"/>
    <s v="Tarjeta Crédito Empresarial"/>
    <s v="Transferencia"/>
    <s v="Pendiente"/>
  </r>
  <r>
    <x v="287"/>
    <x v="4"/>
    <s v="TX-100588"/>
    <x v="18"/>
    <x v="1"/>
    <x v="2"/>
    <n v="12779.11"/>
    <n v="1661.28"/>
    <x v="588"/>
    <x v="2"/>
    <s v="Cuenta Corriente"/>
    <s v="Tarjeta Crédito"/>
    <s v="Pendiente"/>
  </r>
  <r>
    <x v="288"/>
    <x v="2"/>
    <s v="TX-100589"/>
    <x v="10"/>
    <x v="1"/>
    <x v="5"/>
    <n v="13656.47"/>
    <n v="1775.34"/>
    <x v="589"/>
    <x v="1"/>
    <s v="Cuenta Ahorros"/>
    <s v="Tarjeta Débito"/>
    <s v="Pendiente"/>
  </r>
  <r>
    <x v="113"/>
    <x v="0"/>
    <s v="TX-100590"/>
    <x v="6"/>
    <x v="1"/>
    <x v="1"/>
    <n v="5175.58"/>
    <n v="672.83"/>
    <x v="590"/>
    <x v="4"/>
    <s v="Tarjeta Crédito Empresarial"/>
    <s v="Tarjeta Débito"/>
    <s v="Pendiente"/>
  </r>
  <r>
    <x v="289"/>
    <x v="2"/>
    <s v="TX-100591"/>
    <x v="7"/>
    <x v="1"/>
    <x v="7"/>
    <n v="10903.69"/>
    <n v="1417.48"/>
    <x v="591"/>
    <x v="4"/>
    <s v="Tarjeta Crédito Empresarial"/>
    <s v="Tarjeta Crédito"/>
    <s v="Pagado"/>
  </r>
  <r>
    <x v="15"/>
    <x v="8"/>
    <s v="TX-100592"/>
    <x v="18"/>
    <x v="1"/>
    <x v="5"/>
    <n v="6987.02"/>
    <n v="908.31"/>
    <x v="592"/>
    <x v="2"/>
    <s v="Cuenta Ahorros"/>
    <s v="Tarjeta Débito"/>
    <s v="Pendiente"/>
  </r>
  <r>
    <x v="207"/>
    <x v="8"/>
    <s v="TX-100593"/>
    <x v="13"/>
    <x v="0"/>
    <x v="5"/>
    <n v="7980.11"/>
    <n v="0"/>
    <x v="593"/>
    <x v="3"/>
    <s v="Cuenta Ahorros"/>
    <s v="Efectivo"/>
    <s v="Pendiente"/>
  </r>
  <r>
    <x v="290"/>
    <x v="6"/>
    <s v="TX-100594"/>
    <x v="4"/>
    <x v="1"/>
    <x v="2"/>
    <n v="13769.8"/>
    <n v="1790.07"/>
    <x v="594"/>
    <x v="2"/>
    <s v="Cuenta Ahorros"/>
    <s v="Tarjeta Crédito"/>
    <s v="Pendiente"/>
  </r>
  <r>
    <x v="291"/>
    <x v="3"/>
    <s v="TX-100595"/>
    <x v="17"/>
    <x v="1"/>
    <x v="4"/>
    <n v="9832.43"/>
    <n v="1278.22"/>
    <x v="595"/>
    <x v="1"/>
    <s v="Tarjeta Crédito Empresarial"/>
    <s v="Tarjeta Débito"/>
    <s v="Pagado"/>
  </r>
  <r>
    <x v="221"/>
    <x v="0"/>
    <s v="TX-100596"/>
    <x v="16"/>
    <x v="0"/>
    <x v="1"/>
    <n v="10108.39"/>
    <n v="0"/>
    <x v="596"/>
    <x v="3"/>
    <s v="Cuenta Ahorros"/>
    <s v="Transferencia"/>
    <s v="Pagado"/>
  </r>
  <r>
    <x v="217"/>
    <x v="1"/>
    <s v="TX-100597"/>
    <x v="8"/>
    <x v="1"/>
    <x v="4"/>
    <n v="3815.85"/>
    <n v="496.06"/>
    <x v="597"/>
    <x v="3"/>
    <s v="Tarjeta Crédito Empresarial"/>
    <s v="Transferencia"/>
    <s v="Pagado"/>
  </r>
  <r>
    <x v="72"/>
    <x v="6"/>
    <s v="TX-100598"/>
    <x v="19"/>
    <x v="1"/>
    <x v="2"/>
    <n v="1341.48"/>
    <n v="174.39"/>
    <x v="598"/>
    <x v="4"/>
    <s v="Cuenta Ahorros"/>
    <s v="Tarjeta Débito"/>
    <s v="Pagado"/>
  </r>
  <r>
    <x v="198"/>
    <x v="0"/>
    <s v="TX-100599"/>
    <x v="9"/>
    <x v="0"/>
    <x v="7"/>
    <n v="9924.14"/>
    <n v="0"/>
    <x v="599"/>
    <x v="1"/>
    <s v="Cuenta Ahorros"/>
    <s v="Efectivo"/>
    <s v="Pendiente"/>
  </r>
  <r>
    <x v="87"/>
    <x v="3"/>
    <s v="TX-100600"/>
    <x v="16"/>
    <x v="1"/>
    <x v="4"/>
    <n v="11667.73"/>
    <n v="1516.8"/>
    <x v="600"/>
    <x v="1"/>
    <s v="Cuenta Ahorros"/>
    <s v="Transferencia"/>
    <s v="Pendiente"/>
  </r>
  <r>
    <x v="292"/>
    <x v="7"/>
    <s v="TX-100601"/>
    <x v="16"/>
    <x v="0"/>
    <x v="2"/>
    <n v="7401.24"/>
    <n v="0"/>
    <x v="601"/>
    <x v="0"/>
    <s v="Cuenta Ahorros"/>
    <s v="Tarjeta Débito"/>
    <s v="Pendiente"/>
  </r>
  <r>
    <x v="158"/>
    <x v="0"/>
    <s v="TX-100602"/>
    <x v="14"/>
    <x v="0"/>
    <x v="0"/>
    <n v="9228.7999999999993"/>
    <n v="0"/>
    <x v="602"/>
    <x v="1"/>
    <s v="Tarjeta Crédito Empresarial"/>
    <s v="Tarjeta Crédito"/>
    <s v="Pagado"/>
  </r>
  <r>
    <x v="293"/>
    <x v="1"/>
    <s v="TX-100603"/>
    <x v="1"/>
    <x v="1"/>
    <x v="4"/>
    <n v="11669.7"/>
    <n v="1517.06"/>
    <x v="603"/>
    <x v="1"/>
    <s v="Cuenta Corriente"/>
    <s v="Transferencia"/>
    <s v="Pagado"/>
  </r>
  <r>
    <x v="259"/>
    <x v="10"/>
    <s v="TX-100604"/>
    <x v="17"/>
    <x v="1"/>
    <x v="6"/>
    <n v="13574.03"/>
    <n v="1764.62"/>
    <x v="604"/>
    <x v="3"/>
    <s v="Tarjeta Crédito Empresarial"/>
    <s v="Efectivo"/>
    <s v="Pendiente"/>
  </r>
  <r>
    <x v="237"/>
    <x v="5"/>
    <s v="TX-100605"/>
    <x v="7"/>
    <x v="1"/>
    <x v="0"/>
    <n v="99.45"/>
    <n v="12.93"/>
    <x v="605"/>
    <x v="1"/>
    <s v="Cuenta Corriente"/>
    <s v="Tarjeta Crédito"/>
    <s v="Pendiente"/>
  </r>
  <r>
    <x v="277"/>
    <x v="9"/>
    <s v="TX-100606"/>
    <x v="7"/>
    <x v="1"/>
    <x v="2"/>
    <n v="5512.06"/>
    <n v="716.57"/>
    <x v="606"/>
    <x v="3"/>
    <s v="Cuenta Ahorros"/>
    <s v="Tarjeta Crédito"/>
    <s v="Pagado"/>
  </r>
  <r>
    <x v="190"/>
    <x v="9"/>
    <s v="TX-100607"/>
    <x v="11"/>
    <x v="1"/>
    <x v="3"/>
    <n v="9927.9699999999993"/>
    <n v="1290.6400000000001"/>
    <x v="607"/>
    <x v="1"/>
    <s v="Cuenta Corriente"/>
    <s v="Tarjeta Crédito"/>
    <s v="Pendiente"/>
  </r>
  <r>
    <x v="189"/>
    <x v="1"/>
    <s v="TX-100608"/>
    <x v="6"/>
    <x v="1"/>
    <x v="5"/>
    <n v="583.69000000000005"/>
    <n v="75.88"/>
    <x v="608"/>
    <x v="0"/>
    <s v="Cuenta Corriente"/>
    <s v="Efectivo"/>
    <s v="Pendiente"/>
  </r>
  <r>
    <x v="148"/>
    <x v="8"/>
    <s v="TX-100609"/>
    <x v="11"/>
    <x v="0"/>
    <x v="7"/>
    <n v="8032.4"/>
    <n v="0"/>
    <x v="609"/>
    <x v="3"/>
    <s v="Cuenta Corriente"/>
    <s v="Tarjeta Crédito"/>
    <s v="Pagado"/>
  </r>
  <r>
    <x v="146"/>
    <x v="6"/>
    <s v="TX-100610"/>
    <x v="10"/>
    <x v="0"/>
    <x v="2"/>
    <n v="3214.59"/>
    <n v="0"/>
    <x v="610"/>
    <x v="0"/>
    <s v="Cuenta Ahorros"/>
    <s v="Tarjeta Débito"/>
    <s v="Pagado"/>
  </r>
  <r>
    <x v="79"/>
    <x v="8"/>
    <s v="TX-100611"/>
    <x v="0"/>
    <x v="1"/>
    <x v="7"/>
    <n v="9824.7800000000007"/>
    <n v="1277.22"/>
    <x v="611"/>
    <x v="0"/>
    <s v="Cuenta Corriente"/>
    <s v="Tarjeta Débito"/>
    <s v="Pagado"/>
  </r>
  <r>
    <x v="144"/>
    <x v="0"/>
    <s v="TX-100612"/>
    <x v="14"/>
    <x v="1"/>
    <x v="4"/>
    <n v="12320.05"/>
    <n v="1601.61"/>
    <x v="612"/>
    <x v="1"/>
    <s v="Tarjeta Crédito Empresarial"/>
    <s v="Tarjeta Débito"/>
    <s v="Pagado"/>
  </r>
  <r>
    <x v="294"/>
    <x v="7"/>
    <s v="TX-100613"/>
    <x v="1"/>
    <x v="0"/>
    <x v="0"/>
    <n v="993.5"/>
    <n v="0"/>
    <x v="613"/>
    <x v="1"/>
    <s v="Cuenta Ahorros"/>
    <s v="Efectivo"/>
    <s v="Pendiente"/>
  </r>
  <r>
    <x v="204"/>
    <x v="7"/>
    <s v="TX-100614"/>
    <x v="19"/>
    <x v="1"/>
    <x v="6"/>
    <n v="12554.59"/>
    <n v="1632.1"/>
    <x v="614"/>
    <x v="3"/>
    <s v="Tarjeta Crédito Empresarial"/>
    <s v="Tarjeta Débito"/>
    <s v="Pendiente"/>
  </r>
  <r>
    <x v="43"/>
    <x v="2"/>
    <s v="TX-100615"/>
    <x v="1"/>
    <x v="0"/>
    <x v="5"/>
    <n v="11375.37"/>
    <n v="0"/>
    <x v="615"/>
    <x v="2"/>
    <s v="Tarjeta Crédito Empresarial"/>
    <s v="Tarjeta Débito"/>
    <s v="Pendiente"/>
  </r>
  <r>
    <x v="295"/>
    <x v="6"/>
    <s v="TX-100616"/>
    <x v="19"/>
    <x v="1"/>
    <x v="5"/>
    <n v="1544.52"/>
    <n v="200.79"/>
    <x v="616"/>
    <x v="0"/>
    <s v="Cuenta Ahorros"/>
    <s v="Tarjeta Débito"/>
    <s v="Pagado"/>
  </r>
  <r>
    <x v="234"/>
    <x v="0"/>
    <s v="TX-100617"/>
    <x v="18"/>
    <x v="1"/>
    <x v="1"/>
    <n v="2732.22"/>
    <n v="355.19"/>
    <x v="617"/>
    <x v="0"/>
    <s v="Cuenta Ahorros"/>
    <s v="Efectivo"/>
    <s v="Pendiente"/>
  </r>
  <r>
    <x v="81"/>
    <x v="3"/>
    <s v="TX-100618"/>
    <x v="5"/>
    <x v="1"/>
    <x v="4"/>
    <n v="7870.15"/>
    <n v="1023.12"/>
    <x v="618"/>
    <x v="4"/>
    <s v="Cuenta Corriente"/>
    <s v="Transferencia"/>
    <s v="Pagado"/>
  </r>
  <r>
    <x v="122"/>
    <x v="1"/>
    <s v="TX-100619"/>
    <x v="2"/>
    <x v="1"/>
    <x v="4"/>
    <n v="5250.41"/>
    <n v="682.55"/>
    <x v="619"/>
    <x v="0"/>
    <s v="Cuenta Corriente"/>
    <s v="Tarjeta Débito"/>
    <s v="Pagado"/>
  </r>
  <r>
    <x v="84"/>
    <x v="6"/>
    <s v="TX-100620"/>
    <x v="19"/>
    <x v="0"/>
    <x v="0"/>
    <n v="6990.03"/>
    <n v="0"/>
    <x v="620"/>
    <x v="4"/>
    <s v="Cuenta Ahorros"/>
    <s v="Transferencia"/>
    <s v="Pagado"/>
  </r>
  <r>
    <x v="16"/>
    <x v="5"/>
    <s v="TX-100621"/>
    <x v="14"/>
    <x v="0"/>
    <x v="7"/>
    <n v="2686.04"/>
    <n v="0"/>
    <x v="621"/>
    <x v="3"/>
    <s v="Cuenta Corriente"/>
    <s v="Tarjeta Crédito"/>
    <s v="Pendiente"/>
  </r>
  <r>
    <x v="12"/>
    <x v="8"/>
    <s v="TX-100622"/>
    <x v="15"/>
    <x v="0"/>
    <x v="6"/>
    <n v="9271.4500000000007"/>
    <n v="0"/>
    <x v="622"/>
    <x v="3"/>
    <s v="Cuenta Corriente"/>
    <s v="Transferencia"/>
    <s v="Pagado"/>
  </r>
  <r>
    <x v="26"/>
    <x v="7"/>
    <s v="TX-100623"/>
    <x v="0"/>
    <x v="0"/>
    <x v="2"/>
    <n v="1109.3499999999999"/>
    <n v="0"/>
    <x v="623"/>
    <x v="1"/>
    <s v="Tarjeta Crédito Empresarial"/>
    <s v="Tarjeta Crédito"/>
    <s v="Pendiente"/>
  </r>
  <r>
    <x v="85"/>
    <x v="0"/>
    <s v="TX-100624"/>
    <x v="3"/>
    <x v="1"/>
    <x v="2"/>
    <n v="4925.68"/>
    <n v="640.34"/>
    <x v="624"/>
    <x v="4"/>
    <s v="Tarjeta Crédito Empresarial"/>
    <s v="Efectivo"/>
    <s v="Pagado"/>
  </r>
  <r>
    <x v="20"/>
    <x v="1"/>
    <s v="TX-100625"/>
    <x v="12"/>
    <x v="1"/>
    <x v="7"/>
    <n v="8797.1299999999992"/>
    <n v="1143.6300000000001"/>
    <x v="625"/>
    <x v="1"/>
    <s v="Cuenta Corriente"/>
    <s v="Tarjeta Débito"/>
    <s v="Pendiente"/>
  </r>
  <r>
    <x v="281"/>
    <x v="7"/>
    <s v="TX-100626"/>
    <x v="15"/>
    <x v="0"/>
    <x v="5"/>
    <n v="6893.22"/>
    <n v="0"/>
    <x v="626"/>
    <x v="2"/>
    <s v="Cuenta Ahorros"/>
    <s v="Tarjeta Débito"/>
    <s v="Pendiente"/>
  </r>
  <r>
    <x v="212"/>
    <x v="8"/>
    <s v="TX-100627"/>
    <x v="0"/>
    <x v="1"/>
    <x v="4"/>
    <n v="2090.6999999999998"/>
    <n v="271.79000000000002"/>
    <x v="627"/>
    <x v="1"/>
    <s v="Cuenta Ahorros"/>
    <s v="Tarjeta Débito"/>
    <s v="Pendiente"/>
  </r>
  <r>
    <x v="17"/>
    <x v="10"/>
    <s v="TX-100628"/>
    <x v="9"/>
    <x v="1"/>
    <x v="5"/>
    <n v="8692.92"/>
    <n v="1130.08"/>
    <x v="628"/>
    <x v="4"/>
    <s v="Cuenta Corriente"/>
    <s v="Efectivo"/>
    <s v="Pendiente"/>
  </r>
  <r>
    <x v="296"/>
    <x v="8"/>
    <s v="TX-100629"/>
    <x v="19"/>
    <x v="0"/>
    <x v="7"/>
    <n v="4223.6000000000004"/>
    <n v="0"/>
    <x v="629"/>
    <x v="4"/>
    <s v="Cuenta Corriente"/>
    <s v="Tarjeta Crédito"/>
    <s v="Pendiente"/>
  </r>
  <r>
    <x v="125"/>
    <x v="1"/>
    <s v="TX-100630"/>
    <x v="19"/>
    <x v="1"/>
    <x v="1"/>
    <n v="6295.69"/>
    <n v="818.44"/>
    <x v="630"/>
    <x v="3"/>
    <s v="Cuenta Ahorros"/>
    <s v="Transferencia"/>
    <s v="Pendiente"/>
  </r>
  <r>
    <x v="182"/>
    <x v="0"/>
    <s v="TX-100631"/>
    <x v="13"/>
    <x v="1"/>
    <x v="7"/>
    <n v="7454.51"/>
    <n v="969.09"/>
    <x v="631"/>
    <x v="0"/>
    <s v="Cuenta Corriente"/>
    <s v="Efectivo"/>
    <s v="Pagado"/>
  </r>
  <r>
    <x v="10"/>
    <x v="0"/>
    <s v="TX-100632"/>
    <x v="3"/>
    <x v="0"/>
    <x v="0"/>
    <n v="9732.2199999999993"/>
    <n v="0"/>
    <x v="632"/>
    <x v="3"/>
    <s v="Cuenta Ahorros"/>
    <s v="Tarjeta Crédito"/>
    <s v="Pagado"/>
  </r>
  <r>
    <x v="274"/>
    <x v="2"/>
    <s v="TX-100633"/>
    <x v="2"/>
    <x v="1"/>
    <x v="7"/>
    <n v="6983.22"/>
    <n v="907.82"/>
    <x v="633"/>
    <x v="1"/>
    <s v="Cuenta Corriente"/>
    <s v="Tarjeta Crédito"/>
    <s v="Pendiente"/>
  </r>
  <r>
    <x v="92"/>
    <x v="4"/>
    <s v="TX-100634"/>
    <x v="1"/>
    <x v="0"/>
    <x v="6"/>
    <n v="7987.26"/>
    <n v="0"/>
    <x v="634"/>
    <x v="1"/>
    <s v="Cuenta Ahorros"/>
    <s v="Tarjeta Débito"/>
    <s v="Pagado"/>
  </r>
  <r>
    <x v="147"/>
    <x v="3"/>
    <s v="TX-100635"/>
    <x v="10"/>
    <x v="0"/>
    <x v="1"/>
    <n v="1708.95"/>
    <n v="0"/>
    <x v="635"/>
    <x v="1"/>
    <s v="Tarjeta Crédito Empresarial"/>
    <s v="Transferencia"/>
    <s v="Pendiente"/>
  </r>
  <r>
    <x v="231"/>
    <x v="9"/>
    <s v="TX-100636"/>
    <x v="16"/>
    <x v="1"/>
    <x v="0"/>
    <n v="2119.17"/>
    <n v="275.49"/>
    <x v="636"/>
    <x v="4"/>
    <s v="Tarjeta Crédito Empresarial"/>
    <s v="Transferencia"/>
    <s v="Pendiente"/>
  </r>
  <r>
    <x v="297"/>
    <x v="11"/>
    <s v="TX-100637"/>
    <x v="5"/>
    <x v="0"/>
    <x v="6"/>
    <n v="13474.1"/>
    <n v="0"/>
    <x v="637"/>
    <x v="1"/>
    <s v="Cuenta Ahorros"/>
    <s v="Transferencia"/>
    <s v="Pagado"/>
  </r>
  <r>
    <x v="264"/>
    <x v="2"/>
    <s v="TX-100638"/>
    <x v="8"/>
    <x v="0"/>
    <x v="7"/>
    <n v="7546.68"/>
    <n v="0"/>
    <x v="638"/>
    <x v="1"/>
    <s v="Tarjeta Crédito Empresarial"/>
    <s v="Tarjeta Crédito"/>
    <s v="Pendiente"/>
  </r>
  <r>
    <x v="291"/>
    <x v="3"/>
    <s v="TX-100639"/>
    <x v="18"/>
    <x v="1"/>
    <x v="7"/>
    <n v="1355.27"/>
    <n v="176.19"/>
    <x v="639"/>
    <x v="4"/>
    <s v="Cuenta Ahorros"/>
    <s v="Transferencia"/>
    <s v="Pagado"/>
  </r>
  <r>
    <x v="142"/>
    <x v="7"/>
    <s v="TX-100640"/>
    <x v="9"/>
    <x v="1"/>
    <x v="5"/>
    <n v="7470.11"/>
    <n v="971.11"/>
    <x v="640"/>
    <x v="0"/>
    <s v="Tarjeta Crédito Empresarial"/>
    <s v="Transferencia"/>
    <s v="Pendiente"/>
  </r>
  <r>
    <x v="298"/>
    <x v="8"/>
    <s v="TX-100641"/>
    <x v="4"/>
    <x v="1"/>
    <x v="7"/>
    <n v="5233.17"/>
    <n v="680.31"/>
    <x v="641"/>
    <x v="3"/>
    <s v="Cuenta Ahorros"/>
    <s v="Tarjeta Débito"/>
    <s v="Pagado"/>
  </r>
  <r>
    <x v="116"/>
    <x v="5"/>
    <s v="TX-100642"/>
    <x v="5"/>
    <x v="0"/>
    <x v="3"/>
    <n v="8701.6299999999992"/>
    <n v="0"/>
    <x v="642"/>
    <x v="2"/>
    <s v="Cuenta Ahorros"/>
    <s v="Efectivo"/>
    <s v="Pendiente"/>
  </r>
  <r>
    <x v="267"/>
    <x v="4"/>
    <s v="TX-100643"/>
    <x v="2"/>
    <x v="1"/>
    <x v="4"/>
    <n v="2617.4699999999998"/>
    <n v="340.27"/>
    <x v="643"/>
    <x v="4"/>
    <s v="Cuenta Ahorros"/>
    <s v="Tarjeta Crédito"/>
    <s v="Pendiente"/>
  </r>
  <r>
    <x v="289"/>
    <x v="2"/>
    <s v="TX-100644"/>
    <x v="14"/>
    <x v="0"/>
    <x v="4"/>
    <n v="6866.1"/>
    <n v="0"/>
    <x v="644"/>
    <x v="0"/>
    <s v="Cuenta Corriente"/>
    <s v="Tarjeta Crédito"/>
    <s v="Pagado"/>
  </r>
  <r>
    <x v="206"/>
    <x v="9"/>
    <s v="TX-100645"/>
    <x v="14"/>
    <x v="1"/>
    <x v="0"/>
    <n v="1797.91"/>
    <n v="233.73"/>
    <x v="645"/>
    <x v="0"/>
    <s v="Cuenta Corriente"/>
    <s v="Efectivo"/>
    <s v="Pendiente"/>
  </r>
  <r>
    <x v="299"/>
    <x v="9"/>
    <s v="TX-100646"/>
    <x v="16"/>
    <x v="1"/>
    <x v="1"/>
    <n v="10000.02"/>
    <n v="1300"/>
    <x v="646"/>
    <x v="4"/>
    <s v="Cuenta Ahorros"/>
    <s v="Efectivo"/>
    <s v="Pagado"/>
  </r>
  <r>
    <x v="268"/>
    <x v="2"/>
    <s v="TX-100647"/>
    <x v="18"/>
    <x v="1"/>
    <x v="3"/>
    <n v="13969.48"/>
    <n v="1816.03"/>
    <x v="647"/>
    <x v="1"/>
    <s v="Cuenta Ahorros"/>
    <s v="Tarjeta Débito"/>
    <s v="Pagado"/>
  </r>
  <r>
    <x v="153"/>
    <x v="10"/>
    <s v="TX-100648"/>
    <x v="17"/>
    <x v="0"/>
    <x v="4"/>
    <n v="14545.6"/>
    <n v="0"/>
    <x v="648"/>
    <x v="4"/>
    <s v="Tarjeta Crédito Empresarial"/>
    <s v="Efectivo"/>
    <s v="Pendiente"/>
  </r>
  <r>
    <x v="300"/>
    <x v="0"/>
    <s v="TX-100649"/>
    <x v="6"/>
    <x v="1"/>
    <x v="5"/>
    <n v="10186.219999999999"/>
    <n v="1324.21"/>
    <x v="649"/>
    <x v="2"/>
    <s v="Cuenta Corriente"/>
    <s v="Efectivo"/>
    <s v="Pagado"/>
  </r>
  <r>
    <x v="301"/>
    <x v="6"/>
    <s v="TX-100650"/>
    <x v="8"/>
    <x v="1"/>
    <x v="6"/>
    <n v="872.75"/>
    <n v="113.46"/>
    <x v="650"/>
    <x v="4"/>
    <s v="Tarjeta Crédito Empresarial"/>
    <s v="Tarjeta Débito"/>
    <s v="Pendiente"/>
  </r>
  <r>
    <x v="223"/>
    <x v="0"/>
    <s v="TX-100651"/>
    <x v="0"/>
    <x v="1"/>
    <x v="7"/>
    <n v="10172.1"/>
    <n v="1322.37"/>
    <x v="651"/>
    <x v="0"/>
    <s v="Cuenta Ahorros"/>
    <s v="Tarjeta Débito"/>
    <s v="Pendiente"/>
  </r>
  <r>
    <x v="302"/>
    <x v="8"/>
    <s v="TX-100652"/>
    <x v="2"/>
    <x v="1"/>
    <x v="6"/>
    <n v="5993.49"/>
    <n v="779.15"/>
    <x v="652"/>
    <x v="2"/>
    <s v="Cuenta Ahorros"/>
    <s v="Tarjeta Crédito"/>
    <s v="Pagado"/>
  </r>
  <r>
    <x v="262"/>
    <x v="10"/>
    <s v="TX-100653"/>
    <x v="8"/>
    <x v="0"/>
    <x v="4"/>
    <n v="14663.98"/>
    <n v="0"/>
    <x v="653"/>
    <x v="3"/>
    <s v="Cuenta Corriente"/>
    <s v="Efectivo"/>
    <s v="Pendiente"/>
  </r>
  <r>
    <x v="80"/>
    <x v="3"/>
    <s v="TX-100654"/>
    <x v="17"/>
    <x v="1"/>
    <x v="3"/>
    <n v="10942.65"/>
    <n v="1422.54"/>
    <x v="654"/>
    <x v="4"/>
    <s v="Tarjeta Crédito Empresarial"/>
    <s v="Transferencia"/>
    <s v="Pagado"/>
  </r>
  <r>
    <x v="82"/>
    <x v="10"/>
    <s v="TX-100655"/>
    <x v="9"/>
    <x v="0"/>
    <x v="6"/>
    <n v="1038.43"/>
    <n v="0"/>
    <x v="655"/>
    <x v="1"/>
    <s v="Cuenta Corriente"/>
    <s v="Transferencia"/>
    <s v="Pendiente"/>
  </r>
  <r>
    <x v="274"/>
    <x v="2"/>
    <s v="TX-100656"/>
    <x v="7"/>
    <x v="1"/>
    <x v="7"/>
    <n v="10668.19"/>
    <n v="1386.86"/>
    <x v="656"/>
    <x v="4"/>
    <s v="Cuenta Corriente"/>
    <s v="Efectivo"/>
    <s v="Pendiente"/>
  </r>
  <r>
    <x v="303"/>
    <x v="8"/>
    <s v="TX-100657"/>
    <x v="10"/>
    <x v="0"/>
    <x v="4"/>
    <n v="7436.8"/>
    <n v="0"/>
    <x v="657"/>
    <x v="4"/>
    <s v="Cuenta Corriente"/>
    <s v="Transferencia"/>
    <s v="Pagado"/>
  </r>
  <r>
    <x v="156"/>
    <x v="4"/>
    <s v="TX-100658"/>
    <x v="17"/>
    <x v="0"/>
    <x v="2"/>
    <n v="9824.5"/>
    <n v="0"/>
    <x v="658"/>
    <x v="1"/>
    <s v="Cuenta Corriente"/>
    <s v="Efectivo"/>
    <s v="Pagado"/>
  </r>
  <r>
    <x v="221"/>
    <x v="0"/>
    <s v="TX-100659"/>
    <x v="1"/>
    <x v="0"/>
    <x v="7"/>
    <n v="14915.28"/>
    <n v="0"/>
    <x v="659"/>
    <x v="0"/>
    <s v="Tarjeta Crédito Empresarial"/>
    <s v="Tarjeta Crédito"/>
    <s v="Pendiente"/>
  </r>
  <r>
    <x v="259"/>
    <x v="10"/>
    <s v="TX-100660"/>
    <x v="17"/>
    <x v="0"/>
    <x v="2"/>
    <n v="5629.37"/>
    <n v="0"/>
    <x v="660"/>
    <x v="3"/>
    <s v="Cuenta Ahorros"/>
    <s v="Tarjeta Débito"/>
    <s v="Pagado"/>
  </r>
  <r>
    <x v="20"/>
    <x v="1"/>
    <s v="TX-100661"/>
    <x v="3"/>
    <x v="0"/>
    <x v="5"/>
    <n v="5392.91"/>
    <n v="0"/>
    <x v="661"/>
    <x v="2"/>
    <s v="Cuenta Ahorros"/>
    <s v="Efectivo"/>
    <s v="Pendiente"/>
  </r>
  <r>
    <x v="91"/>
    <x v="6"/>
    <s v="TX-100662"/>
    <x v="9"/>
    <x v="0"/>
    <x v="2"/>
    <n v="7732.3"/>
    <n v="0"/>
    <x v="662"/>
    <x v="4"/>
    <s v="Cuenta Corriente"/>
    <s v="Tarjeta Débito"/>
    <s v="Pendiente"/>
  </r>
  <r>
    <x v="249"/>
    <x v="10"/>
    <s v="TX-100663"/>
    <x v="17"/>
    <x v="0"/>
    <x v="6"/>
    <n v="1482.71"/>
    <n v="0"/>
    <x v="663"/>
    <x v="2"/>
    <s v="Cuenta Corriente"/>
    <s v="Transferencia"/>
    <s v="Pagado"/>
  </r>
  <r>
    <x v="208"/>
    <x v="2"/>
    <s v="TX-100664"/>
    <x v="8"/>
    <x v="0"/>
    <x v="3"/>
    <n v="5137.68"/>
    <n v="0"/>
    <x v="664"/>
    <x v="3"/>
    <s v="Cuenta Corriente"/>
    <s v="Tarjeta Débito"/>
    <s v="Pagado"/>
  </r>
  <r>
    <x v="108"/>
    <x v="0"/>
    <s v="TX-100665"/>
    <x v="11"/>
    <x v="1"/>
    <x v="3"/>
    <n v="6934.35"/>
    <n v="901.47"/>
    <x v="665"/>
    <x v="3"/>
    <s v="Cuenta Corriente"/>
    <s v="Transferencia"/>
    <s v="Pendiente"/>
  </r>
  <r>
    <x v="38"/>
    <x v="6"/>
    <s v="TX-100666"/>
    <x v="17"/>
    <x v="0"/>
    <x v="5"/>
    <n v="12264.73"/>
    <n v="0"/>
    <x v="666"/>
    <x v="0"/>
    <s v="Cuenta Ahorros"/>
    <s v="Tarjeta Débito"/>
    <s v="Pendiente"/>
  </r>
  <r>
    <x v="70"/>
    <x v="2"/>
    <s v="TX-100667"/>
    <x v="1"/>
    <x v="1"/>
    <x v="5"/>
    <n v="12859.39"/>
    <n v="1671.72"/>
    <x v="667"/>
    <x v="4"/>
    <s v="Cuenta Ahorros"/>
    <s v="Tarjeta Débito"/>
    <s v="Pagado"/>
  </r>
  <r>
    <x v="62"/>
    <x v="11"/>
    <s v="TX-100668"/>
    <x v="1"/>
    <x v="0"/>
    <x v="2"/>
    <n v="1212.1400000000001"/>
    <n v="0"/>
    <x v="668"/>
    <x v="1"/>
    <s v="Cuenta Corriente"/>
    <s v="Tarjeta Débito"/>
    <s v="Pagado"/>
  </r>
  <r>
    <x v="65"/>
    <x v="4"/>
    <s v="TX-100669"/>
    <x v="11"/>
    <x v="1"/>
    <x v="7"/>
    <n v="1827.89"/>
    <n v="237.63"/>
    <x v="669"/>
    <x v="3"/>
    <s v="Cuenta Corriente"/>
    <s v="Tarjeta Crédito"/>
    <s v="Pagado"/>
  </r>
  <r>
    <x v="280"/>
    <x v="9"/>
    <s v="TX-100670"/>
    <x v="1"/>
    <x v="1"/>
    <x v="0"/>
    <n v="2812.49"/>
    <n v="365.62"/>
    <x v="670"/>
    <x v="3"/>
    <s v="Cuenta Corriente"/>
    <s v="Tarjeta Débito"/>
    <s v="Pendiente"/>
  </r>
  <r>
    <x v="221"/>
    <x v="0"/>
    <s v="TX-100671"/>
    <x v="8"/>
    <x v="1"/>
    <x v="0"/>
    <n v="7598.39"/>
    <n v="987.79"/>
    <x v="671"/>
    <x v="3"/>
    <s v="Tarjeta Crédito Empresarial"/>
    <s v="Transferencia"/>
    <s v="Pagado"/>
  </r>
  <r>
    <x v="85"/>
    <x v="0"/>
    <s v="TX-100672"/>
    <x v="9"/>
    <x v="1"/>
    <x v="1"/>
    <n v="14605.02"/>
    <n v="1898.65"/>
    <x v="672"/>
    <x v="4"/>
    <s v="Tarjeta Crédito Empresarial"/>
    <s v="Efectivo"/>
    <s v="Pendiente"/>
  </r>
  <r>
    <x v="107"/>
    <x v="3"/>
    <s v="TX-100673"/>
    <x v="6"/>
    <x v="1"/>
    <x v="5"/>
    <n v="12529.4"/>
    <n v="1628.82"/>
    <x v="673"/>
    <x v="1"/>
    <s v="Cuenta Corriente"/>
    <s v="Tarjeta Débito"/>
    <s v="Pendiente"/>
  </r>
  <r>
    <x v="134"/>
    <x v="2"/>
    <s v="TX-100674"/>
    <x v="3"/>
    <x v="1"/>
    <x v="7"/>
    <n v="1699.23"/>
    <n v="220.9"/>
    <x v="674"/>
    <x v="1"/>
    <s v="Cuenta Ahorros"/>
    <s v="Tarjeta Crédito"/>
    <s v="Pagado"/>
  </r>
  <r>
    <x v="177"/>
    <x v="8"/>
    <s v="TX-100675"/>
    <x v="3"/>
    <x v="0"/>
    <x v="2"/>
    <n v="5802.48"/>
    <n v="0"/>
    <x v="675"/>
    <x v="0"/>
    <s v="Tarjeta Crédito Empresarial"/>
    <s v="Tarjeta Crédito"/>
    <s v="Pendiente"/>
  </r>
  <r>
    <x v="296"/>
    <x v="8"/>
    <s v="TX-100676"/>
    <x v="11"/>
    <x v="0"/>
    <x v="4"/>
    <n v="14775.19"/>
    <n v="0"/>
    <x v="676"/>
    <x v="4"/>
    <s v="Cuenta Corriente"/>
    <s v="Efectivo"/>
    <s v="Pendiente"/>
  </r>
  <r>
    <x v="304"/>
    <x v="11"/>
    <s v="TX-100677"/>
    <x v="0"/>
    <x v="0"/>
    <x v="2"/>
    <n v="5975.73"/>
    <n v="0"/>
    <x v="677"/>
    <x v="3"/>
    <s v="Cuenta Corriente"/>
    <s v="Tarjeta Débito"/>
    <s v="Pendiente"/>
  </r>
  <r>
    <x v="110"/>
    <x v="7"/>
    <s v="TX-100678"/>
    <x v="2"/>
    <x v="1"/>
    <x v="5"/>
    <n v="1017.42"/>
    <n v="132.26"/>
    <x v="678"/>
    <x v="2"/>
    <s v="Cuenta Corriente"/>
    <s v="Efectivo"/>
    <s v="Pagado"/>
  </r>
  <r>
    <x v="248"/>
    <x v="10"/>
    <s v="TX-100679"/>
    <x v="15"/>
    <x v="0"/>
    <x v="4"/>
    <n v="11484.01"/>
    <n v="0"/>
    <x v="679"/>
    <x v="0"/>
    <s v="Cuenta Ahorros"/>
    <s v="Efectivo"/>
    <s v="Pendiente"/>
  </r>
  <r>
    <x v="96"/>
    <x v="2"/>
    <s v="TX-100680"/>
    <x v="2"/>
    <x v="0"/>
    <x v="7"/>
    <n v="7695.65"/>
    <n v="0"/>
    <x v="680"/>
    <x v="1"/>
    <s v="Cuenta Corriente"/>
    <s v="Transferencia"/>
    <s v="Pendiente"/>
  </r>
  <r>
    <x v="20"/>
    <x v="1"/>
    <s v="TX-100681"/>
    <x v="13"/>
    <x v="1"/>
    <x v="5"/>
    <n v="494.37"/>
    <n v="64.27"/>
    <x v="681"/>
    <x v="3"/>
    <s v="Cuenta Ahorros"/>
    <s v="Transferencia"/>
    <s v="Pagado"/>
  </r>
  <r>
    <x v="99"/>
    <x v="6"/>
    <s v="TX-100682"/>
    <x v="2"/>
    <x v="0"/>
    <x v="5"/>
    <n v="4576.1499999999996"/>
    <n v="0"/>
    <x v="682"/>
    <x v="3"/>
    <s v="Cuenta Corriente"/>
    <s v="Efectivo"/>
    <s v="Pendiente"/>
  </r>
  <r>
    <x v="305"/>
    <x v="10"/>
    <s v="TX-100683"/>
    <x v="9"/>
    <x v="0"/>
    <x v="7"/>
    <n v="7596.68"/>
    <n v="0"/>
    <x v="683"/>
    <x v="2"/>
    <s v="Tarjeta Crédito Empresarial"/>
    <s v="Transferencia"/>
    <s v="Pagado"/>
  </r>
  <r>
    <x v="54"/>
    <x v="3"/>
    <s v="TX-100684"/>
    <x v="18"/>
    <x v="0"/>
    <x v="7"/>
    <n v="4752.66"/>
    <n v="0"/>
    <x v="684"/>
    <x v="1"/>
    <s v="Cuenta Ahorros"/>
    <s v="Transferencia"/>
    <s v="Pagado"/>
  </r>
  <r>
    <x v="30"/>
    <x v="2"/>
    <s v="TX-100685"/>
    <x v="11"/>
    <x v="0"/>
    <x v="5"/>
    <n v="7397.62"/>
    <n v="0"/>
    <x v="685"/>
    <x v="2"/>
    <s v="Tarjeta Crédito Empresarial"/>
    <s v="Efectivo"/>
    <s v="Pendiente"/>
  </r>
  <r>
    <x v="306"/>
    <x v="2"/>
    <s v="TX-100686"/>
    <x v="19"/>
    <x v="0"/>
    <x v="7"/>
    <n v="7164.87"/>
    <n v="0"/>
    <x v="686"/>
    <x v="0"/>
    <s v="Cuenta Corriente"/>
    <s v="Efectivo"/>
    <s v="Pendiente"/>
  </r>
  <r>
    <x v="106"/>
    <x v="4"/>
    <s v="TX-100687"/>
    <x v="2"/>
    <x v="0"/>
    <x v="6"/>
    <n v="11508.74"/>
    <n v="0"/>
    <x v="687"/>
    <x v="2"/>
    <s v="Cuenta Corriente"/>
    <s v="Transferencia"/>
    <s v="Pagado"/>
  </r>
  <r>
    <x v="84"/>
    <x v="6"/>
    <s v="TX-100688"/>
    <x v="3"/>
    <x v="0"/>
    <x v="1"/>
    <n v="11489.65"/>
    <n v="0"/>
    <x v="688"/>
    <x v="2"/>
    <s v="Cuenta Ahorros"/>
    <s v="Transferencia"/>
    <s v="Pendiente"/>
  </r>
  <r>
    <x v="175"/>
    <x v="4"/>
    <s v="TX-100689"/>
    <x v="8"/>
    <x v="0"/>
    <x v="6"/>
    <n v="893.92"/>
    <n v="0"/>
    <x v="689"/>
    <x v="4"/>
    <s v="Cuenta Corriente"/>
    <s v="Tarjeta Crédito"/>
    <s v="Pagado"/>
  </r>
  <r>
    <x v="57"/>
    <x v="10"/>
    <s v="TX-100690"/>
    <x v="9"/>
    <x v="1"/>
    <x v="6"/>
    <n v="2588.1999999999998"/>
    <n v="336.47"/>
    <x v="690"/>
    <x v="2"/>
    <s v="Cuenta Corriente"/>
    <s v="Efectivo"/>
    <s v="Pendiente"/>
  </r>
  <r>
    <x v="206"/>
    <x v="9"/>
    <s v="TX-100691"/>
    <x v="17"/>
    <x v="1"/>
    <x v="7"/>
    <n v="8840.44"/>
    <n v="1149.26"/>
    <x v="691"/>
    <x v="1"/>
    <s v="Tarjeta Crédito Empresarial"/>
    <s v="Efectivo"/>
    <s v="Pendiente"/>
  </r>
  <r>
    <x v="297"/>
    <x v="11"/>
    <s v="TX-100692"/>
    <x v="6"/>
    <x v="1"/>
    <x v="0"/>
    <n v="5072.71"/>
    <n v="659.45"/>
    <x v="692"/>
    <x v="2"/>
    <s v="Cuenta Corriente"/>
    <s v="Tarjeta Crédito"/>
    <s v="Pendiente"/>
  </r>
  <r>
    <x v="187"/>
    <x v="10"/>
    <s v="TX-100693"/>
    <x v="12"/>
    <x v="0"/>
    <x v="2"/>
    <n v="12613.69"/>
    <n v="0"/>
    <x v="693"/>
    <x v="4"/>
    <s v="Cuenta Ahorros"/>
    <s v="Tarjeta Crédito"/>
    <s v="Pagado"/>
  </r>
  <r>
    <x v="199"/>
    <x v="0"/>
    <s v="TX-100694"/>
    <x v="2"/>
    <x v="0"/>
    <x v="0"/>
    <n v="9387.36"/>
    <n v="0"/>
    <x v="694"/>
    <x v="0"/>
    <s v="Cuenta Corriente"/>
    <s v="Tarjeta Crédito"/>
    <s v="Pendiente"/>
  </r>
  <r>
    <x v="108"/>
    <x v="0"/>
    <s v="TX-100695"/>
    <x v="19"/>
    <x v="0"/>
    <x v="3"/>
    <n v="3185.6"/>
    <n v="0"/>
    <x v="695"/>
    <x v="2"/>
    <s v="Tarjeta Crédito Empresarial"/>
    <s v="Tarjeta Crédito"/>
    <s v="Pendiente"/>
  </r>
  <r>
    <x v="143"/>
    <x v="11"/>
    <s v="TX-100696"/>
    <x v="12"/>
    <x v="0"/>
    <x v="3"/>
    <n v="3806.41"/>
    <n v="0"/>
    <x v="696"/>
    <x v="1"/>
    <s v="Tarjeta Crédito Empresarial"/>
    <s v="Tarjeta Débito"/>
    <s v="Pagado"/>
  </r>
  <r>
    <x v="11"/>
    <x v="8"/>
    <s v="TX-100697"/>
    <x v="19"/>
    <x v="0"/>
    <x v="0"/>
    <n v="9929.0499999999993"/>
    <n v="0"/>
    <x v="697"/>
    <x v="2"/>
    <s v="Tarjeta Crédito Empresarial"/>
    <s v="Efectivo"/>
    <s v="Pagado"/>
  </r>
  <r>
    <x v="126"/>
    <x v="5"/>
    <s v="TX-100698"/>
    <x v="3"/>
    <x v="0"/>
    <x v="5"/>
    <n v="3643.59"/>
    <n v="0"/>
    <x v="698"/>
    <x v="2"/>
    <s v="Cuenta Ahorros"/>
    <s v="Efectivo"/>
    <s v="Pendiente"/>
  </r>
  <r>
    <x v="188"/>
    <x v="6"/>
    <s v="TX-100699"/>
    <x v="5"/>
    <x v="0"/>
    <x v="4"/>
    <n v="12364.48"/>
    <n v="0"/>
    <x v="699"/>
    <x v="4"/>
    <s v="Cuenta Ahorros"/>
    <s v="Tarjeta Débito"/>
    <s v="Pendiente"/>
  </r>
  <r>
    <x v="278"/>
    <x v="9"/>
    <s v="TX-100700"/>
    <x v="1"/>
    <x v="1"/>
    <x v="0"/>
    <n v="464.18"/>
    <n v="60.34"/>
    <x v="700"/>
    <x v="1"/>
    <s v="Cuenta Ahorros"/>
    <s v="Efectivo"/>
    <s v="Pendiente"/>
  </r>
  <r>
    <x v="260"/>
    <x v="4"/>
    <s v="TX-100701"/>
    <x v="5"/>
    <x v="1"/>
    <x v="4"/>
    <n v="2089.64"/>
    <n v="271.64999999999998"/>
    <x v="701"/>
    <x v="2"/>
    <s v="Tarjeta Crédito Empresarial"/>
    <s v="Tarjeta Débito"/>
    <s v="Pagado"/>
  </r>
  <r>
    <x v="152"/>
    <x v="9"/>
    <s v="TX-100702"/>
    <x v="10"/>
    <x v="1"/>
    <x v="2"/>
    <n v="4742.88"/>
    <n v="616.57000000000005"/>
    <x v="702"/>
    <x v="3"/>
    <s v="Cuenta Ahorros"/>
    <s v="Tarjeta Crédito"/>
    <s v="Pagado"/>
  </r>
  <r>
    <x v="307"/>
    <x v="11"/>
    <s v="TX-100703"/>
    <x v="16"/>
    <x v="1"/>
    <x v="2"/>
    <n v="8586.0499999999993"/>
    <n v="1116.19"/>
    <x v="703"/>
    <x v="3"/>
    <s v="Tarjeta Crédito Empresarial"/>
    <s v="Tarjeta Crédito"/>
    <s v="Pendiente"/>
  </r>
  <r>
    <x v="25"/>
    <x v="10"/>
    <s v="TX-100704"/>
    <x v="5"/>
    <x v="1"/>
    <x v="6"/>
    <n v="4972.82"/>
    <n v="646.47"/>
    <x v="704"/>
    <x v="1"/>
    <s v="Tarjeta Crédito Empresarial"/>
    <s v="Tarjeta Débito"/>
    <s v="Pendiente"/>
  </r>
  <r>
    <x v="111"/>
    <x v="4"/>
    <s v="TX-100705"/>
    <x v="14"/>
    <x v="1"/>
    <x v="5"/>
    <n v="3250.92"/>
    <n v="422.62"/>
    <x v="705"/>
    <x v="1"/>
    <s v="Cuenta Ahorros"/>
    <s v="Tarjeta Crédito"/>
    <s v="Pagado"/>
  </r>
  <r>
    <x v="117"/>
    <x v="8"/>
    <s v="TX-100706"/>
    <x v="4"/>
    <x v="0"/>
    <x v="2"/>
    <n v="4781.5200000000004"/>
    <n v="0"/>
    <x v="706"/>
    <x v="1"/>
    <s v="Tarjeta Crédito Empresarial"/>
    <s v="Tarjeta Débito"/>
    <s v="Pendiente"/>
  </r>
  <r>
    <x v="308"/>
    <x v="1"/>
    <s v="TX-100707"/>
    <x v="3"/>
    <x v="0"/>
    <x v="6"/>
    <n v="12329.41"/>
    <n v="0"/>
    <x v="707"/>
    <x v="0"/>
    <s v="Cuenta Corriente"/>
    <s v="Transferencia"/>
    <s v="Pagado"/>
  </r>
  <r>
    <x v="71"/>
    <x v="5"/>
    <s v="TX-100708"/>
    <x v="4"/>
    <x v="0"/>
    <x v="4"/>
    <n v="9602.2900000000009"/>
    <n v="0"/>
    <x v="708"/>
    <x v="2"/>
    <s v="Tarjeta Crédito Empresarial"/>
    <s v="Transferencia"/>
    <s v="Pagado"/>
  </r>
  <r>
    <x v="309"/>
    <x v="4"/>
    <s v="TX-100709"/>
    <x v="7"/>
    <x v="1"/>
    <x v="3"/>
    <n v="13916.24"/>
    <n v="1809.11"/>
    <x v="709"/>
    <x v="2"/>
    <s v="Cuenta Corriente"/>
    <s v="Tarjeta Débito"/>
    <s v="Pendiente"/>
  </r>
  <r>
    <x v="310"/>
    <x v="6"/>
    <s v="TX-100710"/>
    <x v="14"/>
    <x v="0"/>
    <x v="6"/>
    <n v="13198.04"/>
    <n v="0"/>
    <x v="710"/>
    <x v="1"/>
    <s v="Cuenta Corriente"/>
    <s v="Tarjeta Crédito"/>
    <s v="Pagado"/>
  </r>
  <r>
    <x v="5"/>
    <x v="0"/>
    <s v="TX-100711"/>
    <x v="13"/>
    <x v="0"/>
    <x v="6"/>
    <n v="10774.92"/>
    <n v="0"/>
    <x v="711"/>
    <x v="4"/>
    <s v="Tarjeta Crédito Empresarial"/>
    <s v="Tarjeta Crédito"/>
    <s v="Pagado"/>
  </r>
  <r>
    <x v="311"/>
    <x v="1"/>
    <s v="TX-100712"/>
    <x v="7"/>
    <x v="0"/>
    <x v="7"/>
    <n v="10443.39"/>
    <n v="0"/>
    <x v="712"/>
    <x v="4"/>
    <s v="Tarjeta Crédito Empresarial"/>
    <s v="Efectivo"/>
    <s v="Pagado"/>
  </r>
  <r>
    <x v="182"/>
    <x v="0"/>
    <s v="TX-100713"/>
    <x v="15"/>
    <x v="1"/>
    <x v="4"/>
    <n v="4740.1400000000003"/>
    <n v="616.22"/>
    <x v="713"/>
    <x v="3"/>
    <s v="Cuenta Corriente"/>
    <s v="Tarjeta Débito"/>
    <s v="Pagado"/>
  </r>
  <r>
    <x v="30"/>
    <x v="2"/>
    <s v="TX-100714"/>
    <x v="8"/>
    <x v="0"/>
    <x v="7"/>
    <n v="13108.91"/>
    <n v="0"/>
    <x v="714"/>
    <x v="2"/>
    <s v="Cuenta Corriente"/>
    <s v="Tarjeta Crédito"/>
    <s v="Pendiente"/>
  </r>
  <r>
    <x v="186"/>
    <x v="3"/>
    <s v="TX-100715"/>
    <x v="1"/>
    <x v="0"/>
    <x v="6"/>
    <n v="2769.24"/>
    <n v="0"/>
    <x v="715"/>
    <x v="0"/>
    <s v="Cuenta Corriente"/>
    <s v="Transferencia"/>
    <s v="Pagado"/>
  </r>
  <r>
    <x v="43"/>
    <x v="2"/>
    <s v="TX-100716"/>
    <x v="1"/>
    <x v="0"/>
    <x v="0"/>
    <n v="3963.66"/>
    <n v="0"/>
    <x v="716"/>
    <x v="3"/>
    <s v="Cuenta Ahorros"/>
    <s v="Efectivo"/>
    <s v="Pendiente"/>
  </r>
  <r>
    <x v="172"/>
    <x v="2"/>
    <s v="TX-100717"/>
    <x v="1"/>
    <x v="0"/>
    <x v="5"/>
    <n v="14211.29"/>
    <n v="0"/>
    <x v="717"/>
    <x v="3"/>
    <s v="Tarjeta Crédito Empresarial"/>
    <s v="Efectivo"/>
    <s v="Pendiente"/>
  </r>
  <r>
    <x v="218"/>
    <x v="4"/>
    <s v="TX-100718"/>
    <x v="18"/>
    <x v="1"/>
    <x v="0"/>
    <n v="2898.64"/>
    <n v="376.82"/>
    <x v="718"/>
    <x v="2"/>
    <s v="Tarjeta Crédito Empresarial"/>
    <s v="Efectivo"/>
    <s v="Pendiente"/>
  </r>
  <r>
    <x v="114"/>
    <x v="4"/>
    <s v="TX-100719"/>
    <x v="15"/>
    <x v="1"/>
    <x v="0"/>
    <n v="14928.35"/>
    <n v="1940.69"/>
    <x v="719"/>
    <x v="4"/>
    <s v="Cuenta Ahorros"/>
    <s v="Tarjeta Débito"/>
    <s v="Pendiente"/>
  </r>
  <r>
    <x v="148"/>
    <x v="8"/>
    <s v="TX-100720"/>
    <x v="0"/>
    <x v="0"/>
    <x v="4"/>
    <n v="3570.51"/>
    <n v="0"/>
    <x v="720"/>
    <x v="4"/>
    <s v="Cuenta Ahorros"/>
    <s v="Efectivo"/>
    <s v="Pagado"/>
  </r>
  <r>
    <x v="279"/>
    <x v="3"/>
    <s v="TX-100721"/>
    <x v="6"/>
    <x v="1"/>
    <x v="6"/>
    <n v="14617.27"/>
    <n v="1900.25"/>
    <x v="721"/>
    <x v="4"/>
    <s v="Tarjeta Crédito Empresarial"/>
    <s v="Efectivo"/>
    <s v="Pendiente"/>
  </r>
  <r>
    <x v="26"/>
    <x v="7"/>
    <s v="TX-100722"/>
    <x v="18"/>
    <x v="1"/>
    <x v="1"/>
    <n v="829.08"/>
    <n v="107.78"/>
    <x v="722"/>
    <x v="1"/>
    <s v="Cuenta Ahorros"/>
    <s v="Transferencia"/>
    <s v="Pagado"/>
  </r>
  <r>
    <x v="16"/>
    <x v="5"/>
    <s v="TX-100723"/>
    <x v="4"/>
    <x v="0"/>
    <x v="4"/>
    <n v="14663.98"/>
    <n v="0"/>
    <x v="653"/>
    <x v="2"/>
    <s v="Cuenta Corriente"/>
    <s v="Transferencia"/>
    <s v="Pagado"/>
  </r>
  <r>
    <x v="202"/>
    <x v="2"/>
    <s v="TX-100724"/>
    <x v="16"/>
    <x v="0"/>
    <x v="6"/>
    <n v="13174.56"/>
    <n v="0"/>
    <x v="723"/>
    <x v="3"/>
    <s v="Cuenta Ahorros"/>
    <s v="Efectivo"/>
    <s v="Pagado"/>
  </r>
  <r>
    <x v="123"/>
    <x v="11"/>
    <s v="TX-100725"/>
    <x v="18"/>
    <x v="0"/>
    <x v="1"/>
    <n v="14678.82"/>
    <n v="0"/>
    <x v="724"/>
    <x v="2"/>
    <s v="Tarjeta Crédito Empresarial"/>
    <s v="Tarjeta Crédito"/>
    <s v="Pendiente"/>
  </r>
  <r>
    <x v="282"/>
    <x v="2"/>
    <s v="TX-100726"/>
    <x v="17"/>
    <x v="0"/>
    <x v="6"/>
    <n v="6564.84"/>
    <n v="0"/>
    <x v="725"/>
    <x v="2"/>
    <s v="Tarjeta Crédito Empresarial"/>
    <s v="Efectivo"/>
    <s v="Pagado"/>
  </r>
  <r>
    <x v="195"/>
    <x v="7"/>
    <s v="TX-100727"/>
    <x v="10"/>
    <x v="1"/>
    <x v="5"/>
    <n v="865.78"/>
    <n v="112.55"/>
    <x v="726"/>
    <x v="3"/>
    <s v="Cuenta Ahorros"/>
    <s v="Tarjeta Crédito"/>
    <s v="Pagado"/>
  </r>
  <r>
    <x v="312"/>
    <x v="3"/>
    <s v="TX-100728"/>
    <x v="7"/>
    <x v="1"/>
    <x v="7"/>
    <n v="659.84"/>
    <n v="85.78"/>
    <x v="727"/>
    <x v="0"/>
    <s v="Cuenta Ahorros"/>
    <s v="Efectivo"/>
    <s v="Pendiente"/>
  </r>
  <r>
    <x v="106"/>
    <x v="4"/>
    <s v="TX-100729"/>
    <x v="14"/>
    <x v="1"/>
    <x v="6"/>
    <n v="1448.99"/>
    <n v="188.37"/>
    <x v="728"/>
    <x v="4"/>
    <s v="Cuenta Corriente"/>
    <s v="Tarjeta Crédito"/>
    <s v="Pagado"/>
  </r>
  <r>
    <x v="9"/>
    <x v="4"/>
    <s v="TX-100730"/>
    <x v="11"/>
    <x v="1"/>
    <x v="3"/>
    <n v="13810.18"/>
    <n v="1795.32"/>
    <x v="729"/>
    <x v="1"/>
    <s v="Tarjeta Crédito Empresarial"/>
    <s v="Transferencia"/>
    <s v="Pendiente"/>
  </r>
  <r>
    <x v="158"/>
    <x v="0"/>
    <s v="TX-100731"/>
    <x v="9"/>
    <x v="1"/>
    <x v="3"/>
    <n v="5634.7"/>
    <n v="732.51"/>
    <x v="730"/>
    <x v="2"/>
    <s v="Cuenta Corriente"/>
    <s v="Transferencia"/>
    <s v="Pagado"/>
  </r>
  <r>
    <x v="122"/>
    <x v="1"/>
    <s v="TX-100732"/>
    <x v="13"/>
    <x v="0"/>
    <x v="4"/>
    <n v="8933.35"/>
    <n v="0"/>
    <x v="731"/>
    <x v="2"/>
    <s v="Cuenta Corriente"/>
    <s v="Efectivo"/>
    <s v="Pendiente"/>
  </r>
  <r>
    <x v="168"/>
    <x v="1"/>
    <s v="TX-100733"/>
    <x v="5"/>
    <x v="1"/>
    <x v="4"/>
    <n v="4881.3999999999996"/>
    <n v="634.58000000000004"/>
    <x v="732"/>
    <x v="3"/>
    <s v="Tarjeta Crédito Empresarial"/>
    <s v="Efectivo"/>
    <s v="Pagado"/>
  </r>
  <r>
    <x v="100"/>
    <x v="3"/>
    <s v="TX-100734"/>
    <x v="17"/>
    <x v="1"/>
    <x v="0"/>
    <n v="14477.49"/>
    <n v="1882.07"/>
    <x v="733"/>
    <x v="3"/>
    <s v="Cuenta Corriente"/>
    <s v="Tarjeta Débito"/>
    <s v="Pagado"/>
  </r>
  <r>
    <x v="64"/>
    <x v="11"/>
    <s v="TX-100735"/>
    <x v="7"/>
    <x v="0"/>
    <x v="5"/>
    <n v="1853"/>
    <n v="0"/>
    <x v="734"/>
    <x v="1"/>
    <s v="Tarjeta Crédito Empresarial"/>
    <s v="Tarjeta Crédito"/>
    <s v="Pagado"/>
  </r>
  <r>
    <x v="133"/>
    <x v="3"/>
    <s v="TX-100736"/>
    <x v="18"/>
    <x v="0"/>
    <x v="0"/>
    <n v="7369.86"/>
    <n v="0"/>
    <x v="735"/>
    <x v="1"/>
    <s v="Cuenta Ahorros"/>
    <s v="Efectivo"/>
    <s v="Pagado"/>
  </r>
  <r>
    <x v="199"/>
    <x v="0"/>
    <s v="TX-100737"/>
    <x v="8"/>
    <x v="1"/>
    <x v="3"/>
    <n v="9478.76"/>
    <n v="1232.24"/>
    <x v="736"/>
    <x v="3"/>
    <s v="Tarjeta Crédito Empresarial"/>
    <s v="Tarjeta Crédito"/>
    <s v="Pendiente"/>
  </r>
  <r>
    <x v="39"/>
    <x v="8"/>
    <s v="TX-100738"/>
    <x v="14"/>
    <x v="0"/>
    <x v="2"/>
    <n v="4396.01"/>
    <n v="0"/>
    <x v="737"/>
    <x v="3"/>
    <s v="Cuenta Ahorros"/>
    <s v="Tarjeta Crédito"/>
    <s v="Pagado"/>
  </r>
  <r>
    <x v="169"/>
    <x v="1"/>
    <s v="TX-100739"/>
    <x v="9"/>
    <x v="1"/>
    <x v="3"/>
    <n v="4467.45"/>
    <n v="580.77"/>
    <x v="738"/>
    <x v="0"/>
    <s v="Cuenta Corriente"/>
    <s v="Transferencia"/>
    <s v="Pagado"/>
  </r>
  <r>
    <x v="232"/>
    <x v="10"/>
    <s v="TX-100740"/>
    <x v="7"/>
    <x v="1"/>
    <x v="7"/>
    <n v="9929.7900000000009"/>
    <n v="1290.8699999999999"/>
    <x v="739"/>
    <x v="2"/>
    <s v="Cuenta Ahorros"/>
    <s v="Tarjeta Crédito"/>
    <s v="Pagado"/>
  </r>
  <r>
    <x v="215"/>
    <x v="3"/>
    <s v="TX-100741"/>
    <x v="1"/>
    <x v="0"/>
    <x v="5"/>
    <n v="11803.35"/>
    <n v="0"/>
    <x v="740"/>
    <x v="3"/>
    <s v="Cuenta Corriente"/>
    <s v="Efectivo"/>
    <s v="Pendiente"/>
  </r>
  <r>
    <x v="68"/>
    <x v="4"/>
    <s v="TX-100742"/>
    <x v="2"/>
    <x v="0"/>
    <x v="7"/>
    <n v="9375.9699999999993"/>
    <n v="0"/>
    <x v="741"/>
    <x v="2"/>
    <s v="Cuenta Corriente"/>
    <s v="Tarjeta Débito"/>
    <s v="Pagado"/>
  </r>
  <r>
    <x v="293"/>
    <x v="1"/>
    <s v="TX-100743"/>
    <x v="19"/>
    <x v="0"/>
    <x v="2"/>
    <n v="6535.29"/>
    <n v="0"/>
    <x v="742"/>
    <x v="3"/>
    <s v="Cuenta Ahorros"/>
    <s v="Transferencia"/>
    <s v="Pagado"/>
  </r>
  <r>
    <x v="313"/>
    <x v="6"/>
    <s v="TX-100744"/>
    <x v="6"/>
    <x v="0"/>
    <x v="3"/>
    <n v="13038.27"/>
    <n v="0"/>
    <x v="743"/>
    <x v="1"/>
    <s v="Cuenta Ahorros"/>
    <s v="Tarjeta Crédito"/>
    <s v="Pendiente"/>
  </r>
  <r>
    <x v="159"/>
    <x v="0"/>
    <s v="TX-100745"/>
    <x v="18"/>
    <x v="1"/>
    <x v="5"/>
    <n v="257.44"/>
    <n v="33.47"/>
    <x v="744"/>
    <x v="3"/>
    <s v="Tarjeta Crédito Empresarial"/>
    <s v="Tarjeta Débito"/>
    <s v="Pagado"/>
  </r>
  <r>
    <x v="84"/>
    <x v="6"/>
    <s v="TX-100746"/>
    <x v="6"/>
    <x v="1"/>
    <x v="0"/>
    <n v="6565.04"/>
    <n v="853.46"/>
    <x v="745"/>
    <x v="0"/>
    <s v="Cuenta Corriente"/>
    <s v="Transferencia"/>
    <s v="Pendiente"/>
  </r>
  <r>
    <x v="289"/>
    <x v="2"/>
    <s v="TX-100747"/>
    <x v="16"/>
    <x v="0"/>
    <x v="3"/>
    <n v="376.16"/>
    <n v="0"/>
    <x v="746"/>
    <x v="4"/>
    <s v="Tarjeta Crédito Empresarial"/>
    <s v="Efectivo"/>
    <s v="Pendiente"/>
  </r>
  <r>
    <x v="232"/>
    <x v="10"/>
    <s v="TX-100748"/>
    <x v="10"/>
    <x v="0"/>
    <x v="0"/>
    <n v="3060.01"/>
    <n v="0"/>
    <x v="747"/>
    <x v="1"/>
    <s v="Cuenta Corriente"/>
    <s v="Tarjeta Crédito"/>
    <s v="Pagado"/>
  </r>
  <r>
    <x v="38"/>
    <x v="6"/>
    <s v="TX-100749"/>
    <x v="15"/>
    <x v="0"/>
    <x v="7"/>
    <n v="11069.32"/>
    <n v="0"/>
    <x v="748"/>
    <x v="0"/>
    <s v="Cuenta Ahorros"/>
    <s v="Transferencia"/>
    <s v="Pendiente"/>
  </r>
  <r>
    <x v="314"/>
    <x v="11"/>
    <s v="TX-100750"/>
    <x v="13"/>
    <x v="0"/>
    <x v="0"/>
    <n v="10728.64"/>
    <n v="0"/>
    <x v="749"/>
    <x v="3"/>
    <s v="Cuenta Ahorros"/>
    <s v="Tarjeta Crédito"/>
    <s v="Pagado"/>
  </r>
  <r>
    <x v="188"/>
    <x v="6"/>
    <s v="TX-100751"/>
    <x v="7"/>
    <x v="0"/>
    <x v="2"/>
    <n v="7447.09"/>
    <n v="0"/>
    <x v="750"/>
    <x v="2"/>
    <s v="Cuenta Ahorros"/>
    <s v="Efectivo"/>
    <s v="Pagado"/>
  </r>
  <r>
    <x v="181"/>
    <x v="7"/>
    <s v="TX-100752"/>
    <x v="9"/>
    <x v="1"/>
    <x v="7"/>
    <n v="5190.5200000000004"/>
    <n v="674.77"/>
    <x v="751"/>
    <x v="0"/>
    <s v="Cuenta Corriente"/>
    <s v="Tarjeta Crédito"/>
    <s v="Pendiente"/>
  </r>
  <r>
    <x v="315"/>
    <x v="5"/>
    <s v="TX-100753"/>
    <x v="9"/>
    <x v="0"/>
    <x v="3"/>
    <n v="12504.56"/>
    <n v="0"/>
    <x v="752"/>
    <x v="2"/>
    <s v="Cuenta Ahorros"/>
    <s v="Tarjeta Débito"/>
    <s v="Pagado"/>
  </r>
  <r>
    <x v="306"/>
    <x v="2"/>
    <s v="TX-100754"/>
    <x v="18"/>
    <x v="0"/>
    <x v="5"/>
    <n v="2640.7"/>
    <n v="0"/>
    <x v="753"/>
    <x v="0"/>
    <s v="Cuenta Ahorros"/>
    <s v="Transferencia"/>
    <s v="Pendiente"/>
  </r>
  <r>
    <x v="293"/>
    <x v="1"/>
    <s v="TX-100755"/>
    <x v="17"/>
    <x v="1"/>
    <x v="0"/>
    <n v="8374.6200000000008"/>
    <n v="1088.7"/>
    <x v="754"/>
    <x v="2"/>
    <s v="Cuenta Ahorros"/>
    <s v="Tarjeta Crédito"/>
    <s v="Pagado"/>
  </r>
  <r>
    <x v="78"/>
    <x v="0"/>
    <s v="TX-100756"/>
    <x v="11"/>
    <x v="1"/>
    <x v="2"/>
    <n v="5099.13"/>
    <n v="662.89"/>
    <x v="755"/>
    <x v="0"/>
    <s v="Cuenta Corriente"/>
    <s v="Transferencia"/>
    <s v="Pagado"/>
  </r>
  <r>
    <x v="170"/>
    <x v="10"/>
    <s v="TX-100757"/>
    <x v="17"/>
    <x v="0"/>
    <x v="6"/>
    <n v="11552.14"/>
    <n v="0"/>
    <x v="756"/>
    <x v="2"/>
    <s v="Cuenta Corriente"/>
    <s v="Transferencia"/>
    <s v="Pagado"/>
  </r>
  <r>
    <x v="316"/>
    <x v="6"/>
    <s v="TX-100758"/>
    <x v="13"/>
    <x v="1"/>
    <x v="2"/>
    <n v="11735.7"/>
    <n v="1525.64"/>
    <x v="757"/>
    <x v="3"/>
    <s v="Tarjeta Crédito Empresarial"/>
    <s v="Transferencia"/>
    <s v="Pagado"/>
  </r>
  <r>
    <x v="317"/>
    <x v="4"/>
    <s v="TX-100759"/>
    <x v="1"/>
    <x v="1"/>
    <x v="6"/>
    <n v="2397.64"/>
    <n v="311.69"/>
    <x v="758"/>
    <x v="1"/>
    <s v="Tarjeta Crédito Empresarial"/>
    <s v="Efectivo"/>
    <s v="Pagado"/>
  </r>
  <r>
    <x v="294"/>
    <x v="7"/>
    <s v="TX-100760"/>
    <x v="3"/>
    <x v="0"/>
    <x v="5"/>
    <n v="1888.6"/>
    <n v="0"/>
    <x v="759"/>
    <x v="1"/>
    <s v="Cuenta Ahorros"/>
    <s v="Transferencia"/>
    <s v="Pagado"/>
  </r>
  <r>
    <x v="318"/>
    <x v="3"/>
    <s v="TX-100761"/>
    <x v="8"/>
    <x v="0"/>
    <x v="5"/>
    <n v="1324.25"/>
    <n v="0"/>
    <x v="760"/>
    <x v="1"/>
    <s v="Cuenta Ahorros"/>
    <s v="Tarjeta Débito"/>
    <s v="Pagado"/>
  </r>
  <r>
    <x v="213"/>
    <x v="3"/>
    <s v="TX-100762"/>
    <x v="12"/>
    <x v="1"/>
    <x v="3"/>
    <n v="6230.47"/>
    <n v="809.96"/>
    <x v="761"/>
    <x v="1"/>
    <s v="Tarjeta Crédito Empresarial"/>
    <s v="Tarjeta Crédito"/>
    <s v="Pagado"/>
  </r>
  <r>
    <x v="75"/>
    <x v="9"/>
    <s v="TX-100763"/>
    <x v="16"/>
    <x v="1"/>
    <x v="2"/>
    <n v="1317.43"/>
    <n v="171.27"/>
    <x v="762"/>
    <x v="1"/>
    <s v="Cuenta Corriente"/>
    <s v="Efectivo"/>
    <s v="Pagado"/>
  </r>
  <r>
    <x v="319"/>
    <x v="5"/>
    <s v="TX-100764"/>
    <x v="10"/>
    <x v="1"/>
    <x v="1"/>
    <n v="14667.11"/>
    <n v="1906.72"/>
    <x v="763"/>
    <x v="0"/>
    <s v="Cuenta Ahorros"/>
    <s v="Efectivo"/>
    <s v="Pendiente"/>
  </r>
  <r>
    <x v="314"/>
    <x v="11"/>
    <s v="TX-100765"/>
    <x v="8"/>
    <x v="0"/>
    <x v="1"/>
    <n v="12413.7"/>
    <n v="0"/>
    <x v="764"/>
    <x v="0"/>
    <s v="Cuenta Corriente"/>
    <s v="Efectivo"/>
    <s v="Pendiente"/>
  </r>
  <r>
    <x v="203"/>
    <x v="6"/>
    <s v="TX-100766"/>
    <x v="11"/>
    <x v="0"/>
    <x v="6"/>
    <n v="13320.74"/>
    <n v="0"/>
    <x v="765"/>
    <x v="1"/>
    <s v="Cuenta Corriente"/>
    <s v="Tarjeta Crédito"/>
    <s v="Pagado"/>
  </r>
  <r>
    <x v="320"/>
    <x v="2"/>
    <s v="TX-100767"/>
    <x v="11"/>
    <x v="0"/>
    <x v="3"/>
    <n v="10890.23"/>
    <n v="0"/>
    <x v="766"/>
    <x v="0"/>
    <s v="Tarjeta Crédito Empresarial"/>
    <s v="Tarjeta Crédito"/>
    <s v="Pagado"/>
  </r>
  <r>
    <x v="2"/>
    <x v="2"/>
    <s v="TX-100768"/>
    <x v="11"/>
    <x v="0"/>
    <x v="6"/>
    <n v="11367.84"/>
    <n v="0"/>
    <x v="767"/>
    <x v="3"/>
    <s v="Cuenta Corriente"/>
    <s v="Tarjeta Crédito"/>
    <s v="Pagado"/>
  </r>
  <r>
    <x v="260"/>
    <x v="4"/>
    <s v="TX-100769"/>
    <x v="7"/>
    <x v="1"/>
    <x v="1"/>
    <n v="12631.67"/>
    <n v="1642.12"/>
    <x v="768"/>
    <x v="0"/>
    <s v="Cuenta Ahorros"/>
    <s v="Transferencia"/>
    <s v="Pagado"/>
  </r>
  <r>
    <x v="26"/>
    <x v="7"/>
    <s v="TX-100770"/>
    <x v="6"/>
    <x v="0"/>
    <x v="1"/>
    <n v="6824.55"/>
    <n v="0"/>
    <x v="769"/>
    <x v="0"/>
    <s v="Tarjeta Crédito Empresarial"/>
    <s v="Tarjeta Débito"/>
    <s v="Pendiente"/>
  </r>
  <r>
    <x v="9"/>
    <x v="4"/>
    <s v="TX-100771"/>
    <x v="17"/>
    <x v="1"/>
    <x v="3"/>
    <n v="7819.02"/>
    <n v="1016.47"/>
    <x v="770"/>
    <x v="3"/>
    <s v="Cuenta Ahorros"/>
    <s v="Tarjeta Débito"/>
    <s v="Pendiente"/>
  </r>
  <r>
    <x v="224"/>
    <x v="0"/>
    <s v="TX-100772"/>
    <x v="18"/>
    <x v="1"/>
    <x v="3"/>
    <n v="12435.14"/>
    <n v="1616.57"/>
    <x v="771"/>
    <x v="3"/>
    <s v="Cuenta Corriente"/>
    <s v="Efectivo"/>
    <s v="Pagado"/>
  </r>
  <r>
    <x v="286"/>
    <x v="11"/>
    <s v="TX-100773"/>
    <x v="12"/>
    <x v="0"/>
    <x v="2"/>
    <n v="5570.95"/>
    <n v="0"/>
    <x v="772"/>
    <x v="1"/>
    <s v="Tarjeta Crédito Empresarial"/>
    <s v="Efectivo"/>
    <s v="Pendiente"/>
  </r>
  <r>
    <x v="141"/>
    <x v="8"/>
    <s v="TX-100774"/>
    <x v="7"/>
    <x v="0"/>
    <x v="7"/>
    <n v="10989.17"/>
    <n v="0"/>
    <x v="773"/>
    <x v="4"/>
    <s v="Cuenta Corriente"/>
    <s v="Tarjeta Débito"/>
    <s v="Pendiente"/>
  </r>
  <r>
    <x v="321"/>
    <x v="1"/>
    <s v="TX-100775"/>
    <x v="16"/>
    <x v="1"/>
    <x v="0"/>
    <n v="6858.71"/>
    <n v="891.63"/>
    <x v="774"/>
    <x v="4"/>
    <s v="Tarjeta Crédito Empresarial"/>
    <s v="Tarjeta Crédito"/>
    <s v="Pagado"/>
  </r>
  <r>
    <x v="34"/>
    <x v="1"/>
    <s v="TX-100776"/>
    <x v="18"/>
    <x v="1"/>
    <x v="6"/>
    <n v="8597.8799999999992"/>
    <n v="1117.72"/>
    <x v="775"/>
    <x v="0"/>
    <s v="Cuenta Corriente"/>
    <s v="Transferencia"/>
    <s v="Pendiente"/>
  </r>
  <r>
    <x v="130"/>
    <x v="2"/>
    <s v="TX-100777"/>
    <x v="8"/>
    <x v="0"/>
    <x v="4"/>
    <n v="7314.59"/>
    <n v="0"/>
    <x v="776"/>
    <x v="4"/>
    <s v="Tarjeta Crédito Empresarial"/>
    <s v="Efectivo"/>
    <s v="Pagado"/>
  </r>
  <r>
    <x v="56"/>
    <x v="11"/>
    <s v="TX-100778"/>
    <x v="17"/>
    <x v="1"/>
    <x v="5"/>
    <n v="12295.92"/>
    <n v="1598.47"/>
    <x v="777"/>
    <x v="3"/>
    <s v="Cuenta Corriente"/>
    <s v="Tarjeta Crédito"/>
    <s v="Pagado"/>
  </r>
  <r>
    <x v="51"/>
    <x v="9"/>
    <s v="TX-100779"/>
    <x v="15"/>
    <x v="0"/>
    <x v="4"/>
    <n v="8508.17"/>
    <n v="0"/>
    <x v="778"/>
    <x v="1"/>
    <s v="Cuenta Ahorros"/>
    <s v="Tarjeta Débito"/>
    <s v="Pagado"/>
  </r>
  <r>
    <x v="104"/>
    <x v="9"/>
    <s v="TX-100780"/>
    <x v="13"/>
    <x v="0"/>
    <x v="5"/>
    <n v="13001.87"/>
    <n v="0"/>
    <x v="779"/>
    <x v="3"/>
    <s v="Tarjeta Crédito Empresarial"/>
    <s v="Efectivo"/>
    <s v="Pendiente"/>
  </r>
  <r>
    <x v="67"/>
    <x v="8"/>
    <s v="TX-100781"/>
    <x v="15"/>
    <x v="0"/>
    <x v="1"/>
    <n v="14373.29"/>
    <n v="0"/>
    <x v="780"/>
    <x v="2"/>
    <s v="Tarjeta Crédito Empresarial"/>
    <s v="Transferencia"/>
    <s v="Pagado"/>
  </r>
  <r>
    <x v="113"/>
    <x v="0"/>
    <s v="TX-100782"/>
    <x v="19"/>
    <x v="0"/>
    <x v="2"/>
    <n v="9676.52"/>
    <n v="0"/>
    <x v="781"/>
    <x v="4"/>
    <s v="Tarjeta Crédito Empresarial"/>
    <s v="Transferencia"/>
    <s v="Pagado"/>
  </r>
  <r>
    <x v="322"/>
    <x v="11"/>
    <s v="TX-100783"/>
    <x v="4"/>
    <x v="1"/>
    <x v="2"/>
    <n v="9890.9"/>
    <n v="1285.82"/>
    <x v="782"/>
    <x v="4"/>
    <s v="Cuenta Corriente"/>
    <s v="Tarjeta Crédito"/>
    <s v="Pagado"/>
  </r>
  <r>
    <x v="253"/>
    <x v="6"/>
    <s v="TX-100784"/>
    <x v="19"/>
    <x v="0"/>
    <x v="2"/>
    <n v="12113.47"/>
    <n v="0"/>
    <x v="783"/>
    <x v="2"/>
    <s v="Cuenta Ahorros"/>
    <s v="Transferencia"/>
    <s v="Pendiente"/>
  </r>
  <r>
    <x v="314"/>
    <x v="11"/>
    <s v="TX-100785"/>
    <x v="3"/>
    <x v="0"/>
    <x v="5"/>
    <n v="6253.3"/>
    <n v="0"/>
    <x v="784"/>
    <x v="2"/>
    <s v="Cuenta Ahorros"/>
    <s v="Tarjeta Crédito"/>
    <s v="Pagado"/>
  </r>
  <r>
    <x v="309"/>
    <x v="4"/>
    <s v="TX-100786"/>
    <x v="1"/>
    <x v="1"/>
    <x v="4"/>
    <n v="2203.31"/>
    <n v="286.43"/>
    <x v="785"/>
    <x v="3"/>
    <s v="Cuenta Corriente"/>
    <s v="Tarjeta Crédito"/>
    <s v="Pendiente"/>
  </r>
  <r>
    <x v="233"/>
    <x v="1"/>
    <s v="TX-100787"/>
    <x v="0"/>
    <x v="0"/>
    <x v="5"/>
    <n v="456.21"/>
    <n v="0"/>
    <x v="786"/>
    <x v="2"/>
    <s v="Cuenta Ahorros"/>
    <s v="Transferencia"/>
    <s v="Pendiente"/>
  </r>
  <r>
    <x v="323"/>
    <x v="2"/>
    <s v="TX-100788"/>
    <x v="15"/>
    <x v="0"/>
    <x v="4"/>
    <n v="5663.92"/>
    <n v="0"/>
    <x v="787"/>
    <x v="3"/>
    <s v="Cuenta Corriente"/>
    <s v="Tarjeta Débito"/>
    <s v="Pagado"/>
  </r>
  <r>
    <x v="206"/>
    <x v="9"/>
    <s v="TX-100789"/>
    <x v="4"/>
    <x v="0"/>
    <x v="2"/>
    <n v="4075.85"/>
    <n v="0"/>
    <x v="788"/>
    <x v="1"/>
    <s v="Tarjeta Crédito Empresarial"/>
    <s v="Efectivo"/>
    <s v="Pagado"/>
  </r>
  <r>
    <x v="293"/>
    <x v="1"/>
    <s v="TX-100790"/>
    <x v="10"/>
    <x v="0"/>
    <x v="0"/>
    <n v="13710.34"/>
    <n v="0"/>
    <x v="789"/>
    <x v="2"/>
    <s v="Tarjeta Crédito Empresarial"/>
    <s v="Transferencia"/>
    <s v="Pagado"/>
  </r>
  <r>
    <x v="140"/>
    <x v="6"/>
    <s v="TX-100791"/>
    <x v="9"/>
    <x v="0"/>
    <x v="7"/>
    <n v="1304.43"/>
    <n v="0"/>
    <x v="790"/>
    <x v="0"/>
    <s v="Cuenta Corriente"/>
    <s v="Tarjeta Débito"/>
    <s v="Pendiente"/>
  </r>
  <r>
    <x v="303"/>
    <x v="8"/>
    <s v="TX-100792"/>
    <x v="5"/>
    <x v="0"/>
    <x v="7"/>
    <n v="674.79"/>
    <n v="0"/>
    <x v="791"/>
    <x v="0"/>
    <s v="Cuenta Ahorros"/>
    <s v="Tarjeta Débito"/>
    <s v="Pagado"/>
  </r>
  <r>
    <x v="107"/>
    <x v="3"/>
    <s v="TX-100793"/>
    <x v="6"/>
    <x v="0"/>
    <x v="4"/>
    <n v="12600.34"/>
    <n v="0"/>
    <x v="792"/>
    <x v="2"/>
    <s v="Tarjeta Crédito Empresarial"/>
    <s v="Tarjeta Débito"/>
    <s v="Pendiente"/>
  </r>
  <r>
    <x v="324"/>
    <x v="5"/>
    <s v="TX-100794"/>
    <x v="14"/>
    <x v="1"/>
    <x v="4"/>
    <n v="1391.24"/>
    <n v="180.86"/>
    <x v="793"/>
    <x v="3"/>
    <s v="Cuenta Corriente"/>
    <s v="Tarjeta Crédito"/>
    <s v="Pendiente"/>
  </r>
  <r>
    <x v="271"/>
    <x v="5"/>
    <s v="TX-100795"/>
    <x v="19"/>
    <x v="0"/>
    <x v="6"/>
    <n v="9545.7900000000009"/>
    <n v="0"/>
    <x v="794"/>
    <x v="1"/>
    <s v="Cuenta Ahorros"/>
    <s v="Tarjeta Débito"/>
    <s v="Pendiente"/>
  </r>
  <r>
    <x v="325"/>
    <x v="5"/>
    <s v="TX-100796"/>
    <x v="12"/>
    <x v="0"/>
    <x v="6"/>
    <n v="287.33"/>
    <n v="0"/>
    <x v="795"/>
    <x v="4"/>
    <s v="Tarjeta Crédito Empresarial"/>
    <s v="Transferencia"/>
    <s v="Pendiente"/>
  </r>
  <r>
    <x v="241"/>
    <x v="5"/>
    <s v="TX-100797"/>
    <x v="0"/>
    <x v="1"/>
    <x v="3"/>
    <n v="8359.07"/>
    <n v="1086.68"/>
    <x v="796"/>
    <x v="1"/>
    <s v="Cuenta Ahorros"/>
    <s v="Transferencia"/>
    <s v="Pagado"/>
  </r>
  <r>
    <x v="54"/>
    <x v="3"/>
    <s v="TX-100798"/>
    <x v="6"/>
    <x v="1"/>
    <x v="6"/>
    <n v="14581.98"/>
    <n v="1895.66"/>
    <x v="797"/>
    <x v="0"/>
    <s v="Cuenta Ahorros"/>
    <s v="Efectivo"/>
    <s v="Pagado"/>
  </r>
  <r>
    <x v="298"/>
    <x v="8"/>
    <s v="TX-100799"/>
    <x v="1"/>
    <x v="0"/>
    <x v="6"/>
    <n v="14046.91"/>
    <n v="0"/>
    <x v="798"/>
    <x v="3"/>
    <s v="Cuenta Corriente"/>
    <s v="Transferencia"/>
    <s v="Pendiente"/>
  </r>
  <r>
    <x v="273"/>
    <x v="7"/>
    <s v="TX-100800"/>
    <x v="12"/>
    <x v="1"/>
    <x v="4"/>
    <n v="12135.8"/>
    <n v="1577.65"/>
    <x v="799"/>
    <x v="4"/>
    <s v="Cuenta Ahorros"/>
    <s v="Tarjeta Crédito"/>
    <s v="Pagado"/>
  </r>
  <r>
    <x v="290"/>
    <x v="6"/>
    <s v="TX-100801"/>
    <x v="13"/>
    <x v="1"/>
    <x v="1"/>
    <n v="2981.5"/>
    <n v="387.6"/>
    <x v="800"/>
    <x v="1"/>
    <s v="Cuenta Corriente"/>
    <s v="Tarjeta Crédito"/>
    <s v="Pendiente"/>
  </r>
  <r>
    <x v="240"/>
    <x v="2"/>
    <s v="TX-100802"/>
    <x v="11"/>
    <x v="1"/>
    <x v="5"/>
    <n v="1027.1400000000001"/>
    <n v="133.53"/>
    <x v="801"/>
    <x v="3"/>
    <s v="Cuenta Corriente"/>
    <s v="Tarjeta Crédito"/>
    <s v="Pagado"/>
  </r>
  <r>
    <x v="12"/>
    <x v="8"/>
    <s v="TX-100803"/>
    <x v="12"/>
    <x v="1"/>
    <x v="4"/>
    <n v="10226.17"/>
    <n v="1329.4"/>
    <x v="802"/>
    <x v="3"/>
    <s v="Cuenta Ahorros"/>
    <s v="Transferencia"/>
    <s v="Pendiente"/>
  </r>
  <r>
    <x v="212"/>
    <x v="8"/>
    <s v="TX-100804"/>
    <x v="7"/>
    <x v="0"/>
    <x v="2"/>
    <n v="10218.59"/>
    <n v="0"/>
    <x v="803"/>
    <x v="1"/>
    <s v="Cuenta Ahorros"/>
    <s v="Transferencia"/>
    <s v="Pagado"/>
  </r>
  <r>
    <x v="291"/>
    <x v="3"/>
    <s v="TX-100805"/>
    <x v="9"/>
    <x v="0"/>
    <x v="7"/>
    <n v="4777.82"/>
    <n v="0"/>
    <x v="804"/>
    <x v="4"/>
    <s v="Cuenta Ahorros"/>
    <s v="Transferencia"/>
    <s v="Pagado"/>
  </r>
  <r>
    <x v="161"/>
    <x v="9"/>
    <s v="TX-100806"/>
    <x v="15"/>
    <x v="1"/>
    <x v="0"/>
    <n v="2993.31"/>
    <n v="389.13"/>
    <x v="805"/>
    <x v="2"/>
    <s v="Cuenta Corriente"/>
    <s v="Transferencia"/>
    <s v="Pagado"/>
  </r>
  <r>
    <x v="9"/>
    <x v="4"/>
    <s v="TX-100807"/>
    <x v="7"/>
    <x v="1"/>
    <x v="6"/>
    <n v="12615.59"/>
    <n v="1640.03"/>
    <x v="806"/>
    <x v="3"/>
    <s v="Cuenta Ahorros"/>
    <s v="Tarjeta Débito"/>
    <s v="Pendiente"/>
  </r>
  <r>
    <x v="178"/>
    <x v="6"/>
    <s v="TX-100808"/>
    <x v="3"/>
    <x v="1"/>
    <x v="2"/>
    <n v="11647.45"/>
    <n v="1514.17"/>
    <x v="807"/>
    <x v="1"/>
    <s v="Cuenta Corriente"/>
    <s v="Efectivo"/>
    <s v="Pagado"/>
  </r>
  <r>
    <x v="285"/>
    <x v="5"/>
    <s v="TX-100809"/>
    <x v="0"/>
    <x v="1"/>
    <x v="3"/>
    <n v="4733.53"/>
    <n v="615.36"/>
    <x v="808"/>
    <x v="3"/>
    <s v="Cuenta Corriente"/>
    <s v="Transferencia"/>
    <s v="Pendiente"/>
  </r>
  <r>
    <x v="168"/>
    <x v="1"/>
    <s v="TX-100810"/>
    <x v="9"/>
    <x v="0"/>
    <x v="2"/>
    <n v="1572.32"/>
    <n v="0"/>
    <x v="809"/>
    <x v="0"/>
    <s v="Cuenta Corriente"/>
    <s v="Tarjeta Crédito"/>
    <s v="Pendiente"/>
  </r>
  <r>
    <x v="254"/>
    <x v="5"/>
    <s v="TX-100811"/>
    <x v="18"/>
    <x v="0"/>
    <x v="0"/>
    <n v="12975.51"/>
    <n v="0"/>
    <x v="810"/>
    <x v="0"/>
    <s v="Cuenta Corriente"/>
    <s v="Efectivo"/>
    <s v="Pendiente"/>
  </r>
  <r>
    <x v="326"/>
    <x v="5"/>
    <s v="TX-100812"/>
    <x v="7"/>
    <x v="1"/>
    <x v="6"/>
    <n v="9781.2800000000007"/>
    <n v="1271.57"/>
    <x v="811"/>
    <x v="3"/>
    <s v="Cuenta Ahorros"/>
    <s v="Tarjeta Crédito"/>
    <s v="Pagado"/>
  </r>
  <r>
    <x v="281"/>
    <x v="7"/>
    <s v="TX-100813"/>
    <x v="1"/>
    <x v="1"/>
    <x v="2"/>
    <n v="8913.65"/>
    <n v="1158.77"/>
    <x v="812"/>
    <x v="0"/>
    <s v="Cuenta Corriente"/>
    <s v="Tarjeta Crédito"/>
    <s v="Pendiente"/>
  </r>
  <r>
    <x v="125"/>
    <x v="1"/>
    <s v="TX-100814"/>
    <x v="13"/>
    <x v="0"/>
    <x v="5"/>
    <n v="3685.13"/>
    <n v="0"/>
    <x v="813"/>
    <x v="3"/>
    <s v="Cuenta Corriente"/>
    <s v="Tarjeta Crédito"/>
    <s v="Pendiente"/>
  </r>
  <r>
    <x v="313"/>
    <x v="6"/>
    <s v="TX-100815"/>
    <x v="17"/>
    <x v="1"/>
    <x v="5"/>
    <n v="7069.38"/>
    <n v="919.02"/>
    <x v="814"/>
    <x v="2"/>
    <s v="Cuenta Ahorros"/>
    <s v="Tarjeta Crédito"/>
    <s v="Pagado"/>
  </r>
  <r>
    <x v="327"/>
    <x v="7"/>
    <s v="TX-100816"/>
    <x v="0"/>
    <x v="1"/>
    <x v="1"/>
    <n v="6359.81"/>
    <n v="826.78"/>
    <x v="815"/>
    <x v="4"/>
    <s v="Tarjeta Crédito Empresarial"/>
    <s v="Tarjeta Débito"/>
    <s v="Pagado"/>
  </r>
  <r>
    <x v="18"/>
    <x v="9"/>
    <s v="TX-100817"/>
    <x v="12"/>
    <x v="0"/>
    <x v="7"/>
    <n v="9016.4500000000007"/>
    <n v="0"/>
    <x v="816"/>
    <x v="0"/>
    <s v="Tarjeta Crédito Empresarial"/>
    <s v="Tarjeta Crédito"/>
    <s v="Pendiente"/>
  </r>
  <r>
    <x v="179"/>
    <x v="1"/>
    <s v="TX-100818"/>
    <x v="8"/>
    <x v="1"/>
    <x v="2"/>
    <n v="6841.82"/>
    <n v="889.44"/>
    <x v="817"/>
    <x v="1"/>
    <s v="Cuenta Corriente"/>
    <s v="Transferencia"/>
    <s v="Pagado"/>
  </r>
  <r>
    <x v="18"/>
    <x v="9"/>
    <s v="TX-100819"/>
    <x v="6"/>
    <x v="1"/>
    <x v="0"/>
    <n v="7237.16"/>
    <n v="940.83"/>
    <x v="818"/>
    <x v="1"/>
    <s v="Cuenta Corriente"/>
    <s v="Efectivo"/>
    <s v="Pagado"/>
  </r>
  <r>
    <x v="24"/>
    <x v="10"/>
    <s v="TX-100820"/>
    <x v="3"/>
    <x v="1"/>
    <x v="2"/>
    <n v="5400.41"/>
    <n v="702.05"/>
    <x v="819"/>
    <x v="3"/>
    <s v="Cuenta Corriente"/>
    <s v="Tarjeta Crédito"/>
    <s v="Pendiente"/>
  </r>
  <r>
    <x v="110"/>
    <x v="7"/>
    <s v="TX-100821"/>
    <x v="19"/>
    <x v="0"/>
    <x v="1"/>
    <n v="14630.87"/>
    <n v="0"/>
    <x v="820"/>
    <x v="4"/>
    <s v="Cuenta Ahorros"/>
    <s v="Tarjeta Débito"/>
    <s v="Pagado"/>
  </r>
  <r>
    <x v="265"/>
    <x v="1"/>
    <s v="TX-100822"/>
    <x v="16"/>
    <x v="0"/>
    <x v="0"/>
    <n v="2719.19"/>
    <n v="0"/>
    <x v="821"/>
    <x v="4"/>
    <s v="Cuenta Ahorros"/>
    <s v="Transferencia"/>
    <s v="Pagado"/>
  </r>
  <r>
    <x v="128"/>
    <x v="9"/>
    <s v="TX-100823"/>
    <x v="15"/>
    <x v="1"/>
    <x v="6"/>
    <n v="14044.91"/>
    <n v="1825.84"/>
    <x v="822"/>
    <x v="1"/>
    <s v="Cuenta Corriente"/>
    <s v="Tarjeta Crédito"/>
    <s v="Pendiente"/>
  </r>
  <r>
    <x v="243"/>
    <x v="2"/>
    <s v="TX-100824"/>
    <x v="11"/>
    <x v="0"/>
    <x v="2"/>
    <n v="1821.48"/>
    <n v="0"/>
    <x v="823"/>
    <x v="4"/>
    <s v="Cuenta Corriente"/>
    <s v="Efectivo"/>
    <s v="Pendiente"/>
  </r>
  <r>
    <x v="155"/>
    <x v="6"/>
    <s v="TX-100825"/>
    <x v="2"/>
    <x v="0"/>
    <x v="0"/>
    <n v="13819.15"/>
    <n v="0"/>
    <x v="824"/>
    <x v="0"/>
    <s v="Cuenta Corriente"/>
    <s v="Tarjeta Crédito"/>
    <s v="Pagado"/>
  </r>
  <r>
    <x v="37"/>
    <x v="11"/>
    <s v="TX-100826"/>
    <x v="12"/>
    <x v="1"/>
    <x v="4"/>
    <n v="13099.13"/>
    <n v="1702.89"/>
    <x v="825"/>
    <x v="0"/>
    <s v="Cuenta Ahorros"/>
    <s v="Tarjeta Débito"/>
    <s v="Pagado"/>
  </r>
  <r>
    <x v="188"/>
    <x v="6"/>
    <s v="TX-100827"/>
    <x v="2"/>
    <x v="1"/>
    <x v="5"/>
    <n v="7653.78"/>
    <n v="994.99"/>
    <x v="826"/>
    <x v="0"/>
    <s v="Cuenta Ahorros"/>
    <s v="Efectivo"/>
    <s v="Pendiente"/>
  </r>
  <r>
    <x v="328"/>
    <x v="11"/>
    <s v="TX-100828"/>
    <x v="3"/>
    <x v="0"/>
    <x v="7"/>
    <n v="10748.97"/>
    <n v="0"/>
    <x v="827"/>
    <x v="1"/>
    <s v="Cuenta Ahorros"/>
    <s v="Efectivo"/>
    <s v="Pagado"/>
  </r>
  <r>
    <x v="93"/>
    <x v="3"/>
    <s v="TX-100829"/>
    <x v="5"/>
    <x v="1"/>
    <x v="7"/>
    <n v="12954.37"/>
    <n v="1684.07"/>
    <x v="828"/>
    <x v="4"/>
    <s v="Cuenta Ahorros"/>
    <s v="Efectivo"/>
    <s v="Pendiente"/>
  </r>
  <r>
    <x v="113"/>
    <x v="0"/>
    <s v="TX-100830"/>
    <x v="3"/>
    <x v="0"/>
    <x v="2"/>
    <n v="2058.2399999999998"/>
    <n v="0"/>
    <x v="829"/>
    <x v="2"/>
    <s v="Cuenta Ahorros"/>
    <s v="Tarjeta Crédito"/>
    <s v="Pagado"/>
  </r>
  <r>
    <x v="192"/>
    <x v="8"/>
    <s v="TX-100831"/>
    <x v="6"/>
    <x v="0"/>
    <x v="3"/>
    <n v="6794.71"/>
    <n v="0"/>
    <x v="830"/>
    <x v="1"/>
    <s v="Cuenta Ahorros"/>
    <s v="Efectivo"/>
    <s v="Pendiente"/>
  </r>
  <r>
    <x v="68"/>
    <x v="4"/>
    <s v="TX-100832"/>
    <x v="7"/>
    <x v="1"/>
    <x v="5"/>
    <n v="6653.24"/>
    <n v="864.92"/>
    <x v="831"/>
    <x v="3"/>
    <s v="Cuenta Ahorros"/>
    <s v="Transferencia"/>
    <s v="Pendiente"/>
  </r>
  <r>
    <x v="210"/>
    <x v="3"/>
    <s v="TX-100833"/>
    <x v="9"/>
    <x v="1"/>
    <x v="2"/>
    <n v="1822.89"/>
    <n v="236.98"/>
    <x v="832"/>
    <x v="3"/>
    <s v="Tarjeta Crédito Empresarial"/>
    <s v="Tarjeta Débito"/>
    <s v="Pendiente"/>
  </r>
  <r>
    <x v="228"/>
    <x v="5"/>
    <s v="TX-100834"/>
    <x v="3"/>
    <x v="0"/>
    <x v="4"/>
    <n v="11190.91"/>
    <n v="0"/>
    <x v="833"/>
    <x v="2"/>
    <s v="Cuenta Corriente"/>
    <s v="Tarjeta Débito"/>
    <s v="Pendiente"/>
  </r>
  <r>
    <x v="329"/>
    <x v="3"/>
    <s v="TX-100835"/>
    <x v="9"/>
    <x v="0"/>
    <x v="6"/>
    <n v="11757.77"/>
    <n v="0"/>
    <x v="834"/>
    <x v="1"/>
    <s v="Tarjeta Crédito Empresarial"/>
    <s v="Transferencia"/>
    <s v="Pendiente"/>
  </r>
  <r>
    <x v="330"/>
    <x v="7"/>
    <s v="TX-100836"/>
    <x v="15"/>
    <x v="1"/>
    <x v="0"/>
    <n v="10863.87"/>
    <n v="1412.3"/>
    <x v="835"/>
    <x v="1"/>
    <s v="Cuenta Corriente"/>
    <s v="Efectivo"/>
    <s v="Pendiente"/>
  </r>
  <r>
    <x v="324"/>
    <x v="5"/>
    <s v="TX-100837"/>
    <x v="18"/>
    <x v="0"/>
    <x v="0"/>
    <n v="6460.45"/>
    <n v="0"/>
    <x v="836"/>
    <x v="1"/>
    <s v="Cuenta Corriente"/>
    <s v="Efectivo"/>
    <s v="Pendiente"/>
  </r>
  <r>
    <x v="331"/>
    <x v="1"/>
    <s v="TX-100838"/>
    <x v="3"/>
    <x v="1"/>
    <x v="5"/>
    <n v="4618.3"/>
    <n v="600.38"/>
    <x v="837"/>
    <x v="1"/>
    <s v="Tarjeta Crédito Empresarial"/>
    <s v="Tarjeta Crédito"/>
    <s v="Pendiente"/>
  </r>
  <r>
    <x v="33"/>
    <x v="5"/>
    <s v="TX-100839"/>
    <x v="15"/>
    <x v="0"/>
    <x v="3"/>
    <n v="11454.48"/>
    <n v="0"/>
    <x v="838"/>
    <x v="0"/>
    <s v="Cuenta Ahorros"/>
    <s v="Tarjeta Crédito"/>
    <s v="Pagado"/>
  </r>
  <r>
    <x v="313"/>
    <x v="6"/>
    <s v="TX-100840"/>
    <x v="14"/>
    <x v="1"/>
    <x v="6"/>
    <n v="8544.4500000000007"/>
    <n v="1110.78"/>
    <x v="839"/>
    <x v="0"/>
    <s v="Tarjeta Crédito Empresarial"/>
    <s v="Efectivo"/>
    <s v="Pendiente"/>
  </r>
  <r>
    <x v="98"/>
    <x v="0"/>
    <s v="TX-100841"/>
    <x v="15"/>
    <x v="1"/>
    <x v="3"/>
    <n v="2865.66"/>
    <n v="372.54"/>
    <x v="840"/>
    <x v="2"/>
    <s v="Tarjeta Crédito Empresarial"/>
    <s v="Efectivo"/>
    <s v="Pendiente"/>
  </r>
  <r>
    <x v="237"/>
    <x v="5"/>
    <s v="TX-100842"/>
    <x v="14"/>
    <x v="1"/>
    <x v="5"/>
    <n v="529.28"/>
    <n v="68.81"/>
    <x v="841"/>
    <x v="0"/>
    <s v="Cuenta Ahorros"/>
    <s v="Transferencia"/>
    <s v="Pagado"/>
  </r>
  <r>
    <x v="317"/>
    <x v="4"/>
    <s v="TX-100843"/>
    <x v="1"/>
    <x v="0"/>
    <x v="4"/>
    <n v="3128.09"/>
    <n v="0"/>
    <x v="842"/>
    <x v="0"/>
    <s v="Cuenta Corriente"/>
    <s v="Efectivo"/>
    <s v="Pagado"/>
  </r>
  <r>
    <x v="81"/>
    <x v="3"/>
    <s v="TX-100844"/>
    <x v="4"/>
    <x v="1"/>
    <x v="5"/>
    <n v="4935.24"/>
    <n v="641.58000000000004"/>
    <x v="843"/>
    <x v="1"/>
    <s v="Cuenta Corriente"/>
    <s v="Transferencia"/>
    <s v="Pagado"/>
  </r>
  <r>
    <x v="258"/>
    <x v="7"/>
    <s v="TX-100845"/>
    <x v="13"/>
    <x v="1"/>
    <x v="3"/>
    <n v="14328.7"/>
    <n v="1862.73"/>
    <x v="844"/>
    <x v="4"/>
    <s v="Cuenta Corriente"/>
    <s v="Tarjeta Crédito"/>
    <s v="Pendiente"/>
  </r>
  <r>
    <x v="126"/>
    <x v="5"/>
    <s v="TX-100846"/>
    <x v="16"/>
    <x v="0"/>
    <x v="0"/>
    <n v="7562"/>
    <n v="0"/>
    <x v="845"/>
    <x v="1"/>
    <s v="Cuenta Ahorros"/>
    <s v="Tarjeta Débito"/>
    <s v="Pagado"/>
  </r>
  <r>
    <x v="9"/>
    <x v="4"/>
    <s v="TX-100847"/>
    <x v="6"/>
    <x v="1"/>
    <x v="3"/>
    <n v="9092.49"/>
    <n v="1182.02"/>
    <x v="846"/>
    <x v="0"/>
    <s v="Cuenta Ahorros"/>
    <s v="Efectivo"/>
    <s v="Pendiente"/>
  </r>
  <r>
    <x v="177"/>
    <x v="8"/>
    <s v="TX-100848"/>
    <x v="2"/>
    <x v="1"/>
    <x v="2"/>
    <n v="4354.28"/>
    <n v="566.05999999999995"/>
    <x v="847"/>
    <x v="2"/>
    <s v="Tarjeta Crédito Empresarial"/>
    <s v="Tarjeta Crédito"/>
    <s v="Pendiente"/>
  </r>
  <r>
    <x v="192"/>
    <x v="8"/>
    <s v="TX-100849"/>
    <x v="15"/>
    <x v="1"/>
    <x v="5"/>
    <n v="13504.47"/>
    <n v="1755.58"/>
    <x v="848"/>
    <x v="1"/>
    <s v="Cuenta Ahorros"/>
    <s v="Tarjeta Débito"/>
    <s v="Pagado"/>
  </r>
  <r>
    <x v="91"/>
    <x v="6"/>
    <s v="TX-100850"/>
    <x v="10"/>
    <x v="1"/>
    <x v="5"/>
    <n v="4142.96"/>
    <n v="538.58000000000004"/>
    <x v="849"/>
    <x v="0"/>
    <s v="Cuenta Ahorros"/>
    <s v="Transferencia"/>
    <s v="Pagado"/>
  </r>
  <r>
    <x v="236"/>
    <x v="0"/>
    <s v="TX-100851"/>
    <x v="7"/>
    <x v="1"/>
    <x v="6"/>
    <n v="1194.18"/>
    <n v="155.24"/>
    <x v="850"/>
    <x v="0"/>
    <s v="Cuenta Ahorros"/>
    <s v="Efectivo"/>
    <s v="Pendiente"/>
  </r>
  <r>
    <x v="245"/>
    <x v="0"/>
    <s v="TX-100852"/>
    <x v="9"/>
    <x v="1"/>
    <x v="1"/>
    <n v="6959.4"/>
    <n v="904.72"/>
    <x v="851"/>
    <x v="1"/>
    <s v="Cuenta Ahorros"/>
    <s v="Tarjeta Crédito"/>
    <s v="Pendiente"/>
  </r>
  <r>
    <x v="229"/>
    <x v="5"/>
    <s v="TX-100853"/>
    <x v="15"/>
    <x v="1"/>
    <x v="1"/>
    <n v="3796.56"/>
    <n v="493.55"/>
    <x v="852"/>
    <x v="4"/>
    <s v="Cuenta Ahorros"/>
    <s v="Efectivo"/>
    <s v="Pendiente"/>
  </r>
  <r>
    <x v="77"/>
    <x v="8"/>
    <s v="TX-100854"/>
    <x v="18"/>
    <x v="1"/>
    <x v="0"/>
    <n v="10718.04"/>
    <n v="1393.35"/>
    <x v="853"/>
    <x v="4"/>
    <s v="Cuenta Ahorros"/>
    <s v="Tarjeta Crédito"/>
    <s v="Pagado"/>
  </r>
  <r>
    <x v="173"/>
    <x v="11"/>
    <s v="TX-100855"/>
    <x v="0"/>
    <x v="1"/>
    <x v="5"/>
    <n v="4447.46"/>
    <n v="578.16999999999996"/>
    <x v="854"/>
    <x v="1"/>
    <s v="Cuenta Corriente"/>
    <s v="Transferencia"/>
    <s v="Pagado"/>
  </r>
  <r>
    <x v="319"/>
    <x v="5"/>
    <s v="TX-100856"/>
    <x v="16"/>
    <x v="0"/>
    <x v="6"/>
    <n v="2710.21"/>
    <n v="0"/>
    <x v="855"/>
    <x v="3"/>
    <s v="Tarjeta Crédito Empresarial"/>
    <s v="Tarjeta Débito"/>
    <s v="Pendiente"/>
  </r>
  <r>
    <x v="298"/>
    <x v="8"/>
    <s v="TX-100857"/>
    <x v="11"/>
    <x v="1"/>
    <x v="3"/>
    <n v="10370.68"/>
    <n v="1348.19"/>
    <x v="856"/>
    <x v="3"/>
    <s v="Tarjeta Crédito Empresarial"/>
    <s v="Transferencia"/>
    <s v="Pagado"/>
  </r>
  <r>
    <x v="292"/>
    <x v="7"/>
    <s v="TX-100858"/>
    <x v="12"/>
    <x v="1"/>
    <x v="6"/>
    <n v="13635.91"/>
    <n v="1772.67"/>
    <x v="857"/>
    <x v="3"/>
    <s v="Cuenta Corriente"/>
    <s v="Efectivo"/>
    <s v="Pagado"/>
  </r>
  <r>
    <x v="144"/>
    <x v="0"/>
    <s v="TX-100859"/>
    <x v="3"/>
    <x v="1"/>
    <x v="2"/>
    <n v="3347.49"/>
    <n v="435.17"/>
    <x v="858"/>
    <x v="4"/>
    <s v="Tarjeta Crédito Empresarial"/>
    <s v="Tarjeta Débito"/>
    <s v="Pagado"/>
  </r>
  <r>
    <x v="84"/>
    <x v="6"/>
    <s v="TX-100860"/>
    <x v="4"/>
    <x v="1"/>
    <x v="6"/>
    <n v="4874.0600000000004"/>
    <n v="633.63"/>
    <x v="859"/>
    <x v="4"/>
    <s v="Tarjeta Crédito Empresarial"/>
    <s v="Tarjeta Débito"/>
    <s v="Pendiente"/>
  </r>
  <r>
    <x v="200"/>
    <x v="9"/>
    <s v="TX-100861"/>
    <x v="18"/>
    <x v="1"/>
    <x v="0"/>
    <n v="1632.99"/>
    <n v="212.29"/>
    <x v="860"/>
    <x v="4"/>
    <s v="Cuenta Corriente"/>
    <s v="Efectivo"/>
    <s v="Pendiente"/>
  </r>
  <r>
    <x v="256"/>
    <x v="5"/>
    <s v="TX-100862"/>
    <x v="15"/>
    <x v="1"/>
    <x v="7"/>
    <n v="3340.44"/>
    <n v="434.26"/>
    <x v="861"/>
    <x v="2"/>
    <s v="Tarjeta Crédito Empresarial"/>
    <s v="Tarjeta Crédito"/>
    <s v="Pagado"/>
  </r>
  <r>
    <x v="123"/>
    <x v="11"/>
    <s v="TX-100863"/>
    <x v="5"/>
    <x v="0"/>
    <x v="4"/>
    <n v="11524.8"/>
    <n v="0"/>
    <x v="862"/>
    <x v="3"/>
    <s v="Tarjeta Crédito Empresarial"/>
    <s v="Tarjeta Débito"/>
    <s v="Pendiente"/>
  </r>
  <r>
    <x v="285"/>
    <x v="5"/>
    <s v="TX-100864"/>
    <x v="19"/>
    <x v="0"/>
    <x v="3"/>
    <n v="10184.61"/>
    <n v="0"/>
    <x v="863"/>
    <x v="4"/>
    <s v="Cuenta Ahorros"/>
    <s v="Tarjeta Débito"/>
    <s v="Pendiente"/>
  </r>
  <r>
    <x v="25"/>
    <x v="10"/>
    <s v="TX-100865"/>
    <x v="18"/>
    <x v="0"/>
    <x v="1"/>
    <n v="9147.57"/>
    <n v="0"/>
    <x v="864"/>
    <x v="1"/>
    <s v="Cuenta Ahorros"/>
    <s v="Tarjeta Débito"/>
    <s v="Pagado"/>
  </r>
  <r>
    <x v="296"/>
    <x v="8"/>
    <s v="TX-100866"/>
    <x v="0"/>
    <x v="1"/>
    <x v="4"/>
    <n v="3584.13"/>
    <n v="465.94"/>
    <x v="865"/>
    <x v="4"/>
    <s v="Tarjeta Crédito Empresarial"/>
    <s v="Transferencia"/>
    <s v="Pagado"/>
  </r>
  <r>
    <x v="54"/>
    <x v="3"/>
    <s v="TX-100867"/>
    <x v="3"/>
    <x v="0"/>
    <x v="4"/>
    <n v="3070.08"/>
    <n v="0"/>
    <x v="866"/>
    <x v="4"/>
    <s v="Tarjeta Crédito Empresarial"/>
    <s v="Transferencia"/>
    <s v="Pagado"/>
  </r>
  <r>
    <x v="34"/>
    <x v="1"/>
    <s v="TX-100868"/>
    <x v="8"/>
    <x v="1"/>
    <x v="4"/>
    <n v="4797.2"/>
    <n v="623.64"/>
    <x v="867"/>
    <x v="0"/>
    <s v="Cuenta Ahorros"/>
    <s v="Tarjeta Crédito"/>
    <s v="Pagado"/>
  </r>
  <r>
    <x v="20"/>
    <x v="1"/>
    <s v="TX-100869"/>
    <x v="3"/>
    <x v="0"/>
    <x v="0"/>
    <n v="3126.97"/>
    <n v="0"/>
    <x v="868"/>
    <x v="4"/>
    <s v="Tarjeta Crédito Empresarial"/>
    <s v="Tarjeta Débito"/>
    <s v="Pendiente"/>
  </r>
  <r>
    <x v="64"/>
    <x v="11"/>
    <s v="TX-100870"/>
    <x v="16"/>
    <x v="0"/>
    <x v="1"/>
    <n v="1016.02"/>
    <n v="0"/>
    <x v="869"/>
    <x v="3"/>
    <s v="Cuenta Corriente"/>
    <s v="Transferencia"/>
    <s v="Pagado"/>
  </r>
  <r>
    <x v="142"/>
    <x v="7"/>
    <s v="TX-100871"/>
    <x v="14"/>
    <x v="1"/>
    <x v="5"/>
    <n v="8909.83"/>
    <n v="1158.28"/>
    <x v="870"/>
    <x v="4"/>
    <s v="Tarjeta Crédito Empresarial"/>
    <s v="Transferencia"/>
    <s v="Pendiente"/>
  </r>
  <r>
    <x v="157"/>
    <x v="2"/>
    <s v="TX-100872"/>
    <x v="17"/>
    <x v="1"/>
    <x v="0"/>
    <n v="3711.63"/>
    <n v="482.51"/>
    <x v="871"/>
    <x v="0"/>
    <s v="Cuenta Corriente"/>
    <s v="Tarjeta Crédito"/>
    <s v="Pendiente"/>
  </r>
  <r>
    <x v="210"/>
    <x v="3"/>
    <s v="TX-100873"/>
    <x v="12"/>
    <x v="0"/>
    <x v="7"/>
    <n v="1246.24"/>
    <n v="0"/>
    <x v="872"/>
    <x v="1"/>
    <s v="Cuenta Ahorros"/>
    <s v="Tarjeta Débito"/>
    <s v="Pendiente"/>
  </r>
  <r>
    <x v="230"/>
    <x v="11"/>
    <s v="TX-100874"/>
    <x v="7"/>
    <x v="0"/>
    <x v="5"/>
    <n v="12303.08"/>
    <n v="0"/>
    <x v="873"/>
    <x v="3"/>
    <s v="Cuenta Ahorros"/>
    <s v="Efectivo"/>
    <s v="Pagado"/>
  </r>
  <r>
    <x v="303"/>
    <x v="8"/>
    <s v="TX-100875"/>
    <x v="2"/>
    <x v="1"/>
    <x v="5"/>
    <n v="3896.51"/>
    <n v="506.55"/>
    <x v="874"/>
    <x v="2"/>
    <s v="Cuenta Ahorros"/>
    <s v="Tarjeta Crédito"/>
    <s v="Pendiente"/>
  </r>
  <r>
    <x v="327"/>
    <x v="7"/>
    <s v="TX-100876"/>
    <x v="18"/>
    <x v="0"/>
    <x v="5"/>
    <n v="10737.21"/>
    <n v="0"/>
    <x v="875"/>
    <x v="4"/>
    <s v="Cuenta Corriente"/>
    <s v="Transferencia"/>
    <s v="Pagado"/>
  </r>
  <r>
    <x v="86"/>
    <x v="3"/>
    <s v="TX-100877"/>
    <x v="13"/>
    <x v="0"/>
    <x v="3"/>
    <n v="14107.26"/>
    <n v="0"/>
    <x v="876"/>
    <x v="1"/>
    <s v="Cuenta Ahorros"/>
    <s v="Tarjeta Crédito"/>
    <s v="Pagado"/>
  </r>
  <r>
    <x v="208"/>
    <x v="2"/>
    <s v="TX-100878"/>
    <x v="10"/>
    <x v="1"/>
    <x v="3"/>
    <n v="13985.34"/>
    <n v="1818.09"/>
    <x v="877"/>
    <x v="4"/>
    <s v="Cuenta Ahorros"/>
    <s v="Tarjeta Crédito"/>
    <s v="Pendiente"/>
  </r>
  <r>
    <x v="9"/>
    <x v="4"/>
    <s v="TX-100879"/>
    <x v="8"/>
    <x v="1"/>
    <x v="3"/>
    <n v="13901.46"/>
    <n v="1807.19"/>
    <x v="878"/>
    <x v="4"/>
    <s v="Cuenta Ahorros"/>
    <s v="Transferencia"/>
    <s v="Pendiente"/>
  </r>
  <r>
    <x v="96"/>
    <x v="2"/>
    <s v="TX-100880"/>
    <x v="14"/>
    <x v="0"/>
    <x v="7"/>
    <n v="14166.77"/>
    <n v="0"/>
    <x v="879"/>
    <x v="2"/>
    <s v="Cuenta Corriente"/>
    <s v="Tarjeta Débito"/>
    <s v="Pagado"/>
  </r>
  <r>
    <x v="224"/>
    <x v="0"/>
    <s v="TX-100881"/>
    <x v="1"/>
    <x v="0"/>
    <x v="3"/>
    <n v="10605.74"/>
    <n v="0"/>
    <x v="880"/>
    <x v="0"/>
    <s v="Cuenta Corriente"/>
    <s v="Efectivo"/>
    <s v="Pagado"/>
  </r>
  <r>
    <x v="81"/>
    <x v="3"/>
    <s v="TX-100882"/>
    <x v="17"/>
    <x v="0"/>
    <x v="3"/>
    <n v="8811.89"/>
    <n v="0"/>
    <x v="881"/>
    <x v="3"/>
    <s v="Cuenta Corriente"/>
    <s v="Tarjeta Crédito"/>
    <s v="Pagado"/>
  </r>
  <r>
    <x v="43"/>
    <x v="2"/>
    <s v="TX-100883"/>
    <x v="12"/>
    <x v="0"/>
    <x v="4"/>
    <n v="145.97999999999999"/>
    <n v="0"/>
    <x v="882"/>
    <x v="1"/>
    <s v="Cuenta Corriente"/>
    <s v="Transferencia"/>
    <s v="Pagado"/>
  </r>
  <r>
    <x v="150"/>
    <x v="2"/>
    <s v="TX-100884"/>
    <x v="4"/>
    <x v="0"/>
    <x v="4"/>
    <n v="11008.98"/>
    <n v="0"/>
    <x v="883"/>
    <x v="4"/>
    <s v="Cuenta Ahorros"/>
    <s v="Tarjeta Débito"/>
    <s v="Pagado"/>
  </r>
  <r>
    <x v="8"/>
    <x v="7"/>
    <s v="TX-100885"/>
    <x v="6"/>
    <x v="1"/>
    <x v="2"/>
    <n v="6787.38"/>
    <n v="882.36"/>
    <x v="884"/>
    <x v="4"/>
    <s v="Cuenta Corriente"/>
    <s v="Transferencia"/>
    <s v="Pagado"/>
  </r>
  <r>
    <x v="99"/>
    <x v="6"/>
    <s v="TX-100886"/>
    <x v="9"/>
    <x v="0"/>
    <x v="7"/>
    <n v="9421.2199999999993"/>
    <n v="0"/>
    <x v="885"/>
    <x v="3"/>
    <s v="Tarjeta Crédito Empresarial"/>
    <s v="Tarjeta Débito"/>
    <s v="Pagado"/>
  </r>
  <r>
    <x v="151"/>
    <x v="9"/>
    <s v="TX-100887"/>
    <x v="18"/>
    <x v="0"/>
    <x v="2"/>
    <n v="4187.59"/>
    <n v="0"/>
    <x v="886"/>
    <x v="3"/>
    <s v="Tarjeta Crédito Empresarial"/>
    <s v="Tarjeta Débito"/>
    <s v="Pendiente"/>
  </r>
  <r>
    <x v="332"/>
    <x v="1"/>
    <s v="TX-100888"/>
    <x v="18"/>
    <x v="1"/>
    <x v="1"/>
    <n v="4027.91"/>
    <n v="523.63"/>
    <x v="887"/>
    <x v="0"/>
    <s v="Cuenta Corriente"/>
    <s v="Transferencia"/>
    <s v="Pagado"/>
  </r>
  <r>
    <x v="51"/>
    <x v="9"/>
    <s v="TX-100889"/>
    <x v="15"/>
    <x v="0"/>
    <x v="7"/>
    <n v="7124.82"/>
    <n v="0"/>
    <x v="888"/>
    <x v="0"/>
    <s v="Cuenta Ahorros"/>
    <s v="Tarjeta Crédito"/>
    <s v="Pendiente"/>
  </r>
  <r>
    <x v="186"/>
    <x v="3"/>
    <s v="TX-100890"/>
    <x v="8"/>
    <x v="1"/>
    <x v="6"/>
    <n v="9992.92"/>
    <n v="1299.08"/>
    <x v="889"/>
    <x v="0"/>
    <s v="Cuenta Corriente"/>
    <s v="Tarjeta Crédito"/>
    <s v="Pendiente"/>
  </r>
  <r>
    <x v="21"/>
    <x v="2"/>
    <s v="TX-100891"/>
    <x v="0"/>
    <x v="0"/>
    <x v="3"/>
    <n v="10892.04"/>
    <n v="0"/>
    <x v="890"/>
    <x v="3"/>
    <s v="Tarjeta Crédito Empresarial"/>
    <s v="Transferencia"/>
    <s v="Pendiente"/>
  </r>
  <r>
    <x v="105"/>
    <x v="5"/>
    <s v="TX-100892"/>
    <x v="3"/>
    <x v="0"/>
    <x v="7"/>
    <n v="7747.96"/>
    <n v="0"/>
    <x v="891"/>
    <x v="4"/>
    <s v="Cuenta Corriente"/>
    <s v="Tarjeta Crédito"/>
    <s v="Pagado"/>
  </r>
  <r>
    <x v="118"/>
    <x v="11"/>
    <s v="TX-100893"/>
    <x v="10"/>
    <x v="0"/>
    <x v="7"/>
    <n v="3541.7"/>
    <n v="0"/>
    <x v="892"/>
    <x v="1"/>
    <s v="Tarjeta Crédito Empresarial"/>
    <s v="Transferencia"/>
    <s v="Pendiente"/>
  </r>
  <r>
    <x v="281"/>
    <x v="7"/>
    <s v="TX-100894"/>
    <x v="13"/>
    <x v="1"/>
    <x v="3"/>
    <n v="4443.25"/>
    <n v="577.62"/>
    <x v="893"/>
    <x v="4"/>
    <s v="Tarjeta Crédito Empresarial"/>
    <s v="Transferencia"/>
    <s v="Pagado"/>
  </r>
  <r>
    <x v="167"/>
    <x v="8"/>
    <s v="TX-100895"/>
    <x v="18"/>
    <x v="0"/>
    <x v="7"/>
    <n v="2562.39"/>
    <n v="0"/>
    <x v="894"/>
    <x v="3"/>
    <s v="Cuenta Ahorros"/>
    <s v="Tarjeta Débito"/>
    <s v="Pagado"/>
  </r>
  <r>
    <x v="284"/>
    <x v="1"/>
    <s v="TX-100896"/>
    <x v="14"/>
    <x v="1"/>
    <x v="2"/>
    <n v="6551.66"/>
    <n v="851.72"/>
    <x v="895"/>
    <x v="4"/>
    <s v="Cuenta Ahorros"/>
    <s v="Efectivo"/>
    <s v="Pendiente"/>
  </r>
  <r>
    <x v="173"/>
    <x v="11"/>
    <s v="TX-100897"/>
    <x v="9"/>
    <x v="0"/>
    <x v="2"/>
    <n v="9998.8700000000008"/>
    <n v="0"/>
    <x v="896"/>
    <x v="1"/>
    <s v="Cuenta Corriente"/>
    <s v="Tarjeta Crédito"/>
    <s v="Pagado"/>
  </r>
  <r>
    <x v="262"/>
    <x v="10"/>
    <s v="TX-100898"/>
    <x v="3"/>
    <x v="0"/>
    <x v="3"/>
    <n v="9826.1"/>
    <n v="0"/>
    <x v="897"/>
    <x v="1"/>
    <s v="Cuenta Corriente"/>
    <s v="Tarjeta Débito"/>
    <s v="Pendiente"/>
  </r>
  <r>
    <x v="333"/>
    <x v="10"/>
    <s v="TX-100899"/>
    <x v="9"/>
    <x v="1"/>
    <x v="2"/>
    <n v="1382.63"/>
    <n v="179.74"/>
    <x v="898"/>
    <x v="4"/>
    <s v="Tarjeta Crédito Empresarial"/>
    <s v="Transferencia"/>
    <s v="Pendiente"/>
  </r>
  <r>
    <x v="82"/>
    <x v="10"/>
    <s v="TX-100900"/>
    <x v="3"/>
    <x v="0"/>
    <x v="1"/>
    <n v="4696.4399999999996"/>
    <n v="0"/>
    <x v="899"/>
    <x v="0"/>
    <s v="Cuenta Corriente"/>
    <s v="Efectivo"/>
    <s v="Pendiente"/>
  </r>
  <r>
    <x v="331"/>
    <x v="1"/>
    <s v="TX-100901"/>
    <x v="8"/>
    <x v="1"/>
    <x v="0"/>
    <n v="1643.46"/>
    <n v="213.65"/>
    <x v="900"/>
    <x v="0"/>
    <s v="Cuenta Ahorros"/>
    <s v="Tarjeta Crédito"/>
    <s v="Pagado"/>
  </r>
  <r>
    <x v="106"/>
    <x v="4"/>
    <s v="TX-100902"/>
    <x v="12"/>
    <x v="0"/>
    <x v="7"/>
    <n v="2254.0100000000002"/>
    <n v="0"/>
    <x v="901"/>
    <x v="4"/>
    <s v="Tarjeta Crédito Empresarial"/>
    <s v="Transferencia"/>
    <s v="Pendiente"/>
  </r>
  <r>
    <x v="334"/>
    <x v="5"/>
    <s v="TX-100903"/>
    <x v="4"/>
    <x v="1"/>
    <x v="4"/>
    <n v="14952.89"/>
    <n v="1943.88"/>
    <x v="902"/>
    <x v="0"/>
    <s v="Cuenta Ahorros"/>
    <s v="Tarjeta Débito"/>
    <s v="Pendiente"/>
  </r>
  <r>
    <x v="330"/>
    <x v="7"/>
    <s v="TX-100904"/>
    <x v="7"/>
    <x v="1"/>
    <x v="6"/>
    <n v="2332.9"/>
    <n v="303.27999999999997"/>
    <x v="903"/>
    <x v="4"/>
    <s v="Tarjeta Crédito Empresarial"/>
    <s v="Transferencia"/>
    <s v="Pagado"/>
  </r>
  <r>
    <x v="335"/>
    <x v="10"/>
    <s v="TX-100905"/>
    <x v="7"/>
    <x v="0"/>
    <x v="5"/>
    <n v="14866.4"/>
    <n v="0"/>
    <x v="904"/>
    <x v="1"/>
    <s v="Cuenta Ahorros"/>
    <s v="Efectivo"/>
    <s v="Pendiente"/>
  </r>
  <r>
    <x v="114"/>
    <x v="4"/>
    <s v="TX-100906"/>
    <x v="7"/>
    <x v="0"/>
    <x v="2"/>
    <n v="7941.27"/>
    <n v="0"/>
    <x v="905"/>
    <x v="2"/>
    <s v="Tarjeta Crédito Empresarial"/>
    <s v="Tarjeta Débito"/>
    <s v="Pendiente"/>
  </r>
  <r>
    <x v="229"/>
    <x v="5"/>
    <s v="TX-100907"/>
    <x v="14"/>
    <x v="0"/>
    <x v="1"/>
    <n v="12754.66"/>
    <n v="0"/>
    <x v="906"/>
    <x v="2"/>
    <s v="Cuenta Ahorros"/>
    <s v="Tarjeta Débito"/>
    <s v="Pagado"/>
  </r>
  <r>
    <x v="327"/>
    <x v="7"/>
    <s v="TX-100908"/>
    <x v="13"/>
    <x v="0"/>
    <x v="5"/>
    <n v="3186.01"/>
    <n v="0"/>
    <x v="907"/>
    <x v="3"/>
    <s v="Cuenta Ahorros"/>
    <s v="Transferencia"/>
    <s v="Pagado"/>
  </r>
  <r>
    <x v="19"/>
    <x v="8"/>
    <s v="TX-100909"/>
    <x v="7"/>
    <x v="1"/>
    <x v="1"/>
    <n v="1485.91"/>
    <n v="193.17"/>
    <x v="908"/>
    <x v="4"/>
    <s v="Cuenta Corriente"/>
    <s v="Transferencia"/>
    <s v="Pendiente"/>
  </r>
  <r>
    <x v="124"/>
    <x v="4"/>
    <s v="TX-100910"/>
    <x v="16"/>
    <x v="0"/>
    <x v="0"/>
    <n v="558.19000000000005"/>
    <n v="0"/>
    <x v="909"/>
    <x v="1"/>
    <s v="Cuenta Ahorros"/>
    <s v="Tarjeta Crédito"/>
    <s v="Pagado"/>
  </r>
  <r>
    <x v="146"/>
    <x v="6"/>
    <s v="TX-100911"/>
    <x v="18"/>
    <x v="0"/>
    <x v="3"/>
    <n v="4164.4799999999996"/>
    <n v="0"/>
    <x v="910"/>
    <x v="1"/>
    <s v="Cuenta Ahorros"/>
    <s v="Transferencia"/>
    <s v="Pagado"/>
  </r>
  <r>
    <x v="37"/>
    <x v="11"/>
    <s v="TX-100912"/>
    <x v="1"/>
    <x v="1"/>
    <x v="7"/>
    <n v="9639.07"/>
    <n v="1253.08"/>
    <x v="911"/>
    <x v="4"/>
    <s v="Cuenta Corriente"/>
    <s v="Efectivo"/>
    <s v="Pendiente"/>
  </r>
  <r>
    <x v="188"/>
    <x v="6"/>
    <s v="TX-100913"/>
    <x v="19"/>
    <x v="1"/>
    <x v="3"/>
    <n v="7288.66"/>
    <n v="947.53"/>
    <x v="912"/>
    <x v="1"/>
    <s v="Cuenta Ahorros"/>
    <s v="Tarjeta Débito"/>
    <s v="Pagado"/>
  </r>
  <r>
    <x v="308"/>
    <x v="1"/>
    <s v="TX-100914"/>
    <x v="18"/>
    <x v="1"/>
    <x v="3"/>
    <n v="12202.38"/>
    <n v="1586.31"/>
    <x v="913"/>
    <x v="1"/>
    <s v="Tarjeta Crédito Empresarial"/>
    <s v="Efectivo"/>
    <s v="Pagado"/>
  </r>
  <r>
    <x v="285"/>
    <x v="5"/>
    <s v="TX-100915"/>
    <x v="5"/>
    <x v="1"/>
    <x v="5"/>
    <n v="12936.95"/>
    <n v="1681.8"/>
    <x v="914"/>
    <x v="4"/>
    <s v="Cuenta Corriente"/>
    <s v="Efectivo"/>
    <s v="Pendiente"/>
  </r>
  <r>
    <x v="223"/>
    <x v="0"/>
    <s v="TX-100916"/>
    <x v="0"/>
    <x v="1"/>
    <x v="0"/>
    <n v="9806.98"/>
    <n v="1274.9100000000001"/>
    <x v="915"/>
    <x v="0"/>
    <s v="Cuenta Ahorros"/>
    <s v="Transferencia"/>
    <s v="Pagado"/>
  </r>
  <r>
    <x v="150"/>
    <x v="2"/>
    <s v="TX-100917"/>
    <x v="11"/>
    <x v="0"/>
    <x v="6"/>
    <n v="14495.83"/>
    <n v="0"/>
    <x v="916"/>
    <x v="1"/>
    <s v="Tarjeta Crédito Empresarial"/>
    <s v="Transferencia"/>
    <s v="Pagado"/>
  </r>
  <r>
    <x v="64"/>
    <x v="11"/>
    <s v="TX-100918"/>
    <x v="10"/>
    <x v="0"/>
    <x v="7"/>
    <n v="2140.83"/>
    <n v="0"/>
    <x v="917"/>
    <x v="2"/>
    <s v="Tarjeta Crédito Empresarial"/>
    <s v="Tarjeta Crédito"/>
    <s v="Pagado"/>
  </r>
  <r>
    <x v="190"/>
    <x v="9"/>
    <s v="TX-100919"/>
    <x v="0"/>
    <x v="1"/>
    <x v="1"/>
    <n v="2861.7"/>
    <n v="372.02"/>
    <x v="918"/>
    <x v="4"/>
    <s v="Cuenta Corriente"/>
    <s v="Tarjeta Débito"/>
    <s v="Pendiente"/>
  </r>
  <r>
    <x v="267"/>
    <x v="4"/>
    <s v="TX-100920"/>
    <x v="16"/>
    <x v="0"/>
    <x v="2"/>
    <n v="8270.24"/>
    <n v="0"/>
    <x v="919"/>
    <x v="1"/>
    <s v="Tarjeta Crédito Empresarial"/>
    <s v="Tarjeta Débito"/>
    <s v="Pendiente"/>
  </r>
  <r>
    <x v="130"/>
    <x v="2"/>
    <s v="TX-100921"/>
    <x v="18"/>
    <x v="0"/>
    <x v="3"/>
    <n v="14105.98"/>
    <n v="0"/>
    <x v="920"/>
    <x v="0"/>
    <s v="Cuenta Corriente"/>
    <s v="Transferencia"/>
    <s v="Pendiente"/>
  </r>
  <r>
    <x v="75"/>
    <x v="9"/>
    <s v="TX-100922"/>
    <x v="3"/>
    <x v="1"/>
    <x v="3"/>
    <n v="12332.44"/>
    <n v="1603.22"/>
    <x v="921"/>
    <x v="1"/>
    <s v="Cuenta Ahorros"/>
    <s v="Transferencia"/>
    <s v="Pagado"/>
  </r>
  <r>
    <x v="59"/>
    <x v="3"/>
    <s v="TX-100923"/>
    <x v="9"/>
    <x v="1"/>
    <x v="2"/>
    <n v="10275.49"/>
    <n v="1335.81"/>
    <x v="922"/>
    <x v="3"/>
    <s v="Cuenta Ahorros"/>
    <s v="Transferencia"/>
    <s v="Pendiente"/>
  </r>
  <r>
    <x v="85"/>
    <x v="0"/>
    <s v="TX-100924"/>
    <x v="17"/>
    <x v="1"/>
    <x v="0"/>
    <n v="4141.0200000000004"/>
    <n v="538.33000000000004"/>
    <x v="923"/>
    <x v="1"/>
    <s v="Cuenta Corriente"/>
    <s v="Efectivo"/>
    <s v="Pagado"/>
  </r>
  <r>
    <x v="165"/>
    <x v="9"/>
    <s v="TX-100925"/>
    <x v="14"/>
    <x v="0"/>
    <x v="7"/>
    <n v="1478.33"/>
    <n v="0"/>
    <x v="924"/>
    <x v="0"/>
    <s v="Cuenta Ahorros"/>
    <s v="Tarjeta Crédito"/>
    <s v="Pagado"/>
  </r>
  <r>
    <x v="238"/>
    <x v="5"/>
    <s v="TX-100926"/>
    <x v="14"/>
    <x v="0"/>
    <x v="3"/>
    <n v="2751.05"/>
    <n v="0"/>
    <x v="925"/>
    <x v="0"/>
    <s v="Tarjeta Crédito Empresarial"/>
    <s v="Efectivo"/>
    <s v="Pendiente"/>
  </r>
  <r>
    <x v="130"/>
    <x v="2"/>
    <s v="TX-100927"/>
    <x v="9"/>
    <x v="1"/>
    <x v="5"/>
    <n v="9880.57"/>
    <n v="1284.47"/>
    <x v="926"/>
    <x v="1"/>
    <s v="Tarjeta Crédito Empresarial"/>
    <s v="Tarjeta Crédito"/>
    <s v="Pagado"/>
  </r>
  <r>
    <x v="58"/>
    <x v="9"/>
    <s v="TX-100928"/>
    <x v="12"/>
    <x v="0"/>
    <x v="7"/>
    <n v="2787.41"/>
    <n v="0"/>
    <x v="927"/>
    <x v="1"/>
    <s v="Tarjeta Crédito Empresarial"/>
    <s v="Tarjeta Crédito"/>
    <s v="Pendiente"/>
  </r>
  <r>
    <x v="223"/>
    <x v="0"/>
    <s v="TX-100929"/>
    <x v="4"/>
    <x v="1"/>
    <x v="4"/>
    <n v="9552.75"/>
    <n v="1241.8599999999999"/>
    <x v="928"/>
    <x v="2"/>
    <s v="Cuenta Ahorros"/>
    <s v="Tarjeta Crédito"/>
    <s v="Pagado"/>
  </r>
  <r>
    <x v="233"/>
    <x v="1"/>
    <s v="TX-100930"/>
    <x v="1"/>
    <x v="1"/>
    <x v="2"/>
    <n v="2518.44"/>
    <n v="327.39999999999998"/>
    <x v="929"/>
    <x v="3"/>
    <s v="Tarjeta Crédito Empresarial"/>
    <s v="Tarjeta Crédito"/>
    <s v="Pendiente"/>
  </r>
  <r>
    <x v="126"/>
    <x v="5"/>
    <s v="TX-100931"/>
    <x v="15"/>
    <x v="1"/>
    <x v="7"/>
    <n v="7492.19"/>
    <n v="973.98"/>
    <x v="930"/>
    <x v="0"/>
    <s v="Tarjeta Crédito Empresarial"/>
    <s v="Transferencia"/>
    <s v="Pendiente"/>
  </r>
  <r>
    <x v="6"/>
    <x v="5"/>
    <s v="TX-100932"/>
    <x v="19"/>
    <x v="1"/>
    <x v="1"/>
    <n v="10726.69"/>
    <n v="1394.47"/>
    <x v="931"/>
    <x v="0"/>
    <s v="Tarjeta Crédito Empresarial"/>
    <s v="Tarjeta Crédito"/>
    <s v="Pagado"/>
  </r>
  <r>
    <x v="227"/>
    <x v="11"/>
    <s v="TX-100933"/>
    <x v="19"/>
    <x v="0"/>
    <x v="5"/>
    <n v="10134.11"/>
    <n v="0"/>
    <x v="932"/>
    <x v="4"/>
    <s v="Cuenta Corriente"/>
    <s v="Transferencia"/>
    <s v="Pendiente"/>
  </r>
  <r>
    <x v="107"/>
    <x v="3"/>
    <s v="TX-100934"/>
    <x v="11"/>
    <x v="0"/>
    <x v="1"/>
    <n v="6369.7"/>
    <n v="0"/>
    <x v="933"/>
    <x v="4"/>
    <s v="Cuenta Ahorros"/>
    <s v="Transferencia"/>
    <s v="Pendiente"/>
  </r>
  <r>
    <x v="4"/>
    <x v="4"/>
    <s v="TX-100935"/>
    <x v="11"/>
    <x v="1"/>
    <x v="4"/>
    <n v="4522.71"/>
    <n v="587.95000000000005"/>
    <x v="934"/>
    <x v="2"/>
    <s v="Cuenta Corriente"/>
    <s v="Transferencia"/>
    <s v="Pendiente"/>
  </r>
  <r>
    <x v="196"/>
    <x v="11"/>
    <s v="TX-100936"/>
    <x v="9"/>
    <x v="1"/>
    <x v="7"/>
    <n v="13392.78"/>
    <n v="1741.06"/>
    <x v="935"/>
    <x v="3"/>
    <s v="Cuenta Ahorros"/>
    <s v="Transferencia"/>
    <s v="Pendiente"/>
  </r>
  <r>
    <x v="252"/>
    <x v="7"/>
    <s v="TX-100937"/>
    <x v="17"/>
    <x v="0"/>
    <x v="2"/>
    <n v="127.06"/>
    <n v="0"/>
    <x v="936"/>
    <x v="1"/>
    <s v="Cuenta Ahorros"/>
    <s v="Transferencia"/>
    <s v="Pagado"/>
  </r>
  <r>
    <x v="48"/>
    <x v="2"/>
    <s v="TX-100938"/>
    <x v="13"/>
    <x v="1"/>
    <x v="2"/>
    <n v="7959.99"/>
    <n v="1034.8"/>
    <x v="937"/>
    <x v="1"/>
    <s v="Cuenta Corriente"/>
    <s v="Efectivo"/>
    <s v="Pagado"/>
  </r>
  <r>
    <x v="190"/>
    <x v="9"/>
    <s v="TX-100939"/>
    <x v="9"/>
    <x v="1"/>
    <x v="7"/>
    <n v="5960.61"/>
    <n v="774.88"/>
    <x v="938"/>
    <x v="2"/>
    <s v="Cuenta Ahorros"/>
    <s v="Tarjeta Débito"/>
    <s v="Pendiente"/>
  </r>
  <r>
    <x v="207"/>
    <x v="8"/>
    <s v="TX-100940"/>
    <x v="6"/>
    <x v="0"/>
    <x v="5"/>
    <n v="2141.12"/>
    <n v="0"/>
    <x v="939"/>
    <x v="3"/>
    <s v="Cuenta Ahorros"/>
    <s v="Tarjeta Débito"/>
    <s v="Pagado"/>
  </r>
  <r>
    <x v="18"/>
    <x v="9"/>
    <s v="TX-100941"/>
    <x v="9"/>
    <x v="1"/>
    <x v="5"/>
    <n v="5948.46"/>
    <n v="773.3"/>
    <x v="940"/>
    <x v="3"/>
    <s v="Cuenta Corriente"/>
    <s v="Tarjeta Débito"/>
    <s v="Pendiente"/>
  </r>
  <r>
    <x v="228"/>
    <x v="5"/>
    <s v="TX-100942"/>
    <x v="18"/>
    <x v="0"/>
    <x v="7"/>
    <n v="8274.35"/>
    <n v="0"/>
    <x v="941"/>
    <x v="4"/>
    <s v="Cuenta Ahorros"/>
    <s v="Efectivo"/>
    <s v="Pendiente"/>
  </r>
  <r>
    <x v="299"/>
    <x v="9"/>
    <s v="TX-100943"/>
    <x v="1"/>
    <x v="1"/>
    <x v="1"/>
    <n v="1935.55"/>
    <n v="251.62"/>
    <x v="942"/>
    <x v="0"/>
    <s v="Cuenta Corriente"/>
    <s v="Tarjeta Débito"/>
    <s v="Pagado"/>
  </r>
  <r>
    <x v="114"/>
    <x v="4"/>
    <s v="TX-100944"/>
    <x v="7"/>
    <x v="1"/>
    <x v="3"/>
    <n v="7228.89"/>
    <n v="939.76"/>
    <x v="943"/>
    <x v="1"/>
    <s v="Cuenta Corriente"/>
    <s v="Efectivo"/>
    <s v="Pagado"/>
  </r>
  <r>
    <x v="78"/>
    <x v="0"/>
    <s v="TX-100945"/>
    <x v="11"/>
    <x v="1"/>
    <x v="0"/>
    <n v="4253.03"/>
    <n v="552.89"/>
    <x v="944"/>
    <x v="2"/>
    <s v="Tarjeta Crédito Empresarial"/>
    <s v="Tarjeta Débito"/>
    <s v="Pendiente"/>
  </r>
  <r>
    <x v="82"/>
    <x v="10"/>
    <s v="TX-100946"/>
    <x v="6"/>
    <x v="1"/>
    <x v="5"/>
    <n v="2870.6"/>
    <n v="373.18"/>
    <x v="945"/>
    <x v="4"/>
    <s v="Cuenta Corriente"/>
    <s v="Transferencia"/>
    <s v="Pagado"/>
  </r>
  <r>
    <x v="302"/>
    <x v="8"/>
    <s v="TX-100947"/>
    <x v="10"/>
    <x v="0"/>
    <x v="0"/>
    <n v="13940.02"/>
    <n v="0"/>
    <x v="946"/>
    <x v="3"/>
    <s v="Tarjeta Crédito Empresarial"/>
    <s v="Tarjeta Débito"/>
    <s v="Pagado"/>
  </r>
  <r>
    <x v="181"/>
    <x v="7"/>
    <s v="TX-100948"/>
    <x v="15"/>
    <x v="0"/>
    <x v="4"/>
    <n v="10517.37"/>
    <n v="0"/>
    <x v="947"/>
    <x v="4"/>
    <s v="Cuenta Ahorros"/>
    <s v="Efectivo"/>
    <s v="Pendiente"/>
  </r>
  <r>
    <x v="184"/>
    <x v="4"/>
    <s v="TX-100949"/>
    <x v="11"/>
    <x v="0"/>
    <x v="1"/>
    <n v="4599.1400000000003"/>
    <n v="0"/>
    <x v="948"/>
    <x v="2"/>
    <s v="Cuenta Ahorros"/>
    <s v="Tarjeta Crédito"/>
    <s v="Pendiente"/>
  </r>
  <r>
    <x v="311"/>
    <x v="1"/>
    <s v="TX-100950"/>
    <x v="3"/>
    <x v="1"/>
    <x v="5"/>
    <n v="661.29"/>
    <n v="85.97"/>
    <x v="949"/>
    <x v="2"/>
    <s v="Cuenta Corriente"/>
    <s v="Tarjeta Crédito"/>
    <s v="Pendiente"/>
  </r>
  <r>
    <x v="64"/>
    <x v="11"/>
    <s v="TX-100951"/>
    <x v="2"/>
    <x v="1"/>
    <x v="3"/>
    <n v="2813.36"/>
    <n v="365.74"/>
    <x v="544"/>
    <x v="2"/>
    <s v="Cuenta Ahorros"/>
    <s v="Tarjeta Crédito"/>
    <s v="Pagado"/>
  </r>
  <r>
    <x v="336"/>
    <x v="3"/>
    <s v="TX-100952"/>
    <x v="0"/>
    <x v="1"/>
    <x v="6"/>
    <n v="5440.5"/>
    <n v="707.26"/>
    <x v="950"/>
    <x v="0"/>
    <s v="Tarjeta Crédito Empresarial"/>
    <s v="Tarjeta Crédito"/>
    <s v="Pagado"/>
  </r>
  <r>
    <x v="243"/>
    <x v="2"/>
    <s v="TX-100953"/>
    <x v="12"/>
    <x v="0"/>
    <x v="2"/>
    <n v="13313.55"/>
    <n v="0"/>
    <x v="951"/>
    <x v="0"/>
    <s v="Cuenta Corriente"/>
    <s v="Transferencia"/>
    <s v="Pagado"/>
  </r>
  <r>
    <x v="119"/>
    <x v="6"/>
    <s v="TX-100954"/>
    <x v="6"/>
    <x v="1"/>
    <x v="2"/>
    <n v="14130.18"/>
    <n v="1836.92"/>
    <x v="952"/>
    <x v="2"/>
    <s v="Cuenta Ahorros"/>
    <s v="Efectivo"/>
    <s v="Pagado"/>
  </r>
  <r>
    <x v="337"/>
    <x v="5"/>
    <s v="TX-100955"/>
    <x v="0"/>
    <x v="1"/>
    <x v="0"/>
    <n v="6302.28"/>
    <n v="819.3"/>
    <x v="953"/>
    <x v="2"/>
    <s v="Tarjeta Crédito Empresarial"/>
    <s v="Tarjeta Crédito"/>
    <s v="Pendiente"/>
  </r>
  <r>
    <x v="227"/>
    <x v="11"/>
    <s v="TX-100956"/>
    <x v="18"/>
    <x v="0"/>
    <x v="2"/>
    <n v="7268.17"/>
    <n v="0"/>
    <x v="954"/>
    <x v="0"/>
    <s v="Cuenta Corriente"/>
    <s v="Tarjeta Débito"/>
    <s v="Pendiente"/>
  </r>
  <r>
    <x v="285"/>
    <x v="5"/>
    <s v="TX-100957"/>
    <x v="9"/>
    <x v="1"/>
    <x v="1"/>
    <n v="11926.14"/>
    <n v="1550.4"/>
    <x v="955"/>
    <x v="4"/>
    <s v="Tarjeta Crédito Empresarial"/>
    <s v="Efectivo"/>
    <s v="Pendiente"/>
  </r>
  <r>
    <x v="180"/>
    <x v="3"/>
    <s v="TX-100958"/>
    <x v="14"/>
    <x v="0"/>
    <x v="3"/>
    <n v="8459.35"/>
    <n v="0"/>
    <x v="956"/>
    <x v="1"/>
    <s v="Tarjeta Crédito Empresarial"/>
    <s v="Tarjeta Crédito"/>
    <s v="Pagado"/>
  </r>
  <r>
    <x v="331"/>
    <x v="1"/>
    <s v="TX-100959"/>
    <x v="0"/>
    <x v="1"/>
    <x v="0"/>
    <n v="8902.09"/>
    <n v="1157.27"/>
    <x v="957"/>
    <x v="0"/>
    <s v="Cuenta Ahorros"/>
    <s v="Tarjeta Crédito"/>
    <s v="Pendiente"/>
  </r>
  <r>
    <x v="44"/>
    <x v="1"/>
    <s v="TX-100960"/>
    <x v="9"/>
    <x v="0"/>
    <x v="2"/>
    <n v="2608.08"/>
    <n v="0"/>
    <x v="958"/>
    <x v="0"/>
    <s v="Cuenta Corriente"/>
    <s v="Tarjeta Crédito"/>
    <s v="Pagado"/>
  </r>
  <r>
    <x v="311"/>
    <x v="1"/>
    <s v="TX-100961"/>
    <x v="9"/>
    <x v="1"/>
    <x v="4"/>
    <n v="13107.07"/>
    <n v="1703.92"/>
    <x v="959"/>
    <x v="4"/>
    <s v="Cuenta Corriente"/>
    <s v="Transferencia"/>
    <s v="Pagado"/>
  </r>
  <r>
    <x v="334"/>
    <x v="5"/>
    <s v="TX-100962"/>
    <x v="2"/>
    <x v="0"/>
    <x v="6"/>
    <n v="1294.53"/>
    <n v="0"/>
    <x v="960"/>
    <x v="0"/>
    <s v="Cuenta Ahorros"/>
    <s v="Tarjeta Débito"/>
    <s v="Pendiente"/>
  </r>
  <r>
    <x v="197"/>
    <x v="7"/>
    <s v="TX-100963"/>
    <x v="8"/>
    <x v="1"/>
    <x v="1"/>
    <n v="12367.78"/>
    <n v="1607.81"/>
    <x v="961"/>
    <x v="2"/>
    <s v="Cuenta Corriente"/>
    <s v="Tarjeta Crédito"/>
    <s v="Pagado"/>
  </r>
  <r>
    <x v="197"/>
    <x v="7"/>
    <s v="TX-100964"/>
    <x v="15"/>
    <x v="0"/>
    <x v="0"/>
    <n v="12261.86"/>
    <n v="0"/>
    <x v="962"/>
    <x v="2"/>
    <s v="Cuenta Ahorros"/>
    <s v="Tarjeta Débito"/>
    <s v="Pendiente"/>
  </r>
  <r>
    <x v="137"/>
    <x v="11"/>
    <s v="TX-100965"/>
    <x v="6"/>
    <x v="1"/>
    <x v="3"/>
    <n v="5561.17"/>
    <n v="722.95"/>
    <x v="963"/>
    <x v="3"/>
    <s v="Cuenta Ahorros"/>
    <s v="Tarjeta Débito"/>
    <s v="Pendiente"/>
  </r>
  <r>
    <x v="338"/>
    <x v="7"/>
    <s v="TX-100966"/>
    <x v="14"/>
    <x v="1"/>
    <x v="7"/>
    <n v="14153.16"/>
    <n v="1839.91"/>
    <x v="964"/>
    <x v="2"/>
    <s v="Cuenta Corriente"/>
    <s v="Tarjeta Crédito"/>
    <s v="Pagado"/>
  </r>
  <r>
    <x v="302"/>
    <x v="8"/>
    <s v="TX-100967"/>
    <x v="15"/>
    <x v="1"/>
    <x v="2"/>
    <n v="2195.66"/>
    <n v="285.44"/>
    <x v="965"/>
    <x v="4"/>
    <s v="Cuenta Ahorros"/>
    <s v="Efectivo"/>
    <s v="Pagado"/>
  </r>
  <r>
    <x v="339"/>
    <x v="0"/>
    <s v="TX-100968"/>
    <x v="0"/>
    <x v="1"/>
    <x v="3"/>
    <n v="5790.66"/>
    <n v="752.79"/>
    <x v="966"/>
    <x v="3"/>
    <s v="Tarjeta Crédito Empresarial"/>
    <s v="Transferencia"/>
    <s v="Pagado"/>
  </r>
  <r>
    <x v="102"/>
    <x v="6"/>
    <s v="TX-100969"/>
    <x v="1"/>
    <x v="0"/>
    <x v="5"/>
    <n v="14082.05"/>
    <n v="0"/>
    <x v="967"/>
    <x v="3"/>
    <s v="Cuenta Corriente"/>
    <s v="Transferencia"/>
    <s v="Pendiente"/>
  </r>
  <r>
    <x v="298"/>
    <x v="8"/>
    <s v="TX-100970"/>
    <x v="5"/>
    <x v="1"/>
    <x v="7"/>
    <n v="11407.09"/>
    <n v="1482.92"/>
    <x v="968"/>
    <x v="4"/>
    <s v="Cuenta Ahorros"/>
    <s v="Tarjeta Crédito"/>
    <s v="Pendiente"/>
  </r>
  <r>
    <x v="40"/>
    <x v="2"/>
    <s v="TX-100971"/>
    <x v="5"/>
    <x v="1"/>
    <x v="4"/>
    <n v="9430.91"/>
    <n v="1226.02"/>
    <x v="969"/>
    <x v="3"/>
    <s v="Cuenta Corriente"/>
    <s v="Transferencia"/>
    <s v="Pendiente"/>
  </r>
  <r>
    <x v="250"/>
    <x v="7"/>
    <s v="TX-100972"/>
    <x v="11"/>
    <x v="0"/>
    <x v="5"/>
    <n v="68.099999999999994"/>
    <n v="0"/>
    <x v="970"/>
    <x v="3"/>
    <s v="Cuenta Corriente"/>
    <s v="Efectivo"/>
    <s v="Pendiente"/>
  </r>
  <r>
    <x v="126"/>
    <x v="5"/>
    <s v="TX-100973"/>
    <x v="3"/>
    <x v="0"/>
    <x v="0"/>
    <n v="13829.28"/>
    <n v="0"/>
    <x v="971"/>
    <x v="1"/>
    <s v="Tarjeta Crédito Empresarial"/>
    <s v="Transferencia"/>
    <s v="Pendiente"/>
  </r>
  <r>
    <x v="114"/>
    <x v="4"/>
    <s v="TX-100974"/>
    <x v="1"/>
    <x v="1"/>
    <x v="2"/>
    <n v="14349.17"/>
    <n v="1865.39"/>
    <x v="972"/>
    <x v="2"/>
    <s v="Cuenta Corriente"/>
    <s v="Tarjeta Crédito"/>
    <s v="Pagado"/>
  </r>
  <r>
    <x v="132"/>
    <x v="11"/>
    <s v="TX-100975"/>
    <x v="18"/>
    <x v="1"/>
    <x v="5"/>
    <n v="2712.11"/>
    <n v="352.57"/>
    <x v="973"/>
    <x v="2"/>
    <s v="Tarjeta Crédito Empresarial"/>
    <s v="Tarjeta Débito"/>
    <s v="Pendiente"/>
  </r>
  <r>
    <x v="61"/>
    <x v="4"/>
    <s v="TX-100976"/>
    <x v="9"/>
    <x v="0"/>
    <x v="6"/>
    <n v="13137.26"/>
    <n v="0"/>
    <x v="974"/>
    <x v="1"/>
    <s v="Tarjeta Crédito Empresarial"/>
    <s v="Tarjeta Crédito"/>
    <s v="Pendiente"/>
  </r>
  <r>
    <x v="180"/>
    <x v="3"/>
    <s v="TX-100977"/>
    <x v="0"/>
    <x v="1"/>
    <x v="5"/>
    <n v="4837.83"/>
    <n v="628.91999999999996"/>
    <x v="975"/>
    <x v="1"/>
    <s v="Tarjeta Crédito Empresarial"/>
    <s v="Efectivo"/>
    <s v="Pagado"/>
  </r>
  <r>
    <x v="200"/>
    <x v="9"/>
    <s v="TX-100978"/>
    <x v="19"/>
    <x v="0"/>
    <x v="4"/>
    <n v="2212.7800000000002"/>
    <n v="0"/>
    <x v="976"/>
    <x v="4"/>
    <s v="Cuenta Corriente"/>
    <s v="Efectivo"/>
    <s v="Pendiente"/>
  </r>
  <r>
    <x v="222"/>
    <x v="3"/>
    <s v="TX-100979"/>
    <x v="13"/>
    <x v="0"/>
    <x v="7"/>
    <n v="10416.64"/>
    <n v="0"/>
    <x v="977"/>
    <x v="0"/>
    <s v="Tarjeta Crédito Empresarial"/>
    <s v="Tarjeta Crédito"/>
    <s v="Pagado"/>
  </r>
  <r>
    <x v="136"/>
    <x v="11"/>
    <s v="TX-100980"/>
    <x v="15"/>
    <x v="0"/>
    <x v="7"/>
    <n v="8104.27"/>
    <n v="0"/>
    <x v="978"/>
    <x v="0"/>
    <s v="Tarjeta Crédito Empresarial"/>
    <s v="Tarjeta Débito"/>
    <s v="Pendiente"/>
  </r>
  <r>
    <x v="26"/>
    <x v="7"/>
    <s v="TX-100981"/>
    <x v="19"/>
    <x v="0"/>
    <x v="0"/>
    <n v="10561.25"/>
    <n v="0"/>
    <x v="979"/>
    <x v="2"/>
    <s v="Cuenta Corriente"/>
    <s v="Tarjeta Débito"/>
    <s v="Pagado"/>
  </r>
  <r>
    <x v="23"/>
    <x v="1"/>
    <s v="TX-100982"/>
    <x v="4"/>
    <x v="0"/>
    <x v="5"/>
    <n v="13817.52"/>
    <n v="0"/>
    <x v="980"/>
    <x v="2"/>
    <s v="Cuenta Ahorros"/>
    <s v="Tarjeta Débito"/>
    <s v="Pendiente"/>
  </r>
  <r>
    <x v="250"/>
    <x v="7"/>
    <s v="TX-100983"/>
    <x v="16"/>
    <x v="0"/>
    <x v="0"/>
    <n v="3200.52"/>
    <n v="0"/>
    <x v="981"/>
    <x v="3"/>
    <s v="Tarjeta Crédito Empresarial"/>
    <s v="Tarjeta Débito"/>
    <s v="Pagado"/>
  </r>
  <r>
    <x v="6"/>
    <x v="5"/>
    <s v="TX-100984"/>
    <x v="15"/>
    <x v="1"/>
    <x v="3"/>
    <n v="5606.68"/>
    <n v="728.87"/>
    <x v="982"/>
    <x v="3"/>
    <s v="Tarjeta Crédito Empresarial"/>
    <s v="Transferencia"/>
    <s v="Pendiente"/>
  </r>
  <r>
    <x v="175"/>
    <x v="4"/>
    <s v="TX-100985"/>
    <x v="0"/>
    <x v="1"/>
    <x v="6"/>
    <n v="2162.1"/>
    <n v="281.07"/>
    <x v="983"/>
    <x v="3"/>
    <s v="Cuenta Corriente"/>
    <s v="Efectivo"/>
    <s v="Pagado"/>
  </r>
  <r>
    <x v="51"/>
    <x v="9"/>
    <s v="TX-100986"/>
    <x v="6"/>
    <x v="1"/>
    <x v="4"/>
    <n v="7079.26"/>
    <n v="920.3"/>
    <x v="984"/>
    <x v="1"/>
    <s v="Tarjeta Crédito Empresarial"/>
    <s v="Transferencia"/>
    <s v="Pendiente"/>
  </r>
  <r>
    <x v="340"/>
    <x v="2"/>
    <s v="TX-100987"/>
    <x v="14"/>
    <x v="1"/>
    <x v="1"/>
    <n v="9082.4"/>
    <n v="1180.71"/>
    <x v="985"/>
    <x v="0"/>
    <s v="Cuenta Corriente"/>
    <s v="Transferencia"/>
    <s v="Pendiente"/>
  </r>
  <r>
    <x v="117"/>
    <x v="8"/>
    <s v="TX-100988"/>
    <x v="13"/>
    <x v="0"/>
    <x v="4"/>
    <n v="10654.82"/>
    <n v="0"/>
    <x v="986"/>
    <x v="4"/>
    <s v="Cuenta Ahorros"/>
    <s v="Transferencia"/>
    <s v="Pendiente"/>
  </r>
  <r>
    <x v="341"/>
    <x v="7"/>
    <s v="TX-100989"/>
    <x v="5"/>
    <x v="0"/>
    <x v="1"/>
    <n v="3322.65"/>
    <n v="0"/>
    <x v="987"/>
    <x v="0"/>
    <s v="Tarjeta Crédito Empresarial"/>
    <s v="Transferencia"/>
    <s v="Pendiente"/>
  </r>
  <r>
    <x v="318"/>
    <x v="3"/>
    <s v="TX-100990"/>
    <x v="8"/>
    <x v="0"/>
    <x v="3"/>
    <n v="2514.12"/>
    <n v="0"/>
    <x v="988"/>
    <x v="1"/>
    <s v="Cuenta Corriente"/>
    <s v="Tarjeta Crédito"/>
    <s v="Pagado"/>
  </r>
  <r>
    <x v="114"/>
    <x v="4"/>
    <s v="TX-100991"/>
    <x v="1"/>
    <x v="0"/>
    <x v="6"/>
    <n v="469.33"/>
    <n v="0"/>
    <x v="989"/>
    <x v="4"/>
    <s v="Tarjeta Crédito Empresarial"/>
    <s v="Transferencia"/>
    <s v="Pagado"/>
  </r>
  <r>
    <x v="294"/>
    <x v="7"/>
    <s v="TX-100992"/>
    <x v="19"/>
    <x v="1"/>
    <x v="4"/>
    <n v="2856.77"/>
    <n v="371.38"/>
    <x v="990"/>
    <x v="3"/>
    <s v="Cuenta Corriente"/>
    <s v="Tarjeta Crédito"/>
    <s v="Pagado"/>
  </r>
  <r>
    <x v="199"/>
    <x v="0"/>
    <s v="TX-100993"/>
    <x v="19"/>
    <x v="0"/>
    <x v="1"/>
    <n v="768.33"/>
    <n v="0"/>
    <x v="991"/>
    <x v="2"/>
    <s v="Cuenta Corriente"/>
    <s v="Tarjeta Crédito"/>
    <s v="Pendiente"/>
  </r>
  <r>
    <x v="312"/>
    <x v="3"/>
    <s v="TX-100994"/>
    <x v="4"/>
    <x v="1"/>
    <x v="6"/>
    <n v="11290.04"/>
    <n v="1467.71"/>
    <x v="992"/>
    <x v="4"/>
    <s v="Tarjeta Crédito Empresarial"/>
    <s v="Transferencia"/>
    <s v="Pendiente"/>
  </r>
  <r>
    <x v="87"/>
    <x v="3"/>
    <s v="TX-100995"/>
    <x v="4"/>
    <x v="1"/>
    <x v="5"/>
    <n v="404.1"/>
    <n v="52.53"/>
    <x v="993"/>
    <x v="1"/>
    <s v="Tarjeta Crédito Empresarial"/>
    <s v="Transferencia"/>
    <s v="Pendiente"/>
  </r>
  <r>
    <x v="199"/>
    <x v="0"/>
    <s v="TX-100996"/>
    <x v="14"/>
    <x v="0"/>
    <x v="2"/>
    <n v="13283.8"/>
    <n v="0"/>
    <x v="994"/>
    <x v="4"/>
    <s v="Cuenta Corriente"/>
    <s v="Tarjeta Débito"/>
    <s v="Pagado"/>
  </r>
  <r>
    <x v="99"/>
    <x v="6"/>
    <s v="TX-100997"/>
    <x v="13"/>
    <x v="1"/>
    <x v="6"/>
    <n v="4398.08"/>
    <n v="571.75"/>
    <x v="995"/>
    <x v="1"/>
    <s v="Cuenta Corriente"/>
    <s v="Efectivo"/>
    <s v="Pagado"/>
  </r>
  <r>
    <x v="90"/>
    <x v="11"/>
    <s v="TX-100998"/>
    <x v="19"/>
    <x v="1"/>
    <x v="5"/>
    <n v="8525.17"/>
    <n v="1108.27"/>
    <x v="996"/>
    <x v="3"/>
    <s v="Cuenta Corriente"/>
    <s v="Tarjeta Débito"/>
    <s v="Pendiente"/>
  </r>
  <r>
    <x v="92"/>
    <x v="4"/>
    <s v="TX-100999"/>
    <x v="6"/>
    <x v="1"/>
    <x v="7"/>
    <n v="4740.09"/>
    <n v="616.21"/>
    <x v="997"/>
    <x v="4"/>
    <s v="Cuenta Corriente"/>
    <s v="Tarjeta Crédito"/>
    <s v="Pendiente"/>
  </r>
  <r>
    <x v="201"/>
    <x v="8"/>
    <s v="TX-101000"/>
    <x v="18"/>
    <x v="1"/>
    <x v="5"/>
    <n v="10674.29"/>
    <n v="1387.66"/>
    <x v="998"/>
    <x v="2"/>
    <s v="Cuenta Ahorros"/>
    <s v="Tarjeta Crédito"/>
    <s v="Pendiente"/>
  </r>
  <r>
    <x v="47"/>
    <x v="4"/>
    <s v="TX-101001"/>
    <x v="1"/>
    <x v="0"/>
    <x v="1"/>
    <n v="5483.91"/>
    <n v="0"/>
    <x v="999"/>
    <x v="1"/>
    <s v="Cuenta Ahorros"/>
    <s v="Tarjeta Débito"/>
    <s v="Pendiente"/>
  </r>
  <r>
    <x v="222"/>
    <x v="3"/>
    <s v="TX-101002"/>
    <x v="4"/>
    <x v="0"/>
    <x v="6"/>
    <n v="1298.18"/>
    <n v="0"/>
    <x v="1000"/>
    <x v="0"/>
    <s v="Cuenta Ahorros"/>
    <s v="Tarjeta Crédito"/>
    <s v="Pagado"/>
  </r>
  <r>
    <x v="135"/>
    <x v="4"/>
    <s v="TX-101003"/>
    <x v="5"/>
    <x v="1"/>
    <x v="5"/>
    <n v="12803.24"/>
    <n v="1664.42"/>
    <x v="1001"/>
    <x v="1"/>
    <s v="Cuenta Corriente"/>
    <s v="Efectivo"/>
    <s v="Pagado"/>
  </r>
  <r>
    <x v="11"/>
    <x v="8"/>
    <s v="TX-101004"/>
    <x v="15"/>
    <x v="0"/>
    <x v="2"/>
    <n v="5266.62"/>
    <n v="0"/>
    <x v="1002"/>
    <x v="0"/>
    <s v="Cuenta Ahorros"/>
    <s v="Transferencia"/>
    <s v="Pagado"/>
  </r>
  <r>
    <x v="161"/>
    <x v="9"/>
    <s v="TX-101005"/>
    <x v="1"/>
    <x v="0"/>
    <x v="3"/>
    <n v="3032.09"/>
    <n v="0"/>
    <x v="1003"/>
    <x v="3"/>
    <s v="Cuenta Ahorros"/>
    <s v="Tarjeta Crédito"/>
    <s v="Pendiente"/>
  </r>
  <r>
    <x v="246"/>
    <x v="10"/>
    <s v="TX-101006"/>
    <x v="6"/>
    <x v="1"/>
    <x v="4"/>
    <n v="6845.95"/>
    <n v="889.97"/>
    <x v="1004"/>
    <x v="4"/>
    <s v="Cuenta Ahorros"/>
    <s v="Tarjeta Débito"/>
    <s v="Pagado"/>
  </r>
  <r>
    <x v="336"/>
    <x v="3"/>
    <s v="TX-101007"/>
    <x v="2"/>
    <x v="1"/>
    <x v="3"/>
    <n v="982.88"/>
    <n v="127.77"/>
    <x v="1005"/>
    <x v="1"/>
    <s v="Cuenta Ahorros"/>
    <s v="Tarjeta Débito"/>
    <s v="Pagado"/>
  </r>
  <r>
    <x v="157"/>
    <x v="2"/>
    <s v="TX-101008"/>
    <x v="0"/>
    <x v="0"/>
    <x v="4"/>
    <n v="3818.47"/>
    <n v="0"/>
    <x v="1006"/>
    <x v="3"/>
    <s v="Cuenta Corriente"/>
    <s v="Transferencia"/>
    <s v="Pendiente"/>
  </r>
  <r>
    <x v="227"/>
    <x v="11"/>
    <s v="TX-101009"/>
    <x v="18"/>
    <x v="0"/>
    <x v="7"/>
    <n v="13075.77"/>
    <n v="0"/>
    <x v="1007"/>
    <x v="4"/>
    <s v="Tarjeta Crédito Empresarial"/>
    <s v="Tarjeta Crédito"/>
    <s v="Pagado"/>
  </r>
  <r>
    <x v="152"/>
    <x v="9"/>
    <s v="TX-101010"/>
    <x v="1"/>
    <x v="0"/>
    <x v="6"/>
    <n v="14452.32"/>
    <n v="0"/>
    <x v="1008"/>
    <x v="4"/>
    <s v="Cuenta Corriente"/>
    <s v="Tarjeta Crédito"/>
    <s v="Pendiente"/>
  </r>
  <r>
    <x v="325"/>
    <x v="5"/>
    <s v="TX-101011"/>
    <x v="13"/>
    <x v="1"/>
    <x v="3"/>
    <n v="5352.65"/>
    <n v="695.84"/>
    <x v="1009"/>
    <x v="0"/>
    <s v="Cuenta Ahorros"/>
    <s v="Transferencia"/>
    <s v="Pagado"/>
  </r>
  <r>
    <x v="206"/>
    <x v="9"/>
    <s v="TX-101012"/>
    <x v="19"/>
    <x v="1"/>
    <x v="6"/>
    <n v="9977.74"/>
    <n v="1297.1099999999999"/>
    <x v="1010"/>
    <x v="3"/>
    <s v="Cuenta Corriente"/>
    <s v="Efectivo"/>
    <s v="Pagado"/>
  </r>
  <r>
    <x v="342"/>
    <x v="1"/>
    <s v="TX-101013"/>
    <x v="8"/>
    <x v="1"/>
    <x v="3"/>
    <n v="3978.9"/>
    <n v="517.26"/>
    <x v="1011"/>
    <x v="1"/>
    <s v="Cuenta Corriente"/>
    <s v="Efectivo"/>
    <s v="Pagado"/>
  </r>
  <r>
    <x v="289"/>
    <x v="2"/>
    <s v="TX-101014"/>
    <x v="5"/>
    <x v="1"/>
    <x v="3"/>
    <n v="10461.870000000001"/>
    <n v="1360.04"/>
    <x v="1012"/>
    <x v="0"/>
    <s v="Cuenta Ahorros"/>
    <s v="Tarjeta Débito"/>
    <s v="Pendiente"/>
  </r>
  <r>
    <x v="343"/>
    <x v="1"/>
    <s v="TX-101015"/>
    <x v="5"/>
    <x v="1"/>
    <x v="6"/>
    <n v="12216"/>
    <n v="1588.08"/>
    <x v="1013"/>
    <x v="2"/>
    <s v="Cuenta Ahorros"/>
    <s v="Transferencia"/>
    <s v="Pendiente"/>
  </r>
  <r>
    <x v="305"/>
    <x v="10"/>
    <s v="TX-101016"/>
    <x v="7"/>
    <x v="0"/>
    <x v="6"/>
    <n v="5315.56"/>
    <n v="0"/>
    <x v="1014"/>
    <x v="1"/>
    <s v="Tarjeta Crédito Empresarial"/>
    <s v="Tarjeta Crédito"/>
    <s v="Pagado"/>
  </r>
  <r>
    <x v="69"/>
    <x v="10"/>
    <s v="TX-101017"/>
    <x v="6"/>
    <x v="0"/>
    <x v="6"/>
    <n v="2694.58"/>
    <n v="0"/>
    <x v="1015"/>
    <x v="4"/>
    <s v="Tarjeta Crédito Empresarial"/>
    <s v="Efectivo"/>
    <s v="Pendiente"/>
  </r>
  <r>
    <x v="236"/>
    <x v="0"/>
    <s v="TX-101018"/>
    <x v="7"/>
    <x v="0"/>
    <x v="2"/>
    <n v="14930.68"/>
    <n v="0"/>
    <x v="1016"/>
    <x v="3"/>
    <s v="Tarjeta Crédito Empresarial"/>
    <s v="Transferencia"/>
    <s v="Pendiente"/>
  </r>
  <r>
    <x v="321"/>
    <x v="1"/>
    <s v="TX-101019"/>
    <x v="6"/>
    <x v="1"/>
    <x v="7"/>
    <n v="7575.25"/>
    <n v="984.78"/>
    <x v="1017"/>
    <x v="2"/>
    <s v="Cuenta Ahorros"/>
    <s v="Tarjeta Débito"/>
    <s v="Pagado"/>
  </r>
  <r>
    <x v="121"/>
    <x v="8"/>
    <s v="TX-101020"/>
    <x v="4"/>
    <x v="0"/>
    <x v="2"/>
    <n v="2973.63"/>
    <n v="0"/>
    <x v="1018"/>
    <x v="3"/>
    <s v="Cuenta Ahorros"/>
    <s v="Efectivo"/>
    <s v="Pendiente"/>
  </r>
  <r>
    <x v="184"/>
    <x v="4"/>
    <s v="TX-101021"/>
    <x v="10"/>
    <x v="0"/>
    <x v="0"/>
    <n v="7638.03"/>
    <n v="0"/>
    <x v="1019"/>
    <x v="2"/>
    <s v="Cuenta Ahorros"/>
    <s v="Efectivo"/>
    <s v="Pagado"/>
  </r>
  <r>
    <x v="86"/>
    <x v="3"/>
    <s v="TX-101022"/>
    <x v="15"/>
    <x v="1"/>
    <x v="1"/>
    <n v="442.39"/>
    <n v="57.51"/>
    <x v="1020"/>
    <x v="0"/>
    <s v="Tarjeta Crédito Empresarial"/>
    <s v="Tarjeta Crédito"/>
    <s v="Pendiente"/>
  </r>
  <r>
    <x v="291"/>
    <x v="3"/>
    <s v="TX-101023"/>
    <x v="19"/>
    <x v="0"/>
    <x v="0"/>
    <n v="8358.31"/>
    <n v="0"/>
    <x v="1021"/>
    <x v="4"/>
    <s v="Tarjeta Crédito Empresarial"/>
    <s v="Efectivo"/>
    <s v="Pagado"/>
  </r>
  <r>
    <x v="206"/>
    <x v="9"/>
    <s v="TX-101024"/>
    <x v="16"/>
    <x v="0"/>
    <x v="5"/>
    <n v="6076.63"/>
    <n v="0"/>
    <x v="1022"/>
    <x v="0"/>
    <s v="Cuenta Corriente"/>
    <s v="Efectivo"/>
    <s v="Pagado"/>
  </r>
  <r>
    <x v="91"/>
    <x v="6"/>
    <s v="TX-101025"/>
    <x v="14"/>
    <x v="1"/>
    <x v="3"/>
    <n v="12653.31"/>
    <n v="1644.93"/>
    <x v="1023"/>
    <x v="2"/>
    <s v="Tarjeta Crédito Empresarial"/>
    <s v="Tarjeta Débito"/>
    <s v="Pendiente"/>
  </r>
  <r>
    <x v="91"/>
    <x v="6"/>
    <s v="TX-101026"/>
    <x v="1"/>
    <x v="1"/>
    <x v="1"/>
    <n v="6589.44"/>
    <n v="856.63"/>
    <x v="1024"/>
    <x v="0"/>
    <s v="Cuenta Corriente"/>
    <s v="Transferencia"/>
    <s v="Pagado"/>
  </r>
  <r>
    <x v="3"/>
    <x v="3"/>
    <s v="TX-101027"/>
    <x v="10"/>
    <x v="1"/>
    <x v="7"/>
    <n v="9535.2199999999993"/>
    <n v="1239.58"/>
    <x v="1025"/>
    <x v="4"/>
    <s v="Cuenta Corriente"/>
    <s v="Tarjeta Débito"/>
    <s v="Pendiente"/>
  </r>
  <r>
    <x v="254"/>
    <x v="5"/>
    <s v="TX-101028"/>
    <x v="11"/>
    <x v="1"/>
    <x v="3"/>
    <n v="11567.35"/>
    <n v="1503.76"/>
    <x v="1026"/>
    <x v="3"/>
    <s v="Cuenta Ahorros"/>
    <s v="Transferencia"/>
    <s v="Pagado"/>
  </r>
  <r>
    <x v="38"/>
    <x v="6"/>
    <s v="TX-101029"/>
    <x v="19"/>
    <x v="1"/>
    <x v="2"/>
    <n v="6913.96"/>
    <n v="898.81"/>
    <x v="1027"/>
    <x v="3"/>
    <s v="Cuenta Corriente"/>
    <s v="Tarjeta Débito"/>
    <s v="Pendiente"/>
  </r>
  <r>
    <x v="336"/>
    <x v="3"/>
    <s v="TX-101030"/>
    <x v="16"/>
    <x v="1"/>
    <x v="2"/>
    <n v="7438.96"/>
    <n v="967.06"/>
    <x v="1028"/>
    <x v="4"/>
    <s v="Cuenta Ahorros"/>
    <s v="Transferencia"/>
    <s v="Pendiente"/>
  </r>
  <r>
    <x v="108"/>
    <x v="0"/>
    <s v="TX-101031"/>
    <x v="15"/>
    <x v="1"/>
    <x v="7"/>
    <n v="14390.3"/>
    <n v="1870.74"/>
    <x v="1029"/>
    <x v="4"/>
    <s v="Tarjeta Crédito Empresarial"/>
    <s v="Efectivo"/>
    <s v="Pendiente"/>
  </r>
  <r>
    <x v="211"/>
    <x v="7"/>
    <s v="TX-101032"/>
    <x v="13"/>
    <x v="1"/>
    <x v="5"/>
    <n v="4516.3900000000003"/>
    <n v="587.13"/>
    <x v="1030"/>
    <x v="0"/>
    <s v="Tarjeta Crédito Empresarial"/>
    <s v="Transferencia"/>
    <s v="Pagado"/>
  </r>
  <r>
    <x v="309"/>
    <x v="4"/>
    <s v="TX-101033"/>
    <x v="8"/>
    <x v="0"/>
    <x v="1"/>
    <n v="2417.9"/>
    <n v="0"/>
    <x v="1031"/>
    <x v="3"/>
    <s v="Cuenta Corriente"/>
    <s v="Transferencia"/>
    <s v="Pagado"/>
  </r>
  <r>
    <x v="209"/>
    <x v="1"/>
    <s v="TX-101034"/>
    <x v="5"/>
    <x v="0"/>
    <x v="2"/>
    <n v="13483.66"/>
    <n v="0"/>
    <x v="1032"/>
    <x v="2"/>
    <s v="Cuenta Corriente"/>
    <s v="Tarjeta Débito"/>
    <s v="Pagado"/>
  </r>
  <r>
    <x v="199"/>
    <x v="0"/>
    <s v="TX-101035"/>
    <x v="9"/>
    <x v="0"/>
    <x v="7"/>
    <n v="3028.6"/>
    <n v="0"/>
    <x v="1033"/>
    <x v="2"/>
    <s v="Tarjeta Crédito Empresarial"/>
    <s v="Tarjeta Crédito"/>
    <s v="Pendiente"/>
  </r>
  <r>
    <x v="110"/>
    <x v="7"/>
    <s v="TX-101036"/>
    <x v="7"/>
    <x v="0"/>
    <x v="0"/>
    <n v="3788.89"/>
    <n v="0"/>
    <x v="1034"/>
    <x v="2"/>
    <s v="Cuenta Ahorros"/>
    <s v="Transferencia"/>
    <s v="Pendiente"/>
  </r>
  <r>
    <x v="117"/>
    <x v="8"/>
    <s v="TX-101037"/>
    <x v="5"/>
    <x v="0"/>
    <x v="3"/>
    <n v="13248.72"/>
    <n v="0"/>
    <x v="1035"/>
    <x v="0"/>
    <s v="Tarjeta Crédito Empresarial"/>
    <s v="Tarjeta Crédito"/>
    <s v="Pendiente"/>
  </r>
  <r>
    <x v="129"/>
    <x v="9"/>
    <s v="TX-101038"/>
    <x v="19"/>
    <x v="0"/>
    <x v="3"/>
    <n v="3035.83"/>
    <n v="0"/>
    <x v="1036"/>
    <x v="2"/>
    <s v="Tarjeta Crédito Empresarial"/>
    <s v="Transferencia"/>
    <s v="Pendiente"/>
  </r>
  <r>
    <x v="188"/>
    <x v="6"/>
    <s v="TX-101039"/>
    <x v="0"/>
    <x v="0"/>
    <x v="3"/>
    <n v="4437.43"/>
    <n v="0"/>
    <x v="1037"/>
    <x v="0"/>
    <s v="Cuenta Ahorros"/>
    <s v="Efectivo"/>
    <s v="Pagado"/>
  </r>
  <r>
    <x v="3"/>
    <x v="3"/>
    <s v="TX-101040"/>
    <x v="14"/>
    <x v="0"/>
    <x v="3"/>
    <n v="11873.9"/>
    <n v="0"/>
    <x v="1038"/>
    <x v="4"/>
    <s v="Cuenta Corriente"/>
    <s v="Tarjeta Débito"/>
    <s v="Pendiente"/>
  </r>
  <r>
    <x v="237"/>
    <x v="5"/>
    <s v="TX-101041"/>
    <x v="16"/>
    <x v="0"/>
    <x v="2"/>
    <n v="194.01"/>
    <n v="0"/>
    <x v="1039"/>
    <x v="3"/>
    <s v="Tarjeta Crédito Empresarial"/>
    <s v="Tarjeta Crédito"/>
    <s v="Pagado"/>
  </r>
  <r>
    <x v="115"/>
    <x v="3"/>
    <s v="TX-101042"/>
    <x v="2"/>
    <x v="0"/>
    <x v="0"/>
    <n v="8446.5300000000007"/>
    <n v="0"/>
    <x v="1040"/>
    <x v="2"/>
    <s v="Tarjeta Crédito Empresarial"/>
    <s v="Tarjeta Débito"/>
    <s v="Pagado"/>
  </r>
  <r>
    <x v="188"/>
    <x v="6"/>
    <s v="TX-101043"/>
    <x v="11"/>
    <x v="0"/>
    <x v="2"/>
    <n v="8630.5300000000007"/>
    <n v="0"/>
    <x v="1041"/>
    <x v="1"/>
    <s v="Tarjeta Crédito Empresarial"/>
    <s v="Efectivo"/>
    <s v="Pendiente"/>
  </r>
  <r>
    <x v="123"/>
    <x v="11"/>
    <s v="TX-101044"/>
    <x v="12"/>
    <x v="1"/>
    <x v="1"/>
    <n v="12050.74"/>
    <n v="1566.6"/>
    <x v="1042"/>
    <x v="3"/>
    <s v="Cuenta Ahorros"/>
    <s v="Efectivo"/>
    <s v="Pagado"/>
  </r>
  <r>
    <x v="35"/>
    <x v="4"/>
    <s v="TX-101045"/>
    <x v="6"/>
    <x v="1"/>
    <x v="6"/>
    <n v="8888.01"/>
    <n v="1155.44"/>
    <x v="1043"/>
    <x v="0"/>
    <s v="Cuenta Corriente"/>
    <s v="Tarjeta Crédito"/>
    <s v="Pagado"/>
  </r>
  <r>
    <x v="329"/>
    <x v="3"/>
    <s v="TX-101046"/>
    <x v="6"/>
    <x v="0"/>
    <x v="5"/>
    <n v="12632.56"/>
    <n v="0"/>
    <x v="1044"/>
    <x v="3"/>
    <s v="Tarjeta Crédito Empresarial"/>
    <s v="Transferencia"/>
    <s v="Pendiente"/>
  </r>
  <r>
    <x v="80"/>
    <x v="3"/>
    <s v="TX-101047"/>
    <x v="1"/>
    <x v="0"/>
    <x v="2"/>
    <n v="12456.26"/>
    <n v="0"/>
    <x v="1045"/>
    <x v="2"/>
    <s v="Cuenta Ahorros"/>
    <s v="Tarjeta Crédito"/>
    <s v="Pendiente"/>
  </r>
  <r>
    <x v="215"/>
    <x v="3"/>
    <s v="TX-101048"/>
    <x v="18"/>
    <x v="0"/>
    <x v="7"/>
    <n v="9204.19"/>
    <n v="0"/>
    <x v="1046"/>
    <x v="2"/>
    <s v="Tarjeta Crédito Empresarial"/>
    <s v="Efectivo"/>
    <s v="Pendiente"/>
  </r>
  <r>
    <x v="251"/>
    <x v="1"/>
    <s v="TX-101049"/>
    <x v="3"/>
    <x v="1"/>
    <x v="1"/>
    <n v="3399.01"/>
    <n v="441.87"/>
    <x v="1047"/>
    <x v="4"/>
    <s v="Cuenta Corriente"/>
    <s v="Tarjeta Crédito"/>
    <s v="Pendiente"/>
  </r>
  <r>
    <x v="53"/>
    <x v="3"/>
    <s v="TX-101050"/>
    <x v="14"/>
    <x v="1"/>
    <x v="0"/>
    <n v="10875.41"/>
    <n v="1413.8"/>
    <x v="1048"/>
    <x v="0"/>
    <s v="Cuenta Corriente"/>
    <s v="Transferencia"/>
    <s v="Pendiente"/>
  </r>
  <r>
    <x v="161"/>
    <x v="9"/>
    <s v="TX-101051"/>
    <x v="1"/>
    <x v="1"/>
    <x v="4"/>
    <n v="1171.8800000000001"/>
    <n v="152.34"/>
    <x v="1049"/>
    <x v="0"/>
    <s v="Cuenta Ahorros"/>
    <s v="Tarjeta Crédito"/>
    <s v="Pagado"/>
  </r>
  <r>
    <x v="96"/>
    <x v="2"/>
    <s v="TX-101052"/>
    <x v="19"/>
    <x v="0"/>
    <x v="2"/>
    <n v="1938.02"/>
    <n v="0"/>
    <x v="1050"/>
    <x v="0"/>
    <s v="Cuenta Ahorros"/>
    <s v="Efectivo"/>
    <s v="Pagado"/>
  </r>
  <r>
    <x v="74"/>
    <x v="9"/>
    <s v="TX-101053"/>
    <x v="19"/>
    <x v="0"/>
    <x v="7"/>
    <n v="14646.42"/>
    <n v="0"/>
    <x v="1051"/>
    <x v="1"/>
    <s v="Cuenta Corriente"/>
    <s v="Transferencia"/>
    <s v="Pendiente"/>
  </r>
  <r>
    <x v="258"/>
    <x v="7"/>
    <s v="TX-101054"/>
    <x v="18"/>
    <x v="0"/>
    <x v="0"/>
    <n v="9909.24"/>
    <n v="0"/>
    <x v="1052"/>
    <x v="3"/>
    <s v="Cuenta Corriente"/>
    <s v="Efectivo"/>
    <s v="Pagado"/>
  </r>
  <r>
    <x v="235"/>
    <x v="7"/>
    <s v="TX-101055"/>
    <x v="0"/>
    <x v="1"/>
    <x v="7"/>
    <n v="12286.75"/>
    <n v="1597.28"/>
    <x v="1053"/>
    <x v="1"/>
    <s v="Cuenta Corriente"/>
    <s v="Tarjeta Crédito"/>
    <s v="Pagado"/>
  </r>
  <r>
    <x v="158"/>
    <x v="0"/>
    <s v="TX-101056"/>
    <x v="17"/>
    <x v="0"/>
    <x v="5"/>
    <n v="12724.71"/>
    <n v="0"/>
    <x v="1054"/>
    <x v="4"/>
    <s v="Cuenta Corriente"/>
    <s v="Tarjeta Crédito"/>
    <s v="Pendiente"/>
  </r>
  <r>
    <x v="287"/>
    <x v="4"/>
    <s v="TX-101057"/>
    <x v="2"/>
    <x v="1"/>
    <x v="3"/>
    <n v="2859.9"/>
    <n v="371.79"/>
    <x v="1055"/>
    <x v="1"/>
    <s v="Cuenta Corriente"/>
    <s v="Tarjeta Crédito"/>
    <s v="Pagado"/>
  </r>
  <r>
    <x v="201"/>
    <x v="8"/>
    <s v="TX-101058"/>
    <x v="6"/>
    <x v="1"/>
    <x v="2"/>
    <n v="3646.41"/>
    <n v="474.03"/>
    <x v="1056"/>
    <x v="4"/>
    <s v="Cuenta Ahorros"/>
    <s v="Transferencia"/>
    <s v="Pendiente"/>
  </r>
  <r>
    <x v="113"/>
    <x v="0"/>
    <s v="TX-101059"/>
    <x v="8"/>
    <x v="0"/>
    <x v="2"/>
    <n v="13907.57"/>
    <n v="0"/>
    <x v="1057"/>
    <x v="2"/>
    <s v="Cuenta Ahorros"/>
    <s v="Tarjeta Débito"/>
    <s v="Pagado"/>
  </r>
  <r>
    <x v="103"/>
    <x v="4"/>
    <s v="TX-101060"/>
    <x v="4"/>
    <x v="0"/>
    <x v="6"/>
    <n v="844.7"/>
    <n v="0"/>
    <x v="1058"/>
    <x v="2"/>
    <s v="Cuenta Corriente"/>
    <s v="Transferencia"/>
    <s v="Pendiente"/>
  </r>
  <r>
    <x v="69"/>
    <x v="10"/>
    <s v="TX-101061"/>
    <x v="12"/>
    <x v="0"/>
    <x v="0"/>
    <n v="6070.25"/>
    <n v="0"/>
    <x v="1059"/>
    <x v="2"/>
    <s v="Tarjeta Crédito Empresarial"/>
    <s v="Efectivo"/>
    <s v="Pendiente"/>
  </r>
  <r>
    <x v="20"/>
    <x v="1"/>
    <s v="TX-101062"/>
    <x v="0"/>
    <x v="1"/>
    <x v="2"/>
    <n v="3332.72"/>
    <n v="433.25"/>
    <x v="1060"/>
    <x v="3"/>
    <s v="Tarjeta Crédito Empresarial"/>
    <s v="Tarjeta Crédito"/>
    <s v="Pagado"/>
  </r>
  <r>
    <x v="178"/>
    <x v="6"/>
    <s v="TX-101063"/>
    <x v="11"/>
    <x v="1"/>
    <x v="4"/>
    <n v="3435.65"/>
    <n v="446.63"/>
    <x v="1061"/>
    <x v="1"/>
    <s v="Cuenta Ahorros"/>
    <s v="Efectivo"/>
    <s v="Pagado"/>
  </r>
  <r>
    <x v="142"/>
    <x v="7"/>
    <s v="TX-101064"/>
    <x v="9"/>
    <x v="0"/>
    <x v="0"/>
    <n v="2606.89"/>
    <n v="0"/>
    <x v="1062"/>
    <x v="2"/>
    <s v="Tarjeta Crédito Empresarial"/>
    <s v="Tarjeta Crédito"/>
    <s v="Pendiente"/>
  </r>
  <r>
    <x v="237"/>
    <x v="5"/>
    <s v="TX-101065"/>
    <x v="1"/>
    <x v="1"/>
    <x v="7"/>
    <n v="11099.41"/>
    <n v="1442.92"/>
    <x v="1063"/>
    <x v="4"/>
    <s v="Cuenta Corriente"/>
    <s v="Tarjeta Crédito"/>
    <s v="Pagado"/>
  </r>
  <r>
    <x v="183"/>
    <x v="1"/>
    <s v="TX-101066"/>
    <x v="14"/>
    <x v="0"/>
    <x v="7"/>
    <n v="2170.41"/>
    <n v="0"/>
    <x v="1064"/>
    <x v="1"/>
    <s v="Cuenta Ahorros"/>
    <s v="Tarjeta Crédito"/>
    <s v="Pagado"/>
  </r>
  <r>
    <x v="331"/>
    <x v="1"/>
    <s v="TX-101067"/>
    <x v="9"/>
    <x v="1"/>
    <x v="5"/>
    <n v="10204.08"/>
    <n v="1326.53"/>
    <x v="1065"/>
    <x v="0"/>
    <s v="Cuenta Ahorros"/>
    <s v="Efectivo"/>
    <s v="Pagado"/>
  </r>
  <r>
    <x v="343"/>
    <x v="1"/>
    <s v="TX-101068"/>
    <x v="12"/>
    <x v="0"/>
    <x v="2"/>
    <n v="725.39"/>
    <n v="0"/>
    <x v="1066"/>
    <x v="0"/>
    <s v="Tarjeta Crédito Empresarial"/>
    <s v="Tarjeta Crédito"/>
    <s v="Pagado"/>
  </r>
  <r>
    <x v="231"/>
    <x v="9"/>
    <s v="TX-101069"/>
    <x v="14"/>
    <x v="1"/>
    <x v="2"/>
    <n v="4603.8"/>
    <n v="598.49"/>
    <x v="1067"/>
    <x v="1"/>
    <s v="Cuenta Ahorros"/>
    <s v="Tarjeta Crédito"/>
    <s v="Pendiente"/>
  </r>
  <r>
    <x v="129"/>
    <x v="9"/>
    <s v="TX-101070"/>
    <x v="17"/>
    <x v="0"/>
    <x v="7"/>
    <n v="252.74"/>
    <n v="0"/>
    <x v="1068"/>
    <x v="2"/>
    <s v="Tarjeta Crédito Empresarial"/>
    <s v="Tarjeta Crédito"/>
    <s v="Pendiente"/>
  </r>
  <r>
    <x v="197"/>
    <x v="7"/>
    <s v="TX-101071"/>
    <x v="9"/>
    <x v="1"/>
    <x v="5"/>
    <n v="14680.63"/>
    <n v="1908.48"/>
    <x v="1069"/>
    <x v="4"/>
    <s v="Cuenta Ahorros"/>
    <s v="Efectivo"/>
    <s v="Pagado"/>
  </r>
  <r>
    <x v="234"/>
    <x v="0"/>
    <s v="TX-101072"/>
    <x v="19"/>
    <x v="0"/>
    <x v="6"/>
    <n v="3134.3"/>
    <n v="0"/>
    <x v="1070"/>
    <x v="4"/>
    <s v="Cuenta Ahorros"/>
    <s v="Transferencia"/>
    <s v="Pendiente"/>
  </r>
  <r>
    <x v="165"/>
    <x v="9"/>
    <s v="TX-101073"/>
    <x v="4"/>
    <x v="1"/>
    <x v="4"/>
    <n v="13659.39"/>
    <n v="1775.72"/>
    <x v="1071"/>
    <x v="2"/>
    <s v="Cuenta Ahorros"/>
    <s v="Efectivo"/>
    <s v="Pendiente"/>
  </r>
  <r>
    <x v="264"/>
    <x v="2"/>
    <s v="TX-101074"/>
    <x v="12"/>
    <x v="1"/>
    <x v="6"/>
    <n v="12520.86"/>
    <n v="1627.71"/>
    <x v="1072"/>
    <x v="1"/>
    <s v="Cuenta Ahorros"/>
    <s v="Tarjeta Crédito"/>
    <s v="Pendiente"/>
  </r>
  <r>
    <x v="261"/>
    <x v="2"/>
    <s v="TX-101075"/>
    <x v="0"/>
    <x v="0"/>
    <x v="5"/>
    <n v="7021.45"/>
    <n v="0"/>
    <x v="1073"/>
    <x v="0"/>
    <s v="Cuenta Ahorros"/>
    <s v="Tarjeta Débito"/>
    <s v="Pendiente"/>
  </r>
  <r>
    <x v="34"/>
    <x v="1"/>
    <s v="TX-101076"/>
    <x v="17"/>
    <x v="1"/>
    <x v="4"/>
    <n v="283.11"/>
    <n v="36.799999999999997"/>
    <x v="1074"/>
    <x v="4"/>
    <s v="Cuenta Ahorros"/>
    <s v="Transferencia"/>
    <s v="Pagado"/>
  </r>
  <r>
    <x v="220"/>
    <x v="1"/>
    <s v="TX-101077"/>
    <x v="17"/>
    <x v="1"/>
    <x v="3"/>
    <n v="5316.22"/>
    <n v="691.11"/>
    <x v="1075"/>
    <x v="3"/>
    <s v="Cuenta Ahorros"/>
    <s v="Tarjeta Débito"/>
    <s v="Pendiente"/>
  </r>
  <r>
    <x v="130"/>
    <x v="2"/>
    <s v="TX-101078"/>
    <x v="4"/>
    <x v="1"/>
    <x v="2"/>
    <n v="10712.3"/>
    <n v="1392.6"/>
    <x v="1076"/>
    <x v="4"/>
    <s v="Cuenta Ahorros"/>
    <s v="Transferencia"/>
    <s v="Pendiente"/>
  </r>
  <r>
    <x v="238"/>
    <x v="5"/>
    <s v="TX-101079"/>
    <x v="0"/>
    <x v="0"/>
    <x v="6"/>
    <n v="3768.49"/>
    <n v="0"/>
    <x v="1077"/>
    <x v="1"/>
    <s v="Cuenta Ahorros"/>
    <s v="Efectivo"/>
    <s v="Pagado"/>
  </r>
  <r>
    <x v="238"/>
    <x v="5"/>
    <s v="TX-101080"/>
    <x v="17"/>
    <x v="0"/>
    <x v="5"/>
    <n v="8480.42"/>
    <n v="0"/>
    <x v="1078"/>
    <x v="2"/>
    <s v="Tarjeta Crédito Empresarial"/>
    <s v="Tarjeta Débito"/>
    <s v="Pagado"/>
  </r>
  <r>
    <x v="113"/>
    <x v="0"/>
    <s v="TX-101081"/>
    <x v="16"/>
    <x v="0"/>
    <x v="0"/>
    <n v="4550.88"/>
    <n v="0"/>
    <x v="1079"/>
    <x v="2"/>
    <s v="Tarjeta Crédito Empresarial"/>
    <s v="Efectivo"/>
    <s v="Pagado"/>
  </r>
  <r>
    <x v="285"/>
    <x v="5"/>
    <s v="TX-101082"/>
    <x v="7"/>
    <x v="1"/>
    <x v="5"/>
    <n v="7922.24"/>
    <n v="1029.8900000000001"/>
    <x v="1080"/>
    <x v="2"/>
    <s v="Tarjeta Crédito Empresarial"/>
    <s v="Tarjeta Crédito"/>
    <s v="Pendiente"/>
  </r>
  <r>
    <x v="344"/>
    <x v="8"/>
    <s v="TX-101083"/>
    <x v="7"/>
    <x v="0"/>
    <x v="3"/>
    <n v="14423.63"/>
    <n v="0"/>
    <x v="1081"/>
    <x v="3"/>
    <s v="Tarjeta Crédito Empresarial"/>
    <s v="Transferencia"/>
    <s v="Pendiente"/>
  </r>
  <r>
    <x v="86"/>
    <x v="3"/>
    <s v="TX-101084"/>
    <x v="14"/>
    <x v="0"/>
    <x v="0"/>
    <n v="8725.82"/>
    <n v="0"/>
    <x v="1082"/>
    <x v="4"/>
    <s v="Tarjeta Crédito Empresarial"/>
    <s v="Tarjeta Crédito"/>
    <s v="Pagado"/>
  </r>
  <r>
    <x v="76"/>
    <x v="11"/>
    <s v="TX-101085"/>
    <x v="16"/>
    <x v="0"/>
    <x v="1"/>
    <n v="6968.98"/>
    <n v="0"/>
    <x v="1083"/>
    <x v="1"/>
    <s v="Cuenta Corriente"/>
    <s v="Transferencia"/>
    <s v="Pagado"/>
  </r>
  <r>
    <x v="55"/>
    <x v="10"/>
    <s v="TX-101086"/>
    <x v="18"/>
    <x v="0"/>
    <x v="2"/>
    <n v="12338"/>
    <n v="0"/>
    <x v="1084"/>
    <x v="1"/>
    <s v="Tarjeta Crédito Empresarial"/>
    <s v="Tarjeta Crédito"/>
    <s v="Pagado"/>
  </r>
  <r>
    <x v="262"/>
    <x v="10"/>
    <s v="TX-101087"/>
    <x v="19"/>
    <x v="1"/>
    <x v="0"/>
    <n v="7768.15"/>
    <n v="1009.86"/>
    <x v="1085"/>
    <x v="1"/>
    <s v="Cuenta Corriente"/>
    <s v="Tarjeta Débito"/>
    <s v="Pagado"/>
  </r>
  <r>
    <x v="292"/>
    <x v="7"/>
    <s v="TX-101088"/>
    <x v="17"/>
    <x v="1"/>
    <x v="7"/>
    <n v="9373.7800000000007"/>
    <n v="1218.5899999999999"/>
    <x v="1086"/>
    <x v="3"/>
    <s v="Cuenta Corriente"/>
    <s v="Transferencia"/>
    <s v="Pagado"/>
  </r>
  <r>
    <x v="19"/>
    <x v="8"/>
    <s v="TX-101089"/>
    <x v="11"/>
    <x v="1"/>
    <x v="0"/>
    <n v="3104.19"/>
    <n v="403.54"/>
    <x v="1087"/>
    <x v="3"/>
    <s v="Tarjeta Crédito Empresarial"/>
    <s v="Efectivo"/>
    <s v="Pendiente"/>
  </r>
  <r>
    <x v="341"/>
    <x v="7"/>
    <s v="TX-101090"/>
    <x v="1"/>
    <x v="0"/>
    <x v="3"/>
    <n v="7281.61"/>
    <n v="0"/>
    <x v="1088"/>
    <x v="4"/>
    <s v="Tarjeta Crédito Empresarial"/>
    <s v="Tarjeta Crédito"/>
    <s v="Pendiente"/>
  </r>
  <r>
    <x v="256"/>
    <x v="5"/>
    <s v="TX-101091"/>
    <x v="15"/>
    <x v="1"/>
    <x v="1"/>
    <n v="2812.88"/>
    <n v="365.67"/>
    <x v="1089"/>
    <x v="4"/>
    <s v="Cuenta Corriente"/>
    <s v="Tarjeta Débito"/>
    <s v="Pendiente"/>
  </r>
  <r>
    <x v="136"/>
    <x v="11"/>
    <s v="TX-101092"/>
    <x v="17"/>
    <x v="0"/>
    <x v="2"/>
    <n v="14388.42"/>
    <n v="0"/>
    <x v="1090"/>
    <x v="2"/>
    <s v="Tarjeta Crédito Empresarial"/>
    <s v="Tarjeta Crédito"/>
    <s v="Pendiente"/>
  </r>
  <r>
    <x v="96"/>
    <x v="2"/>
    <s v="TX-101093"/>
    <x v="18"/>
    <x v="0"/>
    <x v="3"/>
    <n v="12211.73"/>
    <n v="0"/>
    <x v="1091"/>
    <x v="3"/>
    <s v="Cuenta Ahorros"/>
    <s v="Efectivo"/>
    <s v="Pagado"/>
  </r>
  <r>
    <x v="256"/>
    <x v="5"/>
    <s v="TX-101094"/>
    <x v="10"/>
    <x v="0"/>
    <x v="1"/>
    <n v="9694.3799999999992"/>
    <n v="0"/>
    <x v="1092"/>
    <x v="0"/>
    <s v="Cuenta Ahorros"/>
    <s v="Transferencia"/>
    <s v="Pendiente"/>
  </r>
  <r>
    <x v="2"/>
    <x v="2"/>
    <s v="TX-101095"/>
    <x v="6"/>
    <x v="0"/>
    <x v="4"/>
    <n v="186.34"/>
    <n v="0"/>
    <x v="1093"/>
    <x v="2"/>
    <s v="Tarjeta Crédito Empresarial"/>
    <s v="Tarjeta Débito"/>
    <s v="Pendiente"/>
  </r>
  <r>
    <x v="129"/>
    <x v="9"/>
    <s v="TX-101096"/>
    <x v="4"/>
    <x v="1"/>
    <x v="5"/>
    <n v="9855.99"/>
    <n v="1281.28"/>
    <x v="1094"/>
    <x v="0"/>
    <s v="Cuenta Ahorros"/>
    <s v="Efectivo"/>
    <s v="Pagado"/>
  </r>
  <r>
    <x v="188"/>
    <x v="6"/>
    <s v="TX-101097"/>
    <x v="17"/>
    <x v="0"/>
    <x v="2"/>
    <n v="13746.59"/>
    <n v="0"/>
    <x v="1095"/>
    <x v="1"/>
    <s v="Cuenta Ahorros"/>
    <s v="Efectivo"/>
    <s v="Pagado"/>
  </r>
  <r>
    <x v="329"/>
    <x v="3"/>
    <s v="TX-101098"/>
    <x v="16"/>
    <x v="0"/>
    <x v="6"/>
    <n v="8788.17"/>
    <n v="0"/>
    <x v="1096"/>
    <x v="3"/>
    <s v="Cuenta Corriente"/>
    <s v="Transferencia"/>
    <s v="Pagado"/>
  </r>
  <r>
    <x v="15"/>
    <x v="8"/>
    <s v="TX-101099"/>
    <x v="1"/>
    <x v="1"/>
    <x v="7"/>
    <n v="14016.8"/>
    <n v="1822.18"/>
    <x v="1097"/>
    <x v="2"/>
    <s v="Cuenta Corriente"/>
    <s v="Tarjeta Débito"/>
    <s v="Pagado"/>
  </r>
  <r>
    <x v="242"/>
    <x v="4"/>
    <s v="TX-101100"/>
    <x v="15"/>
    <x v="0"/>
    <x v="2"/>
    <n v="975.8"/>
    <n v="0"/>
    <x v="1098"/>
    <x v="3"/>
    <s v="Cuenta Corriente"/>
    <s v="Transferencia"/>
    <s v="Pendiente"/>
  </r>
  <r>
    <x v="324"/>
    <x v="5"/>
    <s v="TX-101101"/>
    <x v="2"/>
    <x v="1"/>
    <x v="5"/>
    <n v="4851.33"/>
    <n v="630.66999999999996"/>
    <x v="1099"/>
    <x v="1"/>
    <s v="Cuenta Ahorros"/>
    <s v="Tarjeta Débito"/>
    <s v="Pagado"/>
  </r>
  <r>
    <x v="345"/>
    <x v="7"/>
    <s v="TX-101102"/>
    <x v="9"/>
    <x v="0"/>
    <x v="7"/>
    <n v="10198.790000000001"/>
    <n v="0"/>
    <x v="1100"/>
    <x v="4"/>
    <s v="Tarjeta Crédito Empresarial"/>
    <s v="Tarjeta Débito"/>
    <s v="Pendiente"/>
  </r>
  <r>
    <x v="21"/>
    <x v="2"/>
    <s v="TX-101103"/>
    <x v="1"/>
    <x v="1"/>
    <x v="2"/>
    <n v="3092.92"/>
    <n v="402.08"/>
    <x v="1101"/>
    <x v="3"/>
    <s v="Cuenta Ahorros"/>
    <s v="Efectivo"/>
    <s v="Pagado"/>
  </r>
  <r>
    <x v="112"/>
    <x v="10"/>
    <s v="TX-101104"/>
    <x v="16"/>
    <x v="0"/>
    <x v="0"/>
    <n v="12494.42"/>
    <n v="0"/>
    <x v="1102"/>
    <x v="1"/>
    <s v="Tarjeta Crédito Empresarial"/>
    <s v="Tarjeta Crédito"/>
    <s v="Pendiente"/>
  </r>
  <r>
    <x v="270"/>
    <x v="0"/>
    <s v="TX-101105"/>
    <x v="1"/>
    <x v="0"/>
    <x v="3"/>
    <n v="9400.7900000000009"/>
    <n v="0"/>
    <x v="1103"/>
    <x v="0"/>
    <s v="Cuenta Corriente"/>
    <s v="Tarjeta Débito"/>
    <s v="Pendiente"/>
  </r>
  <r>
    <x v="22"/>
    <x v="10"/>
    <s v="TX-101106"/>
    <x v="1"/>
    <x v="0"/>
    <x v="0"/>
    <n v="819.61"/>
    <n v="0"/>
    <x v="1104"/>
    <x v="2"/>
    <s v="Cuenta Corriente"/>
    <s v="Tarjeta Débito"/>
    <s v="Pendiente"/>
  </r>
  <r>
    <x v="306"/>
    <x v="2"/>
    <s v="TX-101107"/>
    <x v="7"/>
    <x v="0"/>
    <x v="2"/>
    <n v="13093.02"/>
    <n v="0"/>
    <x v="1105"/>
    <x v="2"/>
    <s v="Cuenta Corriente"/>
    <s v="Tarjeta Débito"/>
    <s v="Pendiente"/>
  </r>
  <r>
    <x v="225"/>
    <x v="4"/>
    <s v="TX-101108"/>
    <x v="2"/>
    <x v="1"/>
    <x v="2"/>
    <n v="8762.4500000000007"/>
    <n v="1139.1199999999999"/>
    <x v="1106"/>
    <x v="3"/>
    <s v="Cuenta Corriente"/>
    <s v="Tarjeta Crédito"/>
    <s v="Pendiente"/>
  </r>
  <r>
    <x v="335"/>
    <x v="10"/>
    <s v="TX-101109"/>
    <x v="12"/>
    <x v="0"/>
    <x v="1"/>
    <n v="2132.36"/>
    <n v="0"/>
    <x v="1107"/>
    <x v="2"/>
    <s v="Tarjeta Crédito Empresarial"/>
    <s v="Transferencia"/>
    <s v="Pagado"/>
  </r>
  <r>
    <x v="141"/>
    <x v="8"/>
    <s v="TX-101110"/>
    <x v="18"/>
    <x v="1"/>
    <x v="6"/>
    <n v="14716.79"/>
    <n v="1913.18"/>
    <x v="1108"/>
    <x v="0"/>
    <s v="Tarjeta Crédito Empresarial"/>
    <s v="Transferencia"/>
    <s v="Pendiente"/>
  </r>
  <r>
    <x v="149"/>
    <x v="11"/>
    <s v="TX-101111"/>
    <x v="9"/>
    <x v="1"/>
    <x v="2"/>
    <n v="582.22"/>
    <n v="75.69"/>
    <x v="1109"/>
    <x v="4"/>
    <s v="Tarjeta Crédito Empresarial"/>
    <s v="Tarjeta Crédito"/>
    <s v="Pendiente"/>
  </r>
  <r>
    <x v="1"/>
    <x v="1"/>
    <s v="TX-101112"/>
    <x v="17"/>
    <x v="1"/>
    <x v="1"/>
    <n v="13972.14"/>
    <n v="1816.38"/>
    <x v="1110"/>
    <x v="4"/>
    <s v="Tarjeta Crédito Empresarial"/>
    <s v="Efectivo"/>
    <s v="Pagado"/>
  </r>
  <r>
    <x v="42"/>
    <x v="8"/>
    <s v="TX-101113"/>
    <x v="10"/>
    <x v="0"/>
    <x v="3"/>
    <n v="10446.84"/>
    <n v="0"/>
    <x v="1111"/>
    <x v="1"/>
    <s v="Tarjeta Crédito Empresarial"/>
    <s v="Tarjeta Débito"/>
    <s v="Pagado"/>
  </r>
  <r>
    <x v="39"/>
    <x v="8"/>
    <s v="TX-101114"/>
    <x v="18"/>
    <x v="0"/>
    <x v="6"/>
    <n v="2945"/>
    <n v="0"/>
    <x v="1112"/>
    <x v="3"/>
    <s v="Cuenta Corriente"/>
    <s v="Tarjeta Débito"/>
    <s v="Pagado"/>
  </r>
  <r>
    <x v="63"/>
    <x v="1"/>
    <s v="TX-101115"/>
    <x v="5"/>
    <x v="0"/>
    <x v="1"/>
    <n v="14864.53"/>
    <n v="0"/>
    <x v="1113"/>
    <x v="4"/>
    <s v="Cuenta Corriente"/>
    <s v="Transferencia"/>
    <s v="Pagado"/>
  </r>
  <r>
    <x v="280"/>
    <x v="9"/>
    <s v="TX-101116"/>
    <x v="6"/>
    <x v="1"/>
    <x v="4"/>
    <n v="703.61"/>
    <n v="91.47"/>
    <x v="1114"/>
    <x v="0"/>
    <s v="Tarjeta Crédito Empresarial"/>
    <s v="Tarjeta Débito"/>
    <s v="Pendiente"/>
  </r>
  <r>
    <x v="256"/>
    <x v="5"/>
    <s v="TX-101117"/>
    <x v="19"/>
    <x v="0"/>
    <x v="7"/>
    <n v="9880.86"/>
    <n v="0"/>
    <x v="1115"/>
    <x v="3"/>
    <s v="Cuenta Corriente"/>
    <s v="Tarjeta Crédito"/>
    <s v="Pagado"/>
  </r>
  <r>
    <x v="147"/>
    <x v="3"/>
    <s v="TX-101118"/>
    <x v="8"/>
    <x v="1"/>
    <x v="7"/>
    <n v="10711.35"/>
    <n v="1392.48"/>
    <x v="1116"/>
    <x v="0"/>
    <s v="Cuenta Ahorros"/>
    <s v="Tarjeta Débito"/>
    <s v="Pendiente"/>
  </r>
  <r>
    <x v="81"/>
    <x v="3"/>
    <s v="TX-101119"/>
    <x v="4"/>
    <x v="1"/>
    <x v="1"/>
    <n v="5232.2"/>
    <n v="680.19"/>
    <x v="1117"/>
    <x v="0"/>
    <s v="Cuenta Ahorros"/>
    <s v="Tarjeta Crédito"/>
    <s v="Pagado"/>
  </r>
  <r>
    <x v="330"/>
    <x v="7"/>
    <s v="TX-101120"/>
    <x v="14"/>
    <x v="1"/>
    <x v="4"/>
    <n v="11141.53"/>
    <n v="1448.4"/>
    <x v="1118"/>
    <x v="3"/>
    <s v="Cuenta Ahorros"/>
    <s v="Tarjeta Débito"/>
    <s v="Pagado"/>
  </r>
  <r>
    <x v="217"/>
    <x v="1"/>
    <s v="TX-101121"/>
    <x v="6"/>
    <x v="0"/>
    <x v="2"/>
    <n v="368.28"/>
    <n v="0"/>
    <x v="1119"/>
    <x v="2"/>
    <s v="Cuenta Ahorros"/>
    <s v="Efectivo"/>
    <s v="Pendiente"/>
  </r>
  <r>
    <x v="87"/>
    <x v="3"/>
    <s v="TX-101122"/>
    <x v="0"/>
    <x v="0"/>
    <x v="3"/>
    <n v="7455.59"/>
    <n v="0"/>
    <x v="1120"/>
    <x v="1"/>
    <s v="Cuenta Ahorros"/>
    <s v="Transferencia"/>
    <s v="Pagado"/>
  </r>
  <r>
    <x v="105"/>
    <x v="5"/>
    <s v="TX-101123"/>
    <x v="15"/>
    <x v="1"/>
    <x v="3"/>
    <n v="8010.75"/>
    <n v="1041.4000000000001"/>
    <x v="1121"/>
    <x v="2"/>
    <s v="Cuenta Corriente"/>
    <s v="Tarjeta Crédito"/>
    <s v="Pagado"/>
  </r>
  <r>
    <x v="28"/>
    <x v="6"/>
    <s v="TX-101124"/>
    <x v="17"/>
    <x v="1"/>
    <x v="1"/>
    <n v="5147.12"/>
    <n v="669.13"/>
    <x v="1122"/>
    <x v="1"/>
    <s v="Cuenta Ahorros"/>
    <s v="Transferencia"/>
    <s v="Pagado"/>
  </r>
  <r>
    <x v="131"/>
    <x v="10"/>
    <s v="TX-101125"/>
    <x v="17"/>
    <x v="0"/>
    <x v="3"/>
    <n v="8610.41"/>
    <n v="0"/>
    <x v="1123"/>
    <x v="0"/>
    <s v="Cuenta Ahorros"/>
    <s v="Tarjeta Débito"/>
    <s v="Pendiente"/>
  </r>
  <r>
    <x v="228"/>
    <x v="5"/>
    <s v="TX-101126"/>
    <x v="12"/>
    <x v="1"/>
    <x v="1"/>
    <n v="4246.47"/>
    <n v="552.04"/>
    <x v="1124"/>
    <x v="2"/>
    <s v="Cuenta Corriente"/>
    <s v="Tarjeta Débito"/>
    <s v="Pendiente"/>
  </r>
  <r>
    <x v="336"/>
    <x v="3"/>
    <s v="TX-101127"/>
    <x v="2"/>
    <x v="0"/>
    <x v="1"/>
    <n v="9252.43"/>
    <n v="0"/>
    <x v="1125"/>
    <x v="2"/>
    <s v="Tarjeta Crédito Empresarial"/>
    <s v="Tarjeta Crédito"/>
    <s v="Pagado"/>
  </r>
  <r>
    <x v="298"/>
    <x v="8"/>
    <s v="TX-101128"/>
    <x v="9"/>
    <x v="0"/>
    <x v="4"/>
    <n v="12721.51"/>
    <n v="0"/>
    <x v="1126"/>
    <x v="1"/>
    <s v="Cuenta Corriente"/>
    <s v="Efectivo"/>
    <s v="Pagado"/>
  </r>
  <r>
    <x v="24"/>
    <x v="10"/>
    <s v="TX-101129"/>
    <x v="10"/>
    <x v="0"/>
    <x v="7"/>
    <n v="9584.26"/>
    <n v="0"/>
    <x v="1127"/>
    <x v="4"/>
    <s v="Cuenta Ahorros"/>
    <s v="Transferencia"/>
    <s v="Pagado"/>
  </r>
  <r>
    <x v="260"/>
    <x v="4"/>
    <s v="TX-101130"/>
    <x v="2"/>
    <x v="0"/>
    <x v="2"/>
    <n v="6634.57"/>
    <n v="0"/>
    <x v="1128"/>
    <x v="2"/>
    <s v="Cuenta Ahorros"/>
    <s v="Efectivo"/>
    <s v="Pagado"/>
  </r>
  <r>
    <x v="116"/>
    <x v="5"/>
    <s v="TX-101131"/>
    <x v="14"/>
    <x v="1"/>
    <x v="1"/>
    <n v="3528.45"/>
    <n v="458.7"/>
    <x v="1129"/>
    <x v="3"/>
    <s v="Cuenta Corriente"/>
    <s v="Efectivo"/>
    <s v="Pendiente"/>
  </r>
  <r>
    <x v="260"/>
    <x v="4"/>
    <s v="TX-101132"/>
    <x v="11"/>
    <x v="1"/>
    <x v="1"/>
    <n v="14277.97"/>
    <n v="1856.14"/>
    <x v="1130"/>
    <x v="2"/>
    <s v="Cuenta Corriente"/>
    <s v="Tarjeta Crédito"/>
    <s v="Pagado"/>
  </r>
  <r>
    <x v="159"/>
    <x v="0"/>
    <s v="TX-101133"/>
    <x v="3"/>
    <x v="1"/>
    <x v="2"/>
    <n v="7628.72"/>
    <n v="991.73"/>
    <x v="1131"/>
    <x v="0"/>
    <s v="Cuenta Corriente"/>
    <s v="Tarjeta Débito"/>
    <s v="Pagado"/>
  </r>
  <r>
    <x v="302"/>
    <x v="8"/>
    <s v="TX-101134"/>
    <x v="2"/>
    <x v="0"/>
    <x v="3"/>
    <n v="1117.33"/>
    <n v="0"/>
    <x v="1132"/>
    <x v="2"/>
    <s v="Cuenta Corriente"/>
    <s v="Transferencia"/>
    <s v="Pendiente"/>
  </r>
  <r>
    <x v="4"/>
    <x v="4"/>
    <s v="TX-101135"/>
    <x v="8"/>
    <x v="0"/>
    <x v="6"/>
    <n v="7086.74"/>
    <n v="0"/>
    <x v="1133"/>
    <x v="0"/>
    <s v="Cuenta Corriente"/>
    <s v="Tarjeta Débito"/>
    <s v="Pendiente"/>
  </r>
  <r>
    <x v="8"/>
    <x v="7"/>
    <s v="TX-101136"/>
    <x v="9"/>
    <x v="1"/>
    <x v="1"/>
    <n v="1638.17"/>
    <n v="212.96"/>
    <x v="1134"/>
    <x v="2"/>
    <s v="Tarjeta Crédito Empresarial"/>
    <s v="Tarjeta Crédito"/>
    <s v="Pagado"/>
  </r>
  <r>
    <x v="203"/>
    <x v="6"/>
    <s v="TX-101137"/>
    <x v="2"/>
    <x v="1"/>
    <x v="5"/>
    <n v="5747.29"/>
    <n v="747.15"/>
    <x v="1135"/>
    <x v="3"/>
    <s v="Cuenta Corriente"/>
    <s v="Tarjeta Débito"/>
    <s v="Pendiente"/>
  </r>
  <r>
    <x v="214"/>
    <x v="11"/>
    <s v="TX-101138"/>
    <x v="11"/>
    <x v="1"/>
    <x v="7"/>
    <n v="9905.01"/>
    <n v="1287.6500000000001"/>
    <x v="1136"/>
    <x v="1"/>
    <s v="Cuenta Ahorros"/>
    <s v="Tarjeta Crédito"/>
    <s v="Pagado"/>
  </r>
  <r>
    <x v="336"/>
    <x v="3"/>
    <s v="TX-101139"/>
    <x v="12"/>
    <x v="0"/>
    <x v="0"/>
    <n v="11995.14"/>
    <n v="0"/>
    <x v="1137"/>
    <x v="4"/>
    <s v="Cuenta Ahorros"/>
    <s v="Tarjeta Crédito"/>
    <s v="Pagado"/>
  </r>
  <r>
    <x v="164"/>
    <x v="10"/>
    <s v="TX-101140"/>
    <x v="6"/>
    <x v="0"/>
    <x v="6"/>
    <n v="1241.3699999999999"/>
    <n v="0"/>
    <x v="1138"/>
    <x v="0"/>
    <s v="Cuenta Corriente"/>
    <s v="Tarjeta Crédito"/>
    <s v="Pendiente"/>
  </r>
  <r>
    <x v="320"/>
    <x v="2"/>
    <s v="TX-101141"/>
    <x v="6"/>
    <x v="0"/>
    <x v="0"/>
    <n v="8561.67"/>
    <n v="0"/>
    <x v="1139"/>
    <x v="0"/>
    <s v="Cuenta Corriente"/>
    <s v="Efectivo"/>
    <s v="Pagado"/>
  </r>
  <r>
    <x v="213"/>
    <x v="3"/>
    <s v="TX-101142"/>
    <x v="17"/>
    <x v="0"/>
    <x v="6"/>
    <n v="1813.56"/>
    <n v="0"/>
    <x v="1140"/>
    <x v="1"/>
    <s v="Tarjeta Crédito Empresarial"/>
    <s v="Tarjeta Débito"/>
    <s v="Pendiente"/>
  </r>
  <r>
    <x v="50"/>
    <x v="8"/>
    <s v="TX-101143"/>
    <x v="14"/>
    <x v="0"/>
    <x v="1"/>
    <n v="2543.23"/>
    <n v="0"/>
    <x v="1141"/>
    <x v="2"/>
    <s v="Tarjeta Crédito Empresarial"/>
    <s v="Efectivo"/>
    <s v="Pagado"/>
  </r>
  <r>
    <x v="245"/>
    <x v="0"/>
    <s v="TX-101144"/>
    <x v="0"/>
    <x v="0"/>
    <x v="1"/>
    <n v="10366.200000000001"/>
    <n v="0"/>
    <x v="1142"/>
    <x v="4"/>
    <s v="Tarjeta Crédito Empresarial"/>
    <s v="Efectivo"/>
    <s v="Pendiente"/>
  </r>
  <r>
    <x v="172"/>
    <x v="2"/>
    <s v="TX-101145"/>
    <x v="16"/>
    <x v="0"/>
    <x v="0"/>
    <n v="10694.15"/>
    <n v="0"/>
    <x v="1143"/>
    <x v="2"/>
    <s v="Cuenta Ahorros"/>
    <s v="Transferencia"/>
    <s v="Pagado"/>
  </r>
  <r>
    <x v="39"/>
    <x v="8"/>
    <s v="TX-101146"/>
    <x v="3"/>
    <x v="0"/>
    <x v="3"/>
    <n v="9480.94"/>
    <n v="0"/>
    <x v="1144"/>
    <x v="2"/>
    <s v="Cuenta Ahorros"/>
    <s v="Tarjeta Débito"/>
    <s v="Pagado"/>
  </r>
  <r>
    <x v="12"/>
    <x v="8"/>
    <s v="TX-101147"/>
    <x v="14"/>
    <x v="1"/>
    <x v="6"/>
    <n v="10124.91"/>
    <n v="1316.24"/>
    <x v="1145"/>
    <x v="1"/>
    <s v="Cuenta Ahorros"/>
    <s v="Efectivo"/>
    <s v="Pagado"/>
  </r>
  <r>
    <x v="169"/>
    <x v="1"/>
    <s v="TX-101148"/>
    <x v="18"/>
    <x v="1"/>
    <x v="4"/>
    <n v="7424.74"/>
    <n v="965.22"/>
    <x v="1146"/>
    <x v="0"/>
    <s v="Tarjeta Crédito Empresarial"/>
    <s v="Efectivo"/>
    <s v="Pendiente"/>
  </r>
  <r>
    <x v="179"/>
    <x v="1"/>
    <s v="TX-101149"/>
    <x v="7"/>
    <x v="0"/>
    <x v="5"/>
    <n v="14305.03"/>
    <n v="0"/>
    <x v="1147"/>
    <x v="4"/>
    <s v="Cuenta Ahorros"/>
    <s v="Tarjeta Crédito"/>
    <s v="Pendiente"/>
  </r>
  <r>
    <x v="111"/>
    <x v="4"/>
    <s v="TX-101150"/>
    <x v="3"/>
    <x v="0"/>
    <x v="5"/>
    <n v="1822.34"/>
    <n v="0"/>
    <x v="1148"/>
    <x v="1"/>
    <s v="Cuenta Ahorros"/>
    <s v="Tarjeta Débito"/>
    <s v="Pagado"/>
  </r>
  <r>
    <x v="70"/>
    <x v="2"/>
    <s v="TX-101151"/>
    <x v="17"/>
    <x v="1"/>
    <x v="0"/>
    <n v="10013.18"/>
    <n v="1301.71"/>
    <x v="1149"/>
    <x v="3"/>
    <s v="Cuenta Corriente"/>
    <s v="Tarjeta Débito"/>
    <s v="Pagado"/>
  </r>
  <r>
    <x v="1"/>
    <x v="1"/>
    <s v="TX-101152"/>
    <x v="11"/>
    <x v="1"/>
    <x v="1"/>
    <n v="7351.07"/>
    <n v="955.64"/>
    <x v="1150"/>
    <x v="2"/>
    <s v="Cuenta Corriente"/>
    <s v="Tarjeta Crédito"/>
    <s v="Pendiente"/>
  </r>
  <r>
    <x v="339"/>
    <x v="0"/>
    <s v="TX-101153"/>
    <x v="4"/>
    <x v="1"/>
    <x v="7"/>
    <n v="4459.38"/>
    <n v="579.72"/>
    <x v="1151"/>
    <x v="3"/>
    <s v="Cuenta Ahorros"/>
    <s v="Efectivo"/>
    <s v="Pendiente"/>
  </r>
  <r>
    <x v="300"/>
    <x v="0"/>
    <s v="TX-101154"/>
    <x v="18"/>
    <x v="1"/>
    <x v="4"/>
    <n v="10987.92"/>
    <n v="1428.43"/>
    <x v="1152"/>
    <x v="2"/>
    <s v="Cuenta Corriente"/>
    <s v="Tarjeta Débito"/>
    <s v="Pagado"/>
  </r>
  <r>
    <x v="247"/>
    <x v="11"/>
    <s v="TX-101155"/>
    <x v="16"/>
    <x v="0"/>
    <x v="4"/>
    <n v="6829.29"/>
    <n v="0"/>
    <x v="1153"/>
    <x v="3"/>
    <s v="Tarjeta Crédito Empresarial"/>
    <s v="Tarjeta Crédito"/>
    <s v="Pagado"/>
  </r>
  <r>
    <x v="105"/>
    <x v="5"/>
    <s v="TX-101156"/>
    <x v="18"/>
    <x v="0"/>
    <x v="0"/>
    <n v="12629.39"/>
    <n v="0"/>
    <x v="1154"/>
    <x v="3"/>
    <s v="Tarjeta Crédito Empresarial"/>
    <s v="Transferencia"/>
    <s v="Pagado"/>
  </r>
  <r>
    <x v="68"/>
    <x v="4"/>
    <s v="TX-101157"/>
    <x v="19"/>
    <x v="0"/>
    <x v="0"/>
    <n v="10116.549999999999"/>
    <n v="0"/>
    <x v="1155"/>
    <x v="1"/>
    <s v="Cuenta Corriente"/>
    <s v="Efectivo"/>
    <s v="Pagado"/>
  </r>
  <r>
    <x v="234"/>
    <x v="0"/>
    <s v="TX-101158"/>
    <x v="17"/>
    <x v="1"/>
    <x v="0"/>
    <n v="9539.85"/>
    <n v="1240.18"/>
    <x v="1156"/>
    <x v="0"/>
    <s v="Tarjeta Crédito Empresarial"/>
    <s v="Tarjeta Débito"/>
    <s v="Pagado"/>
  </r>
  <r>
    <x v="283"/>
    <x v="1"/>
    <s v="TX-101159"/>
    <x v="18"/>
    <x v="0"/>
    <x v="0"/>
    <n v="10664.36"/>
    <n v="0"/>
    <x v="1157"/>
    <x v="1"/>
    <s v="Tarjeta Crédito Empresarial"/>
    <s v="Tarjeta Crédito"/>
    <s v="Pendiente"/>
  </r>
  <r>
    <x v="181"/>
    <x v="7"/>
    <s v="TX-101160"/>
    <x v="3"/>
    <x v="0"/>
    <x v="5"/>
    <n v="13174.45"/>
    <n v="0"/>
    <x v="1158"/>
    <x v="2"/>
    <s v="Tarjeta Crédito Empresarial"/>
    <s v="Efectivo"/>
    <s v="Pendiente"/>
  </r>
  <r>
    <x v="197"/>
    <x v="7"/>
    <s v="TX-101161"/>
    <x v="2"/>
    <x v="0"/>
    <x v="7"/>
    <n v="4466.49"/>
    <n v="0"/>
    <x v="1159"/>
    <x v="3"/>
    <s v="Cuenta Ahorros"/>
    <s v="Efectivo"/>
    <s v="Pendiente"/>
  </r>
  <r>
    <x v="174"/>
    <x v="9"/>
    <s v="TX-101162"/>
    <x v="12"/>
    <x v="0"/>
    <x v="2"/>
    <n v="2684.11"/>
    <n v="0"/>
    <x v="1160"/>
    <x v="3"/>
    <s v="Cuenta Ahorros"/>
    <s v="Efectivo"/>
    <s v="Pagado"/>
  </r>
  <r>
    <x v="184"/>
    <x v="4"/>
    <s v="TX-101163"/>
    <x v="13"/>
    <x v="0"/>
    <x v="0"/>
    <n v="482.99"/>
    <n v="0"/>
    <x v="1161"/>
    <x v="0"/>
    <s v="Cuenta Corriente"/>
    <s v="Efectivo"/>
    <s v="Pagado"/>
  </r>
  <r>
    <x v="67"/>
    <x v="8"/>
    <s v="TX-101164"/>
    <x v="17"/>
    <x v="0"/>
    <x v="3"/>
    <n v="5901.11"/>
    <n v="0"/>
    <x v="1162"/>
    <x v="1"/>
    <s v="Cuenta Ahorros"/>
    <s v="Tarjeta Crédito"/>
    <s v="Pagado"/>
  </r>
  <r>
    <x v="44"/>
    <x v="1"/>
    <s v="TX-101165"/>
    <x v="13"/>
    <x v="1"/>
    <x v="6"/>
    <n v="9562.18"/>
    <n v="1243.08"/>
    <x v="1163"/>
    <x v="2"/>
    <s v="Cuenta Ahorros"/>
    <s v="Efectivo"/>
    <s v="Pagado"/>
  </r>
  <r>
    <x v="97"/>
    <x v="6"/>
    <s v="TX-101166"/>
    <x v="11"/>
    <x v="1"/>
    <x v="2"/>
    <n v="14220.77"/>
    <n v="1848.7"/>
    <x v="1164"/>
    <x v="0"/>
    <s v="Cuenta Ahorros"/>
    <s v="Tarjeta Débito"/>
    <s v="Pagado"/>
  </r>
  <r>
    <x v="17"/>
    <x v="10"/>
    <s v="TX-101167"/>
    <x v="15"/>
    <x v="1"/>
    <x v="6"/>
    <n v="13687.82"/>
    <n v="1779.42"/>
    <x v="1165"/>
    <x v="3"/>
    <s v="Tarjeta Crédito Empresarial"/>
    <s v="Transferencia"/>
    <s v="Pagado"/>
  </r>
  <r>
    <x v="93"/>
    <x v="3"/>
    <s v="TX-101168"/>
    <x v="4"/>
    <x v="1"/>
    <x v="5"/>
    <n v="12580.33"/>
    <n v="1635.44"/>
    <x v="1166"/>
    <x v="4"/>
    <s v="Cuenta Ahorros"/>
    <s v="Tarjeta Débito"/>
    <s v="Pendiente"/>
  </r>
  <r>
    <x v="346"/>
    <x v="1"/>
    <s v="TX-101169"/>
    <x v="7"/>
    <x v="1"/>
    <x v="0"/>
    <n v="14103.21"/>
    <n v="1833.42"/>
    <x v="1167"/>
    <x v="3"/>
    <s v="Tarjeta Crédito Empresarial"/>
    <s v="Transferencia"/>
    <s v="Pendiente"/>
  </r>
  <r>
    <x v="347"/>
    <x v="7"/>
    <s v="TX-101170"/>
    <x v="10"/>
    <x v="1"/>
    <x v="4"/>
    <n v="4556.92"/>
    <n v="592.4"/>
    <x v="1168"/>
    <x v="4"/>
    <s v="Cuenta Corriente"/>
    <s v="Tarjeta Crédito"/>
    <s v="Pagado"/>
  </r>
  <r>
    <x v="108"/>
    <x v="0"/>
    <s v="TX-101171"/>
    <x v="7"/>
    <x v="1"/>
    <x v="4"/>
    <n v="12936.66"/>
    <n v="1681.77"/>
    <x v="1169"/>
    <x v="3"/>
    <s v="Tarjeta Crédito Empresarial"/>
    <s v="Efectivo"/>
    <s v="Pagado"/>
  </r>
  <r>
    <x v="291"/>
    <x v="3"/>
    <s v="TX-101172"/>
    <x v="11"/>
    <x v="1"/>
    <x v="2"/>
    <n v="11051.31"/>
    <n v="1436.67"/>
    <x v="1170"/>
    <x v="4"/>
    <s v="Tarjeta Crédito Empresarial"/>
    <s v="Tarjeta Crédito"/>
    <s v="Pendiente"/>
  </r>
  <r>
    <x v="294"/>
    <x v="7"/>
    <s v="TX-101173"/>
    <x v="4"/>
    <x v="1"/>
    <x v="4"/>
    <n v="4147.04"/>
    <n v="539.12"/>
    <x v="1171"/>
    <x v="3"/>
    <s v="Cuenta Ahorros"/>
    <s v="Efectivo"/>
    <s v="Pendiente"/>
  </r>
  <r>
    <x v="262"/>
    <x v="10"/>
    <s v="TX-101174"/>
    <x v="7"/>
    <x v="1"/>
    <x v="0"/>
    <n v="14504.95"/>
    <n v="1885.64"/>
    <x v="1172"/>
    <x v="2"/>
    <s v="Cuenta Ahorros"/>
    <s v="Tarjeta Crédito"/>
    <s v="Pagado"/>
  </r>
  <r>
    <x v="246"/>
    <x v="10"/>
    <s v="TX-101175"/>
    <x v="10"/>
    <x v="0"/>
    <x v="3"/>
    <n v="14274.29"/>
    <n v="0"/>
    <x v="1173"/>
    <x v="3"/>
    <s v="Cuenta Ahorros"/>
    <s v="Tarjeta Débito"/>
    <s v="Pagado"/>
  </r>
  <r>
    <x v="98"/>
    <x v="0"/>
    <s v="TX-101176"/>
    <x v="12"/>
    <x v="0"/>
    <x v="6"/>
    <n v="7178.25"/>
    <n v="0"/>
    <x v="1174"/>
    <x v="2"/>
    <s v="Cuenta Ahorros"/>
    <s v="Tarjeta Débito"/>
    <s v="Pagado"/>
  </r>
  <r>
    <x v="56"/>
    <x v="11"/>
    <s v="TX-101177"/>
    <x v="11"/>
    <x v="1"/>
    <x v="0"/>
    <n v="12979.17"/>
    <n v="1687.29"/>
    <x v="1175"/>
    <x v="0"/>
    <s v="Cuenta Corriente"/>
    <s v="Transferencia"/>
    <s v="Pagado"/>
  </r>
  <r>
    <x v="136"/>
    <x v="11"/>
    <s v="TX-101178"/>
    <x v="2"/>
    <x v="0"/>
    <x v="0"/>
    <n v="931.05"/>
    <n v="0"/>
    <x v="1176"/>
    <x v="2"/>
    <s v="Cuenta Ahorros"/>
    <s v="Tarjeta Crédito"/>
    <s v="Pendiente"/>
  </r>
  <r>
    <x v="184"/>
    <x v="4"/>
    <s v="TX-101179"/>
    <x v="0"/>
    <x v="0"/>
    <x v="3"/>
    <n v="13077.85"/>
    <n v="0"/>
    <x v="1177"/>
    <x v="4"/>
    <s v="Tarjeta Crédito Empresarial"/>
    <s v="Efectivo"/>
    <s v="Pendiente"/>
  </r>
  <r>
    <x v="143"/>
    <x v="11"/>
    <s v="TX-101180"/>
    <x v="12"/>
    <x v="0"/>
    <x v="7"/>
    <n v="10647.58"/>
    <n v="0"/>
    <x v="1178"/>
    <x v="0"/>
    <s v="Tarjeta Crédito Empresarial"/>
    <s v="Transferencia"/>
    <s v="Pagado"/>
  </r>
  <r>
    <x v="13"/>
    <x v="2"/>
    <s v="TX-101181"/>
    <x v="18"/>
    <x v="0"/>
    <x v="5"/>
    <n v="11365.46"/>
    <n v="0"/>
    <x v="1179"/>
    <x v="0"/>
    <s v="Tarjeta Crédito Empresarial"/>
    <s v="Transferencia"/>
    <s v="Pagado"/>
  </r>
  <r>
    <x v="328"/>
    <x v="11"/>
    <s v="TX-101182"/>
    <x v="6"/>
    <x v="1"/>
    <x v="1"/>
    <n v="13288.27"/>
    <n v="1727.48"/>
    <x v="1180"/>
    <x v="4"/>
    <s v="Tarjeta Crédito Empresarial"/>
    <s v="Efectivo"/>
    <s v="Pagado"/>
  </r>
  <r>
    <x v="4"/>
    <x v="4"/>
    <s v="TX-101183"/>
    <x v="7"/>
    <x v="1"/>
    <x v="4"/>
    <n v="1807.87"/>
    <n v="235.02"/>
    <x v="1181"/>
    <x v="2"/>
    <s v="Tarjeta Crédito Empresarial"/>
    <s v="Tarjeta Crédito"/>
    <s v="Pendiente"/>
  </r>
  <r>
    <x v="319"/>
    <x v="5"/>
    <s v="TX-101184"/>
    <x v="14"/>
    <x v="0"/>
    <x v="0"/>
    <n v="12052.07"/>
    <n v="0"/>
    <x v="1182"/>
    <x v="2"/>
    <s v="Tarjeta Crédito Empresarial"/>
    <s v="Tarjeta Crédito"/>
    <s v="Pendiente"/>
  </r>
  <r>
    <x v="19"/>
    <x v="8"/>
    <s v="TX-101185"/>
    <x v="12"/>
    <x v="0"/>
    <x v="5"/>
    <n v="2505.36"/>
    <n v="0"/>
    <x v="1183"/>
    <x v="3"/>
    <s v="Cuenta Ahorros"/>
    <s v="Efectivo"/>
    <s v="Pagado"/>
  </r>
  <r>
    <x v="235"/>
    <x v="7"/>
    <s v="TX-101186"/>
    <x v="6"/>
    <x v="1"/>
    <x v="1"/>
    <n v="4712.0200000000004"/>
    <n v="612.55999999999995"/>
    <x v="1184"/>
    <x v="4"/>
    <s v="Tarjeta Crédito Empresarial"/>
    <s v="Transferencia"/>
    <s v="Pendiente"/>
  </r>
  <r>
    <x v="221"/>
    <x v="0"/>
    <s v="TX-101187"/>
    <x v="18"/>
    <x v="1"/>
    <x v="7"/>
    <n v="8937.09"/>
    <n v="1161.82"/>
    <x v="1185"/>
    <x v="2"/>
    <s v="Tarjeta Crédito Empresarial"/>
    <s v="Tarjeta Débito"/>
    <s v="Pendiente"/>
  </r>
  <r>
    <x v="302"/>
    <x v="8"/>
    <s v="TX-101188"/>
    <x v="5"/>
    <x v="0"/>
    <x v="4"/>
    <n v="12320.28"/>
    <n v="0"/>
    <x v="1186"/>
    <x v="0"/>
    <s v="Tarjeta Crédito Empresarial"/>
    <s v="Tarjeta Crédito"/>
    <s v="Pendiente"/>
  </r>
  <r>
    <x v="0"/>
    <x v="0"/>
    <s v="TX-101189"/>
    <x v="17"/>
    <x v="1"/>
    <x v="2"/>
    <n v="8909.9500000000007"/>
    <n v="1158.29"/>
    <x v="1187"/>
    <x v="4"/>
    <s v="Cuenta Ahorros"/>
    <s v="Tarjeta Débito"/>
    <s v="Pendiente"/>
  </r>
  <r>
    <x v="333"/>
    <x v="10"/>
    <s v="TX-101190"/>
    <x v="14"/>
    <x v="0"/>
    <x v="6"/>
    <n v="8656.0499999999993"/>
    <n v="0"/>
    <x v="1188"/>
    <x v="0"/>
    <s v="Cuenta Ahorros"/>
    <s v="Efectivo"/>
    <s v="Pagado"/>
  </r>
  <r>
    <x v="97"/>
    <x v="6"/>
    <s v="TX-101191"/>
    <x v="0"/>
    <x v="1"/>
    <x v="0"/>
    <n v="1415.51"/>
    <n v="184.02"/>
    <x v="1189"/>
    <x v="4"/>
    <s v="Cuenta Corriente"/>
    <s v="Tarjeta Débito"/>
    <s v="Pendiente"/>
  </r>
  <r>
    <x v="348"/>
    <x v="8"/>
    <s v="TX-101192"/>
    <x v="3"/>
    <x v="1"/>
    <x v="1"/>
    <n v="2097.7800000000002"/>
    <n v="272.70999999999998"/>
    <x v="1190"/>
    <x v="1"/>
    <s v="Tarjeta Crédito Empresarial"/>
    <s v="Efectivo"/>
    <s v="Pendiente"/>
  </r>
  <r>
    <x v="186"/>
    <x v="3"/>
    <s v="TX-101193"/>
    <x v="4"/>
    <x v="1"/>
    <x v="0"/>
    <n v="8424.17"/>
    <n v="1095.1400000000001"/>
    <x v="1191"/>
    <x v="1"/>
    <s v="Tarjeta Crédito Empresarial"/>
    <s v="Efectivo"/>
    <s v="Pendiente"/>
  </r>
  <r>
    <x v="204"/>
    <x v="7"/>
    <s v="TX-101194"/>
    <x v="4"/>
    <x v="0"/>
    <x v="2"/>
    <n v="13255.12"/>
    <n v="0"/>
    <x v="1192"/>
    <x v="4"/>
    <s v="Tarjeta Crédito Empresarial"/>
    <s v="Tarjeta Crédito"/>
    <s v="Pagado"/>
  </r>
  <r>
    <x v="242"/>
    <x v="4"/>
    <s v="TX-101195"/>
    <x v="4"/>
    <x v="0"/>
    <x v="7"/>
    <n v="10441.74"/>
    <n v="0"/>
    <x v="1193"/>
    <x v="3"/>
    <s v="Tarjeta Crédito Empresarial"/>
    <s v="Efectivo"/>
    <s v="Pendiente"/>
  </r>
  <r>
    <x v="244"/>
    <x v="9"/>
    <s v="TX-101196"/>
    <x v="0"/>
    <x v="0"/>
    <x v="7"/>
    <n v="11572.63"/>
    <n v="0"/>
    <x v="1194"/>
    <x v="1"/>
    <s v="Cuenta Corriente"/>
    <s v="Tarjeta Débito"/>
    <s v="Pendiente"/>
  </r>
  <r>
    <x v="286"/>
    <x v="11"/>
    <s v="TX-101197"/>
    <x v="16"/>
    <x v="1"/>
    <x v="0"/>
    <n v="6659.1"/>
    <n v="865.68"/>
    <x v="1195"/>
    <x v="4"/>
    <s v="Cuenta Corriente"/>
    <s v="Tarjeta Crédito"/>
    <s v="Pendiente"/>
  </r>
  <r>
    <x v="217"/>
    <x v="1"/>
    <s v="TX-101198"/>
    <x v="3"/>
    <x v="0"/>
    <x v="1"/>
    <n v="9121.2800000000007"/>
    <n v="0"/>
    <x v="1196"/>
    <x v="2"/>
    <s v="Tarjeta Crédito Empresarial"/>
    <s v="Efectivo"/>
    <s v="Pendiente"/>
  </r>
  <r>
    <x v="209"/>
    <x v="1"/>
    <s v="TX-101199"/>
    <x v="9"/>
    <x v="0"/>
    <x v="1"/>
    <n v="14568.55"/>
    <n v="0"/>
    <x v="1197"/>
    <x v="1"/>
    <s v="Tarjeta Crédito Empresarial"/>
    <s v="Efectivo"/>
    <s v="Pendiente"/>
  </r>
  <r>
    <x v="349"/>
    <x v="6"/>
    <s v="TX-101200"/>
    <x v="6"/>
    <x v="1"/>
    <x v="1"/>
    <n v="5574.53"/>
    <n v="724.69"/>
    <x v="1198"/>
    <x v="4"/>
    <s v="Tarjeta Crédito Empresarial"/>
    <s v="Tarjeta Débito"/>
    <s v="Pagado"/>
  </r>
  <r>
    <x v="229"/>
    <x v="5"/>
    <s v="TX-101201"/>
    <x v="15"/>
    <x v="1"/>
    <x v="1"/>
    <n v="6678.5"/>
    <n v="868.21"/>
    <x v="1199"/>
    <x v="3"/>
    <s v="Cuenta Ahorros"/>
    <s v="Transferencia"/>
    <s v="Pendiente"/>
  </r>
  <r>
    <x v="206"/>
    <x v="9"/>
    <s v="TX-101202"/>
    <x v="19"/>
    <x v="1"/>
    <x v="6"/>
    <n v="12567.24"/>
    <n v="1633.74"/>
    <x v="1200"/>
    <x v="4"/>
    <s v="Tarjeta Crédito Empresarial"/>
    <s v="Tarjeta Crédito"/>
    <s v="Pagado"/>
  </r>
  <r>
    <x v="307"/>
    <x v="11"/>
    <s v="TX-101203"/>
    <x v="7"/>
    <x v="1"/>
    <x v="2"/>
    <n v="2934.45"/>
    <n v="381.48"/>
    <x v="1201"/>
    <x v="4"/>
    <s v="Tarjeta Crédito Empresarial"/>
    <s v="Tarjeta Crédito"/>
    <s v="Pagado"/>
  </r>
  <r>
    <x v="237"/>
    <x v="5"/>
    <s v="TX-101204"/>
    <x v="6"/>
    <x v="1"/>
    <x v="4"/>
    <n v="9147.51"/>
    <n v="1189.18"/>
    <x v="1202"/>
    <x v="0"/>
    <s v="Cuenta Ahorros"/>
    <s v="Tarjeta Débito"/>
    <s v="Pagado"/>
  </r>
  <r>
    <x v="131"/>
    <x v="10"/>
    <s v="TX-101205"/>
    <x v="17"/>
    <x v="0"/>
    <x v="2"/>
    <n v="5154.71"/>
    <n v="0"/>
    <x v="1203"/>
    <x v="3"/>
    <s v="Tarjeta Crédito Empresarial"/>
    <s v="Efectivo"/>
    <s v="Pagado"/>
  </r>
  <r>
    <x v="82"/>
    <x v="10"/>
    <s v="TX-101206"/>
    <x v="1"/>
    <x v="1"/>
    <x v="2"/>
    <n v="2825.6"/>
    <n v="367.33"/>
    <x v="1204"/>
    <x v="3"/>
    <s v="Cuenta Corriente"/>
    <s v="Transferencia"/>
    <s v="Pagado"/>
  </r>
  <r>
    <x v="350"/>
    <x v="5"/>
    <s v="TX-101207"/>
    <x v="13"/>
    <x v="1"/>
    <x v="0"/>
    <n v="4651.3500000000004"/>
    <n v="604.67999999999995"/>
    <x v="1205"/>
    <x v="4"/>
    <s v="Tarjeta Crédito Empresarial"/>
    <s v="Tarjeta Débito"/>
    <s v="Pendiente"/>
  </r>
  <r>
    <x v="55"/>
    <x v="10"/>
    <s v="TX-101208"/>
    <x v="15"/>
    <x v="0"/>
    <x v="5"/>
    <n v="4220.5"/>
    <n v="0"/>
    <x v="1206"/>
    <x v="2"/>
    <s v="Cuenta Ahorros"/>
    <s v="Tarjeta Débito"/>
    <s v="Pagado"/>
  </r>
  <r>
    <x v="348"/>
    <x v="8"/>
    <s v="TX-101209"/>
    <x v="12"/>
    <x v="1"/>
    <x v="4"/>
    <n v="3927.34"/>
    <n v="510.55"/>
    <x v="1207"/>
    <x v="2"/>
    <s v="Cuenta Corriente"/>
    <s v="Efectivo"/>
    <s v="Pendiente"/>
  </r>
  <r>
    <x v="25"/>
    <x v="10"/>
    <s v="TX-101210"/>
    <x v="8"/>
    <x v="0"/>
    <x v="5"/>
    <n v="599.13"/>
    <n v="0"/>
    <x v="1208"/>
    <x v="1"/>
    <s v="Cuenta Corriente"/>
    <s v="Tarjeta Débito"/>
    <s v="Pendiente"/>
  </r>
  <r>
    <x v="297"/>
    <x v="11"/>
    <s v="TX-101211"/>
    <x v="17"/>
    <x v="1"/>
    <x v="6"/>
    <n v="10509.82"/>
    <n v="1366.28"/>
    <x v="1209"/>
    <x v="0"/>
    <s v="Tarjeta Crédito Empresarial"/>
    <s v="Tarjeta Crédito"/>
    <s v="Pagado"/>
  </r>
  <r>
    <x v="300"/>
    <x v="0"/>
    <s v="TX-101212"/>
    <x v="9"/>
    <x v="1"/>
    <x v="7"/>
    <n v="3949.65"/>
    <n v="513.45000000000005"/>
    <x v="1210"/>
    <x v="0"/>
    <s v="Tarjeta Crédito Empresarial"/>
    <s v="Tarjeta Débito"/>
    <s v="Pendiente"/>
  </r>
  <r>
    <x v="254"/>
    <x v="5"/>
    <s v="TX-101213"/>
    <x v="6"/>
    <x v="0"/>
    <x v="6"/>
    <n v="8478.35"/>
    <n v="0"/>
    <x v="1211"/>
    <x v="0"/>
    <s v="Cuenta Corriente"/>
    <s v="Tarjeta Crédito"/>
    <s v="Pagado"/>
  </r>
  <r>
    <x v="51"/>
    <x v="9"/>
    <s v="TX-101214"/>
    <x v="10"/>
    <x v="1"/>
    <x v="3"/>
    <n v="7158.66"/>
    <n v="930.63"/>
    <x v="1212"/>
    <x v="3"/>
    <s v="Cuenta Corriente"/>
    <s v="Tarjeta Crédito"/>
    <s v="Pendiente"/>
  </r>
  <r>
    <x v="155"/>
    <x v="6"/>
    <s v="TX-101215"/>
    <x v="6"/>
    <x v="1"/>
    <x v="1"/>
    <n v="6613.18"/>
    <n v="859.71"/>
    <x v="1213"/>
    <x v="1"/>
    <s v="Tarjeta Crédito Empresarial"/>
    <s v="Efectivo"/>
    <s v="Pendiente"/>
  </r>
  <r>
    <x v="62"/>
    <x v="11"/>
    <s v="TX-101216"/>
    <x v="12"/>
    <x v="0"/>
    <x v="6"/>
    <n v="9034.08"/>
    <n v="0"/>
    <x v="1214"/>
    <x v="1"/>
    <s v="Cuenta Ahorros"/>
    <s v="Transferencia"/>
    <s v="Pagado"/>
  </r>
  <r>
    <x v="109"/>
    <x v="3"/>
    <s v="TX-101217"/>
    <x v="15"/>
    <x v="0"/>
    <x v="4"/>
    <n v="14312.03"/>
    <n v="0"/>
    <x v="1215"/>
    <x v="0"/>
    <s v="Cuenta Corriente"/>
    <s v="Tarjeta Débito"/>
    <s v="Pagado"/>
  </r>
  <r>
    <x v="32"/>
    <x v="9"/>
    <s v="TX-101218"/>
    <x v="2"/>
    <x v="1"/>
    <x v="5"/>
    <n v="1991.87"/>
    <n v="258.94"/>
    <x v="1216"/>
    <x v="3"/>
    <s v="Cuenta Corriente"/>
    <s v="Tarjeta Crédito"/>
    <s v="Pagado"/>
  </r>
  <r>
    <x v="254"/>
    <x v="5"/>
    <s v="TX-101219"/>
    <x v="13"/>
    <x v="0"/>
    <x v="5"/>
    <n v="6935.79"/>
    <n v="0"/>
    <x v="1217"/>
    <x v="4"/>
    <s v="Cuenta Corriente"/>
    <s v="Tarjeta Débito"/>
    <s v="Pendiente"/>
  </r>
  <r>
    <x v="39"/>
    <x v="8"/>
    <s v="TX-101220"/>
    <x v="18"/>
    <x v="1"/>
    <x v="0"/>
    <n v="12873.54"/>
    <n v="1673.56"/>
    <x v="1218"/>
    <x v="3"/>
    <s v="Tarjeta Crédito Empresarial"/>
    <s v="Tarjeta Débito"/>
    <s v="Pagado"/>
  </r>
  <r>
    <x v="79"/>
    <x v="8"/>
    <s v="TX-101221"/>
    <x v="10"/>
    <x v="0"/>
    <x v="5"/>
    <n v="5203.4399999999996"/>
    <n v="0"/>
    <x v="1219"/>
    <x v="0"/>
    <s v="Tarjeta Crédito Empresarial"/>
    <s v="Efectivo"/>
    <s v="Pagado"/>
  </r>
  <r>
    <x v="144"/>
    <x v="0"/>
    <s v="TX-101222"/>
    <x v="7"/>
    <x v="0"/>
    <x v="0"/>
    <n v="11457.69"/>
    <n v="0"/>
    <x v="1220"/>
    <x v="1"/>
    <s v="Cuenta Corriente"/>
    <s v="Tarjeta Crédito"/>
    <s v="Pagado"/>
  </r>
  <r>
    <x v="173"/>
    <x v="11"/>
    <s v="TX-101223"/>
    <x v="8"/>
    <x v="0"/>
    <x v="3"/>
    <n v="8974.24"/>
    <n v="0"/>
    <x v="1221"/>
    <x v="3"/>
    <s v="Cuenta Ahorros"/>
    <s v="Efectivo"/>
    <s v="Pagado"/>
  </r>
  <r>
    <x v="277"/>
    <x v="9"/>
    <s v="TX-101224"/>
    <x v="19"/>
    <x v="1"/>
    <x v="0"/>
    <n v="5568.53"/>
    <n v="723.91"/>
    <x v="1222"/>
    <x v="0"/>
    <s v="Cuenta Corriente"/>
    <s v="Efectivo"/>
    <s v="Pagado"/>
  </r>
  <r>
    <x v="276"/>
    <x v="9"/>
    <s v="TX-101225"/>
    <x v="14"/>
    <x v="0"/>
    <x v="0"/>
    <n v="711.51"/>
    <n v="0"/>
    <x v="1223"/>
    <x v="1"/>
    <s v="Cuenta Corriente"/>
    <s v="Tarjeta Crédito"/>
    <s v="Pendiente"/>
  </r>
  <r>
    <x v="326"/>
    <x v="5"/>
    <s v="TX-101226"/>
    <x v="15"/>
    <x v="1"/>
    <x v="4"/>
    <n v="4700.83"/>
    <n v="611.11"/>
    <x v="1224"/>
    <x v="1"/>
    <s v="Cuenta Corriente"/>
    <s v="Tarjeta Crédito"/>
    <s v="Pendiente"/>
  </r>
  <r>
    <x v="182"/>
    <x v="0"/>
    <s v="TX-101227"/>
    <x v="14"/>
    <x v="0"/>
    <x v="2"/>
    <n v="7000.59"/>
    <n v="0"/>
    <x v="1225"/>
    <x v="2"/>
    <s v="Tarjeta Crédito Empresarial"/>
    <s v="Transferencia"/>
    <s v="Pendiente"/>
  </r>
  <r>
    <x v="205"/>
    <x v="3"/>
    <s v="TX-101228"/>
    <x v="14"/>
    <x v="0"/>
    <x v="5"/>
    <n v="8641.5"/>
    <n v="0"/>
    <x v="1226"/>
    <x v="1"/>
    <s v="Cuenta Corriente"/>
    <s v="Efectivo"/>
    <s v="Pendiente"/>
  </r>
  <r>
    <x v="31"/>
    <x v="6"/>
    <s v="TX-101229"/>
    <x v="10"/>
    <x v="0"/>
    <x v="3"/>
    <n v="3916.8"/>
    <n v="0"/>
    <x v="1227"/>
    <x v="3"/>
    <s v="Tarjeta Crédito Empresarial"/>
    <s v="Efectivo"/>
    <s v="Pendiente"/>
  </r>
  <r>
    <x v="89"/>
    <x v="8"/>
    <s v="TX-101230"/>
    <x v="8"/>
    <x v="0"/>
    <x v="2"/>
    <n v="11793.15"/>
    <n v="0"/>
    <x v="1228"/>
    <x v="0"/>
    <s v="Cuenta Ahorros"/>
    <s v="Transferencia"/>
    <s v="Pagado"/>
  </r>
  <r>
    <x v="97"/>
    <x v="6"/>
    <s v="TX-101231"/>
    <x v="3"/>
    <x v="0"/>
    <x v="0"/>
    <n v="7747.7"/>
    <n v="0"/>
    <x v="1229"/>
    <x v="1"/>
    <s v="Cuenta Ahorros"/>
    <s v="Transferencia"/>
    <s v="Pendiente"/>
  </r>
  <r>
    <x v="216"/>
    <x v="1"/>
    <s v="TX-101232"/>
    <x v="10"/>
    <x v="1"/>
    <x v="7"/>
    <n v="6930.75"/>
    <n v="901"/>
    <x v="1230"/>
    <x v="0"/>
    <s v="Tarjeta Crédito Empresarial"/>
    <s v="Tarjeta Crédito"/>
    <s v="Pendiente"/>
  </r>
  <r>
    <x v="211"/>
    <x v="7"/>
    <s v="TX-101233"/>
    <x v="8"/>
    <x v="0"/>
    <x v="1"/>
    <n v="8164.09"/>
    <n v="0"/>
    <x v="1231"/>
    <x v="2"/>
    <s v="Cuenta Ahorros"/>
    <s v="Efectivo"/>
    <s v="Pagado"/>
  </r>
  <r>
    <x v="312"/>
    <x v="3"/>
    <s v="TX-101234"/>
    <x v="8"/>
    <x v="0"/>
    <x v="1"/>
    <n v="8956.89"/>
    <n v="0"/>
    <x v="1232"/>
    <x v="3"/>
    <s v="Tarjeta Crédito Empresarial"/>
    <s v="Efectivo"/>
    <s v="Pagado"/>
  </r>
  <r>
    <x v="31"/>
    <x v="6"/>
    <s v="TX-101235"/>
    <x v="1"/>
    <x v="1"/>
    <x v="5"/>
    <n v="10915.47"/>
    <n v="1419.01"/>
    <x v="1233"/>
    <x v="1"/>
    <s v="Cuenta Ahorros"/>
    <s v="Tarjeta Crédito"/>
    <s v="Pendiente"/>
  </r>
  <r>
    <x v="351"/>
    <x v="9"/>
    <s v="TX-101236"/>
    <x v="2"/>
    <x v="1"/>
    <x v="7"/>
    <n v="657.58"/>
    <n v="85.49"/>
    <x v="1234"/>
    <x v="2"/>
    <s v="Cuenta Corriente"/>
    <s v="Tarjeta Débito"/>
    <s v="Pagado"/>
  </r>
  <r>
    <x v="276"/>
    <x v="9"/>
    <s v="TX-101237"/>
    <x v="4"/>
    <x v="1"/>
    <x v="6"/>
    <n v="13915.24"/>
    <n v="1808.98"/>
    <x v="1235"/>
    <x v="1"/>
    <s v="Cuenta Ahorros"/>
    <s v="Transferencia"/>
    <s v="Pagado"/>
  </r>
  <r>
    <x v="112"/>
    <x v="10"/>
    <s v="TX-101238"/>
    <x v="18"/>
    <x v="0"/>
    <x v="2"/>
    <n v="11914.99"/>
    <n v="0"/>
    <x v="1236"/>
    <x v="2"/>
    <s v="Cuenta Ahorros"/>
    <s v="Tarjeta Débito"/>
    <s v="Pagado"/>
  </r>
  <r>
    <x v="39"/>
    <x v="8"/>
    <s v="TX-101239"/>
    <x v="2"/>
    <x v="0"/>
    <x v="0"/>
    <n v="11422.75"/>
    <n v="0"/>
    <x v="1237"/>
    <x v="2"/>
    <s v="Tarjeta Crédito Empresarial"/>
    <s v="Tarjeta Débito"/>
    <s v="Pendiente"/>
  </r>
  <r>
    <x v="103"/>
    <x v="4"/>
    <s v="TX-101240"/>
    <x v="19"/>
    <x v="0"/>
    <x v="5"/>
    <n v="10189.209999999999"/>
    <n v="0"/>
    <x v="1238"/>
    <x v="3"/>
    <s v="Cuenta Ahorros"/>
    <s v="Tarjeta Débito"/>
    <s v="Pagado"/>
  </r>
  <r>
    <x v="140"/>
    <x v="6"/>
    <s v="TX-101241"/>
    <x v="16"/>
    <x v="0"/>
    <x v="4"/>
    <n v="6963.5"/>
    <n v="0"/>
    <x v="1239"/>
    <x v="2"/>
    <s v="Cuenta Corriente"/>
    <s v="Tarjeta Débito"/>
    <s v="Pagado"/>
  </r>
  <r>
    <x v="337"/>
    <x v="5"/>
    <s v="TX-101242"/>
    <x v="3"/>
    <x v="1"/>
    <x v="2"/>
    <n v="9190.2199999999993"/>
    <n v="1194.73"/>
    <x v="1240"/>
    <x v="0"/>
    <s v="Cuenta Ahorros"/>
    <s v="Efectivo"/>
    <s v="Pendiente"/>
  </r>
  <r>
    <x v="244"/>
    <x v="9"/>
    <s v="TX-101243"/>
    <x v="13"/>
    <x v="1"/>
    <x v="6"/>
    <n v="5141.91"/>
    <n v="668.45"/>
    <x v="1241"/>
    <x v="1"/>
    <s v="Cuenta Corriente"/>
    <s v="Efectivo"/>
    <s v="Pendiente"/>
  </r>
  <r>
    <x v="321"/>
    <x v="1"/>
    <s v="TX-101244"/>
    <x v="11"/>
    <x v="1"/>
    <x v="3"/>
    <n v="3872.6"/>
    <n v="503.44"/>
    <x v="1242"/>
    <x v="0"/>
    <s v="Cuenta Corriente"/>
    <s v="Efectivo"/>
    <s v="Pendiente"/>
  </r>
  <r>
    <x v="75"/>
    <x v="9"/>
    <s v="TX-101245"/>
    <x v="5"/>
    <x v="0"/>
    <x v="4"/>
    <n v="4412.75"/>
    <n v="0"/>
    <x v="1243"/>
    <x v="1"/>
    <s v="Tarjeta Crédito Empresarial"/>
    <s v="Efectivo"/>
    <s v="Pagado"/>
  </r>
  <r>
    <x v="80"/>
    <x v="3"/>
    <s v="TX-101246"/>
    <x v="19"/>
    <x v="1"/>
    <x v="6"/>
    <n v="8495.14"/>
    <n v="1104.3699999999999"/>
    <x v="1244"/>
    <x v="3"/>
    <s v="Cuenta Ahorros"/>
    <s v="Efectivo"/>
    <s v="Pagado"/>
  </r>
  <r>
    <x v="40"/>
    <x v="2"/>
    <s v="TX-101247"/>
    <x v="4"/>
    <x v="1"/>
    <x v="3"/>
    <n v="9126.4699999999993"/>
    <n v="1186.44"/>
    <x v="1245"/>
    <x v="3"/>
    <s v="Cuenta Ahorros"/>
    <s v="Tarjeta Débito"/>
    <s v="Pagado"/>
  </r>
  <r>
    <x v="109"/>
    <x v="3"/>
    <s v="TX-101248"/>
    <x v="19"/>
    <x v="0"/>
    <x v="5"/>
    <n v="12980.15"/>
    <n v="0"/>
    <x v="1246"/>
    <x v="0"/>
    <s v="Cuenta Ahorros"/>
    <s v="Tarjeta Crédito"/>
    <s v="Pagado"/>
  </r>
  <r>
    <x v="263"/>
    <x v="6"/>
    <s v="TX-101249"/>
    <x v="2"/>
    <x v="0"/>
    <x v="6"/>
    <n v="11568.97"/>
    <n v="0"/>
    <x v="1247"/>
    <x v="3"/>
    <s v="Tarjeta Crédito Empresarial"/>
    <s v="Tarjeta Crédito"/>
    <s v="Pendiente"/>
  </r>
  <r>
    <x v="148"/>
    <x v="8"/>
    <s v="TX-101250"/>
    <x v="15"/>
    <x v="0"/>
    <x v="7"/>
    <n v="4329.9399999999996"/>
    <n v="0"/>
    <x v="1248"/>
    <x v="4"/>
    <s v="Cuenta Corriente"/>
    <s v="Efectivo"/>
    <s v="Pendiente"/>
  </r>
  <r>
    <x v="228"/>
    <x v="5"/>
    <s v="TX-101251"/>
    <x v="11"/>
    <x v="0"/>
    <x v="7"/>
    <n v="9860.0499999999993"/>
    <n v="0"/>
    <x v="1249"/>
    <x v="3"/>
    <s v="Cuenta Ahorros"/>
    <s v="Efectivo"/>
    <s v="Pendiente"/>
  </r>
  <r>
    <x v="178"/>
    <x v="6"/>
    <s v="TX-101252"/>
    <x v="12"/>
    <x v="1"/>
    <x v="0"/>
    <n v="2121.65"/>
    <n v="275.81"/>
    <x v="1250"/>
    <x v="0"/>
    <s v="Cuenta Corriente"/>
    <s v="Efectivo"/>
    <s v="Pagado"/>
  </r>
  <r>
    <x v="79"/>
    <x v="8"/>
    <s v="TX-101253"/>
    <x v="2"/>
    <x v="1"/>
    <x v="5"/>
    <n v="8561.1299999999992"/>
    <n v="1112.95"/>
    <x v="1251"/>
    <x v="3"/>
    <s v="Cuenta Ahorros"/>
    <s v="Transferencia"/>
    <s v="Pendiente"/>
  </r>
  <r>
    <x v="352"/>
    <x v="4"/>
    <s v="TX-101254"/>
    <x v="14"/>
    <x v="0"/>
    <x v="6"/>
    <n v="10859.75"/>
    <n v="0"/>
    <x v="1252"/>
    <x v="4"/>
    <s v="Cuenta Ahorros"/>
    <s v="Tarjeta Débito"/>
    <s v="Pendiente"/>
  </r>
  <r>
    <x v="344"/>
    <x v="8"/>
    <s v="TX-101255"/>
    <x v="9"/>
    <x v="1"/>
    <x v="1"/>
    <n v="3144.76"/>
    <n v="408.82"/>
    <x v="1253"/>
    <x v="1"/>
    <s v="Cuenta Corriente"/>
    <s v="Efectivo"/>
    <s v="Pagado"/>
  </r>
  <r>
    <x v="2"/>
    <x v="2"/>
    <s v="TX-101256"/>
    <x v="6"/>
    <x v="1"/>
    <x v="6"/>
    <n v="13087.68"/>
    <n v="1701.4"/>
    <x v="1254"/>
    <x v="4"/>
    <s v="Cuenta Ahorros"/>
    <s v="Transferencia"/>
    <s v="Pagado"/>
  </r>
  <r>
    <x v="141"/>
    <x v="8"/>
    <s v="TX-101257"/>
    <x v="15"/>
    <x v="0"/>
    <x v="3"/>
    <n v="1101.97"/>
    <n v="0"/>
    <x v="1255"/>
    <x v="2"/>
    <s v="Tarjeta Crédito Empresarial"/>
    <s v="Transferencia"/>
    <s v="Pagado"/>
  </r>
  <r>
    <x v="34"/>
    <x v="1"/>
    <s v="TX-101258"/>
    <x v="13"/>
    <x v="1"/>
    <x v="4"/>
    <n v="12184.35"/>
    <n v="1583.97"/>
    <x v="1256"/>
    <x v="2"/>
    <s v="Cuenta Ahorros"/>
    <s v="Efectivo"/>
    <s v="Pendiente"/>
  </r>
  <r>
    <x v="249"/>
    <x v="10"/>
    <s v="TX-101259"/>
    <x v="1"/>
    <x v="1"/>
    <x v="4"/>
    <n v="11381.21"/>
    <n v="1479.56"/>
    <x v="1257"/>
    <x v="3"/>
    <s v="Tarjeta Crédito Empresarial"/>
    <s v="Tarjeta Débito"/>
    <s v="Pendiente"/>
  </r>
  <r>
    <x v="330"/>
    <x v="7"/>
    <s v="TX-101260"/>
    <x v="8"/>
    <x v="1"/>
    <x v="0"/>
    <n v="11943.52"/>
    <n v="1552.66"/>
    <x v="1258"/>
    <x v="2"/>
    <s v="Cuenta Corriente"/>
    <s v="Tarjeta Crédito"/>
    <s v="Pagado"/>
  </r>
  <r>
    <x v="237"/>
    <x v="5"/>
    <s v="TX-101261"/>
    <x v="13"/>
    <x v="1"/>
    <x v="4"/>
    <n v="5169.5200000000004"/>
    <n v="672.04"/>
    <x v="1259"/>
    <x v="1"/>
    <s v="Cuenta Ahorros"/>
    <s v="Efectivo"/>
    <s v="Pendiente"/>
  </r>
  <r>
    <x v="156"/>
    <x v="4"/>
    <s v="TX-101262"/>
    <x v="2"/>
    <x v="1"/>
    <x v="5"/>
    <n v="2262.96"/>
    <n v="294.18"/>
    <x v="1260"/>
    <x v="3"/>
    <s v="Cuenta Corriente"/>
    <s v="Tarjeta Crédito"/>
    <s v="Pendiente"/>
  </r>
  <r>
    <x v="348"/>
    <x v="8"/>
    <s v="TX-101263"/>
    <x v="17"/>
    <x v="1"/>
    <x v="4"/>
    <n v="7155.51"/>
    <n v="930.22"/>
    <x v="1261"/>
    <x v="2"/>
    <s v="Cuenta Corriente"/>
    <s v="Tarjeta Débito"/>
    <s v="Pagado"/>
  </r>
  <r>
    <x v="8"/>
    <x v="7"/>
    <s v="TX-101264"/>
    <x v="7"/>
    <x v="0"/>
    <x v="0"/>
    <n v="468.67"/>
    <n v="0"/>
    <x v="1262"/>
    <x v="0"/>
    <s v="Cuenta Ahorros"/>
    <s v="Tarjeta Débito"/>
    <s v="Pagado"/>
  </r>
  <r>
    <x v="150"/>
    <x v="2"/>
    <s v="TX-101265"/>
    <x v="8"/>
    <x v="0"/>
    <x v="7"/>
    <n v="9295.98"/>
    <n v="0"/>
    <x v="1263"/>
    <x v="2"/>
    <s v="Tarjeta Crédito Empresarial"/>
    <s v="Tarjeta Débito"/>
    <s v="Pendiente"/>
  </r>
  <r>
    <x v="230"/>
    <x v="11"/>
    <s v="TX-101266"/>
    <x v="7"/>
    <x v="0"/>
    <x v="5"/>
    <n v="13068.19"/>
    <n v="0"/>
    <x v="1264"/>
    <x v="4"/>
    <s v="Cuenta Ahorros"/>
    <s v="Efectivo"/>
    <s v="Pagado"/>
  </r>
  <r>
    <x v="261"/>
    <x v="2"/>
    <s v="TX-101267"/>
    <x v="3"/>
    <x v="1"/>
    <x v="4"/>
    <n v="3136.12"/>
    <n v="407.7"/>
    <x v="1265"/>
    <x v="2"/>
    <s v="Tarjeta Crédito Empresarial"/>
    <s v="Transferencia"/>
    <s v="Pagado"/>
  </r>
  <r>
    <x v="227"/>
    <x v="11"/>
    <s v="TX-101268"/>
    <x v="13"/>
    <x v="0"/>
    <x v="1"/>
    <n v="12607.66"/>
    <n v="0"/>
    <x v="1266"/>
    <x v="4"/>
    <s v="Tarjeta Crédito Empresarial"/>
    <s v="Tarjeta Débito"/>
    <s v="Pendiente"/>
  </r>
  <r>
    <x v="61"/>
    <x v="4"/>
    <s v="TX-101269"/>
    <x v="15"/>
    <x v="1"/>
    <x v="6"/>
    <n v="7635.88"/>
    <n v="992.66"/>
    <x v="1267"/>
    <x v="0"/>
    <s v="Tarjeta Crédito Empresarial"/>
    <s v="Transferencia"/>
    <s v="Pagado"/>
  </r>
  <r>
    <x v="195"/>
    <x v="7"/>
    <s v="TX-101270"/>
    <x v="2"/>
    <x v="1"/>
    <x v="0"/>
    <n v="3878.28"/>
    <n v="504.18"/>
    <x v="1268"/>
    <x v="4"/>
    <s v="Cuenta Corriente"/>
    <s v="Efectivo"/>
    <s v="Pagado"/>
  </r>
  <r>
    <x v="239"/>
    <x v="7"/>
    <s v="TX-101271"/>
    <x v="19"/>
    <x v="0"/>
    <x v="4"/>
    <n v="1415.82"/>
    <n v="0"/>
    <x v="1269"/>
    <x v="3"/>
    <s v="Cuenta Corriente"/>
    <s v="Tarjeta Crédito"/>
    <s v="Pagado"/>
  </r>
  <r>
    <x v="187"/>
    <x v="10"/>
    <s v="TX-101272"/>
    <x v="5"/>
    <x v="1"/>
    <x v="7"/>
    <n v="6990.86"/>
    <n v="908.81"/>
    <x v="1270"/>
    <x v="3"/>
    <s v="Cuenta Ahorros"/>
    <s v="Transferencia"/>
    <s v="Pagado"/>
  </r>
  <r>
    <x v="5"/>
    <x v="0"/>
    <s v="TX-101273"/>
    <x v="18"/>
    <x v="0"/>
    <x v="2"/>
    <n v="7166.74"/>
    <n v="0"/>
    <x v="1271"/>
    <x v="0"/>
    <s v="Tarjeta Crédito Empresarial"/>
    <s v="Tarjeta Débito"/>
    <s v="Pendiente"/>
  </r>
  <r>
    <x v="159"/>
    <x v="0"/>
    <s v="TX-101274"/>
    <x v="2"/>
    <x v="1"/>
    <x v="3"/>
    <n v="12924.03"/>
    <n v="1680.12"/>
    <x v="1272"/>
    <x v="1"/>
    <s v="Tarjeta Crédito Empresarial"/>
    <s v="Tarjeta Débito"/>
    <s v="Pendiente"/>
  </r>
  <r>
    <x v="157"/>
    <x v="2"/>
    <s v="TX-101275"/>
    <x v="9"/>
    <x v="0"/>
    <x v="4"/>
    <n v="7414.45"/>
    <n v="0"/>
    <x v="1273"/>
    <x v="2"/>
    <s v="Tarjeta Crédito Empresarial"/>
    <s v="Efectivo"/>
    <s v="Pendiente"/>
  </r>
  <r>
    <x v="262"/>
    <x v="10"/>
    <s v="TX-101276"/>
    <x v="17"/>
    <x v="1"/>
    <x v="6"/>
    <n v="4165.5600000000004"/>
    <n v="541.52"/>
    <x v="1274"/>
    <x v="0"/>
    <s v="Cuenta Ahorros"/>
    <s v="Efectivo"/>
    <s v="Pagado"/>
  </r>
  <r>
    <x v="37"/>
    <x v="11"/>
    <s v="TX-101277"/>
    <x v="6"/>
    <x v="1"/>
    <x v="6"/>
    <n v="13405.84"/>
    <n v="1742.76"/>
    <x v="1275"/>
    <x v="1"/>
    <s v="Cuenta Ahorros"/>
    <s v="Tarjeta Débito"/>
    <s v="Pagado"/>
  </r>
  <r>
    <x v="67"/>
    <x v="8"/>
    <s v="TX-101278"/>
    <x v="15"/>
    <x v="0"/>
    <x v="2"/>
    <n v="13883.17"/>
    <n v="0"/>
    <x v="1276"/>
    <x v="2"/>
    <s v="Tarjeta Crédito Empresarial"/>
    <s v="Tarjeta Débito"/>
    <s v="Pagado"/>
  </r>
  <r>
    <x v="174"/>
    <x v="9"/>
    <s v="TX-101279"/>
    <x v="5"/>
    <x v="1"/>
    <x v="4"/>
    <n v="7551.61"/>
    <n v="981.71"/>
    <x v="1277"/>
    <x v="0"/>
    <s v="Cuenta Ahorros"/>
    <s v="Transferencia"/>
    <s v="Pendiente"/>
  </r>
  <r>
    <x v="93"/>
    <x v="3"/>
    <s v="TX-101280"/>
    <x v="19"/>
    <x v="1"/>
    <x v="6"/>
    <n v="2388"/>
    <n v="310.44"/>
    <x v="1278"/>
    <x v="4"/>
    <s v="Cuenta Corriente"/>
    <s v="Tarjeta Débito"/>
    <s v="Pendiente"/>
  </r>
  <r>
    <x v="225"/>
    <x v="4"/>
    <s v="TX-101281"/>
    <x v="2"/>
    <x v="0"/>
    <x v="4"/>
    <n v="3469.42"/>
    <n v="0"/>
    <x v="1279"/>
    <x v="1"/>
    <s v="Cuenta Ahorros"/>
    <s v="Tarjeta Crédito"/>
    <s v="Pagado"/>
  </r>
  <r>
    <x v="89"/>
    <x v="8"/>
    <s v="TX-101282"/>
    <x v="8"/>
    <x v="0"/>
    <x v="6"/>
    <n v="6773.13"/>
    <n v="0"/>
    <x v="1280"/>
    <x v="0"/>
    <s v="Cuenta Ahorros"/>
    <s v="Efectivo"/>
    <s v="Pagado"/>
  </r>
  <r>
    <x v="21"/>
    <x v="2"/>
    <s v="TX-101283"/>
    <x v="10"/>
    <x v="0"/>
    <x v="6"/>
    <n v="9704.6"/>
    <n v="0"/>
    <x v="1281"/>
    <x v="1"/>
    <s v="Cuenta Ahorros"/>
    <s v="Transferencia"/>
    <s v="Pagado"/>
  </r>
  <r>
    <x v="302"/>
    <x v="8"/>
    <s v="TX-101284"/>
    <x v="9"/>
    <x v="0"/>
    <x v="6"/>
    <n v="404"/>
    <n v="0"/>
    <x v="1282"/>
    <x v="1"/>
    <s v="Cuenta Ahorros"/>
    <s v="Tarjeta Débito"/>
    <s v="Pagado"/>
  </r>
  <r>
    <x v="104"/>
    <x v="9"/>
    <s v="TX-101285"/>
    <x v="17"/>
    <x v="1"/>
    <x v="2"/>
    <n v="3684.91"/>
    <n v="479.04"/>
    <x v="1283"/>
    <x v="1"/>
    <s v="Tarjeta Crédito Empresarial"/>
    <s v="Efectivo"/>
    <s v="Pagado"/>
  </r>
  <r>
    <x v="171"/>
    <x v="10"/>
    <s v="TX-101286"/>
    <x v="13"/>
    <x v="1"/>
    <x v="4"/>
    <n v="14804.59"/>
    <n v="1924.6"/>
    <x v="1284"/>
    <x v="1"/>
    <s v="Cuenta Corriente"/>
    <s v="Transferencia"/>
    <s v="Pagado"/>
  </r>
  <r>
    <x v="339"/>
    <x v="0"/>
    <s v="TX-101287"/>
    <x v="17"/>
    <x v="0"/>
    <x v="7"/>
    <n v="13857.91"/>
    <n v="0"/>
    <x v="1285"/>
    <x v="1"/>
    <s v="Cuenta Corriente"/>
    <s v="Transferencia"/>
    <s v="Pendiente"/>
  </r>
  <r>
    <x v="262"/>
    <x v="10"/>
    <s v="TX-101288"/>
    <x v="16"/>
    <x v="1"/>
    <x v="4"/>
    <n v="8632.6200000000008"/>
    <n v="1122.24"/>
    <x v="1286"/>
    <x v="3"/>
    <s v="Cuenta Ahorros"/>
    <s v="Tarjeta Débito"/>
    <s v="Pendiente"/>
  </r>
  <r>
    <x v="221"/>
    <x v="0"/>
    <s v="TX-101289"/>
    <x v="4"/>
    <x v="0"/>
    <x v="1"/>
    <n v="2149.9899999999998"/>
    <n v="0"/>
    <x v="1287"/>
    <x v="2"/>
    <s v="Cuenta Ahorros"/>
    <s v="Efectivo"/>
    <s v="Pagado"/>
  </r>
  <r>
    <x v="32"/>
    <x v="9"/>
    <s v="TX-101290"/>
    <x v="3"/>
    <x v="0"/>
    <x v="0"/>
    <n v="6939.02"/>
    <n v="0"/>
    <x v="1288"/>
    <x v="4"/>
    <s v="Tarjeta Crédito Empresarial"/>
    <s v="Tarjeta Crédito"/>
    <s v="Pendiente"/>
  </r>
  <r>
    <x v="196"/>
    <x v="11"/>
    <s v="TX-101291"/>
    <x v="14"/>
    <x v="1"/>
    <x v="3"/>
    <n v="6438.6"/>
    <n v="837.02"/>
    <x v="1289"/>
    <x v="3"/>
    <s v="Tarjeta Crédito Empresarial"/>
    <s v="Transferencia"/>
    <s v="Pendiente"/>
  </r>
  <r>
    <x v="351"/>
    <x v="9"/>
    <s v="TX-101292"/>
    <x v="19"/>
    <x v="0"/>
    <x v="1"/>
    <n v="14398.83"/>
    <n v="0"/>
    <x v="1290"/>
    <x v="0"/>
    <s v="Cuenta Ahorros"/>
    <s v="Tarjeta Crédito"/>
    <s v="Pendiente"/>
  </r>
  <r>
    <x v="247"/>
    <x v="11"/>
    <s v="TX-101293"/>
    <x v="1"/>
    <x v="1"/>
    <x v="2"/>
    <n v="7999.85"/>
    <n v="1039.98"/>
    <x v="1291"/>
    <x v="3"/>
    <s v="Tarjeta Crédito Empresarial"/>
    <s v="Efectivo"/>
    <s v="Pagado"/>
  </r>
  <r>
    <x v="288"/>
    <x v="2"/>
    <s v="TX-101294"/>
    <x v="15"/>
    <x v="0"/>
    <x v="7"/>
    <n v="6796.76"/>
    <n v="0"/>
    <x v="1292"/>
    <x v="2"/>
    <s v="Cuenta Corriente"/>
    <s v="Tarjeta Débito"/>
    <s v="Pendiente"/>
  </r>
  <r>
    <x v="4"/>
    <x v="4"/>
    <s v="TX-101295"/>
    <x v="4"/>
    <x v="0"/>
    <x v="1"/>
    <n v="6051.92"/>
    <n v="0"/>
    <x v="1293"/>
    <x v="3"/>
    <s v="Tarjeta Crédito Empresarial"/>
    <s v="Efectivo"/>
    <s v="Pagado"/>
  </r>
  <r>
    <x v="250"/>
    <x v="7"/>
    <s v="TX-101296"/>
    <x v="5"/>
    <x v="0"/>
    <x v="3"/>
    <n v="2299.9"/>
    <n v="0"/>
    <x v="1294"/>
    <x v="0"/>
    <s v="Tarjeta Crédito Empresarial"/>
    <s v="Tarjeta Crédito"/>
    <s v="Pendiente"/>
  </r>
  <r>
    <x v="96"/>
    <x v="2"/>
    <s v="TX-101297"/>
    <x v="19"/>
    <x v="0"/>
    <x v="5"/>
    <n v="2873.27"/>
    <n v="0"/>
    <x v="1295"/>
    <x v="4"/>
    <s v="Cuenta Ahorros"/>
    <s v="Tarjeta Débito"/>
    <s v="Pagado"/>
  </r>
  <r>
    <x v="185"/>
    <x v="0"/>
    <s v="TX-101298"/>
    <x v="11"/>
    <x v="1"/>
    <x v="5"/>
    <n v="8124.14"/>
    <n v="1056.1400000000001"/>
    <x v="1296"/>
    <x v="2"/>
    <s v="Cuenta Ahorros"/>
    <s v="Tarjeta Débito"/>
    <s v="Pagado"/>
  </r>
  <r>
    <x v="94"/>
    <x v="7"/>
    <s v="TX-101299"/>
    <x v="9"/>
    <x v="1"/>
    <x v="3"/>
    <n v="14865.5"/>
    <n v="1932.52"/>
    <x v="1297"/>
    <x v="4"/>
    <s v="Cuenta Ahorros"/>
    <s v="Transferencia"/>
    <s v="Pagado"/>
  </r>
  <r>
    <x v="353"/>
    <x v="7"/>
    <s v="TX-101300"/>
    <x v="18"/>
    <x v="0"/>
    <x v="1"/>
    <n v="6687.09"/>
    <n v="0"/>
    <x v="1298"/>
    <x v="1"/>
    <s v="Cuenta Corriente"/>
    <s v="Efectivo"/>
    <s v="Pendiente"/>
  </r>
  <r>
    <x v="40"/>
    <x v="2"/>
    <s v="TX-101301"/>
    <x v="12"/>
    <x v="1"/>
    <x v="3"/>
    <n v="8873.75"/>
    <n v="1153.5899999999999"/>
    <x v="1299"/>
    <x v="3"/>
    <s v="Cuenta Corriente"/>
    <s v="Transferencia"/>
    <s v="Pagado"/>
  </r>
  <r>
    <x v="206"/>
    <x v="9"/>
    <s v="TX-101302"/>
    <x v="1"/>
    <x v="0"/>
    <x v="6"/>
    <n v="11257.75"/>
    <n v="0"/>
    <x v="1300"/>
    <x v="1"/>
    <s v="Cuenta Corriente"/>
    <s v="Tarjeta Débito"/>
    <s v="Pagado"/>
  </r>
  <r>
    <x v="343"/>
    <x v="1"/>
    <s v="TX-101303"/>
    <x v="13"/>
    <x v="0"/>
    <x v="2"/>
    <n v="14176.21"/>
    <n v="0"/>
    <x v="1301"/>
    <x v="3"/>
    <s v="Cuenta Ahorros"/>
    <s v="Efectivo"/>
    <s v="Pendiente"/>
  </r>
  <r>
    <x v="207"/>
    <x v="8"/>
    <s v="TX-101304"/>
    <x v="3"/>
    <x v="0"/>
    <x v="4"/>
    <n v="12556.19"/>
    <n v="0"/>
    <x v="1302"/>
    <x v="2"/>
    <s v="Cuenta Corriente"/>
    <s v="Transferencia"/>
    <s v="Pendiente"/>
  </r>
  <r>
    <x v="46"/>
    <x v="4"/>
    <s v="TX-101305"/>
    <x v="10"/>
    <x v="0"/>
    <x v="6"/>
    <n v="728.27"/>
    <n v="0"/>
    <x v="1303"/>
    <x v="4"/>
    <s v="Tarjeta Crédito Empresarial"/>
    <s v="Transferencia"/>
    <s v="Pagado"/>
  </r>
  <r>
    <x v="330"/>
    <x v="7"/>
    <s v="TX-101306"/>
    <x v="14"/>
    <x v="0"/>
    <x v="1"/>
    <n v="964.66"/>
    <n v="0"/>
    <x v="1304"/>
    <x v="2"/>
    <s v="Cuenta Ahorros"/>
    <s v="Efectivo"/>
    <s v="Pagado"/>
  </r>
  <r>
    <x v="176"/>
    <x v="5"/>
    <s v="TX-101307"/>
    <x v="16"/>
    <x v="1"/>
    <x v="5"/>
    <n v="11142.4"/>
    <n v="1448.51"/>
    <x v="1305"/>
    <x v="4"/>
    <s v="Cuenta Ahorros"/>
    <s v="Transferencia"/>
    <s v="Pagado"/>
  </r>
  <r>
    <x v="86"/>
    <x v="3"/>
    <s v="TX-101308"/>
    <x v="6"/>
    <x v="1"/>
    <x v="4"/>
    <n v="6084.63"/>
    <n v="791"/>
    <x v="1306"/>
    <x v="2"/>
    <s v="Tarjeta Crédito Empresarial"/>
    <s v="Tarjeta Crédito"/>
    <s v="Pagado"/>
  </r>
  <r>
    <x v="130"/>
    <x v="2"/>
    <s v="TX-101309"/>
    <x v="3"/>
    <x v="1"/>
    <x v="7"/>
    <n v="561.63"/>
    <n v="73.010000000000005"/>
    <x v="1307"/>
    <x v="1"/>
    <s v="Cuenta Corriente"/>
    <s v="Efectivo"/>
    <s v="Pagado"/>
  </r>
  <r>
    <x v="199"/>
    <x v="0"/>
    <s v="TX-101310"/>
    <x v="1"/>
    <x v="1"/>
    <x v="6"/>
    <n v="13462.97"/>
    <n v="1750.19"/>
    <x v="1308"/>
    <x v="1"/>
    <s v="Cuenta Corriente"/>
    <s v="Transferencia"/>
    <s v="Pendiente"/>
  </r>
  <r>
    <x v="290"/>
    <x v="6"/>
    <s v="TX-101311"/>
    <x v="7"/>
    <x v="0"/>
    <x v="5"/>
    <n v="12860.89"/>
    <n v="0"/>
    <x v="1309"/>
    <x v="3"/>
    <s v="Cuenta Ahorros"/>
    <s v="Efectivo"/>
    <s v="Pendiente"/>
  </r>
  <r>
    <x v="176"/>
    <x v="5"/>
    <s v="TX-101312"/>
    <x v="16"/>
    <x v="0"/>
    <x v="6"/>
    <n v="14355.74"/>
    <n v="0"/>
    <x v="1310"/>
    <x v="3"/>
    <s v="Cuenta Ahorros"/>
    <s v="Efectivo"/>
    <s v="Pagado"/>
  </r>
  <r>
    <x v="182"/>
    <x v="0"/>
    <s v="TX-101313"/>
    <x v="5"/>
    <x v="1"/>
    <x v="5"/>
    <n v="3422"/>
    <n v="444.86"/>
    <x v="1311"/>
    <x v="3"/>
    <s v="Tarjeta Crédito Empresarial"/>
    <s v="Efectivo"/>
    <s v="Pendiente"/>
  </r>
  <r>
    <x v="254"/>
    <x v="5"/>
    <s v="TX-101314"/>
    <x v="5"/>
    <x v="1"/>
    <x v="4"/>
    <n v="2810.17"/>
    <n v="365.32"/>
    <x v="1312"/>
    <x v="2"/>
    <s v="Cuenta Ahorros"/>
    <s v="Efectivo"/>
    <s v="Pendiente"/>
  </r>
  <r>
    <x v="249"/>
    <x v="10"/>
    <s v="TX-101315"/>
    <x v="3"/>
    <x v="0"/>
    <x v="6"/>
    <n v="9934.9699999999993"/>
    <n v="0"/>
    <x v="1313"/>
    <x v="3"/>
    <s v="Tarjeta Crédito Empresarial"/>
    <s v="Efectivo"/>
    <s v="Pagado"/>
  </r>
  <r>
    <x v="35"/>
    <x v="4"/>
    <s v="TX-101316"/>
    <x v="14"/>
    <x v="1"/>
    <x v="5"/>
    <n v="9537.73"/>
    <n v="1239.9000000000001"/>
    <x v="1314"/>
    <x v="4"/>
    <s v="Cuenta Ahorros"/>
    <s v="Tarjeta Crédito"/>
    <s v="Pagado"/>
  </r>
  <r>
    <x v="275"/>
    <x v="10"/>
    <s v="TX-101317"/>
    <x v="13"/>
    <x v="0"/>
    <x v="0"/>
    <n v="9449.26"/>
    <n v="0"/>
    <x v="1315"/>
    <x v="1"/>
    <s v="Cuenta Ahorros"/>
    <s v="Tarjeta Débito"/>
    <s v="Pendiente"/>
  </r>
  <r>
    <x v="116"/>
    <x v="5"/>
    <s v="TX-101318"/>
    <x v="4"/>
    <x v="0"/>
    <x v="2"/>
    <n v="11187.16"/>
    <n v="0"/>
    <x v="1316"/>
    <x v="0"/>
    <s v="Cuenta Ahorros"/>
    <s v="Tarjeta Crédito"/>
    <s v="Pagado"/>
  </r>
  <r>
    <x v="176"/>
    <x v="5"/>
    <s v="TX-101319"/>
    <x v="8"/>
    <x v="0"/>
    <x v="7"/>
    <n v="9965.56"/>
    <n v="0"/>
    <x v="1317"/>
    <x v="2"/>
    <s v="Tarjeta Crédito Empresarial"/>
    <s v="Tarjeta Crédito"/>
    <s v="Pagado"/>
  </r>
  <r>
    <x v="194"/>
    <x v="8"/>
    <s v="TX-101320"/>
    <x v="7"/>
    <x v="1"/>
    <x v="5"/>
    <n v="1464.02"/>
    <n v="190.32"/>
    <x v="1318"/>
    <x v="3"/>
    <s v="Cuenta Corriente"/>
    <s v="Tarjeta Crédito"/>
    <s v="Pagado"/>
  </r>
  <r>
    <x v="182"/>
    <x v="0"/>
    <s v="TX-101321"/>
    <x v="17"/>
    <x v="0"/>
    <x v="3"/>
    <n v="8321.81"/>
    <n v="0"/>
    <x v="1319"/>
    <x v="0"/>
    <s v="Cuenta Corriente"/>
    <s v="Efectivo"/>
    <s v="Pagado"/>
  </r>
  <r>
    <x v="58"/>
    <x v="9"/>
    <s v="TX-101322"/>
    <x v="5"/>
    <x v="1"/>
    <x v="0"/>
    <n v="11014.51"/>
    <n v="1431.89"/>
    <x v="1320"/>
    <x v="0"/>
    <s v="Tarjeta Crédito Empresarial"/>
    <s v="Tarjeta Débito"/>
    <s v="Pagado"/>
  </r>
  <r>
    <x v="5"/>
    <x v="0"/>
    <s v="TX-101323"/>
    <x v="4"/>
    <x v="1"/>
    <x v="5"/>
    <n v="5648.36"/>
    <n v="734.29"/>
    <x v="1321"/>
    <x v="4"/>
    <s v="Tarjeta Crédito Empresarial"/>
    <s v="Tarjeta Débito"/>
    <s v="Pagado"/>
  </r>
  <r>
    <x v="109"/>
    <x v="3"/>
    <s v="TX-101324"/>
    <x v="12"/>
    <x v="0"/>
    <x v="1"/>
    <n v="14387.9"/>
    <n v="0"/>
    <x v="1322"/>
    <x v="2"/>
    <s v="Cuenta Ahorros"/>
    <s v="Efectivo"/>
    <s v="Pendiente"/>
  </r>
  <r>
    <x v="242"/>
    <x v="4"/>
    <s v="TX-101325"/>
    <x v="8"/>
    <x v="1"/>
    <x v="4"/>
    <n v="55.29"/>
    <n v="7.19"/>
    <x v="1323"/>
    <x v="0"/>
    <s v="Tarjeta Crédito Empresarial"/>
    <s v="Tarjeta Crédito"/>
    <s v="Pagado"/>
  </r>
  <r>
    <x v="13"/>
    <x v="2"/>
    <s v="TX-101326"/>
    <x v="0"/>
    <x v="0"/>
    <x v="5"/>
    <n v="2199.6799999999998"/>
    <n v="0"/>
    <x v="1324"/>
    <x v="4"/>
    <s v="Cuenta Ahorros"/>
    <s v="Tarjeta Débito"/>
    <s v="Pendiente"/>
  </r>
  <r>
    <x v="270"/>
    <x v="0"/>
    <s v="TX-101327"/>
    <x v="2"/>
    <x v="1"/>
    <x v="0"/>
    <n v="12523.22"/>
    <n v="1628.02"/>
    <x v="1325"/>
    <x v="4"/>
    <s v="Cuenta Ahorros"/>
    <s v="Tarjeta Débito"/>
    <s v="Pendiente"/>
  </r>
  <r>
    <x v="315"/>
    <x v="5"/>
    <s v="TX-101328"/>
    <x v="19"/>
    <x v="1"/>
    <x v="0"/>
    <n v="6678.55"/>
    <n v="868.21"/>
    <x v="1326"/>
    <x v="2"/>
    <s v="Cuenta Ahorros"/>
    <s v="Transferencia"/>
    <s v="Pagado"/>
  </r>
  <r>
    <x v="77"/>
    <x v="8"/>
    <s v="TX-101329"/>
    <x v="4"/>
    <x v="1"/>
    <x v="7"/>
    <n v="3521.11"/>
    <n v="457.74"/>
    <x v="1327"/>
    <x v="2"/>
    <s v="Cuenta Corriente"/>
    <s v="Efectivo"/>
    <s v="Pagado"/>
  </r>
  <r>
    <x v="309"/>
    <x v="4"/>
    <s v="TX-101330"/>
    <x v="3"/>
    <x v="0"/>
    <x v="1"/>
    <n v="5753.45"/>
    <n v="0"/>
    <x v="1328"/>
    <x v="3"/>
    <s v="Tarjeta Crédito Empresarial"/>
    <s v="Efectivo"/>
    <s v="Pendiente"/>
  </r>
  <r>
    <x v="234"/>
    <x v="0"/>
    <s v="TX-101331"/>
    <x v="6"/>
    <x v="0"/>
    <x v="0"/>
    <n v="7866.45"/>
    <n v="0"/>
    <x v="1329"/>
    <x v="0"/>
    <s v="Tarjeta Crédito Empresarial"/>
    <s v="Tarjeta Crédito"/>
    <s v="Pagado"/>
  </r>
  <r>
    <x v="354"/>
    <x v="4"/>
    <s v="TX-101332"/>
    <x v="7"/>
    <x v="0"/>
    <x v="1"/>
    <n v="9589"/>
    <n v="0"/>
    <x v="1330"/>
    <x v="2"/>
    <s v="Cuenta Ahorros"/>
    <s v="Tarjeta Crédito"/>
    <s v="Pendiente"/>
  </r>
  <r>
    <x v="118"/>
    <x v="11"/>
    <s v="TX-101333"/>
    <x v="8"/>
    <x v="1"/>
    <x v="1"/>
    <n v="1561.91"/>
    <n v="203.05"/>
    <x v="1331"/>
    <x v="4"/>
    <s v="Tarjeta Crédito Empresarial"/>
    <s v="Efectivo"/>
    <s v="Pagado"/>
  </r>
  <r>
    <x v="55"/>
    <x v="10"/>
    <s v="TX-101334"/>
    <x v="17"/>
    <x v="1"/>
    <x v="7"/>
    <n v="8432.0300000000007"/>
    <n v="1096.1600000000001"/>
    <x v="1332"/>
    <x v="1"/>
    <s v="Tarjeta Crédito Empresarial"/>
    <s v="Efectivo"/>
    <s v="Pagado"/>
  </r>
  <r>
    <x v="352"/>
    <x v="4"/>
    <s v="TX-101335"/>
    <x v="19"/>
    <x v="1"/>
    <x v="2"/>
    <n v="1806.23"/>
    <n v="234.81"/>
    <x v="1333"/>
    <x v="2"/>
    <s v="Tarjeta Crédito Empresarial"/>
    <s v="Efectivo"/>
    <s v="Pendiente"/>
  </r>
  <r>
    <x v="304"/>
    <x v="11"/>
    <s v="TX-101336"/>
    <x v="3"/>
    <x v="0"/>
    <x v="7"/>
    <n v="8621.51"/>
    <n v="0"/>
    <x v="1334"/>
    <x v="3"/>
    <s v="Cuenta Ahorros"/>
    <s v="Efectivo"/>
    <s v="Pagado"/>
  </r>
  <r>
    <x v="161"/>
    <x v="9"/>
    <s v="TX-101337"/>
    <x v="19"/>
    <x v="1"/>
    <x v="1"/>
    <n v="9476.2900000000009"/>
    <n v="1231.92"/>
    <x v="1335"/>
    <x v="3"/>
    <s v="Cuenta Ahorros"/>
    <s v="Efectivo"/>
    <s v="Pagado"/>
  </r>
  <r>
    <x v="46"/>
    <x v="4"/>
    <s v="TX-101338"/>
    <x v="17"/>
    <x v="0"/>
    <x v="6"/>
    <n v="5318.06"/>
    <n v="0"/>
    <x v="1336"/>
    <x v="2"/>
    <s v="Cuenta Ahorros"/>
    <s v="Transferencia"/>
    <s v="Pendiente"/>
  </r>
  <r>
    <x v="335"/>
    <x v="10"/>
    <s v="TX-101339"/>
    <x v="17"/>
    <x v="1"/>
    <x v="0"/>
    <n v="8399.24"/>
    <n v="1091.9000000000001"/>
    <x v="1337"/>
    <x v="2"/>
    <s v="Tarjeta Crédito Empresarial"/>
    <s v="Efectivo"/>
    <s v="Pendiente"/>
  </r>
  <r>
    <x v="57"/>
    <x v="10"/>
    <s v="TX-101340"/>
    <x v="6"/>
    <x v="1"/>
    <x v="6"/>
    <n v="5309.48"/>
    <n v="690.23"/>
    <x v="1338"/>
    <x v="4"/>
    <s v="Cuenta Ahorros"/>
    <s v="Tarjeta Crédito"/>
    <s v="Pagado"/>
  </r>
  <r>
    <x v="87"/>
    <x v="3"/>
    <s v="TX-101341"/>
    <x v="15"/>
    <x v="0"/>
    <x v="7"/>
    <n v="9610.15"/>
    <n v="0"/>
    <x v="1339"/>
    <x v="4"/>
    <s v="Cuenta Ahorros"/>
    <s v="Efectivo"/>
    <s v="Pendiente"/>
  </r>
  <r>
    <x v="200"/>
    <x v="9"/>
    <s v="TX-101342"/>
    <x v="13"/>
    <x v="0"/>
    <x v="5"/>
    <n v="14391.66"/>
    <n v="0"/>
    <x v="1340"/>
    <x v="3"/>
    <s v="Cuenta Corriente"/>
    <s v="Tarjeta Débito"/>
    <s v="Pendiente"/>
  </r>
  <r>
    <x v="198"/>
    <x v="0"/>
    <s v="TX-101343"/>
    <x v="4"/>
    <x v="1"/>
    <x v="3"/>
    <n v="9296.14"/>
    <n v="1208.5"/>
    <x v="1341"/>
    <x v="4"/>
    <s v="Cuenta Corriente"/>
    <s v="Transferencia"/>
    <s v="Pendiente"/>
  </r>
  <r>
    <x v="115"/>
    <x v="3"/>
    <s v="TX-101344"/>
    <x v="16"/>
    <x v="0"/>
    <x v="6"/>
    <n v="5981.51"/>
    <n v="0"/>
    <x v="1342"/>
    <x v="3"/>
    <s v="Tarjeta Crédito Empresarial"/>
    <s v="Tarjeta Crédito"/>
    <s v="Pagado"/>
  </r>
  <r>
    <x v="83"/>
    <x v="2"/>
    <s v="TX-101345"/>
    <x v="12"/>
    <x v="0"/>
    <x v="1"/>
    <n v="3726.26"/>
    <n v="0"/>
    <x v="1343"/>
    <x v="2"/>
    <s v="Cuenta Corriente"/>
    <s v="Efectivo"/>
    <s v="Pagado"/>
  </r>
  <r>
    <x v="355"/>
    <x v="7"/>
    <s v="TX-101346"/>
    <x v="5"/>
    <x v="1"/>
    <x v="7"/>
    <n v="9736.0300000000007"/>
    <n v="1265.68"/>
    <x v="1344"/>
    <x v="4"/>
    <s v="Cuenta Corriente"/>
    <s v="Tarjeta Crédito"/>
    <s v="Pagado"/>
  </r>
  <r>
    <x v="191"/>
    <x v="10"/>
    <s v="TX-101347"/>
    <x v="19"/>
    <x v="0"/>
    <x v="7"/>
    <n v="6247.16"/>
    <n v="0"/>
    <x v="1345"/>
    <x v="0"/>
    <s v="Cuenta Corriente"/>
    <s v="Efectivo"/>
    <s v="Pagado"/>
  </r>
  <r>
    <x v="120"/>
    <x v="3"/>
    <s v="TX-101348"/>
    <x v="2"/>
    <x v="0"/>
    <x v="4"/>
    <n v="10615.85"/>
    <n v="0"/>
    <x v="1346"/>
    <x v="2"/>
    <s v="Cuenta Ahorros"/>
    <s v="Tarjeta Crédito"/>
    <s v="Pendiente"/>
  </r>
  <r>
    <x v="30"/>
    <x v="2"/>
    <s v="TX-101349"/>
    <x v="3"/>
    <x v="0"/>
    <x v="2"/>
    <n v="14373.46"/>
    <n v="0"/>
    <x v="1347"/>
    <x v="2"/>
    <s v="Tarjeta Crédito Empresarial"/>
    <s v="Tarjeta Débito"/>
    <s v="Pagado"/>
  </r>
  <r>
    <x v="72"/>
    <x v="6"/>
    <s v="TX-101350"/>
    <x v="11"/>
    <x v="0"/>
    <x v="6"/>
    <n v="1616.87"/>
    <n v="0"/>
    <x v="1348"/>
    <x v="4"/>
    <s v="Tarjeta Crédito Empresarial"/>
    <s v="Tarjeta Crédito"/>
    <s v="Pagado"/>
  </r>
  <r>
    <x v="90"/>
    <x v="11"/>
    <s v="TX-101351"/>
    <x v="17"/>
    <x v="1"/>
    <x v="7"/>
    <n v="9301.15"/>
    <n v="1209.1500000000001"/>
    <x v="1349"/>
    <x v="0"/>
    <s v="Cuenta Ahorros"/>
    <s v="Transferencia"/>
    <s v="Pagado"/>
  </r>
  <r>
    <x v="162"/>
    <x v="11"/>
    <s v="TX-101352"/>
    <x v="11"/>
    <x v="0"/>
    <x v="1"/>
    <n v="13442.83"/>
    <n v="0"/>
    <x v="1350"/>
    <x v="4"/>
    <s v="Cuenta Corriente"/>
    <s v="Tarjeta Crédito"/>
    <s v="Pagado"/>
  </r>
  <r>
    <x v="64"/>
    <x v="11"/>
    <s v="TX-101353"/>
    <x v="2"/>
    <x v="0"/>
    <x v="1"/>
    <n v="10718.5"/>
    <n v="0"/>
    <x v="1351"/>
    <x v="1"/>
    <s v="Tarjeta Crédito Empresarial"/>
    <s v="Tarjeta Débito"/>
    <s v="Pendiente"/>
  </r>
  <r>
    <x v="232"/>
    <x v="10"/>
    <s v="TX-101354"/>
    <x v="6"/>
    <x v="0"/>
    <x v="4"/>
    <n v="4991.47"/>
    <n v="0"/>
    <x v="1352"/>
    <x v="0"/>
    <s v="Cuenta Ahorros"/>
    <s v="Tarjeta Débito"/>
    <s v="Pendiente"/>
  </r>
  <r>
    <x v="270"/>
    <x v="0"/>
    <s v="TX-101355"/>
    <x v="19"/>
    <x v="1"/>
    <x v="6"/>
    <n v="8832.34"/>
    <n v="1148.2"/>
    <x v="1353"/>
    <x v="0"/>
    <s v="Cuenta Corriente"/>
    <s v="Efectivo"/>
    <s v="Pagado"/>
  </r>
  <r>
    <x v="328"/>
    <x v="11"/>
    <s v="TX-101356"/>
    <x v="5"/>
    <x v="1"/>
    <x v="5"/>
    <n v="490.84"/>
    <n v="63.81"/>
    <x v="1354"/>
    <x v="3"/>
    <s v="Cuenta Ahorros"/>
    <s v="Transferencia"/>
    <s v="Pagado"/>
  </r>
  <r>
    <x v="19"/>
    <x v="8"/>
    <s v="TX-101357"/>
    <x v="2"/>
    <x v="0"/>
    <x v="3"/>
    <n v="5750.3"/>
    <n v="0"/>
    <x v="1355"/>
    <x v="4"/>
    <s v="Cuenta Ahorros"/>
    <s v="Tarjeta Débito"/>
    <s v="Pagado"/>
  </r>
  <r>
    <x v="123"/>
    <x v="11"/>
    <s v="TX-101358"/>
    <x v="8"/>
    <x v="1"/>
    <x v="3"/>
    <n v="13192.01"/>
    <n v="1714.96"/>
    <x v="1356"/>
    <x v="3"/>
    <s v="Cuenta Corriente"/>
    <s v="Tarjeta Crédito"/>
    <s v="Pendiente"/>
  </r>
  <r>
    <x v="269"/>
    <x v="0"/>
    <s v="TX-101359"/>
    <x v="5"/>
    <x v="0"/>
    <x v="2"/>
    <n v="5128.82"/>
    <n v="0"/>
    <x v="1357"/>
    <x v="0"/>
    <s v="Cuenta Ahorros"/>
    <s v="Transferencia"/>
    <s v="Pagado"/>
  </r>
  <r>
    <x v="314"/>
    <x v="11"/>
    <s v="TX-101360"/>
    <x v="3"/>
    <x v="1"/>
    <x v="5"/>
    <n v="75.849999999999994"/>
    <n v="9.86"/>
    <x v="1358"/>
    <x v="3"/>
    <s v="Cuenta Corriente"/>
    <s v="Tarjeta Crédito"/>
    <s v="Pendiente"/>
  </r>
  <r>
    <x v="235"/>
    <x v="7"/>
    <s v="TX-101361"/>
    <x v="10"/>
    <x v="0"/>
    <x v="2"/>
    <n v="14337.89"/>
    <n v="0"/>
    <x v="1359"/>
    <x v="0"/>
    <s v="Cuenta Ahorros"/>
    <s v="Tarjeta Débito"/>
    <s v="Pagado"/>
  </r>
  <r>
    <x v="348"/>
    <x v="8"/>
    <s v="TX-101362"/>
    <x v="18"/>
    <x v="1"/>
    <x v="6"/>
    <n v="8631.08"/>
    <n v="1122.04"/>
    <x v="1360"/>
    <x v="4"/>
    <s v="Tarjeta Crédito Empresarial"/>
    <s v="Tarjeta Débito"/>
    <s v="Pendiente"/>
  </r>
  <r>
    <x v="356"/>
    <x v="9"/>
    <s v="TX-101363"/>
    <x v="19"/>
    <x v="1"/>
    <x v="2"/>
    <n v="12117.71"/>
    <n v="1575.3"/>
    <x v="1361"/>
    <x v="2"/>
    <s v="Cuenta Corriente"/>
    <s v="Tarjeta Crédito"/>
    <s v="Pagado"/>
  </r>
  <r>
    <x v="349"/>
    <x v="6"/>
    <s v="TX-101364"/>
    <x v="1"/>
    <x v="0"/>
    <x v="0"/>
    <n v="9072.3799999999992"/>
    <n v="0"/>
    <x v="1362"/>
    <x v="2"/>
    <s v="Cuenta Ahorros"/>
    <s v="Efectivo"/>
    <s v="Pendiente"/>
  </r>
  <r>
    <x v="70"/>
    <x v="2"/>
    <s v="TX-101365"/>
    <x v="11"/>
    <x v="1"/>
    <x v="6"/>
    <n v="3731.02"/>
    <n v="485.03"/>
    <x v="1363"/>
    <x v="4"/>
    <s v="Cuenta Ahorros"/>
    <s v="Tarjeta Débito"/>
    <s v="Pendiente"/>
  </r>
  <r>
    <x v="254"/>
    <x v="5"/>
    <s v="TX-101366"/>
    <x v="3"/>
    <x v="1"/>
    <x v="7"/>
    <n v="12173.07"/>
    <n v="1582.5"/>
    <x v="1364"/>
    <x v="0"/>
    <s v="Cuenta Corriente"/>
    <s v="Transferencia"/>
    <s v="Pendiente"/>
  </r>
  <r>
    <x v="272"/>
    <x v="8"/>
    <s v="TX-101367"/>
    <x v="4"/>
    <x v="1"/>
    <x v="4"/>
    <n v="4838.7299999999996"/>
    <n v="629.03"/>
    <x v="1365"/>
    <x v="4"/>
    <s v="Cuenta Ahorros"/>
    <s v="Efectivo"/>
    <s v="Pendiente"/>
  </r>
  <r>
    <x v="236"/>
    <x v="0"/>
    <s v="TX-101368"/>
    <x v="7"/>
    <x v="1"/>
    <x v="7"/>
    <n v="406.32"/>
    <n v="52.82"/>
    <x v="1366"/>
    <x v="2"/>
    <s v="Tarjeta Crédito Empresarial"/>
    <s v="Efectivo"/>
    <s v="Pendiente"/>
  </r>
  <r>
    <x v="179"/>
    <x v="1"/>
    <s v="TX-101369"/>
    <x v="13"/>
    <x v="0"/>
    <x v="1"/>
    <n v="7936.87"/>
    <n v="0"/>
    <x v="1367"/>
    <x v="4"/>
    <s v="Cuenta Corriente"/>
    <s v="Tarjeta Crédito"/>
    <s v="Pagado"/>
  </r>
  <r>
    <x v="115"/>
    <x v="3"/>
    <s v="TX-101370"/>
    <x v="10"/>
    <x v="1"/>
    <x v="1"/>
    <n v="14503.18"/>
    <n v="1885.41"/>
    <x v="1368"/>
    <x v="4"/>
    <s v="Cuenta Ahorros"/>
    <s v="Transferencia"/>
    <s v="Pendiente"/>
  </r>
  <r>
    <x v="85"/>
    <x v="0"/>
    <s v="TX-101371"/>
    <x v="11"/>
    <x v="0"/>
    <x v="1"/>
    <n v="13664.4"/>
    <n v="0"/>
    <x v="1369"/>
    <x v="1"/>
    <s v="Cuenta Corriente"/>
    <s v="Tarjeta Débito"/>
    <s v="Pendiente"/>
  </r>
  <r>
    <x v="349"/>
    <x v="6"/>
    <s v="TX-101372"/>
    <x v="5"/>
    <x v="0"/>
    <x v="0"/>
    <n v="8588.6200000000008"/>
    <n v="0"/>
    <x v="1370"/>
    <x v="3"/>
    <s v="Cuenta Corriente"/>
    <s v="Efectivo"/>
    <s v="Pagado"/>
  </r>
  <r>
    <x v="18"/>
    <x v="9"/>
    <s v="TX-101373"/>
    <x v="9"/>
    <x v="1"/>
    <x v="0"/>
    <n v="9910.93"/>
    <n v="1288.42"/>
    <x v="1371"/>
    <x v="4"/>
    <s v="Cuenta Ahorros"/>
    <s v="Tarjeta Débito"/>
    <s v="Pendiente"/>
  </r>
  <r>
    <x v="28"/>
    <x v="6"/>
    <s v="TX-101374"/>
    <x v="10"/>
    <x v="1"/>
    <x v="5"/>
    <n v="9001.34"/>
    <n v="1170.17"/>
    <x v="1372"/>
    <x v="2"/>
    <s v="Cuenta Ahorros"/>
    <s v="Tarjeta Crédito"/>
    <s v="Pagado"/>
  </r>
  <r>
    <x v="186"/>
    <x v="3"/>
    <s v="TX-101375"/>
    <x v="7"/>
    <x v="1"/>
    <x v="3"/>
    <n v="12362.15"/>
    <n v="1607.08"/>
    <x v="1373"/>
    <x v="2"/>
    <s v="Cuenta Corriente"/>
    <s v="Efectivo"/>
    <s v="Pendiente"/>
  </r>
  <r>
    <x v="33"/>
    <x v="5"/>
    <s v="TX-101376"/>
    <x v="15"/>
    <x v="1"/>
    <x v="7"/>
    <n v="1976.88"/>
    <n v="256.99"/>
    <x v="1374"/>
    <x v="4"/>
    <s v="Cuenta Corriente"/>
    <s v="Transferencia"/>
    <s v="Pagado"/>
  </r>
  <r>
    <x v="289"/>
    <x v="2"/>
    <s v="TX-101377"/>
    <x v="6"/>
    <x v="1"/>
    <x v="5"/>
    <n v="8077.25"/>
    <n v="1050.04"/>
    <x v="1375"/>
    <x v="2"/>
    <s v="Tarjeta Crédito Empresarial"/>
    <s v="Efectivo"/>
    <s v="Pendiente"/>
  </r>
  <r>
    <x v="93"/>
    <x v="3"/>
    <s v="TX-101378"/>
    <x v="17"/>
    <x v="0"/>
    <x v="2"/>
    <n v="11426.79"/>
    <n v="0"/>
    <x v="1376"/>
    <x v="4"/>
    <s v="Cuenta Corriente"/>
    <s v="Efectivo"/>
    <s v="Pagado"/>
  </r>
  <r>
    <x v="159"/>
    <x v="0"/>
    <s v="TX-101379"/>
    <x v="11"/>
    <x v="1"/>
    <x v="7"/>
    <n v="7208.36"/>
    <n v="937.09"/>
    <x v="1377"/>
    <x v="4"/>
    <s v="Cuenta Corriente"/>
    <s v="Efectivo"/>
    <s v="Pagado"/>
  </r>
  <r>
    <x v="77"/>
    <x v="8"/>
    <s v="TX-101380"/>
    <x v="1"/>
    <x v="1"/>
    <x v="3"/>
    <n v="9249.0499999999993"/>
    <n v="1202.3800000000001"/>
    <x v="1378"/>
    <x v="4"/>
    <s v="Cuenta Ahorros"/>
    <s v="Transferencia"/>
    <s v="Pagado"/>
  </r>
  <r>
    <x v="277"/>
    <x v="9"/>
    <s v="TX-101381"/>
    <x v="3"/>
    <x v="1"/>
    <x v="1"/>
    <n v="14231.41"/>
    <n v="1850.08"/>
    <x v="1379"/>
    <x v="2"/>
    <s v="Cuenta Corriente"/>
    <s v="Tarjeta Crédito"/>
    <s v="Pendiente"/>
  </r>
  <r>
    <x v="317"/>
    <x v="4"/>
    <s v="TX-101382"/>
    <x v="0"/>
    <x v="0"/>
    <x v="3"/>
    <n v="2338.81"/>
    <n v="0"/>
    <x v="1380"/>
    <x v="0"/>
    <s v="Cuenta Corriente"/>
    <s v="Tarjeta Débito"/>
    <s v="Pagado"/>
  </r>
  <r>
    <x v="185"/>
    <x v="0"/>
    <s v="TX-101383"/>
    <x v="3"/>
    <x v="0"/>
    <x v="1"/>
    <n v="13076.49"/>
    <n v="0"/>
    <x v="1381"/>
    <x v="4"/>
    <s v="Tarjeta Crédito Empresarial"/>
    <s v="Tarjeta Crédito"/>
    <s v="Pagado"/>
  </r>
  <r>
    <x v="357"/>
    <x v="0"/>
    <s v="TX-101384"/>
    <x v="11"/>
    <x v="0"/>
    <x v="1"/>
    <n v="1714.92"/>
    <n v="0"/>
    <x v="1382"/>
    <x v="1"/>
    <s v="Tarjeta Crédito Empresarial"/>
    <s v="Transferencia"/>
    <s v="Pagado"/>
  </r>
  <r>
    <x v="126"/>
    <x v="5"/>
    <s v="TX-101385"/>
    <x v="8"/>
    <x v="1"/>
    <x v="5"/>
    <n v="13527.72"/>
    <n v="1758.6"/>
    <x v="1383"/>
    <x v="4"/>
    <s v="Cuenta Corriente"/>
    <s v="Efectivo"/>
    <s v="Pagado"/>
  </r>
  <r>
    <x v="346"/>
    <x v="1"/>
    <s v="TX-101386"/>
    <x v="15"/>
    <x v="1"/>
    <x v="0"/>
    <n v="11444.53"/>
    <n v="1487.79"/>
    <x v="1384"/>
    <x v="0"/>
    <s v="Tarjeta Crédito Empresarial"/>
    <s v="Transferencia"/>
    <s v="Pagado"/>
  </r>
  <r>
    <x v="133"/>
    <x v="3"/>
    <s v="TX-101387"/>
    <x v="2"/>
    <x v="0"/>
    <x v="4"/>
    <n v="10299.870000000001"/>
    <n v="0"/>
    <x v="1385"/>
    <x v="1"/>
    <s v="Tarjeta Crédito Empresarial"/>
    <s v="Tarjeta Débito"/>
    <s v="Pendiente"/>
  </r>
  <r>
    <x v="48"/>
    <x v="2"/>
    <s v="TX-101388"/>
    <x v="8"/>
    <x v="0"/>
    <x v="7"/>
    <n v="13795.43"/>
    <n v="0"/>
    <x v="1386"/>
    <x v="1"/>
    <s v="Tarjeta Crédito Empresarial"/>
    <s v="Tarjeta Crédito"/>
    <s v="Pagado"/>
  </r>
  <r>
    <x v="13"/>
    <x v="2"/>
    <s v="TX-101389"/>
    <x v="9"/>
    <x v="1"/>
    <x v="3"/>
    <n v="14987.15"/>
    <n v="1948.33"/>
    <x v="1387"/>
    <x v="2"/>
    <s v="Tarjeta Crédito Empresarial"/>
    <s v="Transferencia"/>
    <s v="Pendiente"/>
  </r>
  <r>
    <x v="305"/>
    <x v="10"/>
    <s v="TX-101390"/>
    <x v="16"/>
    <x v="1"/>
    <x v="7"/>
    <n v="6185.05"/>
    <n v="804.06"/>
    <x v="1388"/>
    <x v="4"/>
    <s v="Cuenta Ahorros"/>
    <s v="Tarjeta Débito"/>
    <s v="Pendiente"/>
  </r>
  <r>
    <x v="358"/>
    <x v="8"/>
    <s v="TX-101391"/>
    <x v="15"/>
    <x v="0"/>
    <x v="3"/>
    <n v="6935.69"/>
    <n v="0"/>
    <x v="1389"/>
    <x v="1"/>
    <s v="Cuenta Ahorros"/>
    <s v="Efectivo"/>
    <s v="Pendiente"/>
  </r>
  <r>
    <x v="258"/>
    <x v="7"/>
    <s v="TX-101392"/>
    <x v="8"/>
    <x v="0"/>
    <x v="5"/>
    <n v="10863.45"/>
    <n v="0"/>
    <x v="1390"/>
    <x v="4"/>
    <s v="Cuenta Corriente"/>
    <s v="Tarjeta Débito"/>
    <s v="Pagado"/>
  </r>
  <r>
    <x v="204"/>
    <x v="7"/>
    <s v="TX-101393"/>
    <x v="13"/>
    <x v="0"/>
    <x v="6"/>
    <n v="9677.7999999999993"/>
    <n v="0"/>
    <x v="1391"/>
    <x v="1"/>
    <s v="Cuenta Corriente"/>
    <s v="Efectivo"/>
    <s v="Pagado"/>
  </r>
  <r>
    <x v="51"/>
    <x v="9"/>
    <s v="TX-101394"/>
    <x v="17"/>
    <x v="0"/>
    <x v="1"/>
    <n v="3031.18"/>
    <n v="0"/>
    <x v="1392"/>
    <x v="0"/>
    <s v="Cuenta Corriente"/>
    <s v="Efectivo"/>
    <s v="Pendiente"/>
  </r>
  <r>
    <x v="88"/>
    <x v="5"/>
    <s v="TX-101395"/>
    <x v="6"/>
    <x v="1"/>
    <x v="0"/>
    <n v="5820.26"/>
    <n v="756.63"/>
    <x v="1393"/>
    <x v="4"/>
    <s v="Cuenta Ahorros"/>
    <s v="Tarjeta Débito"/>
    <s v="Pendiente"/>
  </r>
  <r>
    <x v="243"/>
    <x v="2"/>
    <s v="TX-101396"/>
    <x v="14"/>
    <x v="0"/>
    <x v="6"/>
    <n v="7055.27"/>
    <n v="0"/>
    <x v="1394"/>
    <x v="1"/>
    <s v="Cuenta Ahorros"/>
    <s v="Transferencia"/>
    <s v="Pagado"/>
  </r>
  <r>
    <x v="20"/>
    <x v="1"/>
    <s v="TX-101397"/>
    <x v="1"/>
    <x v="1"/>
    <x v="1"/>
    <n v="13806.57"/>
    <n v="1794.85"/>
    <x v="1395"/>
    <x v="2"/>
    <s v="Cuenta Corriente"/>
    <s v="Tarjeta Crédito"/>
    <s v="Pendiente"/>
  </r>
  <r>
    <x v="336"/>
    <x v="3"/>
    <s v="TX-101398"/>
    <x v="14"/>
    <x v="1"/>
    <x v="4"/>
    <n v="12618.14"/>
    <n v="1640.36"/>
    <x v="1396"/>
    <x v="0"/>
    <s v="Cuenta Ahorros"/>
    <s v="Efectivo"/>
    <s v="Pendiente"/>
  </r>
  <r>
    <x v="262"/>
    <x v="10"/>
    <s v="TX-101399"/>
    <x v="16"/>
    <x v="0"/>
    <x v="4"/>
    <n v="1567.42"/>
    <n v="0"/>
    <x v="1397"/>
    <x v="4"/>
    <s v="Cuenta Corriente"/>
    <s v="Tarjeta Débito"/>
    <s v="Pendiente"/>
  </r>
  <r>
    <x v="91"/>
    <x v="6"/>
    <s v="TX-101400"/>
    <x v="11"/>
    <x v="0"/>
    <x v="5"/>
    <n v="8446.8799999999992"/>
    <n v="0"/>
    <x v="1398"/>
    <x v="1"/>
    <s v="Tarjeta Crédito Empresarial"/>
    <s v="Tarjeta Crédito"/>
    <s v="Pagado"/>
  </r>
  <r>
    <x v="134"/>
    <x v="2"/>
    <s v="TX-101401"/>
    <x v="14"/>
    <x v="0"/>
    <x v="2"/>
    <n v="11347.32"/>
    <n v="0"/>
    <x v="1399"/>
    <x v="1"/>
    <s v="Cuenta Ahorros"/>
    <s v="Efectivo"/>
    <s v="Pendiente"/>
  </r>
  <r>
    <x v="195"/>
    <x v="7"/>
    <s v="TX-101402"/>
    <x v="0"/>
    <x v="0"/>
    <x v="7"/>
    <n v="8794.1200000000008"/>
    <n v="0"/>
    <x v="1400"/>
    <x v="1"/>
    <s v="Cuenta Corriente"/>
    <s v="Efectivo"/>
    <s v="Pendiente"/>
  </r>
  <r>
    <x v="99"/>
    <x v="6"/>
    <s v="TX-101403"/>
    <x v="18"/>
    <x v="0"/>
    <x v="2"/>
    <n v="2699.67"/>
    <n v="0"/>
    <x v="1401"/>
    <x v="2"/>
    <s v="Tarjeta Crédito Empresarial"/>
    <s v="Efectivo"/>
    <s v="Pagado"/>
  </r>
  <r>
    <x v="182"/>
    <x v="0"/>
    <s v="TX-101404"/>
    <x v="5"/>
    <x v="0"/>
    <x v="4"/>
    <n v="10685.55"/>
    <n v="0"/>
    <x v="1402"/>
    <x v="2"/>
    <s v="Tarjeta Crédito Empresarial"/>
    <s v="Efectivo"/>
    <s v="Pagado"/>
  </r>
  <r>
    <x v="354"/>
    <x v="4"/>
    <s v="TX-101405"/>
    <x v="16"/>
    <x v="0"/>
    <x v="4"/>
    <n v="2920.75"/>
    <n v="0"/>
    <x v="1403"/>
    <x v="0"/>
    <s v="Cuenta Corriente"/>
    <s v="Efectivo"/>
    <s v="Pendiente"/>
  </r>
  <r>
    <x v="192"/>
    <x v="8"/>
    <s v="TX-101406"/>
    <x v="0"/>
    <x v="1"/>
    <x v="4"/>
    <n v="3983.55"/>
    <n v="517.86"/>
    <x v="1404"/>
    <x v="2"/>
    <s v="Cuenta Corriente"/>
    <s v="Tarjeta Crédito"/>
    <s v="Pendiente"/>
  </r>
  <r>
    <x v="99"/>
    <x v="6"/>
    <s v="TX-101407"/>
    <x v="3"/>
    <x v="1"/>
    <x v="5"/>
    <n v="13087"/>
    <n v="1701.31"/>
    <x v="1405"/>
    <x v="3"/>
    <s v="Tarjeta Crédito Empresarial"/>
    <s v="Transferencia"/>
    <s v="Pendiente"/>
  </r>
  <r>
    <x v="285"/>
    <x v="5"/>
    <s v="TX-101408"/>
    <x v="12"/>
    <x v="0"/>
    <x v="3"/>
    <n v="5856.54"/>
    <n v="0"/>
    <x v="1406"/>
    <x v="2"/>
    <s v="Tarjeta Crédito Empresarial"/>
    <s v="Efectivo"/>
    <s v="Pendiente"/>
  </r>
  <r>
    <x v="202"/>
    <x v="2"/>
    <s v="TX-101409"/>
    <x v="4"/>
    <x v="0"/>
    <x v="3"/>
    <n v="10623.84"/>
    <n v="0"/>
    <x v="1407"/>
    <x v="2"/>
    <s v="Tarjeta Crédito Empresarial"/>
    <s v="Tarjeta Crédito"/>
    <s v="Pagado"/>
  </r>
  <r>
    <x v="16"/>
    <x v="5"/>
    <s v="TX-101410"/>
    <x v="17"/>
    <x v="0"/>
    <x v="2"/>
    <n v="13704.69"/>
    <n v="0"/>
    <x v="1408"/>
    <x v="3"/>
    <s v="Tarjeta Crédito Empresarial"/>
    <s v="Tarjeta Crédito"/>
    <s v="Pagado"/>
  </r>
  <r>
    <x v="86"/>
    <x v="3"/>
    <s v="TX-101411"/>
    <x v="14"/>
    <x v="1"/>
    <x v="0"/>
    <n v="1162.5"/>
    <n v="151.12"/>
    <x v="1409"/>
    <x v="3"/>
    <s v="Cuenta Corriente"/>
    <s v="Tarjeta Débito"/>
    <s v="Pagado"/>
  </r>
  <r>
    <x v="119"/>
    <x v="6"/>
    <s v="TX-101412"/>
    <x v="0"/>
    <x v="1"/>
    <x v="6"/>
    <n v="13058.89"/>
    <n v="1697.66"/>
    <x v="1410"/>
    <x v="3"/>
    <s v="Cuenta Corriente"/>
    <s v="Efectivo"/>
    <s v="Pendiente"/>
  </r>
  <r>
    <x v="292"/>
    <x v="7"/>
    <s v="TX-101413"/>
    <x v="19"/>
    <x v="1"/>
    <x v="1"/>
    <n v="10577.01"/>
    <n v="1375.01"/>
    <x v="1411"/>
    <x v="3"/>
    <s v="Cuenta Corriente"/>
    <s v="Transferencia"/>
    <s v="Pagado"/>
  </r>
  <r>
    <x v="154"/>
    <x v="0"/>
    <s v="TX-101414"/>
    <x v="15"/>
    <x v="1"/>
    <x v="0"/>
    <n v="797.48"/>
    <n v="103.67"/>
    <x v="1412"/>
    <x v="1"/>
    <s v="Cuenta Ahorros"/>
    <s v="Tarjeta Débito"/>
    <s v="Pendiente"/>
  </r>
  <r>
    <x v="359"/>
    <x v="5"/>
    <s v="TX-101415"/>
    <x v="6"/>
    <x v="1"/>
    <x v="7"/>
    <n v="4356.55"/>
    <n v="566.35"/>
    <x v="1413"/>
    <x v="0"/>
    <s v="Cuenta Corriente"/>
    <s v="Efectivo"/>
    <s v="Pagado"/>
  </r>
  <r>
    <x v="305"/>
    <x v="10"/>
    <s v="TX-101416"/>
    <x v="1"/>
    <x v="1"/>
    <x v="0"/>
    <n v="3985.76"/>
    <n v="518.15"/>
    <x v="1414"/>
    <x v="0"/>
    <s v="Cuenta Corriente"/>
    <s v="Transferencia"/>
    <s v="Pagado"/>
  </r>
  <r>
    <x v="140"/>
    <x v="6"/>
    <s v="TX-101417"/>
    <x v="14"/>
    <x v="0"/>
    <x v="0"/>
    <n v="2478.23"/>
    <n v="0"/>
    <x v="1415"/>
    <x v="0"/>
    <s v="Cuenta Ahorros"/>
    <s v="Efectivo"/>
    <s v="Pendiente"/>
  </r>
  <r>
    <x v="132"/>
    <x v="11"/>
    <s v="TX-101418"/>
    <x v="15"/>
    <x v="0"/>
    <x v="6"/>
    <n v="11044.88"/>
    <n v="0"/>
    <x v="1416"/>
    <x v="3"/>
    <s v="Tarjeta Crédito Empresarial"/>
    <s v="Tarjeta Crédito"/>
    <s v="Pendiente"/>
  </r>
  <r>
    <x v="23"/>
    <x v="1"/>
    <s v="TX-101419"/>
    <x v="1"/>
    <x v="1"/>
    <x v="2"/>
    <n v="7434.15"/>
    <n v="966.44"/>
    <x v="1417"/>
    <x v="0"/>
    <s v="Cuenta Ahorros"/>
    <s v="Transferencia"/>
    <s v="Pendiente"/>
  </r>
  <r>
    <x v="253"/>
    <x v="6"/>
    <s v="TX-101420"/>
    <x v="1"/>
    <x v="0"/>
    <x v="6"/>
    <n v="10486.24"/>
    <n v="0"/>
    <x v="1418"/>
    <x v="3"/>
    <s v="Tarjeta Crédito Empresarial"/>
    <s v="Tarjeta Crédito"/>
    <s v="Pendiente"/>
  </r>
  <r>
    <x v="56"/>
    <x v="11"/>
    <s v="TX-101421"/>
    <x v="8"/>
    <x v="0"/>
    <x v="6"/>
    <n v="7520.44"/>
    <n v="0"/>
    <x v="1419"/>
    <x v="2"/>
    <s v="Tarjeta Crédito Empresarial"/>
    <s v="Tarjeta Débito"/>
    <s v="Pagado"/>
  </r>
  <r>
    <x v="344"/>
    <x v="8"/>
    <s v="TX-101422"/>
    <x v="0"/>
    <x v="0"/>
    <x v="3"/>
    <n v="7000.93"/>
    <n v="0"/>
    <x v="1420"/>
    <x v="2"/>
    <s v="Cuenta Ahorros"/>
    <s v="Efectivo"/>
    <s v="Pendiente"/>
  </r>
  <r>
    <x v="189"/>
    <x v="1"/>
    <s v="TX-101423"/>
    <x v="16"/>
    <x v="1"/>
    <x v="3"/>
    <n v="6322.98"/>
    <n v="821.99"/>
    <x v="1421"/>
    <x v="4"/>
    <s v="Cuenta Ahorros"/>
    <s v="Efectivo"/>
    <s v="Pagado"/>
  </r>
  <r>
    <x v="105"/>
    <x v="5"/>
    <s v="TX-101424"/>
    <x v="8"/>
    <x v="1"/>
    <x v="3"/>
    <n v="11881.06"/>
    <n v="1544.54"/>
    <x v="1422"/>
    <x v="4"/>
    <s v="Cuenta Corriente"/>
    <s v="Tarjeta Débito"/>
    <s v="Pagado"/>
  </r>
  <r>
    <x v="51"/>
    <x v="9"/>
    <s v="TX-101425"/>
    <x v="0"/>
    <x v="0"/>
    <x v="7"/>
    <n v="2291"/>
    <n v="0"/>
    <x v="1423"/>
    <x v="4"/>
    <s v="Cuenta Corriente"/>
    <s v="Efectivo"/>
    <s v="Pendiente"/>
  </r>
  <r>
    <x v="253"/>
    <x v="6"/>
    <s v="TX-101426"/>
    <x v="9"/>
    <x v="0"/>
    <x v="0"/>
    <n v="2889.69"/>
    <n v="0"/>
    <x v="1424"/>
    <x v="1"/>
    <s v="Cuenta Ahorros"/>
    <s v="Efectivo"/>
    <s v="Pagado"/>
  </r>
  <r>
    <x v="200"/>
    <x v="9"/>
    <s v="TX-101427"/>
    <x v="10"/>
    <x v="0"/>
    <x v="2"/>
    <n v="1050.25"/>
    <n v="0"/>
    <x v="1425"/>
    <x v="1"/>
    <s v="Tarjeta Crédito Empresarial"/>
    <s v="Tarjeta Crédito"/>
    <s v="Pagado"/>
  </r>
  <r>
    <x v="183"/>
    <x v="1"/>
    <s v="TX-101428"/>
    <x v="11"/>
    <x v="0"/>
    <x v="0"/>
    <n v="6274.36"/>
    <n v="0"/>
    <x v="1426"/>
    <x v="2"/>
    <s v="Tarjeta Crédito Empresarial"/>
    <s v="Tarjeta Débito"/>
    <s v="Pendiente"/>
  </r>
  <r>
    <x v="132"/>
    <x v="11"/>
    <s v="TX-101429"/>
    <x v="2"/>
    <x v="0"/>
    <x v="2"/>
    <n v="9006.7800000000007"/>
    <n v="0"/>
    <x v="1427"/>
    <x v="2"/>
    <s v="Cuenta Ahorros"/>
    <s v="Tarjeta Crédito"/>
    <s v="Pagado"/>
  </r>
  <r>
    <x v="29"/>
    <x v="3"/>
    <s v="TX-101430"/>
    <x v="2"/>
    <x v="0"/>
    <x v="2"/>
    <n v="314.76"/>
    <n v="0"/>
    <x v="1428"/>
    <x v="1"/>
    <s v="Cuenta Corriente"/>
    <s v="Tarjeta Débito"/>
    <s v="Pendiente"/>
  </r>
  <r>
    <x v="275"/>
    <x v="10"/>
    <s v="TX-101431"/>
    <x v="3"/>
    <x v="0"/>
    <x v="4"/>
    <n v="8347.19"/>
    <n v="0"/>
    <x v="1429"/>
    <x v="2"/>
    <s v="Tarjeta Crédito Empresarial"/>
    <s v="Tarjeta Débito"/>
    <s v="Pagado"/>
  </r>
  <r>
    <x v="46"/>
    <x v="4"/>
    <s v="TX-101432"/>
    <x v="2"/>
    <x v="1"/>
    <x v="0"/>
    <n v="12209.16"/>
    <n v="1587.19"/>
    <x v="1430"/>
    <x v="1"/>
    <s v="Tarjeta Crédito Empresarial"/>
    <s v="Efectivo"/>
    <s v="Pagado"/>
  </r>
  <r>
    <x v="99"/>
    <x v="6"/>
    <s v="TX-101433"/>
    <x v="4"/>
    <x v="1"/>
    <x v="3"/>
    <n v="11265.38"/>
    <n v="1464.5"/>
    <x v="1431"/>
    <x v="2"/>
    <s v="Cuenta Corriente"/>
    <s v="Efectivo"/>
    <s v="Pendiente"/>
  </r>
  <r>
    <x v="95"/>
    <x v="4"/>
    <s v="TX-101434"/>
    <x v="18"/>
    <x v="0"/>
    <x v="3"/>
    <n v="11672.63"/>
    <n v="0"/>
    <x v="1432"/>
    <x v="4"/>
    <s v="Cuenta Ahorros"/>
    <s v="Transferencia"/>
    <s v="Pendiente"/>
  </r>
  <r>
    <x v="178"/>
    <x v="6"/>
    <s v="TX-101435"/>
    <x v="5"/>
    <x v="1"/>
    <x v="6"/>
    <n v="5374.72"/>
    <n v="698.71"/>
    <x v="1433"/>
    <x v="1"/>
    <s v="Tarjeta Crédito Empresarial"/>
    <s v="Tarjeta Débito"/>
    <s v="Pendiente"/>
  </r>
  <r>
    <x v="188"/>
    <x v="6"/>
    <s v="TX-101436"/>
    <x v="13"/>
    <x v="0"/>
    <x v="0"/>
    <n v="12370.84"/>
    <n v="0"/>
    <x v="1434"/>
    <x v="4"/>
    <s v="Tarjeta Crédito Empresarial"/>
    <s v="Transferencia"/>
    <s v="Pendiente"/>
  </r>
  <r>
    <x v="117"/>
    <x v="8"/>
    <s v="TX-101437"/>
    <x v="5"/>
    <x v="0"/>
    <x v="0"/>
    <n v="11871.1"/>
    <n v="0"/>
    <x v="1435"/>
    <x v="3"/>
    <s v="Cuenta Ahorros"/>
    <s v="Tarjeta Crédito"/>
    <s v="Pagado"/>
  </r>
  <r>
    <x v="49"/>
    <x v="8"/>
    <s v="TX-101438"/>
    <x v="9"/>
    <x v="1"/>
    <x v="1"/>
    <n v="9791.94"/>
    <n v="1272.95"/>
    <x v="1436"/>
    <x v="3"/>
    <s v="Cuenta Ahorros"/>
    <s v="Efectivo"/>
    <s v="Pagado"/>
  </r>
  <r>
    <x v="98"/>
    <x v="0"/>
    <s v="TX-101439"/>
    <x v="7"/>
    <x v="1"/>
    <x v="7"/>
    <n v="11389"/>
    <n v="1480.57"/>
    <x v="1437"/>
    <x v="2"/>
    <s v="Cuenta Ahorros"/>
    <s v="Tarjeta Crédito"/>
    <s v="Pagado"/>
  </r>
  <r>
    <x v="343"/>
    <x v="1"/>
    <s v="TX-101440"/>
    <x v="17"/>
    <x v="1"/>
    <x v="5"/>
    <n v="4875.92"/>
    <n v="633.87"/>
    <x v="1438"/>
    <x v="3"/>
    <s v="Cuenta Corriente"/>
    <s v="Tarjeta Crédito"/>
    <s v="Pendiente"/>
  </r>
  <r>
    <x v="91"/>
    <x v="6"/>
    <s v="TX-101441"/>
    <x v="16"/>
    <x v="0"/>
    <x v="3"/>
    <n v="8274.4"/>
    <n v="0"/>
    <x v="1439"/>
    <x v="1"/>
    <s v="Tarjeta Crédito Empresarial"/>
    <s v="Tarjeta Crédito"/>
    <s v="Pendiente"/>
  </r>
  <r>
    <x v="232"/>
    <x v="10"/>
    <s v="TX-101442"/>
    <x v="3"/>
    <x v="1"/>
    <x v="4"/>
    <n v="4894.01"/>
    <n v="636.22"/>
    <x v="1440"/>
    <x v="3"/>
    <s v="Tarjeta Crédito Empresarial"/>
    <s v="Transferencia"/>
    <s v="Pagado"/>
  </r>
  <r>
    <x v="304"/>
    <x v="11"/>
    <s v="TX-101443"/>
    <x v="18"/>
    <x v="1"/>
    <x v="5"/>
    <n v="2315.9699999999998"/>
    <n v="301.08"/>
    <x v="1441"/>
    <x v="4"/>
    <s v="Tarjeta Crédito Empresarial"/>
    <s v="Tarjeta Débito"/>
    <s v="Pagado"/>
  </r>
  <r>
    <x v="185"/>
    <x v="0"/>
    <s v="TX-101444"/>
    <x v="8"/>
    <x v="0"/>
    <x v="2"/>
    <n v="6218.99"/>
    <n v="0"/>
    <x v="1442"/>
    <x v="1"/>
    <s v="Cuenta Ahorros"/>
    <s v="Transferencia"/>
    <s v="Pendiente"/>
  </r>
  <r>
    <x v="300"/>
    <x v="0"/>
    <s v="TX-101445"/>
    <x v="16"/>
    <x v="1"/>
    <x v="0"/>
    <n v="6755.05"/>
    <n v="878.16"/>
    <x v="1443"/>
    <x v="2"/>
    <s v="Cuenta Corriente"/>
    <s v="Tarjeta Débito"/>
    <s v="Pagado"/>
  </r>
  <r>
    <x v="197"/>
    <x v="7"/>
    <s v="TX-101446"/>
    <x v="0"/>
    <x v="1"/>
    <x v="7"/>
    <n v="683.8"/>
    <n v="88.89"/>
    <x v="1444"/>
    <x v="4"/>
    <s v="Cuenta Corriente"/>
    <s v="Tarjeta Débito"/>
    <s v="Pendiente"/>
  </r>
  <r>
    <x v="135"/>
    <x v="4"/>
    <s v="TX-101447"/>
    <x v="7"/>
    <x v="0"/>
    <x v="1"/>
    <n v="7678.19"/>
    <n v="0"/>
    <x v="1445"/>
    <x v="1"/>
    <s v="Cuenta Corriente"/>
    <s v="Efectivo"/>
    <s v="Pagado"/>
  </r>
  <r>
    <x v="64"/>
    <x v="11"/>
    <s v="TX-101448"/>
    <x v="5"/>
    <x v="1"/>
    <x v="0"/>
    <n v="3481.11"/>
    <n v="452.54"/>
    <x v="1446"/>
    <x v="3"/>
    <s v="Cuenta Ahorros"/>
    <s v="Transferencia"/>
    <s v="Pendiente"/>
  </r>
  <r>
    <x v="91"/>
    <x v="6"/>
    <s v="TX-101449"/>
    <x v="15"/>
    <x v="1"/>
    <x v="5"/>
    <n v="8066.64"/>
    <n v="1048.6600000000001"/>
    <x v="1447"/>
    <x v="0"/>
    <s v="Cuenta Ahorros"/>
    <s v="Tarjeta Crédito"/>
    <s v="Pendiente"/>
  </r>
  <r>
    <x v="351"/>
    <x v="9"/>
    <s v="TX-101450"/>
    <x v="16"/>
    <x v="1"/>
    <x v="4"/>
    <n v="5050.5600000000004"/>
    <n v="656.57"/>
    <x v="1448"/>
    <x v="2"/>
    <s v="Cuenta Ahorros"/>
    <s v="Transferencia"/>
    <s v="Pendiente"/>
  </r>
  <r>
    <x v="159"/>
    <x v="0"/>
    <s v="TX-101451"/>
    <x v="10"/>
    <x v="0"/>
    <x v="3"/>
    <n v="3108.62"/>
    <n v="0"/>
    <x v="1449"/>
    <x v="3"/>
    <s v="Cuenta Ahorros"/>
    <s v="Transferencia"/>
    <s v="Pagado"/>
  </r>
  <r>
    <x v="139"/>
    <x v="9"/>
    <s v="TX-101452"/>
    <x v="19"/>
    <x v="0"/>
    <x v="0"/>
    <n v="13305.45"/>
    <n v="0"/>
    <x v="1450"/>
    <x v="2"/>
    <s v="Cuenta Ahorros"/>
    <s v="Transferencia"/>
    <s v="Pagado"/>
  </r>
  <r>
    <x v="338"/>
    <x v="7"/>
    <s v="TX-101453"/>
    <x v="12"/>
    <x v="1"/>
    <x v="4"/>
    <n v="234.79"/>
    <n v="30.52"/>
    <x v="1451"/>
    <x v="2"/>
    <s v="Cuenta Corriente"/>
    <s v="Efectivo"/>
    <s v="Pendiente"/>
  </r>
  <r>
    <x v="137"/>
    <x v="11"/>
    <s v="TX-101454"/>
    <x v="13"/>
    <x v="0"/>
    <x v="5"/>
    <n v="13816.24"/>
    <n v="0"/>
    <x v="1452"/>
    <x v="0"/>
    <s v="Tarjeta Crédito Empresarial"/>
    <s v="Tarjeta Crédito"/>
    <s v="Pagado"/>
  </r>
  <r>
    <x v="178"/>
    <x v="6"/>
    <s v="TX-101455"/>
    <x v="19"/>
    <x v="1"/>
    <x v="1"/>
    <n v="12797.59"/>
    <n v="1663.69"/>
    <x v="1453"/>
    <x v="3"/>
    <s v="Cuenta Corriente"/>
    <s v="Tarjeta Crédito"/>
    <s v="Pagado"/>
  </r>
  <r>
    <x v="53"/>
    <x v="3"/>
    <s v="TX-101456"/>
    <x v="13"/>
    <x v="0"/>
    <x v="5"/>
    <n v="1503.63"/>
    <n v="0"/>
    <x v="1454"/>
    <x v="4"/>
    <s v="Tarjeta Crédito Empresarial"/>
    <s v="Tarjeta Débito"/>
    <s v="Pendiente"/>
  </r>
  <r>
    <x v="152"/>
    <x v="9"/>
    <s v="TX-101457"/>
    <x v="18"/>
    <x v="0"/>
    <x v="3"/>
    <n v="9821.7099999999991"/>
    <n v="0"/>
    <x v="1455"/>
    <x v="3"/>
    <s v="Cuenta Corriente"/>
    <s v="Tarjeta Crédito"/>
    <s v="Pagado"/>
  </r>
  <r>
    <x v="228"/>
    <x v="5"/>
    <s v="TX-101458"/>
    <x v="13"/>
    <x v="1"/>
    <x v="2"/>
    <n v="13795.13"/>
    <n v="1793.37"/>
    <x v="1456"/>
    <x v="3"/>
    <s v="Cuenta Ahorros"/>
    <s v="Tarjeta Débito"/>
    <s v="Pagado"/>
  </r>
  <r>
    <x v="249"/>
    <x v="10"/>
    <s v="TX-101459"/>
    <x v="1"/>
    <x v="1"/>
    <x v="7"/>
    <n v="13053.39"/>
    <n v="1696.94"/>
    <x v="1457"/>
    <x v="0"/>
    <s v="Cuenta Ahorros"/>
    <s v="Tarjeta Crédito"/>
    <s v="Pagado"/>
  </r>
  <r>
    <x v="238"/>
    <x v="5"/>
    <s v="TX-101460"/>
    <x v="18"/>
    <x v="1"/>
    <x v="0"/>
    <n v="1024.1099999999999"/>
    <n v="133.13"/>
    <x v="1458"/>
    <x v="1"/>
    <s v="Cuenta Corriente"/>
    <s v="Transferencia"/>
    <s v="Pendiente"/>
  </r>
  <r>
    <x v="275"/>
    <x v="10"/>
    <s v="TX-101461"/>
    <x v="13"/>
    <x v="0"/>
    <x v="5"/>
    <n v="14594.96"/>
    <n v="0"/>
    <x v="1459"/>
    <x v="3"/>
    <s v="Tarjeta Crédito Empresarial"/>
    <s v="Transferencia"/>
    <s v="Pendiente"/>
  </r>
  <r>
    <x v="103"/>
    <x v="4"/>
    <s v="TX-101462"/>
    <x v="13"/>
    <x v="1"/>
    <x v="4"/>
    <n v="414.97"/>
    <n v="53.95"/>
    <x v="1460"/>
    <x v="4"/>
    <s v="Cuenta Corriente"/>
    <s v="Efectivo"/>
    <s v="Pagado"/>
  </r>
  <r>
    <x v="169"/>
    <x v="1"/>
    <s v="TX-101463"/>
    <x v="19"/>
    <x v="0"/>
    <x v="7"/>
    <n v="11889.86"/>
    <n v="0"/>
    <x v="1461"/>
    <x v="2"/>
    <s v="Cuenta Ahorros"/>
    <s v="Transferencia"/>
    <s v="Pendiente"/>
  </r>
  <r>
    <x v="318"/>
    <x v="3"/>
    <s v="TX-101464"/>
    <x v="13"/>
    <x v="1"/>
    <x v="6"/>
    <n v="9896.09"/>
    <n v="1286.49"/>
    <x v="1462"/>
    <x v="0"/>
    <s v="Tarjeta Crédito Empresarial"/>
    <s v="Tarjeta Débito"/>
    <s v="Pendiente"/>
  </r>
  <r>
    <x v="244"/>
    <x v="9"/>
    <s v="TX-101465"/>
    <x v="7"/>
    <x v="1"/>
    <x v="3"/>
    <n v="5613.04"/>
    <n v="729.7"/>
    <x v="1463"/>
    <x v="2"/>
    <s v="Cuenta Corriente"/>
    <s v="Efectivo"/>
    <s v="Pendiente"/>
  </r>
  <r>
    <x v="32"/>
    <x v="9"/>
    <s v="TX-101466"/>
    <x v="7"/>
    <x v="1"/>
    <x v="4"/>
    <n v="13277.35"/>
    <n v="1726.06"/>
    <x v="1464"/>
    <x v="2"/>
    <s v="Tarjeta Crédito Empresarial"/>
    <s v="Efectivo"/>
    <s v="Pendiente"/>
  </r>
  <r>
    <x v="22"/>
    <x v="10"/>
    <s v="TX-101467"/>
    <x v="0"/>
    <x v="0"/>
    <x v="5"/>
    <n v="9001.9500000000007"/>
    <n v="0"/>
    <x v="1465"/>
    <x v="4"/>
    <s v="Tarjeta Crédito Empresarial"/>
    <s v="Tarjeta Débito"/>
    <s v="Pagado"/>
  </r>
  <r>
    <x v="166"/>
    <x v="10"/>
    <s v="TX-101468"/>
    <x v="18"/>
    <x v="0"/>
    <x v="2"/>
    <n v="14858.03"/>
    <n v="0"/>
    <x v="1466"/>
    <x v="3"/>
    <s v="Tarjeta Crédito Empresarial"/>
    <s v="Transferencia"/>
    <s v="Pagado"/>
  </r>
  <r>
    <x v="231"/>
    <x v="9"/>
    <s v="TX-101469"/>
    <x v="4"/>
    <x v="1"/>
    <x v="0"/>
    <n v="10275.959999999999"/>
    <n v="1335.87"/>
    <x v="1467"/>
    <x v="1"/>
    <s v="Cuenta Corriente"/>
    <s v="Tarjeta Crédito"/>
    <s v="Pendiente"/>
  </r>
  <r>
    <x v="59"/>
    <x v="3"/>
    <s v="TX-101470"/>
    <x v="4"/>
    <x v="0"/>
    <x v="0"/>
    <n v="8676.44"/>
    <n v="0"/>
    <x v="1468"/>
    <x v="3"/>
    <s v="Cuenta Corriente"/>
    <s v="Efectivo"/>
    <s v="Pagado"/>
  </r>
  <r>
    <x v="270"/>
    <x v="0"/>
    <s v="TX-101471"/>
    <x v="0"/>
    <x v="1"/>
    <x v="7"/>
    <n v="2208.12"/>
    <n v="287.06"/>
    <x v="1469"/>
    <x v="2"/>
    <s v="Cuenta Corriente"/>
    <s v="Efectivo"/>
    <s v="Pendiente"/>
  </r>
  <r>
    <x v="209"/>
    <x v="1"/>
    <s v="TX-101472"/>
    <x v="11"/>
    <x v="1"/>
    <x v="0"/>
    <n v="401.41"/>
    <n v="52.18"/>
    <x v="1470"/>
    <x v="2"/>
    <s v="Cuenta Corriente"/>
    <s v="Tarjeta Débito"/>
    <s v="Pagado"/>
  </r>
  <r>
    <x v="117"/>
    <x v="8"/>
    <s v="TX-101473"/>
    <x v="1"/>
    <x v="0"/>
    <x v="7"/>
    <n v="14267.64"/>
    <n v="0"/>
    <x v="1471"/>
    <x v="2"/>
    <s v="Tarjeta Crédito Empresarial"/>
    <s v="Efectivo"/>
    <s v="Pagado"/>
  </r>
  <r>
    <x v="296"/>
    <x v="8"/>
    <s v="TX-101474"/>
    <x v="8"/>
    <x v="0"/>
    <x v="6"/>
    <n v="3166.3"/>
    <n v="0"/>
    <x v="1472"/>
    <x v="0"/>
    <s v="Tarjeta Crédito Empresarial"/>
    <s v="Efectivo"/>
    <s v="Pagado"/>
  </r>
  <r>
    <x v="309"/>
    <x v="4"/>
    <s v="TX-101475"/>
    <x v="10"/>
    <x v="0"/>
    <x v="6"/>
    <n v="5304.88"/>
    <n v="0"/>
    <x v="1473"/>
    <x v="1"/>
    <s v="Cuenta Ahorros"/>
    <s v="Transferencia"/>
    <s v="Pendiente"/>
  </r>
  <r>
    <x v="196"/>
    <x v="11"/>
    <s v="TX-101476"/>
    <x v="13"/>
    <x v="1"/>
    <x v="3"/>
    <n v="628.14"/>
    <n v="81.66"/>
    <x v="1474"/>
    <x v="3"/>
    <s v="Cuenta Ahorros"/>
    <s v="Tarjeta Crédito"/>
    <s v="Pagado"/>
  </r>
  <r>
    <x v="51"/>
    <x v="9"/>
    <s v="TX-101477"/>
    <x v="5"/>
    <x v="1"/>
    <x v="7"/>
    <n v="5728.77"/>
    <n v="744.74"/>
    <x v="1475"/>
    <x v="4"/>
    <s v="Tarjeta Crédito Empresarial"/>
    <s v="Efectivo"/>
    <s v="Pagado"/>
  </r>
  <r>
    <x v="269"/>
    <x v="0"/>
    <s v="TX-101478"/>
    <x v="17"/>
    <x v="0"/>
    <x v="0"/>
    <n v="9225.07"/>
    <n v="0"/>
    <x v="1476"/>
    <x v="3"/>
    <s v="Tarjeta Crédito Empresarial"/>
    <s v="Tarjeta Débito"/>
    <s v="Pagado"/>
  </r>
  <r>
    <x v="55"/>
    <x v="10"/>
    <s v="TX-101479"/>
    <x v="18"/>
    <x v="1"/>
    <x v="7"/>
    <n v="4157.38"/>
    <n v="540.46"/>
    <x v="1477"/>
    <x v="1"/>
    <s v="Tarjeta Crédito Empresarial"/>
    <s v="Transferencia"/>
    <s v="Pendiente"/>
  </r>
  <r>
    <x v="4"/>
    <x v="4"/>
    <s v="TX-101480"/>
    <x v="11"/>
    <x v="0"/>
    <x v="5"/>
    <n v="13538.81"/>
    <n v="0"/>
    <x v="1478"/>
    <x v="4"/>
    <s v="Cuenta Corriente"/>
    <s v="Tarjeta Crédito"/>
    <s v="Pendiente"/>
  </r>
  <r>
    <x v="118"/>
    <x v="11"/>
    <s v="TX-101481"/>
    <x v="18"/>
    <x v="1"/>
    <x v="2"/>
    <n v="3026.89"/>
    <n v="393.5"/>
    <x v="1479"/>
    <x v="4"/>
    <s v="Cuenta Corriente"/>
    <s v="Efectivo"/>
    <s v="Pagado"/>
  </r>
  <r>
    <x v="228"/>
    <x v="5"/>
    <s v="TX-101482"/>
    <x v="10"/>
    <x v="0"/>
    <x v="5"/>
    <n v="3390.17"/>
    <n v="0"/>
    <x v="1480"/>
    <x v="0"/>
    <s v="Cuenta Ahorros"/>
    <s v="Tarjeta Débito"/>
    <s v="Pendiente"/>
  </r>
  <r>
    <x v="72"/>
    <x v="6"/>
    <s v="TX-101483"/>
    <x v="1"/>
    <x v="1"/>
    <x v="5"/>
    <n v="2023.39"/>
    <n v="263.04000000000002"/>
    <x v="1481"/>
    <x v="0"/>
    <s v="Cuenta Corriente"/>
    <s v="Efectivo"/>
    <s v="Pendiente"/>
  </r>
  <r>
    <x v="158"/>
    <x v="0"/>
    <s v="TX-101484"/>
    <x v="7"/>
    <x v="1"/>
    <x v="6"/>
    <n v="9540.74"/>
    <n v="1240.3"/>
    <x v="1482"/>
    <x v="1"/>
    <s v="Cuenta Ahorros"/>
    <s v="Transferencia"/>
    <s v="Pendiente"/>
  </r>
  <r>
    <x v="225"/>
    <x v="4"/>
    <s v="TX-101485"/>
    <x v="4"/>
    <x v="0"/>
    <x v="2"/>
    <n v="1024.3699999999999"/>
    <n v="0"/>
    <x v="1483"/>
    <x v="2"/>
    <s v="Cuenta Ahorros"/>
    <s v="Efectivo"/>
    <s v="Pagado"/>
  </r>
  <r>
    <x v="252"/>
    <x v="7"/>
    <s v="TX-101486"/>
    <x v="1"/>
    <x v="1"/>
    <x v="5"/>
    <n v="1341.34"/>
    <n v="174.37"/>
    <x v="1484"/>
    <x v="4"/>
    <s v="Cuenta Ahorros"/>
    <s v="Tarjeta Crédito"/>
    <s v="Pendiente"/>
  </r>
  <r>
    <x v="34"/>
    <x v="1"/>
    <s v="TX-101487"/>
    <x v="18"/>
    <x v="1"/>
    <x v="3"/>
    <n v="1781.95"/>
    <n v="231.65"/>
    <x v="1485"/>
    <x v="4"/>
    <s v="Cuenta Corriente"/>
    <s v="Tarjeta Débito"/>
    <s v="Pendiente"/>
  </r>
  <r>
    <x v="183"/>
    <x v="1"/>
    <s v="TX-101488"/>
    <x v="15"/>
    <x v="1"/>
    <x v="6"/>
    <n v="946.91"/>
    <n v="123.1"/>
    <x v="1486"/>
    <x v="3"/>
    <s v="Tarjeta Crédito Empresarial"/>
    <s v="Tarjeta Crédito"/>
    <s v="Pagado"/>
  </r>
  <r>
    <x v="204"/>
    <x v="7"/>
    <s v="TX-101489"/>
    <x v="16"/>
    <x v="0"/>
    <x v="0"/>
    <n v="12915.76"/>
    <n v="0"/>
    <x v="1487"/>
    <x v="4"/>
    <s v="Tarjeta Crédito Empresarial"/>
    <s v="Efectivo"/>
    <s v="Pendiente"/>
  </r>
  <r>
    <x v="31"/>
    <x v="6"/>
    <s v="TX-101490"/>
    <x v="12"/>
    <x v="1"/>
    <x v="5"/>
    <n v="5848.47"/>
    <n v="760.3"/>
    <x v="1488"/>
    <x v="0"/>
    <s v="Cuenta Corriente"/>
    <s v="Tarjeta Débito"/>
    <s v="Pagado"/>
  </r>
  <r>
    <x v="9"/>
    <x v="4"/>
    <s v="TX-101491"/>
    <x v="1"/>
    <x v="0"/>
    <x v="2"/>
    <n v="8514.0499999999993"/>
    <n v="0"/>
    <x v="1489"/>
    <x v="1"/>
    <s v="Tarjeta Crédito Empresarial"/>
    <s v="Tarjeta Crédito"/>
    <s v="Pagado"/>
  </r>
  <r>
    <x v="74"/>
    <x v="9"/>
    <s v="TX-101492"/>
    <x v="7"/>
    <x v="1"/>
    <x v="3"/>
    <n v="691.49"/>
    <n v="89.89"/>
    <x v="1490"/>
    <x v="1"/>
    <s v="Cuenta Corriente"/>
    <s v="Tarjeta Débito"/>
    <s v="Pendiente"/>
  </r>
  <r>
    <x v="37"/>
    <x v="11"/>
    <s v="TX-101493"/>
    <x v="13"/>
    <x v="1"/>
    <x v="5"/>
    <n v="7216.52"/>
    <n v="938.15"/>
    <x v="1491"/>
    <x v="1"/>
    <s v="Tarjeta Crédito Empresarial"/>
    <s v="Tarjeta Débito"/>
    <s v="Pagado"/>
  </r>
  <r>
    <x v="141"/>
    <x v="8"/>
    <s v="TX-101494"/>
    <x v="13"/>
    <x v="1"/>
    <x v="3"/>
    <n v="9017.34"/>
    <n v="1172.25"/>
    <x v="1492"/>
    <x v="3"/>
    <s v="Tarjeta Crédito Empresarial"/>
    <s v="Transferencia"/>
    <s v="Pagado"/>
  </r>
  <r>
    <x v="203"/>
    <x v="6"/>
    <s v="TX-101495"/>
    <x v="3"/>
    <x v="0"/>
    <x v="3"/>
    <n v="4248.46"/>
    <n v="0"/>
    <x v="1493"/>
    <x v="2"/>
    <s v="Cuenta Ahorros"/>
    <s v="Tarjeta Crédito"/>
    <s v="Pendiente"/>
  </r>
  <r>
    <x v="237"/>
    <x v="5"/>
    <s v="TX-101496"/>
    <x v="4"/>
    <x v="0"/>
    <x v="3"/>
    <n v="11373.39"/>
    <n v="0"/>
    <x v="1494"/>
    <x v="0"/>
    <s v="Tarjeta Crédito Empresarial"/>
    <s v="Tarjeta Débito"/>
    <s v="Pendiente"/>
  </r>
  <r>
    <x v="155"/>
    <x v="6"/>
    <s v="TX-101497"/>
    <x v="18"/>
    <x v="0"/>
    <x v="6"/>
    <n v="8014.45"/>
    <n v="0"/>
    <x v="1495"/>
    <x v="3"/>
    <s v="Cuenta Ahorros"/>
    <s v="Tarjeta Crédito"/>
    <s v="Pendiente"/>
  </r>
  <r>
    <x v="200"/>
    <x v="9"/>
    <s v="TX-101498"/>
    <x v="2"/>
    <x v="1"/>
    <x v="6"/>
    <n v="13905.96"/>
    <n v="1807.77"/>
    <x v="1496"/>
    <x v="4"/>
    <s v="Tarjeta Crédito Empresarial"/>
    <s v="Tarjeta Débito"/>
    <s v="Pendiente"/>
  </r>
  <r>
    <x v="360"/>
    <x v="6"/>
    <s v="TX-101499"/>
    <x v="12"/>
    <x v="0"/>
    <x v="3"/>
    <n v="4213.91"/>
    <n v="0"/>
    <x v="1497"/>
    <x v="1"/>
    <s v="Tarjeta Crédito Empresarial"/>
    <s v="Tarjeta Débito"/>
    <s v="Pagado"/>
  </r>
  <r>
    <x v="344"/>
    <x v="8"/>
    <s v="TX-101500"/>
    <x v="12"/>
    <x v="0"/>
    <x v="6"/>
    <n v="3106.74"/>
    <n v="0"/>
    <x v="1498"/>
    <x v="0"/>
    <s v="Tarjeta Crédito Empresarial"/>
    <s v="Tarjeta Débito"/>
    <s v="Pagado"/>
  </r>
  <r>
    <x v="127"/>
    <x v="6"/>
    <s v="TX-101501"/>
    <x v="12"/>
    <x v="1"/>
    <x v="6"/>
    <n v="2787.01"/>
    <n v="362.31"/>
    <x v="1499"/>
    <x v="1"/>
    <s v="Cuenta Ahorros"/>
    <s v="Tarjeta Débito"/>
    <s v="Pendiente"/>
  </r>
  <r>
    <x v="253"/>
    <x v="6"/>
    <s v="TX-101502"/>
    <x v="17"/>
    <x v="0"/>
    <x v="6"/>
    <n v="2237.7800000000002"/>
    <n v="0"/>
    <x v="1500"/>
    <x v="3"/>
    <s v="Cuenta Ahorros"/>
    <s v="Transferencia"/>
    <s v="Pendiente"/>
  </r>
  <r>
    <x v="309"/>
    <x v="4"/>
    <s v="TX-101503"/>
    <x v="10"/>
    <x v="1"/>
    <x v="0"/>
    <n v="12189.27"/>
    <n v="1584.61"/>
    <x v="1501"/>
    <x v="1"/>
    <s v="Cuenta Ahorros"/>
    <s v="Tarjeta Crédito"/>
    <s v="Pendiente"/>
  </r>
  <r>
    <x v="56"/>
    <x v="11"/>
    <s v="TX-101504"/>
    <x v="9"/>
    <x v="1"/>
    <x v="3"/>
    <n v="9440.2900000000009"/>
    <n v="1227.24"/>
    <x v="1502"/>
    <x v="0"/>
    <s v="Cuenta Corriente"/>
    <s v="Efectivo"/>
    <s v="Pendiente"/>
  </r>
  <r>
    <x v="336"/>
    <x v="3"/>
    <s v="TX-101505"/>
    <x v="8"/>
    <x v="1"/>
    <x v="5"/>
    <n v="2757.52"/>
    <n v="358.48"/>
    <x v="1503"/>
    <x v="3"/>
    <s v="Cuenta Corriente"/>
    <s v="Transferencia"/>
    <s v="Pendiente"/>
  </r>
  <r>
    <x v="101"/>
    <x v="5"/>
    <s v="TX-101506"/>
    <x v="11"/>
    <x v="0"/>
    <x v="5"/>
    <n v="11768.87"/>
    <n v="0"/>
    <x v="1504"/>
    <x v="1"/>
    <s v="Cuenta Corriente"/>
    <s v="Transferencia"/>
    <s v="Pagado"/>
  </r>
  <r>
    <x v="124"/>
    <x v="4"/>
    <s v="TX-101507"/>
    <x v="1"/>
    <x v="0"/>
    <x v="4"/>
    <n v="4298.6099999999997"/>
    <n v="0"/>
    <x v="1505"/>
    <x v="4"/>
    <s v="Cuenta Corriente"/>
    <s v="Tarjeta Crédito"/>
    <s v="Pendiente"/>
  </r>
  <r>
    <x v="150"/>
    <x v="2"/>
    <s v="TX-101508"/>
    <x v="14"/>
    <x v="1"/>
    <x v="6"/>
    <n v="11447.15"/>
    <n v="1488.13"/>
    <x v="1506"/>
    <x v="1"/>
    <s v="Cuenta Corriente"/>
    <s v="Transferencia"/>
    <s v="Pagado"/>
  </r>
  <r>
    <x v="9"/>
    <x v="4"/>
    <s v="TX-101509"/>
    <x v="19"/>
    <x v="0"/>
    <x v="7"/>
    <n v="1912.22"/>
    <n v="0"/>
    <x v="1507"/>
    <x v="1"/>
    <s v="Cuenta Corriente"/>
    <s v="Tarjeta Débito"/>
    <s v="Pendiente"/>
  </r>
  <r>
    <x v="352"/>
    <x v="4"/>
    <s v="TX-101510"/>
    <x v="14"/>
    <x v="1"/>
    <x v="4"/>
    <n v="1655.43"/>
    <n v="215.21"/>
    <x v="1508"/>
    <x v="2"/>
    <s v="Cuenta Ahorros"/>
    <s v="Efectivo"/>
    <s v="Pendiente"/>
  </r>
  <r>
    <x v="298"/>
    <x v="8"/>
    <s v="TX-101511"/>
    <x v="5"/>
    <x v="1"/>
    <x v="2"/>
    <n v="6157.59"/>
    <n v="800.49"/>
    <x v="1509"/>
    <x v="1"/>
    <s v="Cuenta Corriente"/>
    <s v="Efectivo"/>
    <s v="Pendiente"/>
  </r>
  <r>
    <x v="64"/>
    <x v="11"/>
    <s v="TX-101512"/>
    <x v="11"/>
    <x v="0"/>
    <x v="0"/>
    <n v="13233"/>
    <n v="0"/>
    <x v="1510"/>
    <x v="1"/>
    <s v="Tarjeta Crédito Empresarial"/>
    <s v="Tarjeta Crédito"/>
    <s v="Pendiente"/>
  </r>
  <r>
    <x v="318"/>
    <x v="3"/>
    <s v="TX-101513"/>
    <x v="6"/>
    <x v="0"/>
    <x v="7"/>
    <n v="9117.98"/>
    <n v="0"/>
    <x v="1511"/>
    <x v="4"/>
    <s v="Tarjeta Crédito Empresarial"/>
    <s v="Transferencia"/>
    <s v="Pendiente"/>
  </r>
  <r>
    <x v="60"/>
    <x v="3"/>
    <s v="TX-101514"/>
    <x v="15"/>
    <x v="1"/>
    <x v="0"/>
    <n v="4747.47"/>
    <n v="617.16999999999996"/>
    <x v="1512"/>
    <x v="2"/>
    <s v="Cuenta Corriente"/>
    <s v="Tarjeta Crédito"/>
    <s v="Pagado"/>
  </r>
  <r>
    <x v="66"/>
    <x v="10"/>
    <s v="TX-101515"/>
    <x v="2"/>
    <x v="0"/>
    <x v="1"/>
    <n v="10313.06"/>
    <n v="0"/>
    <x v="1513"/>
    <x v="4"/>
    <s v="Tarjeta Crédito Empresarial"/>
    <s v="Transferencia"/>
    <s v="Pendiente"/>
  </r>
  <r>
    <x v="64"/>
    <x v="11"/>
    <s v="TX-101516"/>
    <x v="15"/>
    <x v="0"/>
    <x v="6"/>
    <n v="5745.52"/>
    <n v="0"/>
    <x v="1514"/>
    <x v="1"/>
    <s v="Tarjeta Crédito Empresarial"/>
    <s v="Efectivo"/>
    <s v="Pendiente"/>
  </r>
  <r>
    <x v="147"/>
    <x v="3"/>
    <s v="TX-101517"/>
    <x v="15"/>
    <x v="0"/>
    <x v="6"/>
    <n v="3466.92"/>
    <n v="0"/>
    <x v="1515"/>
    <x v="2"/>
    <s v="Cuenta Ahorros"/>
    <s v="Tarjeta Débito"/>
    <s v="Pagado"/>
  </r>
  <r>
    <x v="120"/>
    <x v="3"/>
    <s v="TX-101518"/>
    <x v="19"/>
    <x v="1"/>
    <x v="1"/>
    <n v="14688.46"/>
    <n v="1909.5"/>
    <x v="1516"/>
    <x v="3"/>
    <s v="Cuenta Corriente"/>
    <s v="Transferencia"/>
    <s v="Pagado"/>
  </r>
  <r>
    <x v="309"/>
    <x v="4"/>
    <s v="TX-101519"/>
    <x v="19"/>
    <x v="1"/>
    <x v="4"/>
    <n v="1234.8699999999999"/>
    <n v="160.53"/>
    <x v="1517"/>
    <x v="1"/>
    <s v="Cuenta Corriente"/>
    <s v="Tarjeta Crédito"/>
    <s v="Pagado"/>
  </r>
  <r>
    <x v="289"/>
    <x v="2"/>
    <s v="TX-101520"/>
    <x v="17"/>
    <x v="1"/>
    <x v="0"/>
    <n v="6171.49"/>
    <n v="802.29"/>
    <x v="1518"/>
    <x v="0"/>
    <s v="Cuenta Corriente"/>
    <s v="Tarjeta Débito"/>
    <s v="Pagado"/>
  </r>
  <r>
    <x v="117"/>
    <x v="8"/>
    <s v="TX-101521"/>
    <x v="19"/>
    <x v="1"/>
    <x v="4"/>
    <n v="8241.68"/>
    <n v="1071.42"/>
    <x v="1519"/>
    <x v="4"/>
    <s v="Cuenta Corriente"/>
    <s v="Transferencia"/>
    <s v="Pagado"/>
  </r>
  <r>
    <x v="211"/>
    <x v="7"/>
    <s v="TX-101522"/>
    <x v="1"/>
    <x v="1"/>
    <x v="4"/>
    <n v="12268.48"/>
    <n v="1594.9"/>
    <x v="1520"/>
    <x v="0"/>
    <s v="Cuenta Corriente"/>
    <s v="Efectivo"/>
    <s v="Pendiente"/>
  </r>
  <r>
    <x v="104"/>
    <x v="9"/>
    <s v="TX-101523"/>
    <x v="14"/>
    <x v="1"/>
    <x v="0"/>
    <n v="11814.28"/>
    <n v="1535.86"/>
    <x v="1521"/>
    <x v="4"/>
    <s v="Cuenta Ahorros"/>
    <s v="Transferencia"/>
    <s v="Pagado"/>
  </r>
  <r>
    <x v="202"/>
    <x v="2"/>
    <s v="TX-101524"/>
    <x v="16"/>
    <x v="1"/>
    <x v="1"/>
    <n v="7062.55"/>
    <n v="918.13"/>
    <x v="1522"/>
    <x v="4"/>
    <s v="Tarjeta Crédito Empresarial"/>
    <s v="Tarjeta Crédito"/>
    <s v="Pendiente"/>
  </r>
  <r>
    <x v="319"/>
    <x v="5"/>
    <s v="TX-101525"/>
    <x v="12"/>
    <x v="0"/>
    <x v="5"/>
    <n v="10667.63"/>
    <n v="0"/>
    <x v="1523"/>
    <x v="4"/>
    <s v="Cuenta Corriente"/>
    <s v="Transferencia"/>
    <s v="Pagado"/>
  </r>
  <r>
    <x v="56"/>
    <x v="11"/>
    <s v="TX-101526"/>
    <x v="16"/>
    <x v="1"/>
    <x v="4"/>
    <n v="6938.55"/>
    <n v="902.01"/>
    <x v="1524"/>
    <x v="1"/>
    <s v="Tarjeta Crédito Empresarial"/>
    <s v="Efectivo"/>
    <s v="Pendiente"/>
  </r>
  <r>
    <x v="59"/>
    <x v="3"/>
    <s v="TX-101527"/>
    <x v="2"/>
    <x v="0"/>
    <x v="4"/>
    <n v="7875.88"/>
    <n v="0"/>
    <x v="1525"/>
    <x v="4"/>
    <s v="Tarjeta Crédito Empresarial"/>
    <s v="Efectivo"/>
    <s v="Pagado"/>
  </r>
  <r>
    <x v="300"/>
    <x v="0"/>
    <s v="TX-101528"/>
    <x v="5"/>
    <x v="1"/>
    <x v="6"/>
    <n v="12637.09"/>
    <n v="1642.82"/>
    <x v="1526"/>
    <x v="0"/>
    <s v="Cuenta Ahorros"/>
    <s v="Efectivo"/>
    <s v="Pendiente"/>
  </r>
  <r>
    <x v="343"/>
    <x v="1"/>
    <s v="TX-101529"/>
    <x v="8"/>
    <x v="1"/>
    <x v="6"/>
    <n v="7333.96"/>
    <n v="953.41"/>
    <x v="1527"/>
    <x v="4"/>
    <s v="Cuenta Ahorros"/>
    <s v="Tarjeta Débito"/>
    <s v="Pendiente"/>
  </r>
  <r>
    <x v="36"/>
    <x v="7"/>
    <s v="TX-101530"/>
    <x v="9"/>
    <x v="0"/>
    <x v="0"/>
    <n v="2177.61"/>
    <n v="0"/>
    <x v="1528"/>
    <x v="1"/>
    <s v="Cuenta Ahorros"/>
    <s v="Efectivo"/>
    <s v="Pendiente"/>
  </r>
  <r>
    <x v="80"/>
    <x v="3"/>
    <s v="TX-101531"/>
    <x v="13"/>
    <x v="0"/>
    <x v="0"/>
    <n v="6976.32"/>
    <n v="0"/>
    <x v="1529"/>
    <x v="3"/>
    <s v="Cuenta Corriente"/>
    <s v="Tarjeta Débito"/>
    <s v="Pagado"/>
  </r>
  <r>
    <x v="115"/>
    <x v="3"/>
    <s v="TX-101532"/>
    <x v="8"/>
    <x v="1"/>
    <x v="6"/>
    <n v="7003.09"/>
    <n v="910.4"/>
    <x v="1530"/>
    <x v="1"/>
    <s v="Cuenta Corriente"/>
    <s v="Tarjeta Crédito"/>
    <s v="Pendiente"/>
  </r>
  <r>
    <x v="281"/>
    <x v="7"/>
    <s v="TX-101533"/>
    <x v="10"/>
    <x v="0"/>
    <x v="2"/>
    <n v="5319.61"/>
    <n v="0"/>
    <x v="1531"/>
    <x v="2"/>
    <s v="Tarjeta Crédito Empresarial"/>
    <s v="Tarjeta Débito"/>
    <s v="Pagado"/>
  </r>
  <r>
    <x v="257"/>
    <x v="7"/>
    <s v="TX-101534"/>
    <x v="14"/>
    <x v="0"/>
    <x v="1"/>
    <n v="419.02"/>
    <n v="0"/>
    <x v="1532"/>
    <x v="0"/>
    <s v="Cuenta Ahorros"/>
    <s v="Transferencia"/>
    <s v="Pendiente"/>
  </r>
  <r>
    <x v="106"/>
    <x v="4"/>
    <s v="TX-101535"/>
    <x v="8"/>
    <x v="0"/>
    <x v="6"/>
    <n v="9345.5"/>
    <n v="0"/>
    <x v="1533"/>
    <x v="2"/>
    <s v="Cuenta Corriente"/>
    <s v="Transferencia"/>
    <s v="Pendiente"/>
  </r>
  <r>
    <x v="48"/>
    <x v="2"/>
    <s v="TX-101536"/>
    <x v="7"/>
    <x v="1"/>
    <x v="2"/>
    <n v="14979.74"/>
    <n v="1947.37"/>
    <x v="1534"/>
    <x v="1"/>
    <s v="Cuenta Ahorros"/>
    <s v="Efectivo"/>
    <s v="Pendiente"/>
  </r>
  <r>
    <x v="95"/>
    <x v="4"/>
    <s v="TX-101537"/>
    <x v="14"/>
    <x v="1"/>
    <x v="2"/>
    <n v="9272.27"/>
    <n v="1205.4000000000001"/>
    <x v="1535"/>
    <x v="1"/>
    <s v="Cuenta Corriente"/>
    <s v="Transferencia"/>
    <s v="Pagado"/>
  </r>
  <r>
    <x v="281"/>
    <x v="7"/>
    <s v="TX-101538"/>
    <x v="10"/>
    <x v="1"/>
    <x v="0"/>
    <n v="6304.72"/>
    <n v="819.61"/>
    <x v="1536"/>
    <x v="1"/>
    <s v="Cuenta Corriente"/>
    <s v="Efectivo"/>
    <s v="Pendiente"/>
  </r>
  <r>
    <x v="68"/>
    <x v="4"/>
    <s v="TX-101539"/>
    <x v="0"/>
    <x v="1"/>
    <x v="5"/>
    <n v="12889.67"/>
    <n v="1675.66"/>
    <x v="1537"/>
    <x v="1"/>
    <s v="Cuenta Corriente"/>
    <s v="Tarjeta Débito"/>
    <s v="Pendiente"/>
  </r>
  <r>
    <x v="151"/>
    <x v="9"/>
    <s v="TX-101540"/>
    <x v="6"/>
    <x v="1"/>
    <x v="2"/>
    <n v="10057.790000000001"/>
    <n v="1307.51"/>
    <x v="1538"/>
    <x v="0"/>
    <s v="Tarjeta Crédito Empresarial"/>
    <s v="Tarjeta Crédito"/>
    <s v="Pendiente"/>
  </r>
  <r>
    <x v="88"/>
    <x v="5"/>
    <s v="TX-101541"/>
    <x v="2"/>
    <x v="0"/>
    <x v="6"/>
    <n v="7924.3"/>
    <n v="0"/>
    <x v="1539"/>
    <x v="0"/>
    <s v="Tarjeta Crédito Empresarial"/>
    <s v="Tarjeta Crédito"/>
    <s v="Pagado"/>
  </r>
  <r>
    <x v="37"/>
    <x v="11"/>
    <s v="TX-101542"/>
    <x v="0"/>
    <x v="0"/>
    <x v="7"/>
    <n v="4119.22"/>
    <n v="0"/>
    <x v="1540"/>
    <x v="2"/>
    <s v="Cuenta Ahorros"/>
    <s v="Efectivo"/>
    <s v="Pagado"/>
  </r>
  <r>
    <x v="197"/>
    <x v="7"/>
    <s v="TX-101543"/>
    <x v="17"/>
    <x v="1"/>
    <x v="5"/>
    <n v="8347.4599999999991"/>
    <n v="1085.17"/>
    <x v="1541"/>
    <x v="4"/>
    <s v="Cuenta Ahorros"/>
    <s v="Tarjeta Débito"/>
    <s v="Pagado"/>
  </r>
  <r>
    <x v="190"/>
    <x v="9"/>
    <s v="TX-101544"/>
    <x v="7"/>
    <x v="0"/>
    <x v="3"/>
    <n v="8520.26"/>
    <n v="0"/>
    <x v="1542"/>
    <x v="3"/>
    <s v="Cuenta Corriente"/>
    <s v="Tarjeta Débito"/>
    <s v="Pendiente"/>
  </r>
  <r>
    <x v="192"/>
    <x v="8"/>
    <s v="TX-101545"/>
    <x v="3"/>
    <x v="1"/>
    <x v="3"/>
    <n v="6118.57"/>
    <n v="795.41"/>
    <x v="1543"/>
    <x v="4"/>
    <s v="Cuenta Ahorros"/>
    <s v="Efectivo"/>
    <s v="Pagado"/>
  </r>
  <r>
    <x v="64"/>
    <x v="11"/>
    <s v="TX-101546"/>
    <x v="8"/>
    <x v="1"/>
    <x v="4"/>
    <n v="3573.45"/>
    <n v="464.55"/>
    <x v="1544"/>
    <x v="1"/>
    <s v="Tarjeta Crédito Empresarial"/>
    <s v="Tarjeta Débito"/>
    <s v="Pendiente"/>
  </r>
  <r>
    <x v="282"/>
    <x v="2"/>
    <s v="TX-101547"/>
    <x v="12"/>
    <x v="0"/>
    <x v="0"/>
    <n v="9178.06"/>
    <n v="0"/>
    <x v="1545"/>
    <x v="2"/>
    <s v="Cuenta Corriente"/>
    <s v="Tarjeta Crédito"/>
    <s v="Pendiente"/>
  </r>
  <r>
    <x v="331"/>
    <x v="1"/>
    <s v="TX-101548"/>
    <x v="1"/>
    <x v="1"/>
    <x v="2"/>
    <n v="11953.1"/>
    <n v="1553.9"/>
    <x v="1546"/>
    <x v="4"/>
    <s v="Tarjeta Crédito Empresarial"/>
    <s v="Efectivo"/>
    <s v="Pendiente"/>
  </r>
  <r>
    <x v="321"/>
    <x v="1"/>
    <s v="TX-101549"/>
    <x v="14"/>
    <x v="1"/>
    <x v="1"/>
    <n v="7094.56"/>
    <n v="922.29"/>
    <x v="1547"/>
    <x v="4"/>
    <s v="Cuenta Ahorros"/>
    <s v="Tarjeta Crédito"/>
    <s v="Pendiente"/>
  </r>
  <r>
    <x v="283"/>
    <x v="1"/>
    <s v="TX-101550"/>
    <x v="0"/>
    <x v="1"/>
    <x v="4"/>
    <n v="4985.62"/>
    <n v="648.13"/>
    <x v="1548"/>
    <x v="0"/>
    <s v="Cuenta Corriente"/>
    <s v="Transferencia"/>
    <s v="Pagado"/>
  </r>
  <r>
    <x v="333"/>
    <x v="10"/>
    <s v="TX-101551"/>
    <x v="14"/>
    <x v="0"/>
    <x v="7"/>
    <n v="1657.7"/>
    <n v="0"/>
    <x v="1549"/>
    <x v="2"/>
    <s v="Tarjeta Crédito Empresarial"/>
    <s v="Transferencia"/>
    <s v="Pendiente"/>
  </r>
  <r>
    <x v="71"/>
    <x v="5"/>
    <s v="TX-101552"/>
    <x v="1"/>
    <x v="0"/>
    <x v="4"/>
    <n v="2403.04"/>
    <n v="0"/>
    <x v="1550"/>
    <x v="0"/>
    <s v="Cuenta Corriente"/>
    <s v="Efectivo"/>
    <s v="Pagado"/>
  </r>
  <r>
    <x v="285"/>
    <x v="5"/>
    <s v="TX-101553"/>
    <x v="10"/>
    <x v="0"/>
    <x v="6"/>
    <n v="9991.8799999999992"/>
    <n v="0"/>
    <x v="1551"/>
    <x v="1"/>
    <s v="Cuenta Ahorros"/>
    <s v="Tarjeta Crédito"/>
    <s v="Pendiente"/>
  </r>
  <r>
    <x v="278"/>
    <x v="9"/>
    <s v="TX-101554"/>
    <x v="7"/>
    <x v="0"/>
    <x v="0"/>
    <n v="11924.15"/>
    <n v="0"/>
    <x v="1552"/>
    <x v="2"/>
    <s v="Cuenta Corriente"/>
    <s v="Tarjeta Débito"/>
    <s v="Pendiente"/>
  </r>
  <r>
    <x v="172"/>
    <x v="2"/>
    <s v="TX-101555"/>
    <x v="14"/>
    <x v="1"/>
    <x v="2"/>
    <n v="928.28"/>
    <n v="120.68"/>
    <x v="1553"/>
    <x v="4"/>
    <s v="Cuenta Corriente"/>
    <s v="Efectivo"/>
    <s v="Pagado"/>
  </r>
  <r>
    <x v="249"/>
    <x v="10"/>
    <s v="TX-101556"/>
    <x v="1"/>
    <x v="0"/>
    <x v="6"/>
    <n v="10331.5"/>
    <n v="0"/>
    <x v="1554"/>
    <x v="4"/>
    <s v="Tarjeta Crédito Empresarial"/>
    <s v="Efectivo"/>
    <s v="Pendiente"/>
  </r>
  <r>
    <x v="116"/>
    <x v="5"/>
    <s v="TX-101557"/>
    <x v="18"/>
    <x v="0"/>
    <x v="0"/>
    <n v="13439.07"/>
    <n v="0"/>
    <x v="1555"/>
    <x v="3"/>
    <s v="Cuenta Ahorros"/>
    <s v="Tarjeta Débito"/>
    <s v="Pendiente"/>
  </r>
  <r>
    <x v="65"/>
    <x v="4"/>
    <s v="TX-101558"/>
    <x v="3"/>
    <x v="1"/>
    <x v="1"/>
    <n v="519.12"/>
    <n v="67.489999999999995"/>
    <x v="1556"/>
    <x v="1"/>
    <s v="Cuenta Corriente"/>
    <s v="Efectivo"/>
    <s v="Pendiente"/>
  </r>
  <r>
    <x v="271"/>
    <x v="5"/>
    <s v="TX-101559"/>
    <x v="8"/>
    <x v="0"/>
    <x v="5"/>
    <n v="12245.93"/>
    <n v="0"/>
    <x v="1557"/>
    <x v="1"/>
    <s v="Tarjeta Crédito Empresarial"/>
    <s v="Tarjeta Crédito"/>
    <s v="Pagado"/>
  </r>
  <r>
    <x v="231"/>
    <x v="9"/>
    <s v="TX-101560"/>
    <x v="14"/>
    <x v="0"/>
    <x v="3"/>
    <n v="1443.58"/>
    <n v="0"/>
    <x v="1558"/>
    <x v="4"/>
    <s v="Cuenta Corriente"/>
    <s v="Tarjeta Débito"/>
    <s v="Pagado"/>
  </r>
  <r>
    <x v="331"/>
    <x v="1"/>
    <s v="TX-101561"/>
    <x v="17"/>
    <x v="1"/>
    <x v="5"/>
    <n v="6297.16"/>
    <n v="818.63"/>
    <x v="1559"/>
    <x v="2"/>
    <s v="Tarjeta Crédito Empresarial"/>
    <s v="Tarjeta Crédito"/>
    <s v="Pendiente"/>
  </r>
  <r>
    <x v="307"/>
    <x v="11"/>
    <s v="TX-101562"/>
    <x v="10"/>
    <x v="1"/>
    <x v="7"/>
    <n v="11584.94"/>
    <n v="1506.04"/>
    <x v="1560"/>
    <x v="4"/>
    <s v="Cuenta Corriente"/>
    <s v="Tarjeta Débito"/>
    <s v="Pendiente"/>
  </r>
  <r>
    <x v="34"/>
    <x v="1"/>
    <s v="TX-101563"/>
    <x v="4"/>
    <x v="0"/>
    <x v="0"/>
    <n v="6552.32"/>
    <n v="0"/>
    <x v="1561"/>
    <x v="1"/>
    <s v="Tarjeta Crédito Empresarial"/>
    <s v="Tarjeta Crédito"/>
    <s v="Pendiente"/>
  </r>
  <r>
    <x v="91"/>
    <x v="6"/>
    <s v="TX-101564"/>
    <x v="9"/>
    <x v="0"/>
    <x v="1"/>
    <n v="6139.68"/>
    <n v="0"/>
    <x v="1562"/>
    <x v="3"/>
    <s v="Cuenta Ahorros"/>
    <s v="Efectivo"/>
    <s v="Pendiente"/>
  </r>
  <r>
    <x v="73"/>
    <x v="6"/>
    <s v="TX-101565"/>
    <x v="3"/>
    <x v="1"/>
    <x v="7"/>
    <n v="4007.27"/>
    <n v="520.95000000000005"/>
    <x v="1563"/>
    <x v="3"/>
    <s v="Cuenta Corriente"/>
    <s v="Tarjeta Crédito"/>
    <s v="Pendiente"/>
  </r>
  <r>
    <x v="148"/>
    <x v="8"/>
    <s v="TX-101566"/>
    <x v="10"/>
    <x v="1"/>
    <x v="1"/>
    <n v="3365.92"/>
    <n v="437.57"/>
    <x v="1564"/>
    <x v="4"/>
    <s v="Cuenta Ahorros"/>
    <s v="Transferencia"/>
    <s v="Pendiente"/>
  </r>
  <r>
    <x v="7"/>
    <x v="6"/>
    <s v="TX-101567"/>
    <x v="1"/>
    <x v="0"/>
    <x v="3"/>
    <n v="294.33"/>
    <n v="0"/>
    <x v="1565"/>
    <x v="2"/>
    <s v="Tarjeta Crédito Empresarial"/>
    <s v="Transferencia"/>
    <s v="Pendiente"/>
  </r>
  <r>
    <x v="180"/>
    <x v="3"/>
    <s v="TX-101568"/>
    <x v="11"/>
    <x v="0"/>
    <x v="2"/>
    <n v="12835.75"/>
    <n v="0"/>
    <x v="1566"/>
    <x v="0"/>
    <s v="Tarjeta Crédito Empresarial"/>
    <s v="Tarjeta Crédito"/>
    <s v="Pagado"/>
  </r>
  <r>
    <x v="175"/>
    <x v="4"/>
    <s v="TX-101569"/>
    <x v="0"/>
    <x v="0"/>
    <x v="2"/>
    <n v="4965.18"/>
    <n v="0"/>
    <x v="1567"/>
    <x v="1"/>
    <s v="Cuenta Corriente"/>
    <s v="Transferencia"/>
    <s v="Pagado"/>
  </r>
  <r>
    <x v="302"/>
    <x v="8"/>
    <s v="TX-101570"/>
    <x v="16"/>
    <x v="0"/>
    <x v="4"/>
    <n v="6262.86"/>
    <n v="0"/>
    <x v="1568"/>
    <x v="4"/>
    <s v="Tarjeta Crédito Empresarial"/>
    <s v="Tarjeta Débito"/>
    <s v="Pendiente"/>
  </r>
  <r>
    <x v="83"/>
    <x v="2"/>
    <s v="TX-101571"/>
    <x v="9"/>
    <x v="0"/>
    <x v="2"/>
    <n v="1189.58"/>
    <n v="0"/>
    <x v="1569"/>
    <x v="3"/>
    <s v="Cuenta Corriente"/>
    <s v="Tarjeta Débito"/>
    <s v="Pagado"/>
  </r>
  <r>
    <x v="307"/>
    <x v="11"/>
    <s v="TX-101572"/>
    <x v="16"/>
    <x v="1"/>
    <x v="7"/>
    <n v="5096.07"/>
    <n v="662.49"/>
    <x v="1570"/>
    <x v="0"/>
    <s v="Cuenta Ahorros"/>
    <s v="Transferencia"/>
    <s v="Pendiente"/>
  </r>
  <r>
    <x v="133"/>
    <x v="3"/>
    <s v="TX-101573"/>
    <x v="18"/>
    <x v="0"/>
    <x v="2"/>
    <n v="5330.94"/>
    <n v="0"/>
    <x v="1571"/>
    <x v="4"/>
    <s v="Tarjeta Crédito Empresarial"/>
    <s v="Tarjeta Crédito"/>
    <s v="Pagado"/>
  </r>
  <r>
    <x v="304"/>
    <x v="11"/>
    <s v="TX-101574"/>
    <x v="1"/>
    <x v="1"/>
    <x v="5"/>
    <n v="5164.41"/>
    <n v="671.37"/>
    <x v="1572"/>
    <x v="0"/>
    <s v="Cuenta Corriente"/>
    <s v="Efectivo"/>
    <s v="Pendiente"/>
  </r>
  <r>
    <x v="247"/>
    <x v="11"/>
    <s v="TX-101575"/>
    <x v="3"/>
    <x v="0"/>
    <x v="3"/>
    <n v="1598.36"/>
    <n v="0"/>
    <x v="1573"/>
    <x v="1"/>
    <s v="Cuenta Corriente"/>
    <s v="Tarjeta Débito"/>
    <s v="Pagado"/>
  </r>
  <r>
    <x v="328"/>
    <x v="11"/>
    <s v="TX-101576"/>
    <x v="2"/>
    <x v="1"/>
    <x v="0"/>
    <n v="12525.94"/>
    <n v="1628.37"/>
    <x v="1574"/>
    <x v="0"/>
    <s v="Cuenta Ahorros"/>
    <s v="Efectivo"/>
    <s v="Pendiente"/>
  </r>
  <r>
    <x v="342"/>
    <x v="1"/>
    <s v="TX-101577"/>
    <x v="12"/>
    <x v="1"/>
    <x v="1"/>
    <n v="6821"/>
    <n v="886.73"/>
    <x v="1575"/>
    <x v="0"/>
    <s v="Cuenta Ahorros"/>
    <s v="Transferencia"/>
    <s v="Pendiente"/>
  </r>
  <r>
    <x v="113"/>
    <x v="0"/>
    <s v="TX-101578"/>
    <x v="7"/>
    <x v="1"/>
    <x v="6"/>
    <n v="12937"/>
    <n v="1681.81"/>
    <x v="1576"/>
    <x v="4"/>
    <s v="Cuenta Corriente"/>
    <s v="Transferencia"/>
    <s v="Pagado"/>
  </r>
  <r>
    <x v="321"/>
    <x v="1"/>
    <s v="TX-101579"/>
    <x v="13"/>
    <x v="0"/>
    <x v="2"/>
    <n v="9392.9500000000007"/>
    <n v="0"/>
    <x v="1577"/>
    <x v="2"/>
    <s v="Cuenta Corriente"/>
    <s v="Tarjeta Crédito"/>
    <s v="Pendiente"/>
  </r>
  <r>
    <x v="41"/>
    <x v="5"/>
    <s v="TX-101580"/>
    <x v="10"/>
    <x v="1"/>
    <x v="1"/>
    <n v="14088.78"/>
    <n v="1831.54"/>
    <x v="1578"/>
    <x v="4"/>
    <s v="Tarjeta Crédito Empresarial"/>
    <s v="Tarjeta Crédito"/>
    <s v="Pendiente"/>
  </r>
  <r>
    <x v="132"/>
    <x v="11"/>
    <s v="TX-101581"/>
    <x v="9"/>
    <x v="0"/>
    <x v="3"/>
    <n v="14720.59"/>
    <n v="0"/>
    <x v="1579"/>
    <x v="2"/>
    <s v="Cuenta Corriente"/>
    <s v="Efectivo"/>
    <s v="Pendiente"/>
  </r>
  <r>
    <x v="351"/>
    <x v="9"/>
    <s v="TX-101582"/>
    <x v="7"/>
    <x v="1"/>
    <x v="1"/>
    <n v="14719.75"/>
    <n v="1913.57"/>
    <x v="1580"/>
    <x v="4"/>
    <s v="Tarjeta Crédito Empresarial"/>
    <s v="Transferencia"/>
    <s v="Pagado"/>
  </r>
  <r>
    <x v="32"/>
    <x v="9"/>
    <s v="TX-101583"/>
    <x v="3"/>
    <x v="1"/>
    <x v="2"/>
    <n v="14620.85"/>
    <n v="1900.71"/>
    <x v="1581"/>
    <x v="2"/>
    <s v="Cuenta Corriente"/>
    <s v="Tarjeta Débito"/>
    <s v="Pagado"/>
  </r>
  <r>
    <x v="255"/>
    <x v="10"/>
    <s v="TX-101584"/>
    <x v="5"/>
    <x v="1"/>
    <x v="4"/>
    <n v="4706.75"/>
    <n v="611.88"/>
    <x v="1582"/>
    <x v="0"/>
    <s v="Cuenta Corriente"/>
    <s v="Tarjeta Crédito"/>
    <s v="Pendiente"/>
  </r>
  <r>
    <x v="49"/>
    <x v="8"/>
    <s v="TX-101585"/>
    <x v="15"/>
    <x v="1"/>
    <x v="4"/>
    <n v="13786.63"/>
    <n v="1792.26"/>
    <x v="1583"/>
    <x v="3"/>
    <s v="Tarjeta Crédito Empresarial"/>
    <s v="Tarjeta Crédito"/>
    <s v="Pendiente"/>
  </r>
  <r>
    <x v="226"/>
    <x v="10"/>
    <s v="TX-101586"/>
    <x v="14"/>
    <x v="1"/>
    <x v="2"/>
    <n v="14237.31"/>
    <n v="1850.85"/>
    <x v="1584"/>
    <x v="3"/>
    <s v="Cuenta Corriente"/>
    <s v="Efectivo"/>
    <s v="Pagado"/>
  </r>
  <r>
    <x v="82"/>
    <x v="10"/>
    <s v="TX-101587"/>
    <x v="8"/>
    <x v="0"/>
    <x v="2"/>
    <n v="4001.02"/>
    <n v="0"/>
    <x v="1585"/>
    <x v="0"/>
    <s v="Cuenta Corriente"/>
    <s v="Transferencia"/>
    <s v="Pendiente"/>
  </r>
  <r>
    <x v="271"/>
    <x v="5"/>
    <s v="TX-101588"/>
    <x v="14"/>
    <x v="1"/>
    <x v="1"/>
    <n v="7081.22"/>
    <n v="920.56"/>
    <x v="1586"/>
    <x v="4"/>
    <s v="Cuenta Corriente"/>
    <s v="Tarjeta Débito"/>
    <s v="Pendiente"/>
  </r>
  <r>
    <x v="35"/>
    <x v="4"/>
    <s v="TX-101589"/>
    <x v="11"/>
    <x v="0"/>
    <x v="0"/>
    <n v="7415.16"/>
    <n v="0"/>
    <x v="1587"/>
    <x v="3"/>
    <s v="Cuenta Ahorros"/>
    <s v="Tarjeta Débito"/>
    <s v="Pendiente"/>
  </r>
  <r>
    <x v="82"/>
    <x v="10"/>
    <s v="TX-101590"/>
    <x v="11"/>
    <x v="0"/>
    <x v="6"/>
    <n v="2086.35"/>
    <n v="0"/>
    <x v="1588"/>
    <x v="1"/>
    <s v="Tarjeta Crédito Empresarial"/>
    <s v="Tarjeta Crédito"/>
    <s v="Pendiente"/>
  </r>
  <r>
    <x v="72"/>
    <x v="6"/>
    <s v="TX-101591"/>
    <x v="19"/>
    <x v="1"/>
    <x v="3"/>
    <n v="3862.24"/>
    <n v="502.09"/>
    <x v="1589"/>
    <x v="1"/>
    <s v="Cuenta Corriente"/>
    <s v="Transferencia"/>
    <s v="Pendiente"/>
  </r>
  <r>
    <x v="248"/>
    <x v="10"/>
    <s v="TX-101592"/>
    <x v="9"/>
    <x v="1"/>
    <x v="5"/>
    <n v="12225.97"/>
    <n v="1589.38"/>
    <x v="1590"/>
    <x v="3"/>
    <s v="Tarjeta Crédito Empresarial"/>
    <s v="Tarjeta Débito"/>
    <s v="Pagado"/>
  </r>
  <r>
    <x v="126"/>
    <x v="5"/>
    <s v="TX-101593"/>
    <x v="5"/>
    <x v="1"/>
    <x v="1"/>
    <n v="10982.22"/>
    <n v="1427.69"/>
    <x v="1591"/>
    <x v="1"/>
    <s v="Cuenta Corriente"/>
    <s v="Tarjeta Débito"/>
    <s v="Pendiente"/>
  </r>
  <r>
    <x v="241"/>
    <x v="5"/>
    <s v="TX-101594"/>
    <x v="19"/>
    <x v="1"/>
    <x v="0"/>
    <n v="10772.69"/>
    <n v="1400.45"/>
    <x v="1592"/>
    <x v="3"/>
    <s v="Cuenta Ahorros"/>
    <s v="Transferencia"/>
    <s v="Pendiente"/>
  </r>
  <r>
    <x v="40"/>
    <x v="2"/>
    <s v="TX-101595"/>
    <x v="6"/>
    <x v="1"/>
    <x v="5"/>
    <n v="10878.5"/>
    <n v="1414.21"/>
    <x v="1593"/>
    <x v="2"/>
    <s v="Cuenta Ahorros"/>
    <s v="Efectivo"/>
    <s v="Pendiente"/>
  </r>
  <r>
    <x v="129"/>
    <x v="9"/>
    <s v="TX-101596"/>
    <x v="13"/>
    <x v="1"/>
    <x v="5"/>
    <n v="3141.38"/>
    <n v="408.38"/>
    <x v="1594"/>
    <x v="4"/>
    <s v="Tarjeta Crédito Empresarial"/>
    <s v="Tarjeta Débito"/>
    <s v="Pendiente"/>
  </r>
  <r>
    <x v="192"/>
    <x v="8"/>
    <s v="TX-101597"/>
    <x v="17"/>
    <x v="0"/>
    <x v="1"/>
    <n v="3819.06"/>
    <n v="0"/>
    <x v="1595"/>
    <x v="1"/>
    <s v="Cuenta Corriente"/>
    <s v="Transferencia"/>
    <s v="Pagado"/>
  </r>
  <r>
    <x v="156"/>
    <x v="4"/>
    <s v="TX-101598"/>
    <x v="4"/>
    <x v="0"/>
    <x v="0"/>
    <n v="6230.39"/>
    <n v="0"/>
    <x v="1596"/>
    <x v="4"/>
    <s v="Cuenta Ahorros"/>
    <s v="Tarjeta Crédito"/>
    <s v="Pagado"/>
  </r>
  <r>
    <x v="165"/>
    <x v="9"/>
    <s v="TX-101599"/>
    <x v="10"/>
    <x v="0"/>
    <x v="2"/>
    <n v="8817.94"/>
    <n v="0"/>
    <x v="1597"/>
    <x v="2"/>
    <s v="Tarjeta Crédito Empresarial"/>
    <s v="Tarjeta Débito"/>
    <s v="Pendiente"/>
  </r>
  <r>
    <x v="137"/>
    <x v="11"/>
    <s v="TX-101600"/>
    <x v="9"/>
    <x v="0"/>
    <x v="3"/>
    <n v="4081.11"/>
    <n v="0"/>
    <x v="1598"/>
    <x v="4"/>
    <s v="Cuenta Ahorros"/>
    <s v="Tarjeta Débito"/>
    <s v="Pagado"/>
  </r>
  <r>
    <x v="191"/>
    <x v="10"/>
    <s v="TX-101601"/>
    <x v="6"/>
    <x v="0"/>
    <x v="0"/>
    <n v="14798.07"/>
    <n v="0"/>
    <x v="1599"/>
    <x v="0"/>
    <s v="Tarjeta Crédito Empresarial"/>
    <s v="Tarjeta Débito"/>
    <s v="Pagado"/>
  </r>
  <r>
    <x v="254"/>
    <x v="5"/>
    <s v="TX-101602"/>
    <x v="8"/>
    <x v="0"/>
    <x v="2"/>
    <n v="4113.59"/>
    <n v="0"/>
    <x v="1600"/>
    <x v="0"/>
    <s v="Cuenta Ahorros"/>
    <s v="Efectivo"/>
    <s v="Pagado"/>
  </r>
  <r>
    <x v="65"/>
    <x v="4"/>
    <s v="TX-101603"/>
    <x v="19"/>
    <x v="1"/>
    <x v="0"/>
    <n v="13486.7"/>
    <n v="1753.27"/>
    <x v="1601"/>
    <x v="4"/>
    <s v="Tarjeta Crédito Empresarial"/>
    <s v="Tarjeta Débito"/>
    <s v="Pendiente"/>
  </r>
  <r>
    <x v="17"/>
    <x v="10"/>
    <s v="TX-101604"/>
    <x v="14"/>
    <x v="1"/>
    <x v="6"/>
    <n v="11538.97"/>
    <n v="1500.07"/>
    <x v="1602"/>
    <x v="1"/>
    <s v="Tarjeta Crédito Empresarial"/>
    <s v="Tarjeta Crédito"/>
    <s v="Pagado"/>
  </r>
  <r>
    <x v="89"/>
    <x v="8"/>
    <s v="TX-101605"/>
    <x v="12"/>
    <x v="1"/>
    <x v="2"/>
    <n v="11002.65"/>
    <n v="1430.34"/>
    <x v="1603"/>
    <x v="2"/>
    <s v="Tarjeta Crédito Empresarial"/>
    <s v="Tarjeta Crédito"/>
    <s v="Pagado"/>
  </r>
  <r>
    <x v="99"/>
    <x v="6"/>
    <s v="TX-101606"/>
    <x v="2"/>
    <x v="0"/>
    <x v="2"/>
    <n v="5729.83"/>
    <n v="0"/>
    <x v="1604"/>
    <x v="4"/>
    <s v="Cuenta Corriente"/>
    <s v="Tarjeta Crédito"/>
    <s v="Pagado"/>
  </r>
  <r>
    <x v="136"/>
    <x v="11"/>
    <s v="TX-101607"/>
    <x v="8"/>
    <x v="0"/>
    <x v="0"/>
    <n v="8010.67"/>
    <n v="0"/>
    <x v="1605"/>
    <x v="4"/>
    <s v="Cuenta Ahorros"/>
    <s v="Transferencia"/>
    <s v="Pagado"/>
  </r>
  <r>
    <x v="125"/>
    <x v="1"/>
    <s v="TX-101608"/>
    <x v="19"/>
    <x v="1"/>
    <x v="0"/>
    <n v="6190.49"/>
    <n v="804.76"/>
    <x v="1606"/>
    <x v="4"/>
    <s v="Cuenta Ahorros"/>
    <s v="Efectivo"/>
    <s v="Pagado"/>
  </r>
  <r>
    <x v="204"/>
    <x v="7"/>
    <s v="TX-101609"/>
    <x v="11"/>
    <x v="0"/>
    <x v="5"/>
    <n v="3349.95"/>
    <n v="0"/>
    <x v="1607"/>
    <x v="4"/>
    <s v="Cuenta Ahorros"/>
    <s v="Transferencia"/>
    <s v="Pagado"/>
  </r>
  <r>
    <x v="310"/>
    <x v="6"/>
    <s v="TX-101610"/>
    <x v="10"/>
    <x v="0"/>
    <x v="2"/>
    <n v="14870.17"/>
    <n v="0"/>
    <x v="1608"/>
    <x v="0"/>
    <s v="Cuenta Ahorros"/>
    <s v="Tarjeta Débito"/>
    <s v="Pagado"/>
  </r>
  <r>
    <x v="360"/>
    <x v="6"/>
    <s v="TX-101611"/>
    <x v="12"/>
    <x v="1"/>
    <x v="2"/>
    <n v="12090.97"/>
    <n v="1571.83"/>
    <x v="1609"/>
    <x v="0"/>
    <s v="Tarjeta Crédito Empresarial"/>
    <s v="Tarjeta Débito"/>
    <s v="Pagado"/>
  </r>
  <r>
    <x v="56"/>
    <x v="11"/>
    <s v="TX-101612"/>
    <x v="17"/>
    <x v="1"/>
    <x v="1"/>
    <n v="13897.11"/>
    <n v="1806.62"/>
    <x v="1610"/>
    <x v="4"/>
    <s v="Cuenta Ahorros"/>
    <s v="Tarjeta Crédito"/>
    <s v="Pagado"/>
  </r>
  <r>
    <x v="241"/>
    <x v="5"/>
    <s v="TX-101613"/>
    <x v="11"/>
    <x v="1"/>
    <x v="4"/>
    <n v="51.39"/>
    <n v="6.68"/>
    <x v="1611"/>
    <x v="2"/>
    <s v="Cuenta Ahorros"/>
    <s v="Efectivo"/>
    <s v="Pagado"/>
  </r>
  <r>
    <x v="306"/>
    <x v="2"/>
    <s v="TX-101614"/>
    <x v="1"/>
    <x v="1"/>
    <x v="4"/>
    <n v="2928.54"/>
    <n v="380.71"/>
    <x v="1612"/>
    <x v="4"/>
    <s v="Tarjeta Crédito Empresarial"/>
    <s v="Transferencia"/>
    <s v="Pagado"/>
  </r>
  <r>
    <x v="361"/>
    <x v="0"/>
    <s v="TX-101615"/>
    <x v="5"/>
    <x v="1"/>
    <x v="5"/>
    <n v="4460.25"/>
    <n v="579.83000000000004"/>
    <x v="1613"/>
    <x v="1"/>
    <s v="Cuenta Corriente"/>
    <s v="Tarjeta Débito"/>
    <s v="Pagado"/>
  </r>
  <r>
    <x v="192"/>
    <x v="8"/>
    <s v="TX-101616"/>
    <x v="5"/>
    <x v="0"/>
    <x v="4"/>
    <n v="12529.46"/>
    <n v="0"/>
    <x v="1614"/>
    <x v="4"/>
    <s v="Tarjeta Crédito Empresarial"/>
    <s v="Transferencia"/>
    <s v="Pagado"/>
  </r>
  <r>
    <x v="322"/>
    <x v="11"/>
    <s v="TX-101617"/>
    <x v="7"/>
    <x v="1"/>
    <x v="5"/>
    <n v="5649.31"/>
    <n v="734.41"/>
    <x v="1615"/>
    <x v="4"/>
    <s v="Tarjeta Crédito Empresarial"/>
    <s v="Efectivo"/>
    <s v="Pagado"/>
  </r>
  <r>
    <x v="98"/>
    <x v="0"/>
    <s v="TX-101618"/>
    <x v="14"/>
    <x v="1"/>
    <x v="2"/>
    <n v="2348.41"/>
    <n v="305.29000000000002"/>
    <x v="1616"/>
    <x v="1"/>
    <s v="Cuenta Corriente"/>
    <s v="Tarjeta Débito"/>
    <s v="Pendiente"/>
  </r>
  <r>
    <x v="89"/>
    <x v="8"/>
    <s v="TX-101619"/>
    <x v="13"/>
    <x v="1"/>
    <x v="0"/>
    <n v="14306.59"/>
    <n v="1859.86"/>
    <x v="1617"/>
    <x v="4"/>
    <s v="Tarjeta Crédito Empresarial"/>
    <s v="Efectivo"/>
    <s v="Pendiente"/>
  </r>
  <r>
    <x v="92"/>
    <x v="4"/>
    <s v="TX-101620"/>
    <x v="17"/>
    <x v="1"/>
    <x v="1"/>
    <n v="2984.23"/>
    <n v="387.95"/>
    <x v="1618"/>
    <x v="1"/>
    <s v="Tarjeta Crédito Empresarial"/>
    <s v="Efectivo"/>
    <s v="Pagado"/>
  </r>
  <r>
    <x v="173"/>
    <x v="11"/>
    <s v="TX-101621"/>
    <x v="14"/>
    <x v="1"/>
    <x v="0"/>
    <n v="11068.2"/>
    <n v="1438.87"/>
    <x v="1619"/>
    <x v="3"/>
    <s v="Tarjeta Crédito Empresarial"/>
    <s v="Efectivo"/>
    <s v="Pendiente"/>
  </r>
  <r>
    <x v="124"/>
    <x v="4"/>
    <s v="TX-101622"/>
    <x v="0"/>
    <x v="1"/>
    <x v="0"/>
    <n v="11994.2"/>
    <n v="1559.25"/>
    <x v="1620"/>
    <x v="3"/>
    <s v="Tarjeta Crédito Empresarial"/>
    <s v="Transferencia"/>
    <s v="Pagado"/>
  </r>
  <r>
    <x v="255"/>
    <x v="10"/>
    <s v="TX-101623"/>
    <x v="3"/>
    <x v="1"/>
    <x v="4"/>
    <n v="3954.05"/>
    <n v="514.03"/>
    <x v="1621"/>
    <x v="4"/>
    <s v="Cuenta Corriente"/>
    <s v="Transferencia"/>
    <s v="Pendiente"/>
  </r>
  <r>
    <x v="234"/>
    <x v="0"/>
    <s v="TX-101624"/>
    <x v="12"/>
    <x v="1"/>
    <x v="0"/>
    <n v="10496.69"/>
    <n v="1364.57"/>
    <x v="1622"/>
    <x v="0"/>
    <s v="Cuenta Corriente"/>
    <s v="Efectivo"/>
    <s v="Pagado"/>
  </r>
  <r>
    <x v="350"/>
    <x v="5"/>
    <s v="TX-101625"/>
    <x v="4"/>
    <x v="1"/>
    <x v="6"/>
    <n v="6940.44"/>
    <n v="902.26"/>
    <x v="1623"/>
    <x v="2"/>
    <s v="Cuenta Ahorros"/>
    <s v="Transferencia"/>
    <s v="Pagado"/>
  </r>
  <r>
    <x v="282"/>
    <x v="2"/>
    <s v="TX-101626"/>
    <x v="0"/>
    <x v="1"/>
    <x v="1"/>
    <n v="1300.33"/>
    <n v="169.04"/>
    <x v="1624"/>
    <x v="0"/>
    <s v="Cuenta Corriente"/>
    <s v="Transferencia"/>
    <s v="Pagado"/>
  </r>
  <r>
    <x v="263"/>
    <x v="6"/>
    <s v="TX-101627"/>
    <x v="18"/>
    <x v="0"/>
    <x v="6"/>
    <n v="905.85"/>
    <n v="0"/>
    <x v="1625"/>
    <x v="0"/>
    <s v="Cuenta Corriente"/>
    <s v="Tarjeta Débito"/>
    <s v="Pendiente"/>
  </r>
  <r>
    <x v="267"/>
    <x v="4"/>
    <s v="TX-101628"/>
    <x v="7"/>
    <x v="1"/>
    <x v="4"/>
    <n v="11300.31"/>
    <n v="1469.04"/>
    <x v="1626"/>
    <x v="4"/>
    <s v="Cuenta Corriente"/>
    <s v="Tarjeta Débito"/>
    <s v="Pendiente"/>
  </r>
  <r>
    <x v="156"/>
    <x v="4"/>
    <s v="TX-101629"/>
    <x v="13"/>
    <x v="1"/>
    <x v="5"/>
    <n v="2677.09"/>
    <n v="348.02"/>
    <x v="1627"/>
    <x v="0"/>
    <s v="Tarjeta Crédito Empresarial"/>
    <s v="Transferencia"/>
    <s v="Pendiente"/>
  </r>
  <r>
    <x v="125"/>
    <x v="1"/>
    <s v="TX-101630"/>
    <x v="13"/>
    <x v="1"/>
    <x v="3"/>
    <n v="7036.33"/>
    <n v="914.72"/>
    <x v="1628"/>
    <x v="0"/>
    <s v="Cuenta Corriente"/>
    <s v="Transferencia"/>
    <s v="Pendiente"/>
  </r>
  <r>
    <x v="138"/>
    <x v="11"/>
    <s v="TX-101631"/>
    <x v="15"/>
    <x v="0"/>
    <x v="6"/>
    <n v="1375.89"/>
    <n v="0"/>
    <x v="1629"/>
    <x v="2"/>
    <s v="Tarjeta Crédito Empresarial"/>
    <s v="Tarjeta Débito"/>
    <s v="Pendiente"/>
  </r>
  <r>
    <x v="184"/>
    <x v="4"/>
    <s v="TX-101632"/>
    <x v="2"/>
    <x v="1"/>
    <x v="0"/>
    <n v="6223.94"/>
    <n v="809.11"/>
    <x v="1630"/>
    <x v="0"/>
    <s v="Cuenta Corriente"/>
    <s v="Tarjeta Crédito"/>
    <s v="Pendiente"/>
  </r>
  <r>
    <x v="54"/>
    <x v="3"/>
    <s v="TX-101633"/>
    <x v="3"/>
    <x v="0"/>
    <x v="5"/>
    <n v="11787.84"/>
    <n v="0"/>
    <x v="1631"/>
    <x v="3"/>
    <s v="Tarjeta Crédito Empresarial"/>
    <s v="Transferencia"/>
    <s v="Pendiente"/>
  </r>
  <r>
    <x v="97"/>
    <x v="6"/>
    <s v="TX-101634"/>
    <x v="15"/>
    <x v="1"/>
    <x v="0"/>
    <n v="6182.24"/>
    <n v="803.69"/>
    <x v="1632"/>
    <x v="0"/>
    <s v="Cuenta Ahorros"/>
    <s v="Tarjeta Crédito"/>
    <s v="Pagado"/>
  </r>
  <r>
    <x v="169"/>
    <x v="1"/>
    <s v="TX-101635"/>
    <x v="14"/>
    <x v="1"/>
    <x v="1"/>
    <n v="4053.77"/>
    <n v="526.99"/>
    <x v="1633"/>
    <x v="3"/>
    <s v="Cuenta Ahorros"/>
    <s v="Tarjeta Crédito"/>
    <s v="Pagado"/>
  </r>
  <r>
    <x v="19"/>
    <x v="8"/>
    <s v="TX-101636"/>
    <x v="9"/>
    <x v="0"/>
    <x v="5"/>
    <n v="8234.7900000000009"/>
    <n v="0"/>
    <x v="1634"/>
    <x v="1"/>
    <s v="Cuenta Corriente"/>
    <s v="Tarjeta Débito"/>
    <s v="Pendiente"/>
  </r>
  <r>
    <x v="83"/>
    <x v="2"/>
    <s v="TX-101637"/>
    <x v="11"/>
    <x v="1"/>
    <x v="3"/>
    <n v="4053.6"/>
    <n v="526.97"/>
    <x v="1635"/>
    <x v="3"/>
    <s v="Cuenta Corriente"/>
    <s v="Efectivo"/>
    <s v="Pendiente"/>
  </r>
  <r>
    <x v="308"/>
    <x v="1"/>
    <s v="TX-101638"/>
    <x v="11"/>
    <x v="0"/>
    <x v="3"/>
    <n v="4498.92"/>
    <n v="0"/>
    <x v="1636"/>
    <x v="4"/>
    <s v="Cuenta Ahorros"/>
    <s v="Tarjeta Débito"/>
    <s v="Pendiente"/>
  </r>
  <r>
    <x v="242"/>
    <x v="4"/>
    <s v="TX-101639"/>
    <x v="12"/>
    <x v="1"/>
    <x v="4"/>
    <n v="14413.57"/>
    <n v="1873.76"/>
    <x v="1637"/>
    <x v="3"/>
    <s v="Cuenta Ahorros"/>
    <s v="Transferencia"/>
    <s v="Pendiente"/>
  </r>
  <r>
    <x v="86"/>
    <x v="3"/>
    <s v="TX-101640"/>
    <x v="7"/>
    <x v="1"/>
    <x v="6"/>
    <n v="14194.82"/>
    <n v="1845.33"/>
    <x v="1638"/>
    <x v="2"/>
    <s v="Cuenta Corriente"/>
    <s v="Tarjeta Débito"/>
    <s v="Pendiente"/>
  </r>
  <r>
    <x v="265"/>
    <x v="1"/>
    <s v="TX-101641"/>
    <x v="3"/>
    <x v="0"/>
    <x v="5"/>
    <n v="4442.8"/>
    <n v="0"/>
    <x v="1639"/>
    <x v="3"/>
    <s v="Cuenta Ahorros"/>
    <s v="Efectivo"/>
    <s v="Pendiente"/>
  </r>
  <r>
    <x v="98"/>
    <x v="0"/>
    <s v="TX-101642"/>
    <x v="17"/>
    <x v="0"/>
    <x v="1"/>
    <n v="11591.95"/>
    <n v="0"/>
    <x v="1640"/>
    <x v="2"/>
    <s v="Cuenta Corriente"/>
    <s v="Tarjeta Débito"/>
    <s v="Pendiente"/>
  </r>
  <r>
    <x v="277"/>
    <x v="9"/>
    <s v="TX-101643"/>
    <x v="16"/>
    <x v="0"/>
    <x v="1"/>
    <n v="10121.48"/>
    <n v="0"/>
    <x v="1641"/>
    <x v="3"/>
    <s v="Cuenta Ahorros"/>
    <s v="Transferencia"/>
    <s v="Pendiente"/>
  </r>
  <r>
    <x v="58"/>
    <x v="9"/>
    <s v="TX-101644"/>
    <x v="5"/>
    <x v="1"/>
    <x v="0"/>
    <n v="14547.49"/>
    <n v="1891.17"/>
    <x v="1642"/>
    <x v="4"/>
    <s v="Tarjeta Crédito Empresarial"/>
    <s v="Tarjeta Crédito"/>
    <s v="Pendiente"/>
  </r>
  <r>
    <x v="10"/>
    <x v="0"/>
    <s v="TX-101645"/>
    <x v="15"/>
    <x v="1"/>
    <x v="5"/>
    <n v="12098.92"/>
    <n v="1572.86"/>
    <x v="1643"/>
    <x v="3"/>
    <s v="Tarjeta Crédito Empresarial"/>
    <s v="Efectivo"/>
    <s v="Pendiente"/>
  </r>
  <r>
    <x v="10"/>
    <x v="0"/>
    <s v="TX-101646"/>
    <x v="11"/>
    <x v="1"/>
    <x v="0"/>
    <n v="3654.39"/>
    <n v="475.07"/>
    <x v="1644"/>
    <x v="4"/>
    <s v="Cuenta Ahorros"/>
    <s v="Tarjeta Débito"/>
    <s v="Pagado"/>
  </r>
  <r>
    <x v="217"/>
    <x v="1"/>
    <s v="TX-101647"/>
    <x v="8"/>
    <x v="1"/>
    <x v="1"/>
    <n v="13241.62"/>
    <n v="1721.41"/>
    <x v="1645"/>
    <x v="3"/>
    <s v="Cuenta Corriente"/>
    <s v="Efectivo"/>
    <s v="Pendiente"/>
  </r>
  <r>
    <x v="227"/>
    <x v="11"/>
    <s v="TX-101648"/>
    <x v="18"/>
    <x v="0"/>
    <x v="3"/>
    <n v="11694.75"/>
    <n v="0"/>
    <x v="1646"/>
    <x v="3"/>
    <s v="Cuenta Corriente"/>
    <s v="Tarjeta Débito"/>
    <s v="Pagado"/>
  </r>
  <r>
    <x v="159"/>
    <x v="0"/>
    <s v="TX-101649"/>
    <x v="0"/>
    <x v="1"/>
    <x v="6"/>
    <n v="11690.56"/>
    <n v="1519.77"/>
    <x v="1647"/>
    <x v="0"/>
    <s v="Cuenta Corriente"/>
    <s v="Transferencia"/>
    <s v="Pagado"/>
  </r>
  <r>
    <x v="106"/>
    <x v="4"/>
    <s v="TX-101650"/>
    <x v="8"/>
    <x v="0"/>
    <x v="7"/>
    <n v="3995.11"/>
    <n v="0"/>
    <x v="1648"/>
    <x v="0"/>
    <s v="Cuenta Corriente"/>
    <s v="Efectivo"/>
    <s v="Pagado"/>
  </r>
  <r>
    <x v="233"/>
    <x v="1"/>
    <s v="TX-101651"/>
    <x v="15"/>
    <x v="0"/>
    <x v="6"/>
    <n v="2052.1999999999998"/>
    <n v="0"/>
    <x v="1649"/>
    <x v="3"/>
    <s v="Cuenta Ahorros"/>
    <s v="Transferencia"/>
    <s v="Pagado"/>
  </r>
  <r>
    <x v="132"/>
    <x v="11"/>
    <s v="TX-101652"/>
    <x v="18"/>
    <x v="0"/>
    <x v="0"/>
    <n v="3508.68"/>
    <n v="0"/>
    <x v="1650"/>
    <x v="1"/>
    <s v="Cuenta Ahorros"/>
    <s v="Transferencia"/>
    <s v="Pagado"/>
  </r>
  <r>
    <x v="253"/>
    <x v="6"/>
    <s v="TX-101653"/>
    <x v="12"/>
    <x v="1"/>
    <x v="5"/>
    <n v="14126.92"/>
    <n v="1836.5"/>
    <x v="1651"/>
    <x v="0"/>
    <s v="Tarjeta Crédito Empresarial"/>
    <s v="Tarjeta Débito"/>
    <s v="Pagado"/>
  </r>
  <r>
    <x v="108"/>
    <x v="0"/>
    <s v="TX-101654"/>
    <x v="6"/>
    <x v="0"/>
    <x v="6"/>
    <n v="5098.54"/>
    <n v="0"/>
    <x v="1652"/>
    <x v="3"/>
    <s v="Cuenta Ahorros"/>
    <s v="Transferencia"/>
    <s v="Pendiente"/>
  </r>
  <r>
    <x v="263"/>
    <x v="6"/>
    <s v="TX-101655"/>
    <x v="11"/>
    <x v="0"/>
    <x v="1"/>
    <n v="12452.27"/>
    <n v="0"/>
    <x v="1653"/>
    <x v="3"/>
    <s v="Cuenta Ahorros"/>
    <s v="Tarjeta Débito"/>
    <s v="Pendiente"/>
  </r>
  <r>
    <x v="144"/>
    <x v="0"/>
    <s v="TX-101656"/>
    <x v="7"/>
    <x v="0"/>
    <x v="1"/>
    <n v="7814.12"/>
    <n v="0"/>
    <x v="1654"/>
    <x v="3"/>
    <s v="Tarjeta Crédito Empresarial"/>
    <s v="Tarjeta Débito"/>
    <s v="Pendiente"/>
  </r>
  <r>
    <x v="142"/>
    <x v="7"/>
    <s v="TX-101657"/>
    <x v="0"/>
    <x v="1"/>
    <x v="1"/>
    <n v="7827.84"/>
    <n v="1017.62"/>
    <x v="1655"/>
    <x v="2"/>
    <s v="Cuenta Ahorros"/>
    <s v="Efectivo"/>
    <s v="Pagado"/>
  </r>
  <r>
    <x v="8"/>
    <x v="7"/>
    <s v="TX-101658"/>
    <x v="15"/>
    <x v="1"/>
    <x v="7"/>
    <n v="1136.56"/>
    <n v="147.75"/>
    <x v="1656"/>
    <x v="3"/>
    <s v="Cuenta Corriente"/>
    <s v="Tarjeta Débito"/>
    <s v="Pendiente"/>
  </r>
  <r>
    <x v="195"/>
    <x v="7"/>
    <s v="TX-101659"/>
    <x v="8"/>
    <x v="1"/>
    <x v="3"/>
    <n v="7660.68"/>
    <n v="995.89"/>
    <x v="1657"/>
    <x v="1"/>
    <s v="Tarjeta Crédito Empresarial"/>
    <s v="Transferencia"/>
    <s v="Pendiente"/>
  </r>
  <r>
    <x v="68"/>
    <x v="4"/>
    <s v="TX-101660"/>
    <x v="7"/>
    <x v="1"/>
    <x v="0"/>
    <n v="14759.6"/>
    <n v="1918.75"/>
    <x v="1658"/>
    <x v="2"/>
    <s v="Tarjeta Crédito Empresarial"/>
    <s v="Transferencia"/>
    <s v="Pagado"/>
  </r>
  <r>
    <x v="151"/>
    <x v="9"/>
    <s v="TX-101661"/>
    <x v="9"/>
    <x v="1"/>
    <x v="7"/>
    <n v="11714.64"/>
    <n v="1522.9"/>
    <x v="1659"/>
    <x v="2"/>
    <s v="Cuenta Corriente"/>
    <s v="Efectivo"/>
    <s v="Pagado"/>
  </r>
  <r>
    <x v="97"/>
    <x v="6"/>
    <s v="TX-101662"/>
    <x v="10"/>
    <x v="1"/>
    <x v="0"/>
    <n v="9694.7800000000007"/>
    <n v="1260.32"/>
    <x v="1660"/>
    <x v="3"/>
    <s v="Cuenta Corriente"/>
    <s v="Transferencia"/>
    <s v="Pendiente"/>
  </r>
  <r>
    <x v="248"/>
    <x v="10"/>
    <s v="TX-101663"/>
    <x v="10"/>
    <x v="1"/>
    <x v="6"/>
    <n v="14898.2"/>
    <n v="1936.77"/>
    <x v="1661"/>
    <x v="3"/>
    <s v="Cuenta Ahorros"/>
    <s v="Tarjeta Crédito"/>
    <s v="Pagado"/>
  </r>
  <r>
    <x v="360"/>
    <x v="6"/>
    <s v="TX-101664"/>
    <x v="6"/>
    <x v="0"/>
    <x v="5"/>
    <n v="6072.68"/>
    <n v="0"/>
    <x v="1662"/>
    <x v="0"/>
    <s v="Tarjeta Crédito Empresarial"/>
    <s v="Efectivo"/>
    <s v="Pendiente"/>
  </r>
  <r>
    <x v="92"/>
    <x v="4"/>
    <s v="TX-101665"/>
    <x v="4"/>
    <x v="0"/>
    <x v="2"/>
    <n v="13342.81"/>
    <n v="0"/>
    <x v="1663"/>
    <x v="4"/>
    <s v="Tarjeta Crédito Empresarial"/>
    <s v="Tarjeta Crédito"/>
    <s v="Pendiente"/>
  </r>
  <r>
    <x v="307"/>
    <x v="11"/>
    <s v="TX-101666"/>
    <x v="14"/>
    <x v="0"/>
    <x v="2"/>
    <n v="4451.3900000000003"/>
    <n v="0"/>
    <x v="1664"/>
    <x v="2"/>
    <s v="Tarjeta Crédito Empresarial"/>
    <s v="Tarjeta Débito"/>
    <s v="Pagado"/>
  </r>
  <r>
    <x v="70"/>
    <x v="2"/>
    <s v="TX-101667"/>
    <x v="1"/>
    <x v="1"/>
    <x v="0"/>
    <n v="4451.75"/>
    <n v="578.73"/>
    <x v="1665"/>
    <x v="1"/>
    <s v="Cuenta Ahorros"/>
    <s v="Transferencia"/>
    <s v="Pendiente"/>
  </r>
  <r>
    <x v="172"/>
    <x v="2"/>
    <s v="TX-101668"/>
    <x v="11"/>
    <x v="0"/>
    <x v="5"/>
    <n v="6000.01"/>
    <n v="0"/>
    <x v="1666"/>
    <x v="1"/>
    <s v="Cuenta Ahorros"/>
    <s v="Transferencia"/>
    <s v="Pendiente"/>
  </r>
  <r>
    <x v="197"/>
    <x v="7"/>
    <s v="TX-101669"/>
    <x v="5"/>
    <x v="0"/>
    <x v="0"/>
    <n v="7823.91"/>
    <n v="0"/>
    <x v="1667"/>
    <x v="2"/>
    <s v="Tarjeta Crédito Empresarial"/>
    <s v="Tarjeta Crédito"/>
    <s v="Pagado"/>
  </r>
  <r>
    <x v="299"/>
    <x v="9"/>
    <s v="TX-101670"/>
    <x v="11"/>
    <x v="1"/>
    <x v="4"/>
    <n v="12428.8"/>
    <n v="1615.74"/>
    <x v="1668"/>
    <x v="1"/>
    <s v="Tarjeta Crédito Empresarial"/>
    <s v="Transferencia"/>
    <s v="Pagado"/>
  </r>
  <r>
    <x v="3"/>
    <x v="3"/>
    <s v="TX-101671"/>
    <x v="8"/>
    <x v="1"/>
    <x v="5"/>
    <n v="6123.15"/>
    <n v="796.01"/>
    <x v="1669"/>
    <x v="0"/>
    <s v="Tarjeta Crédito Empresarial"/>
    <s v="Tarjeta Débito"/>
    <s v="Pendiente"/>
  </r>
  <r>
    <x v="263"/>
    <x v="6"/>
    <s v="TX-101672"/>
    <x v="18"/>
    <x v="0"/>
    <x v="3"/>
    <n v="5203.53"/>
    <n v="0"/>
    <x v="1670"/>
    <x v="3"/>
    <s v="Cuenta Corriente"/>
    <s v="Transferencia"/>
    <s v="Pendiente"/>
  </r>
  <r>
    <x v="27"/>
    <x v="9"/>
    <s v="TX-101673"/>
    <x v="18"/>
    <x v="1"/>
    <x v="0"/>
    <n v="12118.13"/>
    <n v="1575.36"/>
    <x v="1671"/>
    <x v="0"/>
    <s v="Cuenta Ahorros"/>
    <s v="Transferencia"/>
    <s v="Pendiente"/>
  </r>
  <r>
    <x v="356"/>
    <x v="9"/>
    <s v="TX-101674"/>
    <x v="9"/>
    <x v="0"/>
    <x v="5"/>
    <n v="3646.98"/>
    <n v="0"/>
    <x v="1672"/>
    <x v="0"/>
    <s v="Cuenta Ahorros"/>
    <s v="Transferencia"/>
    <s v="Pagado"/>
  </r>
  <r>
    <x v="143"/>
    <x v="11"/>
    <s v="TX-101675"/>
    <x v="6"/>
    <x v="1"/>
    <x v="1"/>
    <n v="147.37"/>
    <n v="19.16"/>
    <x v="1673"/>
    <x v="1"/>
    <s v="Tarjeta Crédito Empresarial"/>
    <s v="Efectivo"/>
    <s v="Pendiente"/>
  </r>
  <r>
    <x v="198"/>
    <x v="0"/>
    <s v="TX-101676"/>
    <x v="0"/>
    <x v="1"/>
    <x v="3"/>
    <n v="7583.29"/>
    <n v="985.83"/>
    <x v="1674"/>
    <x v="3"/>
    <s v="Tarjeta Crédito Empresarial"/>
    <s v="Tarjeta Débito"/>
    <s v="Pendiente"/>
  </r>
  <r>
    <x v="349"/>
    <x v="6"/>
    <s v="TX-101677"/>
    <x v="0"/>
    <x v="1"/>
    <x v="3"/>
    <n v="7940.8"/>
    <n v="1032.3"/>
    <x v="1675"/>
    <x v="2"/>
    <s v="Cuenta Corriente"/>
    <s v="Tarjeta Crédito"/>
    <s v="Pagado"/>
  </r>
  <r>
    <x v="263"/>
    <x v="6"/>
    <s v="TX-101678"/>
    <x v="10"/>
    <x v="0"/>
    <x v="3"/>
    <n v="11616.13"/>
    <n v="0"/>
    <x v="1676"/>
    <x v="0"/>
    <s v="Cuenta Corriente"/>
    <s v="Efectivo"/>
    <s v="Pendiente"/>
  </r>
  <r>
    <x v="61"/>
    <x v="4"/>
    <s v="TX-101679"/>
    <x v="0"/>
    <x v="0"/>
    <x v="0"/>
    <n v="9580.67"/>
    <n v="0"/>
    <x v="1677"/>
    <x v="3"/>
    <s v="Cuenta Ahorros"/>
    <s v="Efectivo"/>
    <s v="Pendiente"/>
  </r>
  <r>
    <x v="272"/>
    <x v="8"/>
    <s v="TX-101680"/>
    <x v="7"/>
    <x v="1"/>
    <x v="1"/>
    <n v="10729.01"/>
    <n v="1394.77"/>
    <x v="1678"/>
    <x v="4"/>
    <s v="Tarjeta Crédito Empresarial"/>
    <s v="Efectivo"/>
    <s v="Pendiente"/>
  </r>
  <r>
    <x v="199"/>
    <x v="0"/>
    <s v="TX-101681"/>
    <x v="19"/>
    <x v="1"/>
    <x v="6"/>
    <n v="340.96"/>
    <n v="44.32"/>
    <x v="1679"/>
    <x v="1"/>
    <s v="Tarjeta Crédito Empresarial"/>
    <s v="Efectivo"/>
    <s v="Pendiente"/>
  </r>
  <r>
    <x v="227"/>
    <x v="11"/>
    <s v="TX-101682"/>
    <x v="14"/>
    <x v="1"/>
    <x v="4"/>
    <n v="389.89"/>
    <n v="50.69"/>
    <x v="1680"/>
    <x v="0"/>
    <s v="Cuenta Ahorros"/>
    <s v="Transferencia"/>
    <s v="Pagado"/>
  </r>
  <r>
    <x v="202"/>
    <x v="2"/>
    <s v="TX-101683"/>
    <x v="5"/>
    <x v="0"/>
    <x v="0"/>
    <n v="1383.34"/>
    <n v="0"/>
    <x v="1681"/>
    <x v="2"/>
    <s v="Cuenta Ahorros"/>
    <s v="Tarjeta Débito"/>
    <s v="Pagado"/>
  </r>
  <r>
    <x v="154"/>
    <x v="0"/>
    <s v="TX-101684"/>
    <x v="7"/>
    <x v="1"/>
    <x v="7"/>
    <n v="8193.0499999999993"/>
    <n v="1065.0999999999999"/>
    <x v="1682"/>
    <x v="1"/>
    <s v="Cuenta Corriente"/>
    <s v="Tarjeta Débito"/>
    <s v="Pagado"/>
  </r>
  <r>
    <x v="197"/>
    <x v="7"/>
    <s v="TX-101685"/>
    <x v="1"/>
    <x v="1"/>
    <x v="1"/>
    <n v="5728.45"/>
    <n v="744.7"/>
    <x v="1683"/>
    <x v="1"/>
    <s v="Cuenta Corriente"/>
    <s v="Tarjeta Crédito"/>
    <s v="Pagado"/>
  </r>
  <r>
    <x v="257"/>
    <x v="7"/>
    <s v="TX-101686"/>
    <x v="13"/>
    <x v="0"/>
    <x v="3"/>
    <n v="1862.9"/>
    <n v="0"/>
    <x v="1684"/>
    <x v="1"/>
    <s v="Cuenta Corriente"/>
    <s v="Tarjeta Crédito"/>
    <s v="Pendiente"/>
  </r>
  <r>
    <x v="200"/>
    <x v="9"/>
    <s v="TX-101687"/>
    <x v="2"/>
    <x v="1"/>
    <x v="5"/>
    <n v="12975.14"/>
    <n v="1686.77"/>
    <x v="1685"/>
    <x v="3"/>
    <s v="Cuenta Corriente"/>
    <s v="Efectivo"/>
    <s v="Pendiente"/>
  </r>
  <r>
    <x v="20"/>
    <x v="1"/>
    <s v="TX-101688"/>
    <x v="1"/>
    <x v="0"/>
    <x v="4"/>
    <n v="4307.17"/>
    <n v="0"/>
    <x v="1686"/>
    <x v="4"/>
    <s v="Cuenta Ahorros"/>
    <s v="Tarjeta Débito"/>
    <s v="Pendiente"/>
  </r>
  <r>
    <x v="303"/>
    <x v="8"/>
    <s v="TX-101689"/>
    <x v="15"/>
    <x v="0"/>
    <x v="2"/>
    <n v="13918.88"/>
    <n v="0"/>
    <x v="1687"/>
    <x v="1"/>
    <s v="Tarjeta Crédito Empresarial"/>
    <s v="Tarjeta Débito"/>
    <s v="Pagado"/>
  </r>
  <r>
    <x v="226"/>
    <x v="10"/>
    <s v="TX-101690"/>
    <x v="0"/>
    <x v="1"/>
    <x v="2"/>
    <n v="13178.81"/>
    <n v="1713.25"/>
    <x v="1688"/>
    <x v="0"/>
    <s v="Cuenta Corriente"/>
    <s v="Transferencia"/>
    <s v="Pagado"/>
  </r>
  <r>
    <x v="277"/>
    <x v="9"/>
    <s v="TX-101691"/>
    <x v="4"/>
    <x v="0"/>
    <x v="5"/>
    <n v="8609.17"/>
    <n v="0"/>
    <x v="1689"/>
    <x v="1"/>
    <s v="Tarjeta Crédito Empresarial"/>
    <s v="Efectivo"/>
    <s v="Pagado"/>
  </r>
  <r>
    <x v="157"/>
    <x v="2"/>
    <s v="TX-101692"/>
    <x v="12"/>
    <x v="1"/>
    <x v="2"/>
    <n v="12728.74"/>
    <n v="1654.74"/>
    <x v="1690"/>
    <x v="0"/>
    <s v="Tarjeta Crédito Empresarial"/>
    <s v="Tarjeta Crédito"/>
    <s v="Pendiente"/>
  </r>
  <r>
    <x v="265"/>
    <x v="1"/>
    <s v="TX-101693"/>
    <x v="3"/>
    <x v="1"/>
    <x v="7"/>
    <n v="14398.52"/>
    <n v="1871.81"/>
    <x v="1691"/>
    <x v="1"/>
    <s v="Tarjeta Crédito Empresarial"/>
    <s v="Efectivo"/>
    <s v="Pendiente"/>
  </r>
  <r>
    <x v="90"/>
    <x v="11"/>
    <s v="TX-101694"/>
    <x v="6"/>
    <x v="0"/>
    <x v="1"/>
    <n v="6069.76"/>
    <n v="0"/>
    <x v="1692"/>
    <x v="4"/>
    <s v="Cuenta Ahorros"/>
    <s v="Tarjeta Débito"/>
    <s v="Pagado"/>
  </r>
  <r>
    <x v="150"/>
    <x v="2"/>
    <s v="TX-101695"/>
    <x v="10"/>
    <x v="0"/>
    <x v="5"/>
    <n v="1311.07"/>
    <n v="0"/>
    <x v="1693"/>
    <x v="4"/>
    <s v="Cuenta Corriente"/>
    <s v="Tarjeta Crédito"/>
    <s v="Pendiente"/>
  </r>
  <r>
    <x v="231"/>
    <x v="9"/>
    <s v="TX-101696"/>
    <x v="1"/>
    <x v="0"/>
    <x v="6"/>
    <n v="271.74"/>
    <n v="0"/>
    <x v="1694"/>
    <x v="0"/>
    <s v="Cuenta Ahorros"/>
    <s v="Transferencia"/>
    <s v="Pendiente"/>
  </r>
  <r>
    <x v="219"/>
    <x v="2"/>
    <s v="TX-101697"/>
    <x v="2"/>
    <x v="1"/>
    <x v="2"/>
    <n v="7866.42"/>
    <n v="1022.63"/>
    <x v="1695"/>
    <x v="3"/>
    <s v="Tarjeta Crédito Empresarial"/>
    <s v="Tarjeta Débito"/>
    <s v="Pendiente"/>
  </r>
  <r>
    <x v="99"/>
    <x v="6"/>
    <s v="TX-101698"/>
    <x v="13"/>
    <x v="1"/>
    <x v="4"/>
    <n v="3566.53"/>
    <n v="463.65"/>
    <x v="1696"/>
    <x v="0"/>
    <s v="Tarjeta Crédito Empresarial"/>
    <s v="Tarjeta Crédito"/>
    <s v="Pagado"/>
  </r>
  <r>
    <x v="72"/>
    <x v="6"/>
    <s v="TX-101699"/>
    <x v="14"/>
    <x v="1"/>
    <x v="6"/>
    <n v="11985.86"/>
    <n v="1558.16"/>
    <x v="1697"/>
    <x v="4"/>
    <s v="Tarjeta Crédito Empresarial"/>
    <s v="Efectivo"/>
    <s v="Pendiente"/>
  </r>
  <r>
    <x v="316"/>
    <x v="6"/>
    <s v="TX-101700"/>
    <x v="16"/>
    <x v="0"/>
    <x v="6"/>
    <n v="12699.73"/>
    <n v="0"/>
    <x v="1698"/>
    <x v="0"/>
    <s v="Tarjeta Crédito Empresarial"/>
    <s v="Transferencia"/>
    <s v="Pagado"/>
  </r>
  <r>
    <x v="346"/>
    <x v="1"/>
    <s v="TX-101701"/>
    <x v="8"/>
    <x v="0"/>
    <x v="7"/>
    <n v="14438.33"/>
    <n v="0"/>
    <x v="1699"/>
    <x v="1"/>
    <s v="Cuenta Corriente"/>
    <s v="Tarjeta Crédito"/>
    <s v="Pagado"/>
  </r>
  <r>
    <x v="327"/>
    <x v="7"/>
    <s v="TX-101702"/>
    <x v="11"/>
    <x v="0"/>
    <x v="7"/>
    <n v="5887.92"/>
    <n v="0"/>
    <x v="1700"/>
    <x v="0"/>
    <s v="Tarjeta Crédito Empresarial"/>
    <s v="Tarjeta Débito"/>
    <s v="Pagado"/>
  </r>
  <r>
    <x v="266"/>
    <x v="0"/>
    <s v="TX-101703"/>
    <x v="17"/>
    <x v="0"/>
    <x v="2"/>
    <n v="14454.68"/>
    <n v="0"/>
    <x v="1701"/>
    <x v="1"/>
    <s v="Cuenta Ahorros"/>
    <s v="Efectivo"/>
    <s v="Pendiente"/>
  </r>
  <r>
    <x v="48"/>
    <x v="2"/>
    <s v="TX-101704"/>
    <x v="19"/>
    <x v="0"/>
    <x v="7"/>
    <n v="10792.17"/>
    <n v="0"/>
    <x v="1702"/>
    <x v="4"/>
    <s v="Cuenta Ahorros"/>
    <s v="Tarjeta Débito"/>
    <s v="Pendiente"/>
  </r>
  <r>
    <x v="252"/>
    <x v="7"/>
    <s v="TX-101705"/>
    <x v="11"/>
    <x v="0"/>
    <x v="1"/>
    <n v="6008.98"/>
    <n v="0"/>
    <x v="1703"/>
    <x v="4"/>
    <s v="Cuenta Ahorros"/>
    <s v="Transferencia"/>
    <s v="Pendiente"/>
  </r>
  <r>
    <x v="18"/>
    <x v="9"/>
    <s v="TX-101706"/>
    <x v="3"/>
    <x v="0"/>
    <x v="3"/>
    <n v="10928.94"/>
    <n v="0"/>
    <x v="1704"/>
    <x v="1"/>
    <s v="Tarjeta Crédito Empresarial"/>
    <s v="Transferencia"/>
    <s v="Pagado"/>
  </r>
  <r>
    <x v="151"/>
    <x v="9"/>
    <s v="TX-101707"/>
    <x v="14"/>
    <x v="0"/>
    <x v="5"/>
    <n v="11686.77"/>
    <n v="0"/>
    <x v="1705"/>
    <x v="2"/>
    <s v="Cuenta Ahorros"/>
    <s v="Tarjeta Crédito"/>
    <s v="Pagado"/>
  </r>
  <r>
    <x v="349"/>
    <x v="6"/>
    <s v="TX-101708"/>
    <x v="13"/>
    <x v="0"/>
    <x v="0"/>
    <n v="2148.29"/>
    <n v="0"/>
    <x v="1706"/>
    <x v="2"/>
    <s v="Cuenta Corriente"/>
    <s v="Tarjeta Débito"/>
    <s v="Pagado"/>
  </r>
  <r>
    <x v="153"/>
    <x v="10"/>
    <s v="TX-101709"/>
    <x v="7"/>
    <x v="1"/>
    <x v="0"/>
    <n v="8215.42"/>
    <n v="1068"/>
    <x v="1707"/>
    <x v="3"/>
    <s v="Cuenta Ahorros"/>
    <s v="Efectivo"/>
    <s v="Pagado"/>
  </r>
  <r>
    <x v="51"/>
    <x v="9"/>
    <s v="TX-101710"/>
    <x v="18"/>
    <x v="0"/>
    <x v="5"/>
    <n v="8018.95"/>
    <n v="0"/>
    <x v="1708"/>
    <x v="1"/>
    <s v="Cuenta Corriente"/>
    <s v="Tarjeta Crédito"/>
    <s v="Pendiente"/>
  </r>
  <r>
    <x v="273"/>
    <x v="7"/>
    <s v="TX-101711"/>
    <x v="19"/>
    <x v="1"/>
    <x v="3"/>
    <n v="14193.67"/>
    <n v="1845.18"/>
    <x v="1709"/>
    <x v="4"/>
    <s v="Cuenta Ahorros"/>
    <s v="Tarjeta Crédito"/>
    <s v="Pagado"/>
  </r>
  <r>
    <x v="1"/>
    <x v="1"/>
    <s v="TX-101712"/>
    <x v="11"/>
    <x v="1"/>
    <x v="3"/>
    <n v="5570.01"/>
    <n v="724.1"/>
    <x v="1710"/>
    <x v="1"/>
    <s v="Tarjeta Crédito Empresarial"/>
    <s v="Tarjeta Crédito"/>
    <s v="Pendiente"/>
  </r>
  <r>
    <x v="156"/>
    <x v="4"/>
    <s v="TX-101713"/>
    <x v="10"/>
    <x v="0"/>
    <x v="7"/>
    <n v="11606.4"/>
    <n v="0"/>
    <x v="1711"/>
    <x v="2"/>
    <s v="Cuenta Corriente"/>
    <s v="Transferencia"/>
    <s v="Pagado"/>
  </r>
  <r>
    <x v="159"/>
    <x v="0"/>
    <s v="TX-101714"/>
    <x v="2"/>
    <x v="1"/>
    <x v="2"/>
    <n v="13898.46"/>
    <n v="1806.8"/>
    <x v="1712"/>
    <x v="1"/>
    <s v="Tarjeta Crédito Empresarial"/>
    <s v="Efectivo"/>
    <s v="Pagado"/>
  </r>
  <r>
    <x v="283"/>
    <x v="1"/>
    <s v="TX-101715"/>
    <x v="5"/>
    <x v="0"/>
    <x v="0"/>
    <n v="4073.55"/>
    <n v="0"/>
    <x v="1713"/>
    <x v="3"/>
    <s v="Cuenta Ahorros"/>
    <s v="Tarjeta Débito"/>
    <s v="Pendiente"/>
  </r>
  <r>
    <x v="351"/>
    <x v="9"/>
    <s v="TX-101716"/>
    <x v="18"/>
    <x v="0"/>
    <x v="4"/>
    <n v="6832.47"/>
    <n v="0"/>
    <x v="1714"/>
    <x v="2"/>
    <s v="Cuenta Corriente"/>
    <s v="Transferencia"/>
    <s v="Pagado"/>
  </r>
  <r>
    <x v="227"/>
    <x v="11"/>
    <s v="TX-101717"/>
    <x v="3"/>
    <x v="1"/>
    <x v="3"/>
    <n v="7164.04"/>
    <n v="931.33"/>
    <x v="1715"/>
    <x v="3"/>
    <s v="Cuenta Corriente"/>
    <s v="Efectivo"/>
    <s v="Pendiente"/>
  </r>
  <r>
    <x v="261"/>
    <x v="2"/>
    <s v="TX-101718"/>
    <x v="10"/>
    <x v="1"/>
    <x v="4"/>
    <n v="14293.32"/>
    <n v="1858.13"/>
    <x v="1716"/>
    <x v="3"/>
    <s v="Cuenta Ahorros"/>
    <s v="Transferencia"/>
    <s v="Pagado"/>
  </r>
  <r>
    <x v="264"/>
    <x v="2"/>
    <s v="TX-101719"/>
    <x v="16"/>
    <x v="0"/>
    <x v="3"/>
    <n v="9255"/>
    <n v="0"/>
    <x v="1717"/>
    <x v="0"/>
    <s v="Tarjeta Crédito Empresarial"/>
    <s v="Efectivo"/>
    <s v="Pagado"/>
  </r>
  <r>
    <x v="26"/>
    <x v="7"/>
    <s v="TX-101720"/>
    <x v="6"/>
    <x v="1"/>
    <x v="4"/>
    <n v="5446.75"/>
    <n v="708.08"/>
    <x v="1718"/>
    <x v="0"/>
    <s v="Tarjeta Crédito Empresarial"/>
    <s v="Tarjeta Crédito"/>
    <s v="Pendiente"/>
  </r>
  <r>
    <x v="104"/>
    <x v="9"/>
    <s v="TX-101721"/>
    <x v="14"/>
    <x v="0"/>
    <x v="3"/>
    <n v="6270.44"/>
    <n v="0"/>
    <x v="1719"/>
    <x v="0"/>
    <s v="Tarjeta Crédito Empresarial"/>
    <s v="Efectivo"/>
    <s v="Pendiente"/>
  </r>
  <r>
    <x v="334"/>
    <x v="5"/>
    <s v="TX-101722"/>
    <x v="17"/>
    <x v="0"/>
    <x v="5"/>
    <n v="2116.37"/>
    <n v="0"/>
    <x v="1720"/>
    <x v="2"/>
    <s v="Tarjeta Crédito Empresarial"/>
    <s v="Tarjeta Crédito"/>
    <s v="Pendiente"/>
  </r>
  <r>
    <x v="206"/>
    <x v="9"/>
    <s v="TX-101723"/>
    <x v="2"/>
    <x v="0"/>
    <x v="6"/>
    <n v="11959.21"/>
    <n v="0"/>
    <x v="1721"/>
    <x v="0"/>
    <s v="Cuenta Ahorros"/>
    <s v="Tarjeta Débito"/>
    <s v="Pagado"/>
  </r>
  <r>
    <x v="296"/>
    <x v="8"/>
    <s v="TX-101724"/>
    <x v="2"/>
    <x v="1"/>
    <x v="2"/>
    <n v="12195.65"/>
    <n v="1585.43"/>
    <x v="1722"/>
    <x v="2"/>
    <s v="Cuenta Corriente"/>
    <s v="Tarjeta Débito"/>
    <s v="Pagado"/>
  </r>
  <r>
    <x v="347"/>
    <x v="7"/>
    <s v="TX-101725"/>
    <x v="0"/>
    <x v="1"/>
    <x v="4"/>
    <n v="5618.93"/>
    <n v="730.46"/>
    <x v="1723"/>
    <x v="0"/>
    <s v="Tarjeta Crédito Empresarial"/>
    <s v="Tarjeta Débito"/>
    <s v="Pagado"/>
  </r>
  <r>
    <x v="185"/>
    <x v="0"/>
    <s v="TX-101726"/>
    <x v="14"/>
    <x v="1"/>
    <x v="6"/>
    <n v="13033.85"/>
    <n v="1694.4"/>
    <x v="1724"/>
    <x v="4"/>
    <s v="Cuenta Corriente"/>
    <s v="Tarjeta Crédito"/>
    <s v="Pendiente"/>
  </r>
  <r>
    <x v="195"/>
    <x v="7"/>
    <s v="TX-101727"/>
    <x v="10"/>
    <x v="1"/>
    <x v="3"/>
    <n v="8355.41"/>
    <n v="1086.2"/>
    <x v="1725"/>
    <x v="3"/>
    <s v="Cuenta Ahorros"/>
    <s v="Tarjeta Crédito"/>
    <s v="Pendiente"/>
  </r>
  <r>
    <x v="33"/>
    <x v="5"/>
    <s v="TX-101728"/>
    <x v="7"/>
    <x v="0"/>
    <x v="5"/>
    <n v="7518.79"/>
    <n v="0"/>
    <x v="1726"/>
    <x v="4"/>
    <s v="Cuenta Ahorros"/>
    <s v="Efectivo"/>
    <s v="Pendiente"/>
  </r>
  <r>
    <x v="143"/>
    <x v="11"/>
    <s v="TX-101729"/>
    <x v="7"/>
    <x v="1"/>
    <x v="1"/>
    <n v="1989.56"/>
    <n v="258.64"/>
    <x v="1727"/>
    <x v="4"/>
    <s v="Cuenta Ahorros"/>
    <s v="Tarjeta Crédito"/>
    <s v="Pagado"/>
  </r>
  <r>
    <x v="158"/>
    <x v="0"/>
    <s v="TX-101730"/>
    <x v="11"/>
    <x v="1"/>
    <x v="5"/>
    <n v="10628.11"/>
    <n v="1381.65"/>
    <x v="1728"/>
    <x v="4"/>
    <s v="Cuenta Corriente"/>
    <s v="Transferencia"/>
    <s v="Pagado"/>
  </r>
  <r>
    <x v="99"/>
    <x v="6"/>
    <s v="TX-101731"/>
    <x v="19"/>
    <x v="1"/>
    <x v="1"/>
    <n v="9422.33"/>
    <n v="1224.9000000000001"/>
    <x v="1729"/>
    <x v="3"/>
    <s v="Cuenta Corriente"/>
    <s v="Efectivo"/>
    <s v="Pagado"/>
  </r>
  <r>
    <x v="2"/>
    <x v="2"/>
    <s v="TX-101732"/>
    <x v="11"/>
    <x v="1"/>
    <x v="3"/>
    <n v="3972.74"/>
    <n v="516.46"/>
    <x v="1730"/>
    <x v="4"/>
    <s v="Tarjeta Crédito Empresarial"/>
    <s v="Efectivo"/>
    <s v="Pendiente"/>
  </r>
  <r>
    <x v="334"/>
    <x v="5"/>
    <s v="TX-101733"/>
    <x v="11"/>
    <x v="1"/>
    <x v="7"/>
    <n v="6090.18"/>
    <n v="791.72"/>
    <x v="1731"/>
    <x v="3"/>
    <s v="Tarjeta Crédito Empresarial"/>
    <s v="Efectivo"/>
    <s v="Pagado"/>
  </r>
  <r>
    <x v="336"/>
    <x v="3"/>
    <s v="TX-101734"/>
    <x v="3"/>
    <x v="0"/>
    <x v="7"/>
    <n v="4846.6899999999996"/>
    <n v="0"/>
    <x v="1732"/>
    <x v="0"/>
    <s v="Tarjeta Crédito Empresarial"/>
    <s v="Tarjeta Crédito"/>
    <s v="Pendiente"/>
  </r>
  <r>
    <x v="119"/>
    <x v="6"/>
    <s v="TX-101735"/>
    <x v="15"/>
    <x v="1"/>
    <x v="1"/>
    <n v="4915.24"/>
    <n v="638.98"/>
    <x v="1733"/>
    <x v="3"/>
    <s v="Tarjeta Crédito Empresarial"/>
    <s v="Efectivo"/>
    <s v="Pendiente"/>
  </r>
  <r>
    <x v="195"/>
    <x v="7"/>
    <s v="TX-101736"/>
    <x v="1"/>
    <x v="0"/>
    <x v="1"/>
    <n v="8263.14"/>
    <n v="0"/>
    <x v="1734"/>
    <x v="1"/>
    <s v="Cuenta Corriente"/>
    <s v="Efectivo"/>
    <s v="Pagado"/>
  </r>
  <r>
    <x v="257"/>
    <x v="7"/>
    <s v="TX-101737"/>
    <x v="6"/>
    <x v="1"/>
    <x v="0"/>
    <n v="6671.33"/>
    <n v="867.27"/>
    <x v="1735"/>
    <x v="0"/>
    <s v="Tarjeta Crédito Empresarial"/>
    <s v="Tarjeta Débito"/>
    <s v="Pagado"/>
  </r>
  <r>
    <x v="131"/>
    <x v="10"/>
    <s v="TX-101738"/>
    <x v="16"/>
    <x v="1"/>
    <x v="5"/>
    <n v="8670.89"/>
    <n v="1127.22"/>
    <x v="1736"/>
    <x v="0"/>
    <s v="Cuenta Corriente"/>
    <s v="Efectivo"/>
    <s v="Pagado"/>
  </r>
  <r>
    <x v="26"/>
    <x v="7"/>
    <s v="TX-101739"/>
    <x v="15"/>
    <x v="0"/>
    <x v="2"/>
    <n v="9623.34"/>
    <n v="0"/>
    <x v="1737"/>
    <x v="0"/>
    <s v="Tarjeta Crédito Empresarial"/>
    <s v="Tarjeta Débito"/>
    <s v="Pagado"/>
  </r>
  <r>
    <x v="22"/>
    <x v="10"/>
    <s v="TX-101740"/>
    <x v="3"/>
    <x v="0"/>
    <x v="0"/>
    <n v="11850.81"/>
    <n v="0"/>
    <x v="1738"/>
    <x v="4"/>
    <s v="Cuenta Ahorros"/>
    <s v="Tarjeta Crédito"/>
    <s v="Pendiente"/>
  </r>
  <r>
    <x v="136"/>
    <x v="11"/>
    <s v="TX-101741"/>
    <x v="18"/>
    <x v="0"/>
    <x v="7"/>
    <n v="11069.87"/>
    <n v="0"/>
    <x v="1739"/>
    <x v="4"/>
    <s v="Cuenta Corriente"/>
    <s v="Efectivo"/>
    <s v="Pendiente"/>
  </r>
  <r>
    <x v="275"/>
    <x v="10"/>
    <s v="TX-101742"/>
    <x v="0"/>
    <x v="0"/>
    <x v="4"/>
    <n v="12988.23"/>
    <n v="0"/>
    <x v="1740"/>
    <x v="1"/>
    <s v="Tarjeta Crédito Empresarial"/>
    <s v="Transferencia"/>
    <s v="Pagado"/>
  </r>
  <r>
    <x v="219"/>
    <x v="2"/>
    <s v="TX-101743"/>
    <x v="2"/>
    <x v="0"/>
    <x v="1"/>
    <n v="2842.58"/>
    <n v="0"/>
    <x v="1741"/>
    <x v="1"/>
    <s v="Cuenta Corriente"/>
    <s v="Tarjeta Débito"/>
    <s v="Pagado"/>
  </r>
  <r>
    <x v="204"/>
    <x v="7"/>
    <s v="TX-101744"/>
    <x v="12"/>
    <x v="0"/>
    <x v="7"/>
    <n v="10795.53"/>
    <n v="0"/>
    <x v="1742"/>
    <x v="1"/>
    <s v="Tarjeta Crédito Empresarial"/>
    <s v="Tarjeta Crédito"/>
    <s v="Pagado"/>
  </r>
  <r>
    <x v="85"/>
    <x v="0"/>
    <s v="TX-101745"/>
    <x v="14"/>
    <x v="1"/>
    <x v="1"/>
    <n v="12194.2"/>
    <n v="1585.25"/>
    <x v="1743"/>
    <x v="4"/>
    <s v="Cuenta Ahorros"/>
    <s v="Efectivo"/>
    <s v="Pagado"/>
  </r>
  <r>
    <x v="17"/>
    <x v="10"/>
    <s v="TX-101746"/>
    <x v="14"/>
    <x v="1"/>
    <x v="1"/>
    <n v="4016.41"/>
    <n v="522.13"/>
    <x v="1744"/>
    <x v="1"/>
    <s v="Tarjeta Crédito Empresarial"/>
    <s v="Efectivo"/>
    <s v="Pendiente"/>
  </r>
  <r>
    <x v="290"/>
    <x v="6"/>
    <s v="TX-101747"/>
    <x v="12"/>
    <x v="0"/>
    <x v="6"/>
    <n v="2810.61"/>
    <n v="0"/>
    <x v="1745"/>
    <x v="0"/>
    <s v="Cuenta Ahorros"/>
    <s v="Transferencia"/>
    <s v="Pagado"/>
  </r>
  <r>
    <x v="133"/>
    <x v="3"/>
    <s v="TX-101748"/>
    <x v="0"/>
    <x v="0"/>
    <x v="4"/>
    <n v="3582.5"/>
    <n v="0"/>
    <x v="1746"/>
    <x v="3"/>
    <s v="Tarjeta Crédito Empresarial"/>
    <s v="Tarjeta Crédito"/>
    <s v="Pagado"/>
  </r>
  <r>
    <x v="112"/>
    <x v="10"/>
    <s v="TX-101749"/>
    <x v="18"/>
    <x v="0"/>
    <x v="5"/>
    <n v="14313.71"/>
    <n v="0"/>
    <x v="1747"/>
    <x v="3"/>
    <s v="Cuenta Corriente"/>
    <s v="Tarjeta Débito"/>
    <s v="Pagado"/>
  </r>
  <r>
    <x v="95"/>
    <x v="4"/>
    <s v="TX-101750"/>
    <x v="10"/>
    <x v="1"/>
    <x v="4"/>
    <n v="3022.65"/>
    <n v="392.94"/>
    <x v="1748"/>
    <x v="0"/>
    <s v="Cuenta Corriente"/>
    <s v="Transferencia"/>
    <s v="Pagado"/>
  </r>
  <r>
    <x v="101"/>
    <x v="5"/>
    <s v="TX-101751"/>
    <x v="19"/>
    <x v="0"/>
    <x v="7"/>
    <n v="1285.58"/>
    <n v="0"/>
    <x v="1749"/>
    <x v="0"/>
    <s v="Cuenta Ahorros"/>
    <s v="Transferencia"/>
    <s v="Pagado"/>
  </r>
  <r>
    <x v="300"/>
    <x v="0"/>
    <s v="TX-101752"/>
    <x v="15"/>
    <x v="1"/>
    <x v="5"/>
    <n v="10989.74"/>
    <n v="1428.67"/>
    <x v="1750"/>
    <x v="4"/>
    <s v="Cuenta Corriente"/>
    <s v="Transferencia"/>
    <s v="Pendiente"/>
  </r>
  <r>
    <x v="315"/>
    <x v="5"/>
    <s v="TX-101753"/>
    <x v="13"/>
    <x v="1"/>
    <x v="1"/>
    <n v="1771.73"/>
    <n v="230.32"/>
    <x v="1751"/>
    <x v="3"/>
    <s v="Cuenta Corriente"/>
    <s v="Transferencia"/>
    <s v="Pendiente"/>
  </r>
  <r>
    <x v="119"/>
    <x v="6"/>
    <s v="TX-101754"/>
    <x v="18"/>
    <x v="1"/>
    <x v="5"/>
    <n v="675.67"/>
    <n v="87.84"/>
    <x v="1752"/>
    <x v="3"/>
    <s v="Cuenta Ahorros"/>
    <s v="Tarjeta Débito"/>
    <s v="Pendiente"/>
  </r>
  <r>
    <x v="112"/>
    <x v="10"/>
    <s v="TX-101755"/>
    <x v="12"/>
    <x v="1"/>
    <x v="0"/>
    <n v="603.49"/>
    <n v="78.45"/>
    <x v="1753"/>
    <x v="4"/>
    <s v="Cuenta Ahorros"/>
    <s v="Efectivo"/>
    <s v="Pendiente"/>
  </r>
  <r>
    <x v="41"/>
    <x v="5"/>
    <s v="TX-101756"/>
    <x v="11"/>
    <x v="1"/>
    <x v="5"/>
    <n v="6857.38"/>
    <n v="891.46"/>
    <x v="1754"/>
    <x v="2"/>
    <s v="Tarjeta Crédito Empresarial"/>
    <s v="Transferencia"/>
    <s v="Pagado"/>
  </r>
  <r>
    <x v="170"/>
    <x v="10"/>
    <s v="TX-101757"/>
    <x v="16"/>
    <x v="1"/>
    <x v="2"/>
    <n v="4302.53"/>
    <n v="559.33000000000004"/>
    <x v="1755"/>
    <x v="1"/>
    <s v="Tarjeta Crédito Empresarial"/>
    <s v="Tarjeta Débito"/>
    <s v="Pendiente"/>
  </r>
  <r>
    <x v="47"/>
    <x v="4"/>
    <s v="TX-101758"/>
    <x v="19"/>
    <x v="0"/>
    <x v="5"/>
    <n v="2294.41"/>
    <n v="0"/>
    <x v="1756"/>
    <x v="1"/>
    <s v="Cuenta Corriente"/>
    <s v="Transferencia"/>
    <s v="Pagado"/>
  </r>
  <r>
    <x v="116"/>
    <x v="5"/>
    <s v="TX-101759"/>
    <x v="8"/>
    <x v="0"/>
    <x v="2"/>
    <n v="12166.45"/>
    <n v="0"/>
    <x v="1757"/>
    <x v="3"/>
    <s v="Cuenta Corriente"/>
    <s v="Tarjeta Crédito"/>
    <s v="Pagado"/>
  </r>
  <r>
    <x v="172"/>
    <x v="2"/>
    <s v="TX-101760"/>
    <x v="10"/>
    <x v="1"/>
    <x v="0"/>
    <n v="14534.84"/>
    <n v="1889.53"/>
    <x v="1758"/>
    <x v="4"/>
    <s v="Cuenta Ahorros"/>
    <s v="Tarjeta Débito"/>
    <s v="Pendiente"/>
  </r>
  <r>
    <x v="243"/>
    <x v="2"/>
    <s v="TX-101761"/>
    <x v="4"/>
    <x v="0"/>
    <x v="6"/>
    <n v="5841.16"/>
    <n v="0"/>
    <x v="1759"/>
    <x v="4"/>
    <s v="Cuenta Corriente"/>
    <s v="Tarjeta Crédito"/>
    <s v="Pagado"/>
  </r>
  <r>
    <x v="117"/>
    <x v="8"/>
    <s v="TX-101762"/>
    <x v="0"/>
    <x v="1"/>
    <x v="7"/>
    <n v="13956.27"/>
    <n v="1814.32"/>
    <x v="1760"/>
    <x v="3"/>
    <s v="Cuenta Ahorros"/>
    <s v="Tarjeta Débito"/>
    <s v="Pendiente"/>
  </r>
  <r>
    <x v="360"/>
    <x v="6"/>
    <s v="TX-101763"/>
    <x v="11"/>
    <x v="0"/>
    <x v="4"/>
    <n v="951.62"/>
    <n v="0"/>
    <x v="1761"/>
    <x v="0"/>
    <s v="Cuenta Corriente"/>
    <s v="Efectivo"/>
    <s v="Pagado"/>
  </r>
  <r>
    <x v="320"/>
    <x v="2"/>
    <s v="TX-101764"/>
    <x v="7"/>
    <x v="1"/>
    <x v="3"/>
    <n v="3461.61"/>
    <n v="450.01"/>
    <x v="1762"/>
    <x v="2"/>
    <s v="Tarjeta Crédito Empresarial"/>
    <s v="Transferencia"/>
    <s v="Pendiente"/>
  </r>
  <r>
    <x v="229"/>
    <x v="5"/>
    <s v="TX-101765"/>
    <x v="17"/>
    <x v="1"/>
    <x v="1"/>
    <n v="3366.46"/>
    <n v="437.64"/>
    <x v="1763"/>
    <x v="2"/>
    <s v="Cuenta Corriente"/>
    <s v="Tarjeta Débito"/>
    <s v="Pagado"/>
  </r>
  <r>
    <x v="66"/>
    <x v="10"/>
    <s v="TX-101766"/>
    <x v="0"/>
    <x v="0"/>
    <x v="3"/>
    <n v="14351.01"/>
    <n v="0"/>
    <x v="1764"/>
    <x v="1"/>
    <s v="Cuenta Ahorros"/>
    <s v="Efectivo"/>
    <s v="Pendiente"/>
  </r>
  <r>
    <x v="89"/>
    <x v="8"/>
    <s v="TX-101767"/>
    <x v="3"/>
    <x v="0"/>
    <x v="6"/>
    <n v="5610.95"/>
    <n v="0"/>
    <x v="1765"/>
    <x v="4"/>
    <s v="Cuenta Corriente"/>
    <s v="Tarjeta Crédito"/>
    <s v="Pendiente"/>
  </r>
  <r>
    <x v="339"/>
    <x v="0"/>
    <s v="TX-101768"/>
    <x v="14"/>
    <x v="0"/>
    <x v="7"/>
    <n v="6541.06"/>
    <n v="0"/>
    <x v="1766"/>
    <x v="3"/>
    <s v="Tarjeta Crédito Empresarial"/>
    <s v="Transferencia"/>
    <s v="Pagado"/>
  </r>
  <r>
    <x v="222"/>
    <x v="3"/>
    <s v="TX-101769"/>
    <x v="0"/>
    <x v="1"/>
    <x v="1"/>
    <n v="12101.15"/>
    <n v="1573.15"/>
    <x v="1767"/>
    <x v="0"/>
    <s v="Cuenta Corriente"/>
    <s v="Transferencia"/>
    <s v="Pendiente"/>
  </r>
  <r>
    <x v="138"/>
    <x v="11"/>
    <s v="TX-101770"/>
    <x v="17"/>
    <x v="1"/>
    <x v="7"/>
    <n v="2470.02"/>
    <n v="321.10000000000002"/>
    <x v="1768"/>
    <x v="3"/>
    <s v="Tarjeta Crédito Empresarial"/>
    <s v="Transferencia"/>
    <s v="Pagado"/>
  </r>
  <r>
    <x v="98"/>
    <x v="0"/>
    <s v="TX-101771"/>
    <x v="13"/>
    <x v="1"/>
    <x v="5"/>
    <n v="8911.57"/>
    <n v="1158.5"/>
    <x v="1769"/>
    <x v="2"/>
    <s v="Tarjeta Crédito Empresarial"/>
    <s v="Transferencia"/>
    <s v="Pendiente"/>
  </r>
  <r>
    <x v="9"/>
    <x v="4"/>
    <s v="TX-101772"/>
    <x v="5"/>
    <x v="1"/>
    <x v="3"/>
    <n v="6821.8"/>
    <n v="886.83"/>
    <x v="1770"/>
    <x v="3"/>
    <s v="Cuenta Ahorros"/>
    <s v="Tarjeta Débito"/>
    <s v="Pendiente"/>
  </r>
  <r>
    <x v="95"/>
    <x v="4"/>
    <s v="TX-101773"/>
    <x v="0"/>
    <x v="0"/>
    <x v="6"/>
    <n v="14551.04"/>
    <n v="0"/>
    <x v="1771"/>
    <x v="1"/>
    <s v="Cuenta Ahorros"/>
    <s v="Tarjeta Débito"/>
    <s v="Pendiente"/>
  </r>
  <r>
    <x v="207"/>
    <x v="8"/>
    <s v="TX-101774"/>
    <x v="1"/>
    <x v="1"/>
    <x v="1"/>
    <n v="310.57"/>
    <n v="40.369999999999997"/>
    <x v="1772"/>
    <x v="4"/>
    <s v="Cuenta Ahorros"/>
    <s v="Tarjeta Crédito"/>
    <s v="Pendiente"/>
  </r>
  <r>
    <x v="323"/>
    <x v="2"/>
    <s v="TX-101775"/>
    <x v="7"/>
    <x v="0"/>
    <x v="7"/>
    <n v="493.78"/>
    <n v="0"/>
    <x v="1773"/>
    <x v="0"/>
    <s v="Cuenta Corriente"/>
    <s v="Tarjeta Crédito"/>
    <s v="Pagado"/>
  </r>
  <r>
    <x v="348"/>
    <x v="8"/>
    <s v="TX-101776"/>
    <x v="19"/>
    <x v="0"/>
    <x v="5"/>
    <n v="12347.65"/>
    <n v="0"/>
    <x v="1774"/>
    <x v="2"/>
    <s v="Cuenta Ahorros"/>
    <s v="Efectivo"/>
    <s v="Pendiente"/>
  </r>
  <r>
    <x v="274"/>
    <x v="2"/>
    <s v="TX-101777"/>
    <x v="1"/>
    <x v="0"/>
    <x v="2"/>
    <n v="7893.01"/>
    <n v="0"/>
    <x v="1775"/>
    <x v="1"/>
    <s v="Cuenta Corriente"/>
    <s v="Transferencia"/>
    <s v="Pagado"/>
  </r>
  <r>
    <x v="18"/>
    <x v="9"/>
    <s v="TX-101778"/>
    <x v="7"/>
    <x v="0"/>
    <x v="3"/>
    <n v="1547.5"/>
    <n v="0"/>
    <x v="1776"/>
    <x v="0"/>
    <s v="Cuenta Corriente"/>
    <s v="Transferencia"/>
    <s v="Pagado"/>
  </r>
  <r>
    <x v="65"/>
    <x v="4"/>
    <s v="TX-101779"/>
    <x v="6"/>
    <x v="0"/>
    <x v="7"/>
    <n v="1908.64"/>
    <n v="0"/>
    <x v="1777"/>
    <x v="3"/>
    <s v="Cuenta Corriente"/>
    <s v="Tarjeta Crédito"/>
    <s v="Pagado"/>
  </r>
  <r>
    <x v="88"/>
    <x v="5"/>
    <s v="TX-101780"/>
    <x v="19"/>
    <x v="0"/>
    <x v="1"/>
    <n v="4759.95"/>
    <n v="0"/>
    <x v="1778"/>
    <x v="3"/>
    <s v="Cuenta Ahorros"/>
    <s v="Tarjeta Débito"/>
    <s v="Pagado"/>
  </r>
  <r>
    <x v="360"/>
    <x v="6"/>
    <s v="TX-101781"/>
    <x v="2"/>
    <x v="1"/>
    <x v="4"/>
    <n v="9716.43"/>
    <n v="1263.1400000000001"/>
    <x v="1779"/>
    <x v="1"/>
    <s v="Cuenta Ahorros"/>
    <s v="Efectivo"/>
    <s v="Pagado"/>
  </r>
  <r>
    <x v="80"/>
    <x v="3"/>
    <s v="TX-101782"/>
    <x v="5"/>
    <x v="0"/>
    <x v="7"/>
    <n v="10293.08"/>
    <n v="0"/>
    <x v="1780"/>
    <x v="1"/>
    <s v="Tarjeta Crédito Empresarial"/>
    <s v="Tarjeta Crédito"/>
    <s v="Pagado"/>
  </r>
  <r>
    <x v="47"/>
    <x v="4"/>
    <s v="TX-101783"/>
    <x v="7"/>
    <x v="1"/>
    <x v="5"/>
    <n v="3283.44"/>
    <n v="426.85"/>
    <x v="1781"/>
    <x v="3"/>
    <s v="Cuenta Ahorros"/>
    <s v="Efectivo"/>
    <s v="Pendiente"/>
  </r>
  <r>
    <x v="330"/>
    <x v="7"/>
    <s v="TX-101784"/>
    <x v="5"/>
    <x v="1"/>
    <x v="6"/>
    <n v="6581.56"/>
    <n v="855.6"/>
    <x v="1782"/>
    <x v="0"/>
    <s v="Tarjeta Crédito Empresarial"/>
    <s v="Tarjeta Crédito"/>
    <s v="Pagado"/>
  </r>
  <r>
    <x v="42"/>
    <x v="8"/>
    <s v="TX-101785"/>
    <x v="10"/>
    <x v="1"/>
    <x v="4"/>
    <n v="2518.88"/>
    <n v="327.45"/>
    <x v="1783"/>
    <x v="4"/>
    <s v="Cuenta Corriente"/>
    <s v="Tarjeta Débito"/>
    <s v="Pendiente"/>
  </r>
  <r>
    <x v="81"/>
    <x v="3"/>
    <s v="TX-101786"/>
    <x v="11"/>
    <x v="0"/>
    <x v="5"/>
    <n v="1630.08"/>
    <n v="0"/>
    <x v="1784"/>
    <x v="3"/>
    <s v="Cuenta Corriente"/>
    <s v="Transferencia"/>
    <s v="Pendiente"/>
  </r>
  <r>
    <x v="6"/>
    <x v="5"/>
    <s v="TX-101787"/>
    <x v="11"/>
    <x v="1"/>
    <x v="0"/>
    <n v="5572.19"/>
    <n v="724.38"/>
    <x v="1785"/>
    <x v="0"/>
    <s v="Tarjeta Crédito Empresarial"/>
    <s v="Efectivo"/>
    <s v="Pagado"/>
  </r>
  <r>
    <x v="57"/>
    <x v="10"/>
    <s v="TX-101788"/>
    <x v="1"/>
    <x v="0"/>
    <x v="1"/>
    <n v="10977.8"/>
    <n v="0"/>
    <x v="1786"/>
    <x v="0"/>
    <s v="Tarjeta Crédito Empresarial"/>
    <s v="Tarjeta Crédito"/>
    <s v="Pagado"/>
  </r>
  <r>
    <x v="274"/>
    <x v="2"/>
    <s v="TX-101789"/>
    <x v="11"/>
    <x v="0"/>
    <x v="4"/>
    <n v="4596.51"/>
    <n v="0"/>
    <x v="1787"/>
    <x v="4"/>
    <s v="Cuenta Corriente"/>
    <s v="Efectivo"/>
    <s v="Pendiente"/>
  </r>
  <r>
    <x v="251"/>
    <x v="1"/>
    <s v="TX-101790"/>
    <x v="19"/>
    <x v="0"/>
    <x v="6"/>
    <n v="6593.13"/>
    <n v="0"/>
    <x v="1788"/>
    <x v="0"/>
    <s v="Cuenta Corriente"/>
    <s v="Transferencia"/>
    <s v="Pagado"/>
  </r>
  <r>
    <x v="19"/>
    <x v="8"/>
    <s v="TX-101791"/>
    <x v="4"/>
    <x v="1"/>
    <x v="3"/>
    <n v="7140.9"/>
    <n v="928.32"/>
    <x v="1789"/>
    <x v="3"/>
    <s v="Cuenta Corriente"/>
    <s v="Tarjeta Débito"/>
    <s v="Pendiente"/>
  </r>
  <r>
    <x v="176"/>
    <x v="5"/>
    <s v="TX-101792"/>
    <x v="9"/>
    <x v="0"/>
    <x v="2"/>
    <n v="11480.91"/>
    <n v="0"/>
    <x v="1790"/>
    <x v="3"/>
    <s v="Cuenta Corriente"/>
    <s v="Efectivo"/>
    <s v="Pendiente"/>
  </r>
  <r>
    <x v="291"/>
    <x v="3"/>
    <s v="TX-101793"/>
    <x v="19"/>
    <x v="0"/>
    <x v="5"/>
    <n v="6977.22"/>
    <n v="0"/>
    <x v="1791"/>
    <x v="0"/>
    <s v="Tarjeta Crédito Empresarial"/>
    <s v="Efectivo"/>
    <s v="Pagado"/>
  </r>
  <r>
    <x v="260"/>
    <x v="4"/>
    <s v="TX-101794"/>
    <x v="10"/>
    <x v="0"/>
    <x v="0"/>
    <n v="10715.06"/>
    <n v="0"/>
    <x v="1792"/>
    <x v="3"/>
    <s v="Tarjeta Crédito Empresarial"/>
    <s v="Efectivo"/>
    <s v="Pagado"/>
  </r>
  <r>
    <x v="301"/>
    <x v="6"/>
    <s v="TX-101795"/>
    <x v="7"/>
    <x v="1"/>
    <x v="7"/>
    <n v="13498.83"/>
    <n v="1754.85"/>
    <x v="1793"/>
    <x v="4"/>
    <s v="Cuenta Corriente"/>
    <s v="Efectivo"/>
    <s v="Pendiente"/>
  </r>
  <r>
    <x v="201"/>
    <x v="8"/>
    <s v="TX-101796"/>
    <x v="3"/>
    <x v="0"/>
    <x v="6"/>
    <n v="1649.78"/>
    <n v="0"/>
    <x v="1794"/>
    <x v="0"/>
    <s v="Tarjeta Crédito Empresarial"/>
    <s v="Efectivo"/>
    <s v="Pagado"/>
  </r>
  <r>
    <x v="54"/>
    <x v="3"/>
    <s v="TX-101797"/>
    <x v="10"/>
    <x v="0"/>
    <x v="4"/>
    <n v="12534.54"/>
    <n v="0"/>
    <x v="1795"/>
    <x v="1"/>
    <s v="Tarjeta Crédito Empresarial"/>
    <s v="Tarjeta Débito"/>
    <s v="Pendiente"/>
  </r>
  <r>
    <x v="288"/>
    <x v="2"/>
    <s v="TX-101798"/>
    <x v="10"/>
    <x v="0"/>
    <x v="7"/>
    <n v="7699.92"/>
    <n v="0"/>
    <x v="1796"/>
    <x v="3"/>
    <s v="Cuenta Ahorros"/>
    <s v="Transferencia"/>
    <s v="Pagado"/>
  </r>
  <r>
    <x v="312"/>
    <x v="3"/>
    <s v="TX-101799"/>
    <x v="18"/>
    <x v="0"/>
    <x v="5"/>
    <n v="2439.12"/>
    <n v="0"/>
    <x v="1797"/>
    <x v="0"/>
    <s v="Cuenta Corriente"/>
    <s v="Efectivo"/>
    <s v="Pendiente"/>
  </r>
  <r>
    <x v="322"/>
    <x v="11"/>
    <s v="TX-101800"/>
    <x v="0"/>
    <x v="1"/>
    <x v="4"/>
    <n v="8042.6"/>
    <n v="1045.54"/>
    <x v="1798"/>
    <x v="0"/>
    <s v="Cuenta Corriente"/>
    <s v="Transferencia"/>
    <s v="Pendiente"/>
  </r>
  <r>
    <x v="286"/>
    <x v="11"/>
    <s v="TX-101801"/>
    <x v="9"/>
    <x v="0"/>
    <x v="7"/>
    <n v="2312.5100000000002"/>
    <n v="0"/>
    <x v="1799"/>
    <x v="1"/>
    <s v="Tarjeta Crédito Empresarial"/>
    <s v="Transferencia"/>
    <s v="Pendiente"/>
  </r>
  <r>
    <x v="204"/>
    <x v="7"/>
    <s v="TX-101802"/>
    <x v="19"/>
    <x v="1"/>
    <x v="2"/>
    <n v="4533.5"/>
    <n v="589.36"/>
    <x v="1800"/>
    <x v="3"/>
    <s v="Tarjeta Crédito Empresarial"/>
    <s v="Tarjeta Débito"/>
    <s v="Pendiente"/>
  </r>
  <r>
    <x v="15"/>
    <x v="8"/>
    <s v="TX-101803"/>
    <x v="5"/>
    <x v="0"/>
    <x v="2"/>
    <n v="3528.1"/>
    <n v="0"/>
    <x v="1801"/>
    <x v="1"/>
    <s v="Cuenta Corriente"/>
    <s v="Tarjeta Crédito"/>
    <s v="Pagado"/>
  </r>
  <r>
    <x v="269"/>
    <x v="0"/>
    <s v="TX-101804"/>
    <x v="0"/>
    <x v="0"/>
    <x v="6"/>
    <n v="8366.59"/>
    <n v="0"/>
    <x v="1802"/>
    <x v="1"/>
    <s v="Cuenta Ahorros"/>
    <s v="Transferencia"/>
    <s v="Pagado"/>
  </r>
  <r>
    <x v="40"/>
    <x v="2"/>
    <s v="TX-101805"/>
    <x v="17"/>
    <x v="0"/>
    <x v="7"/>
    <n v="2212.44"/>
    <n v="0"/>
    <x v="1803"/>
    <x v="0"/>
    <s v="Cuenta Corriente"/>
    <s v="Efectivo"/>
    <s v="Pendiente"/>
  </r>
  <r>
    <x v="131"/>
    <x v="10"/>
    <s v="TX-101806"/>
    <x v="5"/>
    <x v="0"/>
    <x v="4"/>
    <n v="472.41"/>
    <n v="0"/>
    <x v="1804"/>
    <x v="1"/>
    <s v="Cuenta Ahorros"/>
    <s v="Transferencia"/>
    <s v="Pendiente"/>
  </r>
  <r>
    <x v="153"/>
    <x v="10"/>
    <s v="TX-101807"/>
    <x v="18"/>
    <x v="1"/>
    <x v="4"/>
    <n v="8938.48"/>
    <n v="1162"/>
    <x v="1805"/>
    <x v="0"/>
    <s v="Tarjeta Crédito Empresarial"/>
    <s v="Transferencia"/>
    <s v="Pagado"/>
  </r>
  <r>
    <x v="67"/>
    <x v="8"/>
    <s v="TX-101808"/>
    <x v="13"/>
    <x v="1"/>
    <x v="2"/>
    <n v="4108.8999999999996"/>
    <n v="534.16"/>
    <x v="1806"/>
    <x v="2"/>
    <s v="Cuenta Ahorros"/>
    <s v="Transferencia"/>
    <s v="Pagado"/>
  </r>
  <r>
    <x v="68"/>
    <x v="4"/>
    <s v="TX-101809"/>
    <x v="2"/>
    <x v="1"/>
    <x v="3"/>
    <n v="9417.52"/>
    <n v="1224.28"/>
    <x v="1807"/>
    <x v="0"/>
    <s v="Cuenta Ahorros"/>
    <s v="Tarjeta Débito"/>
    <s v="Pendiente"/>
  </r>
  <r>
    <x v="10"/>
    <x v="0"/>
    <s v="TX-101810"/>
    <x v="17"/>
    <x v="0"/>
    <x v="4"/>
    <n v="10345.9"/>
    <n v="0"/>
    <x v="1808"/>
    <x v="2"/>
    <s v="Cuenta Ahorros"/>
    <s v="Tarjeta Crédito"/>
    <s v="Pendiente"/>
  </r>
  <r>
    <x v="238"/>
    <x v="5"/>
    <s v="TX-101811"/>
    <x v="1"/>
    <x v="1"/>
    <x v="5"/>
    <n v="10849.6"/>
    <n v="1410.45"/>
    <x v="1809"/>
    <x v="4"/>
    <s v="Cuenta Corriente"/>
    <s v="Efectivo"/>
    <s v="Pendiente"/>
  </r>
  <r>
    <x v="19"/>
    <x v="8"/>
    <s v="TX-101812"/>
    <x v="15"/>
    <x v="1"/>
    <x v="6"/>
    <n v="1745.16"/>
    <n v="226.87"/>
    <x v="1810"/>
    <x v="3"/>
    <s v="Cuenta Ahorros"/>
    <s v="Transferencia"/>
    <s v="Pagado"/>
  </r>
  <r>
    <x v="229"/>
    <x v="5"/>
    <s v="TX-101813"/>
    <x v="12"/>
    <x v="0"/>
    <x v="6"/>
    <n v="3765.87"/>
    <n v="0"/>
    <x v="1811"/>
    <x v="4"/>
    <s v="Cuenta Corriente"/>
    <s v="Tarjeta Crédito"/>
    <s v="Pendiente"/>
  </r>
  <r>
    <x v="216"/>
    <x v="1"/>
    <s v="TX-101814"/>
    <x v="2"/>
    <x v="1"/>
    <x v="3"/>
    <n v="7308.35"/>
    <n v="950.09"/>
    <x v="1812"/>
    <x v="3"/>
    <s v="Tarjeta Crédito Empresarial"/>
    <s v="Tarjeta Crédito"/>
    <s v="Pagado"/>
  </r>
  <r>
    <x v="54"/>
    <x v="3"/>
    <s v="TX-101815"/>
    <x v="4"/>
    <x v="0"/>
    <x v="5"/>
    <n v="752.03"/>
    <n v="0"/>
    <x v="1813"/>
    <x v="1"/>
    <s v="Tarjeta Crédito Empresarial"/>
    <s v="Tarjeta Crédito"/>
    <s v="Pendiente"/>
  </r>
  <r>
    <x v="39"/>
    <x v="8"/>
    <s v="TX-101816"/>
    <x v="13"/>
    <x v="0"/>
    <x v="1"/>
    <n v="4936.7700000000004"/>
    <n v="0"/>
    <x v="1814"/>
    <x v="2"/>
    <s v="Cuenta Corriente"/>
    <s v="Transferencia"/>
    <s v="Pendiente"/>
  </r>
  <r>
    <x v="277"/>
    <x v="9"/>
    <s v="TX-101817"/>
    <x v="7"/>
    <x v="0"/>
    <x v="7"/>
    <n v="11356.18"/>
    <n v="0"/>
    <x v="1815"/>
    <x v="0"/>
    <s v="Cuenta Corriente"/>
    <s v="Efectivo"/>
    <s v="Pendiente"/>
  </r>
  <r>
    <x v="45"/>
    <x v="4"/>
    <s v="TX-101818"/>
    <x v="12"/>
    <x v="1"/>
    <x v="1"/>
    <n v="6406.01"/>
    <n v="832.78"/>
    <x v="1816"/>
    <x v="2"/>
    <s v="Cuenta Ahorros"/>
    <s v="Efectivo"/>
    <s v="Pendiente"/>
  </r>
  <r>
    <x v="20"/>
    <x v="1"/>
    <s v="TX-101819"/>
    <x v="14"/>
    <x v="0"/>
    <x v="6"/>
    <n v="10523.95"/>
    <n v="0"/>
    <x v="1817"/>
    <x v="3"/>
    <s v="Cuenta Ahorros"/>
    <s v="Tarjeta Crédito"/>
    <s v="Pendiente"/>
  </r>
  <r>
    <x v="252"/>
    <x v="7"/>
    <s v="TX-101820"/>
    <x v="0"/>
    <x v="1"/>
    <x v="3"/>
    <n v="2445.9499999999998"/>
    <n v="317.97000000000003"/>
    <x v="1818"/>
    <x v="3"/>
    <s v="Cuenta Corriente"/>
    <s v="Tarjeta Débito"/>
    <s v="Pendiente"/>
  </r>
  <r>
    <x v="19"/>
    <x v="8"/>
    <s v="TX-101821"/>
    <x v="6"/>
    <x v="0"/>
    <x v="7"/>
    <n v="10424.549999999999"/>
    <n v="0"/>
    <x v="1819"/>
    <x v="2"/>
    <s v="Cuenta Ahorros"/>
    <s v="Tarjeta Débito"/>
    <s v="Pendiente"/>
  </r>
  <r>
    <x v="354"/>
    <x v="4"/>
    <s v="TX-101822"/>
    <x v="15"/>
    <x v="1"/>
    <x v="2"/>
    <n v="1232.02"/>
    <n v="160.16"/>
    <x v="1820"/>
    <x v="3"/>
    <s v="Cuenta Corriente"/>
    <s v="Tarjeta Crédito"/>
    <s v="Pendiente"/>
  </r>
  <r>
    <x v="226"/>
    <x v="10"/>
    <s v="TX-101823"/>
    <x v="10"/>
    <x v="1"/>
    <x v="1"/>
    <n v="1669.8"/>
    <n v="217.07"/>
    <x v="1821"/>
    <x v="0"/>
    <s v="Cuenta Ahorros"/>
    <s v="Efectivo"/>
    <s v="Pendiente"/>
  </r>
  <r>
    <x v="3"/>
    <x v="3"/>
    <s v="TX-101824"/>
    <x v="5"/>
    <x v="1"/>
    <x v="5"/>
    <n v="8688.7000000000007"/>
    <n v="1129.53"/>
    <x v="1822"/>
    <x v="1"/>
    <s v="Cuenta Corriente"/>
    <s v="Tarjeta Crédito"/>
    <s v="Pendiente"/>
  </r>
  <r>
    <x v="89"/>
    <x v="8"/>
    <s v="TX-101825"/>
    <x v="15"/>
    <x v="0"/>
    <x v="5"/>
    <n v="9596.98"/>
    <n v="0"/>
    <x v="1823"/>
    <x v="3"/>
    <s v="Cuenta Corriente"/>
    <s v="Transferencia"/>
    <s v="Pagado"/>
  </r>
  <r>
    <x v="137"/>
    <x v="11"/>
    <s v="TX-101826"/>
    <x v="5"/>
    <x v="0"/>
    <x v="0"/>
    <n v="11044.47"/>
    <n v="0"/>
    <x v="1824"/>
    <x v="2"/>
    <s v="Cuenta Corriente"/>
    <s v="Efectivo"/>
    <s v="Pendiente"/>
  </r>
  <r>
    <x v="140"/>
    <x v="6"/>
    <s v="TX-101827"/>
    <x v="4"/>
    <x v="1"/>
    <x v="7"/>
    <n v="8333.91"/>
    <n v="1083.4100000000001"/>
    <x v="1825"/>
    <x v="4"/>
    <s v="Cuenta Ahorros"/>
    <s v="Tarjeta Crédito"/>
    <s v="Pagado"/>
  </r>
  <r>
    <x v="65"/>
    <x v="4"/>
    <s v="TX-101828"/>
    <x v="16"/>
    <x v="1"/>
    <x v="0"/>
    <n v="7576.77"/>
    <n v="984.98"/>
    <x v="1826"/>
    <x v="2"/>
    <s v="Cuenta Ahorros"/>
    <s v="Transferencia"/>
    <s v="Pagado"/>
  </r>
  <r>
    <x v="11"/>
    <x v="8"/>
    <s v="TX-101829"/>
    <x v="17"/>
    <x v="0"/>
    <x v="6"/>
    <n v="4313.84"/>
    <n v="0"/>
    <x v="1827"/>
    <x v="2"/>
    <s v="Tarjeta Crédito Empresarial"/>
    <s v="Tarjeta Débito"/>
    <s v="Pagado"/>
  </r>
  <r>
    <x v="319"/>
    <x v="5"/>
    <s v="TX-101830"/>
    <x v="1"/>
    <x v="1"/>
    <x v="0"/>
    <n v="2354.75"/>
    <n v="306.12"/>
    <x v="1828"/>
    <x v="1"/>
    <s v="Cuenta Ahorros"/>
    <s v="Efectivo"/>
    <s v="Pagado"/>
  </r>
  <r>
    <x v="4"/>
    <x v="4"/>
    <s v="TX-101831"/>
    <x v="13"/>
    <x v="0"/>
    <x v="0"/>
    <n v="3681.3"/>
    <n v="0"/>
    <x v="1829"/>
    <x v="4"/>
    <s v="Cuenta Ahorros"/>
    <s v="Tarjeta Débito"/>
    <s v="Pagado"/>
  </r>
  <r>
    <x v="15"/>
    <x v="8"/>
    <s v="TX-101832"/>
    <x v="11"/>
    <x v="0"/>
    <x v="5"/>
    <n v="12303.73"/>
    <n v="0"/>
    <x v="1830"/>
    <x v="2"/>
    <s v="Tarjeta Crédito Empresarial"/>
    <s v="Transferencia"/>
    <s v="Pagado"/>
  </r>
  <r>
    <x v="309"/>
    <x v="4"/>
    <s v="TX-101833"/>
    <x v="19"/>
    <x v="0"/>
    <x v="0"/>
    <n v="12409.19"/>
    <n v="0"/>
    <x v="1831"/>
    <x v="2"/>
    <s v="Tarjeta Crédito Empresarial"/>
    <s v="Tarjeta Débito"/>
    <s v="Pagado"/>
  </r>
  <r>
    <x v="297"/>
    <x v="11"/>
    <s v="TX-101834"/>
    <x v="2"/>
    <x v="1"/>
    <x v="6"/>
    <n v="10801.84"/>
    <n v="1404.24"/>
    <x v="1832"/>
    <x v="4"/>
    <s v="Cuenta Ahorros"/>
    <s v="Tarjeta Débito"/>
    <s v="Pendiente"/>
  </r>
  <r>
    <x v="71"/>
    <x v="5"/>
    <s v="TX-101835"/>
    <x v="9"/>
    <x v="1"/>
    <x v="1"/>
    <n v="12874.69"/>
    <n v="1673.71"/>
    <x v="1833"/>
    <x v="3"/>
    <s v="Tarjeta Crédito Empresarial"/>
    <s v="Transferencia"/>
    <s v="Pendiente"/>
  </r>
  <r>
    <x v="299"/>
    <x v="9"/>
    <s v="TX-101836"/>
    <x v="13"/>
    <x v="0"/>
    <x v="2"/>
    <n v="12646.27"/>
    <n v="0"/>
    <x v="1834"/>
    <x v="4"/>
    <s v="Cuenta Ahorros"/>
    <s v="Tarjeta Crédito"/>
    <s v="Pendiente"/>
  </r>
  <r>
    <x v="322"/>
    <x v="11"/>
    <s v="TX-101837"/>
    <x v="17"/>
    <x v="0"/>
    <x v="3"/>
    <n v="849.63"/>
    <n v="0"/>
    <x v="1835"/>
    <x v="4"/>
    <s v="Tarjeta Crédito Empresarial"/>
    <s v="Tarjeta Crédito"/>
    <s v="Pagado"/>
  </r>
  <r>
    <x v="191"/>
    <x v="10"/>
    <s v="TX-101838"/>
    <x v="2"/>
    <x v="1"/>
    <x v="7"/>
    <n v="10583.42"/>
    <n v="1375.84"/>
    <x v="1836"/>
    <x v="3"/>
    <s v="Cuenta Corriente"/>
    <s v="Tarjeta Crédito"/>
    <s v="Pagado"/>
  </r>
  <r>
    <x v="115"/>
    <x v="3"/>
    <s v="TX-101839"/>
    <x v="14"/>
    <x v="0"/>
    <x v="4"/>
    <n v="13118.3"/>
    <n v="0"/>
    <x v="1837"/>
    <x v="0"/>
    <s v="Tarjeta Crédito Empresarial"/>
    <s v="Efectivo"/>
    <s v="Pagado"/>
  </r>
  <r>
    <x v="30"/>
    <x v="2"/>
    <s v="TX-101840"/>
    <x v="9"/>
    <x v="0"/>
    <x v="7"/>
    <n v="8702.69"/>
    <n v="0"/>
    <x v="1838"/>
    <x v="1"/>
    <s v="Cuenta Corriente"/>
    <s v="Tarjeta Crédito"/>
    <s v="Pendiente"/>
  </r>
  <r>
    <x v="234"/>
    <x v="0"/>
    <s v="TX-101841"/>
    <x v="9"/>
    <x v="0"/>
    <x v="0"/>
    <n v="594.62"/>
    <n v="0"/>
    <x v="1839"/>
    <x v="0"/>
    <s v="Tarjeta Crédito Empresarial"/>
    <s v="Efectivo"/>
    <s v="Pendiente"/>
  </r>
  <r>
    <x v="203"/>
    <x v="6"/>
    <s v="TX-101842"/>
    <x v="9"/>
    <x v="1"/>
    <x v="0"/>
    <n v="12483.04"/>
    <n v="1622.8"/>
    <x v="1840"/>
    <x v="4"/>
    <s v="Tarjeta Crédito Empresarial"/>
    <s v="Efectivo"/>
    <s v="Pagado"/>
  </r>
  <r>
    <x v="188"/>
    <x v="6"/>
    <s v="TX-101843"/>
    <x v="5"/>
    <x v="1"/>
    <x v="5"/>
    <n v="14638"/>
    <n v="1902.94"/>
    <x v="1841"/>
    <x v="0"/>
    <s v="Cuenta Ahorros"/>
    <s v="Transferencia"/>
    <s v="Pendiente"/>
  </r>
  <r>
    <x v="143"/>
    <x v="11"/>
    <s v="TX-101844"/>
    <x v="19"/>
    <x v="1"/>
    <x v="5"/>
    <n v="7780.36"/>
    <n v="1011.45"/>
    <x v="1842"/>
    <x v="3"/>
    <s v="Tarjeta Crédito Empresarial"/>
    <s v="Tarjeta Débito"/>
    <s v="Pagado"/>
  </r>
  <r>
    <x v="347"/>
    <x v="7"/>
    <s v="TX-101845"/>
    <x v="1"/>
    <x v="1"/>
    <x v="2"/>
    <n v="272.8"/>
    <n v="35.46"/>
    <x v="1843"/>
    <x v="4"/>
    <s v="Cuenta Corriente"/>
    <s v="Transferencia"/>
    <s v="Pagado"/>
  </r>
  <r>
    <x v="209"/>
    <x v="1"/>
    <s v="TX-101846"/>
    <x v="13"/>
    <x v="0"/>
    <x v="3"/>
    <n v="1763.48"/>
    <n v="0"/>
    <x v="1844"/>
    <x v="0"/>
    <s v="Tarjeta Crédito Empresarial"/>
    <s v="Efectivo"/>
    <s v="Pendiente"/>
  </r>
  <r>
    <x v="205"/>
    <x v="3"/>
    <s v="TX-101847"/>
    <x v="0"/>
    <x v="1"/>
    <x v="4"/>
    <n v="2880.79"/>
    <n v="374.5"/>
    <x v="1845"/>
    <x v="3"/>
    <s v="Cuenta Ahorros"/>
    <s v="Transferencia"/>
    <s v="Pagado"/>
  </r>
  <r>
    <x v="169"/>
    <x v="1"/>
    <s v="TX-101848"/>
    <x v="8"/>
    <x v="1"/>
    <x v="2"/>
    <n v="8865.01"/>
    <n v="1152.45"/>
    <x v="1846"/>
    <x v="1"/>
    <s v="Cuenta Ahorros"/>
    <s v="Efectivo"/>
    <s v="Pagado"/>
  </r>
  <r>
    <x v="226"/>
    <x v="10"/>
    <s v="TX-101849"/>
    <x v="3"/>
    <x v="0"/>
    <x v="3"/>
    <n v="13002"/>
    <n v="0"/>
    <x v="1847"/>
    <x v="2"/>
    <s v="Tarjeta Crédito Empresarial"/>
    <s v="Transferencia"/>
    <s v="Pagado"/>
  </r>
  <r>
    <x v="329"/>
    <x v="3"/>
    <s v="TX-101850"/>
    <x v="5"/>
    <x v="1"/>
    <x v="7"/>
    <n v="12537.75"/>
    <n v="1629.91"/>
    <x v="1848"/>
    <x v="4"/>
    <s v="Cuenta Corriente"/>
    <s v="Tarjeta Crédito"/>
    <s v="Pendiente"/>
  </r>
  <r>
    <x v="18"/>
    <x v="9"/>
    <s v="TX-101851"/>
    <x v="2"/>
    <x v="0"/>
    <x v="7"/>
    <n v="12519.66"/>
    <n v="0"/>
    <x v="1849"/>
    <x v="3"/>
    <s v="Tarjeta Crédito Empresarial"/>
    <s v="Transferencia"/>
    <s v="Pendiente"/>
  </r>
  <r>
    <x v="183"/>
    <x v="1"/>
    <s v="TX-101852"/>
    <x v="7"/>
    <x v="0"/>
    <x v="4"/>
    <n v="1425.81"/>
    <n v="0"/>
    <x v="1850"/>
    <x v="1"/>
    <s v="Cuenta Ahorros"/>
    <s v="Tarjeta Crédito"/>
    <s v="Pagado"/>
  </r>
  <r>
    <x v="305"/>
    <x v="10"/>
    <s v="TX-101853"/>
    <x v="5"/>
    <x v="0"/>
    <x v="1"/>
    <n v="12126.05"/>
    <n v="0"/>
    <x v="1851"/>
    <x v="2"/>
    <s v="Cuenta Corriente"/>
    <s v="Efectivo"/>
    <s v="Pendiente"/>
  </r>
  <r>
    <x v="281"/>
    <x v="7"/>
    <s v="TX-101854"/>
    <x v="10"/>
    <x v="1"/>
    <x v="6"/>
    <n v="11606.43"/>
    <n v="1508.84"/>
    <x v="1852"/>
    <x v="1"/>
    <s v="Cuenta Ahorros"/>
    <s v="Tarjeta Débito"/>
    <s v="Pendiente"/>
  </r>
  <r>
    <x v="201"/>
    <x v="8"/>
    <s v="TX-101855"/>
    <x v="15"/>
    <x v="0"/>
    <x v="5"/>
    <n v="5856.79"/>
    <n v="0"/>
    <x v="1853"/>
    <x v="3"/>
    <s v="Tarjeta Crédito Empresarial"/>
    <s v="Tarjeta Débito"/>
    <s v="Pendiente"/>
  </r>
  <r>
    <x v="29"/>
    <x v="3"/>
    <s v="TX-101856"/>
    <x v="6"/>
    <x v="0"/>
    <x v="2"/>
    <n v="5493.06"/>
    <n v="0"/>
    <x v="1854"/>
    <x v="0"/>
    <s v="Cuenta Ahorros"/>
    <s v="Tarjeta Débito"/>
    <s v="Pendiente"/>
  </r>
  <r>
    <x v="69"/>
    <x v="10"/>
    <s v="TX-101857"/>
    <x v="18"/>
    <x v="0"/>
    <x v="3"/>
    <n v="399.44"/>
    <n v="0"/>
    <x v="1855"/>
    <x v="4"/>
    <s v="Cuenta Corriente"/>
    <s v="Transferencia"/>
    <s v="Pagado"/>
  </r>
  <r>
    <x v="295"/>
    <x v="6"/>
    <s v="TX-101858"/>
    <x v="15"/>
    <x v="0"/>
    <x v="7"/>
    <n v="12746.59"/>
    <n v="0"/>
    <x v="1856"/>
    <x v="0"/>
    <s v="Tarjeta Crédito Empresarial"/>
    <s v="Tarjeta Débito"/>
    <s v="Pendiente"/>
  </r>
  <r>
    <x v="112"/>
    <x v="10"/>
    <s v="TX-101859"/>
    <x v="9"/>
    <x v="1"/>
    <x v="1"/>
    <n v="11427.73"/>
    <n v="1485.6"/>
    <x v="1857"/>
    <x v="2"/>
    <s v="Cuenta Corriente"/>
    <s v="Transferencia"/>
    <s v="Pendiente"/>
  </r>
  <r>
    <x v="177"/>
    <x v="8"/>
    <s v="TX-101860"/>
    <x v="8"/>
    <x v="0"/>
    <x v="2"/>
    <n v="6935.53"/>
    <n v="0"/>
    <x v="1858"/>
    <x v="2"/>
    <s v="Tarjeta Crédito Empresarial"/>
    <s v="Transferencia"/>
    <s v="Pagado"/>
  </r>
  <r>
    <x v="144"/>
    <x v="0"/>
    <s v="TX-101861"/>
    <x v="17"/>
    <x v="0"/>
    <x v="5"/>
    <n v="11771.67"/>
    <n v="0"/>
    <x v="1859"/>
    <x v="0"/>
    <s v="Tarjeta Crédito Empresarial"/>
    <s v="Tarjeta Débito"/>
    <s v="Pendiente"/>
  </r>
  <r>
    <x v="157"/>
    <x v="2"/>
    <s v="TX-101862"/>
    <x v="19"/>
    <x v="0"/>
    <x v="5"/>
    <n v="6564.35"/>
    <n v="0"/>
    <x v="1860"/>
    <x v="4"/>
    <s v="Cuenta Corriente"/>
    <s v="Efectivo"/>
    <s v="Pendiente"/>
  </r>
  <r>
    <x v="147"/>
    <x v="3"/>
    <s v="TX-101863"/>
    <x v="6"/>
    <x v="1"/>
    <x v="4"/>
    <n v="10829.04"/>
    <n v="1407.78"/>
    <x v="1861"/>
    <x v="2"/>
    <s v="Cuenta Corriente"/>
    <s v="Transferencia"/>
    <s v="Pendiente"/>
  </r>
  <r>
    <x v="145"/>
    <x v="11"/>
    <s v="TX-101864"/>
    <x v="8"/>
    <x v="0"/>
    <x v="1"/>
    <n v="4818.46"/>
    <n v="0"/>
    <x v="1862"/>
    <x v="4"/>
    <s v="Cuenta Corriente"/>
    <s v="Tarjeta Débito"/>
    <s v="Pagado"/>
  </r>
  <r>
    <x v="216"/>
    <x v="1"/>
    <s v="TX-101865"/>
    <x v="13"/>
    <x v="1"/>
    <x v="1"/>
    <n v="14074.55"/>
    <n v="1829.69"/>
    <x v="1863"/>
    <x v="3"/>
    <s v="Tarjeta Crédito Empresarial"/>
    <s v="Efectivo"/>
    <s v="Pagado"/>
  </r>
  <r>
    <x v="8"/>
    <x v="7"/>
    <s v="TX-101866"/>
    <x v="7"/>
    <x v="0"/>
    <x v="1"/>
    <n v="6917.4"/>
    <n v="0"/>
    <x v="1864"/>
    <x v="4"/>
    <s v="Cuenta Ahorros"/>
    <s v="Efectivo"/>
    <s v="Pagado"/>
  </r>
  <r>
    <x v="234"/>
    <x v="0"/>
    <s v="TX-101867"/>
    <x v="11"/>
    <x v="0"/>
    <x v="4"/>
    <n v="125.6"/>
    <n v="0"/>
    <x v="1865"/>
    <x v="1"/>
    <s v="Tarjeta Crédito Empresarial"/>
    <s v="Tarjeta Débito"/>
    <s v="Pagado"/>
  </r>
  <r>
    <x v="50"/>
    <x v="8"/>
    <s v="TX-101868"/>
    <x v="13"/>
    <x v="1"/>
    <x v="2"/>
    <n v="2086.9299999999998"/>
    <n v="271.3"/>
    <x v="1866"/>
    <x v="3"/>
    <s v="Cuenta Ahorros"/>
    <s v="Tarjeta Crédito"/>
    <s v="Pagado"/>
  </r>
  <r>
    <x v="301"/>
    <x v="6"/>
    <s v="TX-101869"/>
    <x v="18"/>
    <x v="1"/>
    <x v="6"/>
    <n v="14147.42"/>
    <n v="1839.16"/>
    <x v="1867"/>
    <x v="3"/>
    <s v="Cuenta Corriente"/>
    <s v="Transferencia"/>
    <s v="Pendiente"/>
  </r>
  <r>
    <x v="98"/>
    <x v="0"/>
    <s v="TX-101870"/>
    <x v="19"/>
    <x v="1"/>
    <x v="7"/>
    <n v="13294.33"/>
    <n v="1728.26"/>
    <x v="1868"/>
    <x v="3"/>
    <s v="Cuenta Ahorros"/>
    <s v="Tarjeta Débito"/>
    <s v="Pendiente"/>
  </r>
  <r>
    <x v="348"/>
    <x v="8"/>
    <s v="TX-101871"/>
    <x v="0"/>
    <x v="0"/>
    <x v="0"/>
    <n v="14207.71"/>
    <n v="0"/>
    <x v="1869"/>
    <x v="3"/>
    <s v="Tarjeta Crédito Empresarial"/>
    <s v="Tarjeta Débito"/>
    <s v="Pagado"/>
  </r>
  <r>
    <x v="333"/>
    <x v="10"/>
    <s v="TX-101872"/>
    <x v="0"/>
    <x v="0"/>
    <x v="2"/>
    <n v="12154.45"/>
    <n v="0"/>
    <x v="1870"/>
    <x v="2"/>
    <s v="Tarjeta Crédito Empresarial"/>
    <s v="Transferencia"/>
    <s v="Pagado"/>
  </r>
  <r>
    <x v="351"/>
    <x v="9"/>
    <s v="TX-101873"/>
    <x v="17"/>
    <x v="1"/>
    <x v="4"/>
    <n v="8448.5300000000007"/>
    <n v="1098.31"/>
    <x v="1871"/>
    <x v="2"/>
    <s v="Cuenta Corriente"/>
    <s v="Tarjeta Débito"/>
    <s v="Pendiente"/>
  </r>
  <r>
    <x v="69"/>
    <x v="10"/>
    <s v="TX-101874"/>
    <x v="2"/>
    <x v="1"/>
    <x v="3"/>
    <n v="5201.9799999999996"/>
    <n v="676.26"/>
    <x v="1872"/>
    <x v="2"/>
    <s v="Cuenta Ahorros"/>
    <s v="Efectivo"/>
    <s v="Pagado"/>
  </r>
  <r>
    <x v="356"/>
    <x v="9"/>
    <s v="TX-101875"/>
    <x v="18"/>
    <x v="1"/>
    <x v="7"/>
    <n v="3072.66"/>
    <n v="399.45"/>
    <x v="1873"/>
    <x v="0"/>
    <s v="Cuenta Corriente"/>
    <s v="Tarjeta Débito"/>
    <s v="Pagado"/>
  </r>
  <r>
    <x v="262"/>
    <x v="10"/>
    <s v="TX-101876"/>
    <x v="9"/>
    <x v="0"/>
    <x v="1"/>
    <n v="2348.25"/>
    <n v="0"/>
    <x v="1874"/>
    <x v="0"/>
    <s v="Cuenta Ahorros"/>
    <s v="Tarjeta Débito"/>
    <s v="Pagado"/>
  </r>
  <r>
    <x v="210"/>
    <x v="3"/>
    <s v="TX-101877"/>
    <x v="6"/>
    <x v="0"/>
    <x v="0"/>
    <n v="14563.76"/>
    <n v="0"/>
    <x v="1875"/>
    <x v="1"/>
    <s v="Cuenta Ahorros"/>
    <s v="Tarjeta Débito"/>
    <s v="Pendiente"/>
  </r>
  <r>
    <x v="246"/>
    <x v="10"/>
    <s v="TX-101878"/>
    <x v="15"/>
    <x v="1"/>
    <x v="3"/>
    <n v="12937.56"/>
    <n v="1681.88"/>
    <x v="1876"/>
    <x v="1"/>
    <s v="Cuenta Corriente"/>
    <s v="Efectivo"/>
    <s v="Pendiente"/>
  </r>
  <r>
    <x v="305"/>
    <x v="10"/>
    <s v="TX-101879"/>
    <x v="19"/>
    <x v="1"/>
    <x v="4"/>
    <n v="13370.39"/>
    <n v="1738.15"/>
    <x v="1877"/>
    <x v="0"/>
    <s v="Cuenta Corriente"/>
    <s v="Tarjeta Crédito"/>
    <s v="Pagado"/>
  </r>
  <r>
    <x v="274"/>
    <x v="2"/>
    <s v="TX-101880"/>
    <x v="12"/>
    <x v="0"/>
    <x v="4"/>
    <n v="6118.09"/>
    <n v="0"/>
    <x v="1878"/>
    <x v="0"/>
    <s v="Cuenta Corriente"/>
    <s v="Tarjeta Crédito"/>
    <s v="Pendiente"/>
  </r>
  <r>
    <x v="215"/>
    <x v="3"/>
    <s v="TX-101881"/>
    <x v="6"/>
    <x v="0"/>
    <x v="4"/>
    <n v="10585.08"/>
    <n v="0"/>
    <x v="1879"/>
    <x v="2"/>
    <s v="Cuenta Ahorros"/>
    <s v="Tarjeta Crédito"/>
    <s v="Pendiente"/>
  </r>
  <r>
    <x v="195"/>
    <x v="7"/>
    <s v="TX-101882"/>
    <x v="3"/>
    <x v="0"/>
    <x v="5"/>
    <n v="3129.55"/>
    <n v="0"/>
    <x v="1880"/>
    <x v="3"/>
    <s v="Tarjeta Crédito Empresarial"/>
    <s v="Transferencia"/>
    <s v="Pendiente"/>
  </r>
  <r>
    <x v="278"/>
    <x v="9"/>
    <s v="TX-101883"/>
    <x v="18"/>
    <x v="1"/>
    <x v="7"/>
    <n v="9452.7099999999991"/>
    <n v="1228.8499999999999"/>
    <x v="1881"/>
    <x v="3"/>
    <s v="Tarjeta Crédito Empresarial"/>
    <s v="Transferencia"/>
    <s v="Pagado"/>
  </r>
  <r>
    <x v="133"/>
    <x v="3"/>
    <s v="TX-101884"/>
    <x v="1"/>
    <x v="1"/>
    <x v="7"/>
    <n v="11694.69"/>
    <n v="1520.31"/>
    <x v="1882"/>
    <x v="3"/>
    <s v="Tarjeta Crédito Empresarial"/>
    <s v="Transferencia"/>
    <s v="Pagado"/>
  </r>
  <r>
    <x v="6"/>
    <x v="5"/>
    <s v="TX-101885"/>
    <x v="17"/>
    <x v="0"/>
    <x v="3"/>
    <n v="857.05"/>
    <n v="0"/>
    <x v="1883"/>
    <x v="4"/>
    <s v="Cuenta Corriente"/>
    <s v="Transferencia"/>
    <s v="Pendiente"/>
  </r>
  <r>
    <x v="182"/>
    <x v="0"/>
    <s v="TX-101886"/>
    <x v="12"/>
    <x v="0"/>
    <x v="4"/>
    <n v="10494.56"/>
    <n v="0"/>
    <x v="1884"/>
    <x v="4"/>
    <s v="Cuenta Corriente"/>
    <s v="Transferencia"/>
    <s v="Pagado"/>
  </r>
  <r>
    <x v="23"/>
    <x v="1"/>
    <s v="TX-101887"/>
    <x v="6"/>
    <x v="0"/>
    <x v="6"/>
    <n v="13085.25"/>
    <n v="0"/>
    <x v="1885"/>
    <x v="3"/>
    <s v="Cuenta Corriente"/>
    <s v="Efectivo"/>
    <s v="Pagado"/>
  </r>
  <r>
    <x v="195"/>
    <x v="7"/>
    <s v="TX-101888"/>
    <x v="3"/>
    <x v="1"/>
    <x v="6"/>
    <n v="3258.25"/>
    <n v="423.57"/>
    <x v="1886"/>
    <x v="2"/>
    <s v="Tarjeta Crédito Empresarial"/>
    <s v="Tarjeta Crédito"/>
    <s v="Pendiente"/>
  </r>
  <r>
    <x v="136"/>
    <x v="11"/>
    <s v="TX-101889"/>
    <x v="10"/>
    <x v="0"/>
    <x v="4"/>
    <n v="705.2"/>
    <n v="0"/>
    <x v="1887"/>
    <x v="3"/>
    <s v="Cuenta Ahorros"/>
    <s v="Tarjeta Débito"/>
    <s v="Pagado"/>
  </r>
  <r>
    <x v="82"/>
    <x v="10"/>
    <s v="TX-101890"/>
    <x v="2"/>
    <x v="1"/>
    <x v="6"/>
    <n v="10639.04"/>
    <n v="1383.08"/>
    <x v="1888"/>
    <x v="2"/>
    <s v="Tarjeta Crédito Empresarial"/>
    <s v="Transferencia"/>
    <s v="Pagado"/>
  </r>
  <r>
    <x v="359"/>
    <x v="5"/>
    <s v="TX-101891"/>
    <x v="0"/>
    <x v="1"/>
    <x v="3"/>
    <n v="4353.29"/>
    <n v="565.92999999999995"/>
    <x v="1889"/>
    <x v="0"/>
    <s v="Cuenta Corriente"/>
    <s v="Tarjeta Crédito"/>
    <s v="Pagado"/>
  </r>
  <r>
    <x v="320"/>
    <x v="2"/>
    <s v="TX-101892"/>
    <x v="19"/>
    <x v="1"/>
    <x v="1"/>
    <n v="4197.6400000000003"/>
    <n v="545.69000000000005"/>
    <x v="1890"/>
    <x v="3"/>
    <s v="Cuenta Corriente"/>
    <s v="Efectivo"/>
    <s v="Pagado"/>
  </r>
  <r>
    <x v="269"/>
    <x v="0"/>
    <s v="TX-101893"/>
    <x v="18"/>
    <x v="1"/>
    <x v="4"/>
    <n v="9421.57"/>
    <n v="1224.8"/>
    <x v="1891"/>
    <x v="4"/>
    <s v="Tarjeta Crédito Empresarial"/>
    <s v="Tarjeta Crédito"/>
    <s v="Pagado"/>
  </r>
  <r>
    <x v="277"/>
    <x v="9"/>
    <s v="TX-101894"/>
    <x v="8"/>
    <x v="1"/>
    <x v="6"/>
    <n v="10306.07"/>
    <n v="1339.79"/>
    <x v="1892"/>
    <x v="4"/>
    <s v="Cuenta Corriente"/>
    <s v="Tarjeta Crédito"/>
    <s v="Pendiente"/>
  </r>
  <r>
    <x v="232"/>
    <x v="10"/>
    <s v="TX-101895"/>
    <x v="0"/>
    <x v="1"/>
    <x v="3"/>
    <n v="14458.12"/>
    <n v="1879.56"/>
    <x v="1893"/>
    <x v="0"/>
    <s v="Cuenta Corriente"/>
    <s v="Transferencia"/>
    <s v="Pendiente"/>
  </r>
  <r>
    <x v="77"/>
    <x v="8"/>
    <s v="TX-101896"/>
    <x v="4"/>
    <x v="1"/>
    <x v="2"/>
    <n v="8223.69"/>
    <n v="1069.08"/>
    <x v="1894"/>
    <x v="1"/>
    <s v="Cuenta Ahorros"/>
    <s v="Transferencia"/>
    <s v="Pagado"/>
  </r>
  <r>
    <x v="257"/>
    <x v="7"/>
    <s v="TX-101897"/>
    <x v="4"/>
    <x v="0"/>
    <x v="5"/>
    <n v="10764.01"/>
    <n v="0"/>
    <x v="1895"/>
    <x v="4"/>
    <s v="Tarjeta Crédito Empresarial"/>
    <s v="Tarjeta Crédito"/>
    <s v="Pendiente"/>
  </r>
  <r>
    <x v="194"/>
    <x v="8"/>
    <s v="TX-101898"/>
    <x v="12"/>
    <x v="1"/>
    <x v="1"/>
    <n v="5919.83"/>
    <n v="769.58"/>
    <x v="1896"/>
    <x v="1"/>
    <s v="Cuenta Corriente"/>
    <s v="Tarjeta Crédito"/>
    <s v="Pendiente"/>
  </r>
  <r>
    <x v="245"/>
    <x v="0"/>
    <s v="TX-101899"/>
    <x v="5"/>
    <x v="1"/>
    <x v="6"/>
    <n v="12435.21"/>
    <n v="1616.58"/>
    <x v="1897"/>
    <x v="1"/>
    <s v="Cuenta Corriente"/>
    <s v="Efectivo"/>
    <s v="Pendiente"/>
  </r>
  <r>
    <x v="201"/>
    <x v="8"/>
    <s v="TX-101900"/>
    <x v="16"/>
    <x v="0"/>
    <x v="5"/>
    <n v="4323.74"/>
    <n v="0"/>
    <x v="1898"/>
    <x v="0"/>
    <s v="Cuenta Ahorros"/>
    <s v="Tarjeta Débito"/>
    <s v="Pagado"/>
  </r>
  <r>
    <x v="14"/>
    <x v="9"/>
    <s v="TX-101901"/>
    <x v="19"/>
    <x v="1"/>
    <x v="0"/>
    <n v="11849.69"/>
    <n v="1540.46"/>
    <x v="1899"/>
    <x v="2"/>
    <s v="Cuenta Corriente"/>
    <s v="Transferencia"/>
    <s v="Pagado"/>
  </r>
  <r>
    <x v="44"/>
    <x v="1"/>
    <s v="TX-101902"/>
    <x v="19"/>
    <x v="1"/>
    <x v="3"/>
    <n v="12592.01"/>
    <n v="1636.96"/>
    <x v="1900"/>
    <x v="2"/>
    <s v="Cuenta Corriente"/>
    <s v="Transferencia"/>
    <s v="Pendiente"/>
  </r>
  <r>
    <x v="300"/>
    <x v="0"/>
    <s v="TX-101903"/>
    <x v="12"/>
    <x v="1"/>
    <x v="5"/>
    <n v="13301.66"/>
    <n v="1729.22"/>
    <x v="1901"/>
    <x v="3"/>
    <s v="Cuenta Ahorros"/>
    <s v="Efectivo"/>
    <s v="Pendiente"/>
  </r>
  <r>
    <x v="231"/>
    <x v="9"/>
    <s v="TX-101904"/>
    <x v="14"/>
    <x v="1"/>
    <x v="4"/>
    <n v="13450.95"/>
    <n v="1748.62"/>
    <x v="1902"/>
    <x v="1"/>
    <s v="Cuenta Ahorros"/>
    <s v="Efectivo"/>
    <s v="Pendiente"/>
  </r>
  <r>
    <x v="93"/>
    <x v="3"/>
    <s v="TX-101905"/>
    <x v="1"/>
    <x v="1"/>
    <x v="3"/>
    <n v="4709.6899999999996"/>
    <n v="612.26"/>
    <x v="1903"/>
    <x v="3"/>
    <s v="Cuenta Corriente"/>
    <s v="Tarjeta Débito"/>
    <s v="Pendiente"/>
  </r>
  <r>
    <x v="214"/>
    <x v="11"/>
    <s v="TX-101906"/>
    <x v="0"/>
    <x v="1"/>
    <x v="7"/>
    <n v="5582.16"/>
    <n v="725.68"/>
    <x v="1904"/>
    <x v="4"/>
    <s v="Cuenta Corriente"/>
    <s v="Tarjeta Crédito"/>
    <s v="Pendiente"/>
  </r>
  <r>
    <x v="78"/>
    <x v="0"/>
    <s v="TX-101907"/>
    <x v="10"/>
    <x v="1"/>
    <x v="1"/>
    <n v="13614.6"/>
    <n v="1769.9"/>
    <x v="1905"/>
    <x v="3"/>
    <s v="Cuenta Ahorros"/>
    <s v="Tarjeta Débito"/>
    <s v="Pagado"/>
  </r>
  <r>
    <x v="43"/>
    <x v="2"/>
    <s v="TX-101908"/>
    <x v="14"/>
    <x v="1"/>
    <x v="3"/>
    <n v="10521.34"/>
    <n v="1367.77"/>
    <x v="1906"/>
    <x v="3"/>
    <s v="Tarjeta Crédito Empresarial"/>
    <s v="Tarjeta Débito"/>
    <s v="Pagado"/>
  </r>
  <r>
    <x v="101"/>
    <x v="5"/>
    <s v="TX-101909"/>
    <x v="4"/>
    <x v="1"/>
    <x v="7"/>
    <n v="10855.7"/>
    <n v="1411.24"/>
    <x v="1907"/>
    <x v="2"/>
    <s v="Tarjeta Crédito Empresarial"/>
    <s v="Transferencia"/>
    <s v="Pendiente"/>
  </r>
  <r>
    <x v="32"/>
    <x v="9"/>
    <s v="TX-101910"/>
    <x v="1"/>
    <x v="0"/>
    <x v="0"/>
    <n v="8056.18"/>
    <n v="0"/>
    <x v="1908"/>
    <x v="0"/>
    <s v="Tarjeta Crédito Empresarial"/>
    <s v="Transferencia"/>
    <s v="Pendiente"/>
  </r>
  <r>
    <x v="138"/>
    <x v="11"/>
    <s v="TX-101911"/>
    <x v="13"/>
    <x v="1"/>
    <x v="2"/>
    <n v="5756.71"/>
    <n v="748.37"/>
    <x v="1909"/>
    <x v="3"/>
    <s v="Tarjeta Crédito Empresarial"/>
    <s v="Transferencia"/>
    <s v="Pendiente"/>
  </r>
  <r>
    <x v="54"/>
    <x v="3"/>
    <s v="TX-101912"/>
    <x v="6"/>
    <x v="1"/>
    <x v="2"/>
    <n v="8234.9599999999991"/>
    <n v="1070.54"/>
    <x v="1910"/>
    <x v="0"/>
    <s v="Cuenta Corriente"/>
    <s v="Efectivo"/>
    <s v="Pagado"/>
  </r>
  <r>
    <x v="143"/>
    <x v="11"/>
    <s v="TX-101913"/>
    <x v="8"/>
    <x v="0"/>
    <x v="1"/>
    <n v="9877.48"/>
    <n v="0"/>
    <x v="1911"/>
    <x v="4"/>
    <s v="Cuenta Corriente"/>
    <s v="Efectivo"/>
    <s v="Pagado"/>
  </r>
  <r>
    <x v="187"/>
    <x v="10"/>
    <s v="TX-101914"/>
    <x v="0"/>
    <x v="1"/>
    <x v="0"/>
    <n v="9244.8799999999992"/>
    <n v="1201.83"/>
    <x v="1912"/>
    <x v="4"/>
    <s v="Tarjeta Crédito Empresarial"/>
    <s v="Tarjeta Débito"/>
    <s v="Pagado"/>
  </r>
  <r>
    <x v="196"/>
    <x v="11"/>
    <s v="TX-101915"/>
    <x v="0"/>
    <x v="0"/>
    <x v="2"/>
    <n v="4197.49"/>
    <n v="0"/>
    <x v="1913"/>
    <x v="2"/>
    <s v="Tarjeta Crédito Empresarial"/>
    <s v="Tarjeta Débito"/>
    <s v="Pagado"/>
  </r>
  <r>
    <x v="229"/>
    <x v="5"/>
    <s v="TX-101916"/>
    <x v="1"/>
    <x v="0"/>
    <x v="6"/>
    <n v="8680.25"/>
    <n v="0"/>
    <x v="1914"/>
    <x v="4"/>
    <s v="Tarjeta Crédito Empresarial"/>
    <s v="Transferencia"/>
    <s v="Pagado"/>
  </r>
  <r>
    <x v="95"/>
    <x v="4"/>
    <s v="TX-101917"/>
    <x v="14"/>
    <x v="1"/>
    <x v="0"/>
    <n v="14681.2"/>
    <n v="1908.56"/>
    <x v="1915"/>
    <x v="4"/>
    <s v="Cuenta Corriente"/>
    <s v="Tarjeta Débito"/>
    <s v="Pagado"/>
  </r>
  <r>
    <x v="0"/>
    <x v="0"/>
    <s v="TX-101918"/>
    <x v="13"/>
    <x v="0"/>
    <x v="5"/>
    <n v="10447.02"/>
    <n v="0"/>
    <x v="1916"/>
    <x v="4"/>
    <s v="Cuenta Ahorros"/>
    <s v="Tarjeta Débito"/>
    <s v="Pagado"/>
  </r>
  <r>
    <x v="169"/>
    <x v="1"/>
    <s v="TX-101919"/>
    <x v="11"/>
    <x v="1"/>
    <x v="3"/>
    <n v="5065.2"/>
    <n v="658.48"/>
    <x v="1917"/>
    <x v="1"/>
    <s v="Cuenta Ahorros"/>
    <s v="Efectivo"/>
    <s v="Pagado"/>
  </r>
  <r>
    <x v="348"/>
    <x v="8"/>
    <s v="TX-101920"/>
    <x v="0"/>
    <x v="0"/>
    <x v="0"/>
    <n v="14026.8"/>
    <n v="0"/>
    <x v="1918"/>
    <x v="1"/>
    <s v="Cuenta Ahorros"/>
    <s v="Tarjeta Crédito"/>
    <s v="Pendiente"/>
  </r>
  <r>
    <x v="126"/>
    <x v="5"/>
    <s v="TX-101921"/>
    <x v="19"/>
    <x v="1"/>
    <x v="5"/>
    <n v="11530.18"/>
    <n v="1498.92"/>
    <x v="1919"/>
    <x v="3"/>
    <s v="Tarjeta Crédito Empresarial"/>
    <s v="Tarjeta Débito"/>
    <s v="Pagado"/>
  </r>
  <r>
    <x v="362"/>
    <x v="6"/>
    <s v="TX-101922"/>
    <x v="18"/>
    <x v="0"/>
    <x v="4"/>
    <n v="5702.9"/>
    <n v="0"/>
    <x v="1920"/>
    <x v="3"/>
    <s v="Cuenta Corriente"/>
    <s v="Tarjeta Débito"/>
    <s v="Pagado"/>
  </r>
  <r>
    <x v="133"/>
    <x v="3"/>
    <s v="TX-101923"/>
    <x v="9"/>
    <x v="1"/>
    <x v="4"/>
    <n v="1049.8699999999999"/>
    <n v="136.47999999999999"/>
    <x v="1921"/>
    <x v="1"/>
    <s v="Cuenta Corriente"/>
    <s v="Tarjeta Débito"/>
    <s v="Pagado"/>
  </r>
  <r>
    <x v="168"/>
    <x v="1"/>
    <s v="TX-101924"/>
    <x v="1"/>
    <x v="0"/>
    <x v="7"/>
    <n v="259.18"/>
    <n v="0"/>
    <x v="1922"/>
    <x v="2"/>
    <s v="Cuenta Ahorros"/>
    <s v="Tarjeta Crédito"/>
    <s v="Pendiente"/>
  </r>
  <r>
    <x v="215"/>
    <x v="3"/>
    <s v="TX-101925"/>
    <x v="13"/>
    <x v="1"/>
    <x v="3"/>
    <n v="3546.32"/>
    <n v="461.02"/>
    <x v="1923"/>
    <x v="4"/>
    <s v="Cuenta Corriente"/>
    <s v="Efectivo"/>
    <s v="Pendiente"/>
  </r>
  <r>
    <x v="309"/>
    <x v="4"/>
    <s v="TX-101926"/>
    <x v="10"/>
    <x v="0"/>
    <x v="4"/>
    <n v="11693.1"/>
    <n v="0"/>
    <x v="1924"/>
    <x v="2"/>
    <s v="Tarjeta Crédito Empresarial"/>
    <s v="Transferencia"/>
    <s v="Pendiente"/>
  </r>
  <r>
    <x v="235"/>
    <x v="7"/>
    <s v="TX-101927"/>
    <x v="7"/>
    <x v="1"/>
    <x v="4"/>
    <n v="9089.65"/>
    <n v="1181.6500000000001"/>
    <x v="1925"/>
    <x v="4"/>
    <s v="Tarjeta Crédito Empresarial"/>
    <s v="Efectivo"/>
    <s v="Pendiente"/>
  </r>
  <r>
    <x v="243"/>
    <x v="2"/>
    <s v="TX-101928"/>
    <x v="9"/>
    <x v="0"/>
    <x v="5"/>
    <n v="6831.55"/>
    <n v="0"/>
    <x v="1926"/>
    <x v="4"/>
    <s v="Cuenta Ahorros"/>
    <s v="Tarjeta Débito"/>
    <s v="Pendiente"/>
  </r>
  <r>
    <x v="81"/>
    <x v="3"/>
    <s v="TX-101929"/>
    <x v="1"/>
    <x v="0"/>
    <x v="5"/>
    <n v="3873.11"/>
    <n v="0"/>
    <x v="1927"/>
    <x v="4"/>
    <s v="Tarjeta Crédito Empresarial"/>
    <s v="Tarjeta Crédito"/>
    <s v="Pendiente"/>
  </r>
  <r>
    <x v="136"/>
    <x v="11"/>
    <s v="TX-101930"/>
    <x v="16"/>
    <x v="1"/>
    <x v="1"/>
    <n v="8030.32"/>
    <n v="1043.94"/>
    <x v="1928"/>
    <x v="0"/>
    <s v="Tarjeta Crédito Empresarial"/>
    <s v="Transferencia"/>
    <s v="Pendiente"/>
  </r>
  <r>
    <x v="112"/>
    <x v="10"/>
    <s v="TX-101931"/>
    <x v="5"/>
    <x v="0"/>
    <x v="2"/>
    <n v="9887.32"/>
    <n v="0"/>
    <x v="1929"/>
    <x v="1"/>
    <s v="Cuenta Ahorros"/>
    <s v="Tarjeta Débito"/>
    <s v="Pagado"/>
  </r>
  <r>
    <x v="252"/>
    <x v="7"/>
    <s v="TX-101932"/>
    <x v="12"/>
    <x v="1"/>
    <x v="4"/>
    <n v="14211.16"/>
    <n v="1847.45"/>
    <x v="1930"/>
    <x v="2"/>
    <s v="Tarjeta Crédito Empresarial"/>
    <s v="Transferencia"/>
    <s v="Pendiente"/>
  </r>
  <r>
    <x v="217"/>
    <x v="1"/>
    <s v="TX-101933"/>
    <x v="5"/>
    <x v="1"/>
    <x v="4"/>
    <n v="14241.07"/>
    <n v="1851.34"/>
    <x v="1931"/>
    <x v="4"/>
    <s v="Cuenta Corriente"/>
    <s v="Transferencia"/>
    <s v="Pendiente"/>
  </r>
  <r>
    <x v="218"/>
    <x v="4"/>
    <s v="TX-101934"/>
    <x v="7"/>
    <x v="1"/>
    <x v="6"/>
    <n v="14703.06"/>
    <n v="1911.4"/>
    <x v="1932"/>
    <x v="2"/>
    <s v="Cuenta Ahorros"/>
    <s v="Efectivo"/>
    <s v="Pendiente"/>
  </r>
  <r>
    <x v="184"/>
    <x v="4"/>
    <s v="TX-101935"/>
    <x v="8"/>
    <x v="0"/>
    <x v="3"/>
    <n v="8823.06"/>
    <n v="0"/>
    <x v="1933"/>
    <x v="2"/>
    <s v="Cuenta Corriente"/>
    <s v="Tarjeta Crédito"/>
    <s v="Pagado"/>
  </r>
  <r>
    <x v="69"/>
    <x v="10"/>
    <s v="TX-101936"/>
    <x v="8"/>
    <x v="0"/>
    <x v="4"/>
    <n v="5925.76"/>
    <n v="0"/>
    <x v="1934"/>
    <x v="0"/>
    <s v="Cuenta Ahorros"/>
    <s v="Transferencia"/>
    <s v="Pendiente"/>
  </r>
  <r>
    <x v="47"/>
    <x v="4"/>
    <s v="TX-101937"/>
    <x v="9"/>
    <x v="1"/>
    <x v="2"/>
    <n v="2697.39"/>
    <n v="350.66"/>
    <x v="1935"/>
    <x v="2"/>
    <s v="Cuenta Corriente"/>
    <s v="Transferencia"/>
    <s v="Pendiente"/>
  </r>
  <r>
    <x v="100"/>
    <x v="3"/>
    <s v="TX-101938"/>
    <x v="4"/>
    <x v="1"/>
    <x v="6"/>
    <n v="2821.2"/>
    <n v="366.76"/>
    <x v="1936"/>
    <x v="0"/>
    <s v="Cuenta Corriente"/>
    <s v="Tarjeta Crédito"/>
    <s v="Pendiente"/>
  </r>
  <r>
    <x v="352"/>
    <x v="4"/>
    <s v="TX-101939"/>
    <x v="7"/>
    <x v="0"/>
    <x v="7"/>
    <n v="2766.77"/>
    <n v="0"/>
    <x v="1937"/>
    <x v="3"/>
    <s v="Cuenta Ahorros"/>
    <s v="Tarjeta Crédito"/>
    <s v="Pagado"/>
  </r>
  <r>
    <x v="264"/>
    <x v="2"/>
    <s v="TX-101940"/>
    <x v="3"/>
    <x v="1"/>
    <x v="4"/>
    <n v="2764.81"/>
    <n v="359.43"/>
    <x v="1938"/>
    <x v="2"/>
    <s v="Cuenta Corriente"/>
    <s v="Tarjeta Crédito"/>
    <s v="Pagado"/>
  </r>
  <r>
    <x v="206"/>
    <x v="9"/>
    <s v="TX-101941"/>
    <x v="14"/>
    <x v="0"/>
    <x v="2"/>
    <n v="4549.91"/>
    <n v="0"/>
    <x v="1939"/>
    <x v="2"/>
    <s v="Cuenta Corriente"/>
    <s v="Transferencia"/>
    <s v="Pendiente"/>
  </r>
  <r>
    <x v="350"/>
    <x v="5"/>
    <s v="TX-101942"/>
    <x v="12"/>
    <x v="0"/>
    <x v="0"/>
    <n v="1608.53"/>
    <n v="0"/>
    <x v="1940"/>
    <x v="3"/>
    <s v="Cuenta Corriente"/>
    <s v="Transferencia"/>
    <s v="Pendiente"/>
  </r>
  <r>
    <x v="255"/>
    <x v="10"/>
    <s v="TX-101943"/>
    <x v="16"/>
    <x v="1"/>
    <x v="2"/>
    <n v="1237.04"/>
    <n v="160.82"/>
    <x v="1941"/>
    <x v="1"/>
    <s v="Cuenta Corriente"/>
    <s v="Tarjeta Crédito"/>
    <s v="Pendiente"/>
  </r>
  <r>
    <x v="157"/>
    <x v="2"/>
    <s v="TX-101944"/>
    <x v="5"/>
    <x v="0"/>
    <x v="4"/>
    <n v="11099.91"/>
    <n v="0"/>
    <x v="1942"/>
    <x v="1"/>
    <s v="Tarjeta Crédito Empresarial"/>
    <s v="Efectivo"/>
    <s v="Pendiente"/>
  </r>
  <r>
    <x v="310"/>
    <x v="6"/>
    <s v="TX-101945"/>
    <x v="13"/>
    <x v="1"/>
    <x v="2"/>
    <n v="7483.44"/>
    <n v="972.85"/>
    <x v="1943"/>
    <x v="4"/>
    <s v="Tarjeta Crédito Empresarial"/>
    <s v="Transferencia"/>
    <s v="Pendiente"/>
  </r>
  <r>
    <x v="202"/>
    <x v="2"/>
    <s v="TX-101946"/>
    <x v="16"/>
    <x v="1"/>
    <x v="7"/>
    <n v="6968.85"/>
    <n v="905.95"/>
    <x v="1944"/>
    <x v="0"/>
    <s v="Cuenta Ahorros"/>
    <s v="Efectivo"/>
    <s v="Pendiente"/>
  </r>
  <r>
    <x v="287"/>
    <x v="4"/>
    <s v="TX-101947"/>
    <x v="12"/>
    <x v="1"/>
    <x v="7"/>
    <n v="100.91"/>
    <n v="13.12"/>
    <x v="1945"/>
    <x v="3"/>
    <s v="Tarjeta Crédito Empresarial"/>
    <s v="Transferencia"/>
    <s v="Pendiente"/>
  </r>
  <r>
    <x v="53"/>
    <x v="3"/>
    <s v="TX-101948"/>
    <x v="6"/>
    <x v="1"/>
    <x v="1"/>
    <n v="13917.19"/>
    <n v="1809.23"/>
    <x v="1946"/>
    <x v="2"/>
    <s v="Tarjeta Crédito Empresarial"/>
    <s v="Transferencia"/>
    <s v="Pagado"/>
  </r>
  <r>
    <x v="357"/>
    <x v="0"/>
    <s v="TX-101949"/>
    <x v="14"/>
    <x v="0"/>
    <x v="5"/>
    <n v="10955.85"/>
    <n v="0"/>
    <x v="1947"/>
    <x v="2"/>
    <s v="Cuenta Corriente"/>
    <s v="Tarjeta Crédito"/>
    <s v="Pendiente"/>
  </r>
  <r>
    <x v="36"/>
    <x v="7"/>
    <s v="TX-101950"/>
    <x v="1"/>
    <x v="0"/>
    <x v="1"/>
    <n v="9083.02"/>
    <n v="0"/>
    <x v="1948"/>
    <x v="0"/>
    <s v="Tarjeta Crédito Empresarial"/>
    <s v="Transferencia"/>
    <s v="Pagado"/>
  </r>
  <r>
    <x v="217"/>
    <x v="1"/>
    <s v="TX-101951"/>
    <x v="4"/>
    <x v="1"/>
    <x v="7"/>
    <n v="14902.15"/>
    <n v="1937.28"/>
    <x v="1949"/>
    <x v="4"/>
    <s v="Cuenta Corriente"/>
    <s v="Tarjeta Débito"/>
    <s v="Pendiente"/>
  </r>
  <r>
    <x v="1"/>
    <x v="1"/>
    <s v="TX-101952"/>
    <x v="8"/>
    <x v="1"/>
    <x v="3"/>
    <n v="2681.35"/>
    <n v="348.58"/>
    <x v="1950"/>
    <x v="0"/>
    <s v="Tarjeta Crédito Empresarial"/>
    <s v="Tarjeta Débito"/>
    <s v="Pendiente"/>
  </r>
  <r>
    <x v="129"/>
    <x v="9"/>
    <s v="TX-101953"/>
    <x v="3"/>
    <x v="1"/>
    <x v="6"/>
    <n v="14497.09"/>
    <n v="1884.62"/>
    <x v="1951"/>
    <x v="4"/>
    <s v="Cuenta Corriente"/>
    <s v="Tarjeta Débito"/>
    <s v="Pagado"/>
  </r>
  <r>
    <x v="313"/>
    <x v="6"/>
    <s v="TX-101954"/>
    <x v="6"/>
    <x v="1"/>
    <x v="0"/>
    <n v="13409.64"/>
    <n v="1743.25"/>
    <x v="1952"/>
    <x v="0"/>
    <s v="Cuenta Corriente"/>
    <s v="Transferencia"/>
    <s v="Pendiente"/>
  </r>
  <r>
    <x v="36"/>
    <x v="7"/>
    <s v="TX-101955"/>
    <x v="13"/>
    <x v="1"/>
    <x v="6"/>
    <n v="3421.25"/>
    <n v="444.76"/>
    <x v="1953"/>
    <x v="1"/>
    <s v="Cuenta Ahorros"/>
    <s v="Transferencia"/>
    <s v="Pendiente"/>
  </r>
  <r>
    <x v="191"/>
    <x v="10"/>
    <s v="TX-101956"/>
    <x v="6"/>
    <x v="0"/>
    <x v="2"/>
    <n v="13615.6"/>
    <n v="0"/>
    <x v="1954"/>
    <x v="1"/>
    <s v="Cuenta Corriente"/>
    <s v="Tarjeta Débito"/>
    <s v="Pendiente"/>
  </r>
  <r>
    <x v="85"/>
    <x v="0"/>
    <s v="TX-101957"/>
    <x v="18"/>
    <x v="1"/>
    <x v="0"/>
    <n v="5747.94"/>
    <n v="747.23"/>
    <x v="1955"/>
    <x v="3"/>
    <s v="Cuenta Ahorros"/>
    <s v="Transferencia"/>
    <s v="Pagado"/>
  </r>
  <r>
    <x v="170"/>
    <x v="10"/>
    <s v="TX-101958"/>
    <x v="18"/>
    <x v="0"/>
    <x v="0"/>
    <n v="13399.58"/>
    <n v="0"/>
    <x v="1956"/>
    <x v="0"/>
    <s v="Tarjeta Crédito Empresarial"/>
    <s v="Tarjeta Débito"/>
    <s v="Pagado"/>
  </r>
  <r>
    <x v="162"/>
    <x v="11"/>
    <s v="TX-101959"/>
    <x v="7"/>
    <x v="0"/>
    <x v="4"/>
    <n v="11701.29"/>
    <n v="0"/>
    <x v="1957"/>
    <x v="4"/>
    <s v="Cuenta Ahorros"/>
    <s v="Efectivo"/>
    <s v="Pendiente"/>
  </r>
  <r>
    <x v="48"/>
    <x v="2"/>
    <s v="TX-101960"/>
    <x v="14"/>
    <x v="1"/>
    <x v="0"/>
    <n v="14733.18"/>
    <n v="1915.31"/>
    <x v="1958"/>
    <x v="4"/>
    <s v="Cuenta Corriente"/>
    <s v="Transferencia"/>
    <s v="Pagado"/>
  </r>
  <r>
    <x v="16"/>
    <x v="5"/>
    <s v="TX-101961"/>
    <x v="17"/>
    <x v="1"/>
    <x v="6"/>
    <n v="8425.19"/>
    <n v="1095.27"/>
    <x v="1959"/>
    <x v="0"/>
    <s v="Cuenta Corriente"/>
    <s v="Tarjeta Débito"/>
    <s v="Pagado"/>
  </r>
  <r>
    <x v="119"/>
    <x v="6"/>
    <s v="TX-101962"/>
    <x v="7"/>
    <x v="1"/>
    <x v="3"/>
    <n v="2786.46"/>
    <n v="362.24"/>
    <x v="1960"/>
    <x v="2"/>
    <s v="Cuenta Corriente"/>
    <s v="Tarjeta Crédito"/>
    <s v="Pagado"/>
  </r>
  <r>
    <x v="127"/>
    <x v="6"/>
    <s v="TX-101963"/>
    <x v="12"/>
    <x v="0"/>
    <x v="0"/>
    <n v="1046.7"/>
    <n v="0"/>
    <x v="1961"/>
    <x v="3"/>
    <s v="Tarjeta Crédito Empresarial"/>
    <s v="Transferencia"/>
    <s v="Pendiente"/>
  </r>
  <r>
    <x v="332"/>
    <x v="1"/>
    <s v="TX-101964"/>
    <x v="13"/>
    <x v="0"/>
    <x v="2"/>
    <n v="12423.71"/>
    <n v="0"/>
    <x v="1962"/>
    <x v="1"/>
    <s v="Tarjeta Crédito Empresarial"/>
    <s v="Tarjeta Crédito"/>
    <s v="Pagado"/>
  </r>
  <r>
    <x v="254"/>
    <x v="5"/>
    <s v="TX-101965"/>
    <x v="18"/>
    <x v="0"/>
    <x v="5"/>
    <n v="252.6"/>
    <n v="0"/>
    <x v="1963"/>
    <x v="3"/>
    <s v="Cuenta Corriente"/>
    <s v="Efectivo"/>
    <s v="Pagado"/>
  </r>
  <r>
    <x v="19"/>
    <x v="8"/>
    <s v="TX-101966"/>
    <x v="10"/>
    <x v="0"/>
    <x v="3"/>
    <n v="3477.12"/>
    <n v="0"/>
    <x v="1964"/>
    <x v="2"/>
    <s v="Cuenta Ahorros"/>
    <s v="Transferencia"/>
    <s v="Pendiente"/>
  </r>
  <r>
    <x v="232"/>
    <x v="10"/>
    <s v="TX-101967"/>
    <x v="13"/>
    <x v="1"/>
    <x v="6"/>
    <n v="4810.3900000000003"/>
    <n v="625.35"/>
    <x v="1965"/>
    <x v="3"/>
    <s v="Cuenta Corriente"/>
    <s v="Transferencia"/>
    <s v="Pendiente"/>
  </r>
  <r>
    <x v="315"/>
    <x v="5"/>
    <s v="TX-101968"/>
    <x v="15"/>
    <x v="0"/>
    <x v="2"/>
    <n v="1208.52"/>
    <n v="0"/>
    <x v="1966"/>
    <x v="2"/>
    <s v="Cuenta Ahorros"/>
    <s v="Efectivo"/>
    <s v="Pendiente"/>
  </r>
  <r>
    <x v="8"/>
    <x v="7"/>
    <s v="TX-101969"/>
    <x v="19"/>
    <x v="1"/>
    <x v="3"/>
    <n v="8906.75"/>
    <n v="1157.8800000000001"/>
    <x v="1967"/>
    <x v="0"/>
    <s v="Cuenta Ahorros"/>
    <s v="Efectivo"/>
    <s v="Pendiente"/>
  </r>
  <r>
    <x v="274"/>
    <x v="2"/>
    <s v="TX-101970"/>
    <x v="16"/>
    <x v="1"/>
    <x v="7"/>
    <n v="12061.25"/>
    <n v="1567.96"/>
    <x v="1968"/>
    <x v="3"/>
    <s v="Cuenta Ahorros"/>
    <s v="Tarjeta Débito"/>
    <s v="Pendiente"/>
  </r>
  <r>
    <x v="105"/>
    <x v="5"/>
    <s v="TX-101971"/>
    <x v="0"/>
    <x v="1"/>
    <x v="7"/>
    <n v="1486.61"/>
    <n v="193.26"/>
    <x v="1969"/>
    <x v="3"/>
    <s v="Cuenta Corriente"/>
    <s v="Tarjeta Crédito"/>
    <s v="Pagado"/>
  </r>
  <r>
    <x v="178"/>
    <x v="6"/>
    <s v="TX-101972"/>
    <x v="19"/>
    <x v="1"/>
    <x v="3"/>
    <n v="13593.76"/>
    <n v="1767.19"/>
    <x v="1970"/>
    <x v="1"/>
    <s v="Cuenta Ahorros"/>
    <s v="Efectivo"/>
    <s v="Pendiente"/>
  </r>
  <r>
    <x v="302"/>
    <x v="8"/>
    <s v="TX-101973"/>
    <x v="19"/>
    <x v="0"/>
    <x v="0"/>
    <n v="1159.19"/>
    <n v="0"/>
    <x v="1971"/>
    <x v="1"/>
    <s v="Cuenta Ahorros"/>
    <s v="Tarjeta Débito"/>
    <s v="Pagado"/>
  </r>
  <r>
    <x v="284"/>
    <x v="1"/>
    <s v="TX-101974"/>
    <x v="14"/>
    <x v="0"/>
    <x v="3"/>
    <n v="10140.5"/>
    <n v="0"/>
    <x v="1972"/>
    <x v="1"/>
    <s v="Cuenta Ahorros"/>
    <s v="Efectivo"/>
    <s v="Pendiente"/>
  </r>
  <r>
    <x v="313"/>
    <x v="6"/>
    <s v="TX-101975"/>
    <x v="12"/>
    <x v="1"/>
    <x v="4"/>
    <n v="3085.08"/>
    <n v="401.06"/>
    <x v="1973"/>
    <x v="3"/>
    <s v="Tarjeta Crédito Empresarial"/>
    <s v="Efectivo"/>
    <s v="Pendiente"/>
  </r>
  <r>
    <x v="40"/>
    <x v="2"/>
    <s v="TX-101976"/>
    <x v="12"/>
    <x v="1"/>
    <x v="6"/>
    <n v="2766.25"/>
    <n v="359.61"/>
    <x v="1974"/>
    <x v="4"/>
    <s v="Cuenta Corriente"/>
    <s v="Tarjeta Débito"/>
    <s v="Pagado"/>
  </r>
  <r>
    <x v="186"/>
    <x v="3"/>
    <s v="TX-101977"/>
    <x v="3"/>
    <x v="1"/>
    <x v="6"/>
    <n v="7320.03"/>
    <n v="951.6"/>
    <x v="1975"/>
    <x v="2"/>
    <s v="Cuenta Ahorros"/>
    <s v="Efectivo"/>
    <s v="Pendiente"/>
  </r>
  <r>
    <x v="262"/>
    <x v="10"/>
    <s v="TX-101978"/>
    <x v="10"/>
    <x v="1"/>
    <x v="1"/>
    <n v="2147.19"/>
    <n v="279.13"/>
    <x v="1976"/>
    <x v="1"/>
    <s v="Cuenta Ahorros"/>
    <s v="Tarjeta Crédito"/>
    <s v="Pendiente"/>
  </r>
  <r>
    <x v="333"/>
    <x v="10"/>
    <s v="TX-101979"/>
    <x v="13"/>
    <x v="0"/>
    <x v="4"/>
    <n v="8607.32"/>
    <n v="0"/>
    <x v="1977"/>
    <x v="1"/>
    <s v="Cuenta Ahorros"/>
    <s v="Transferencia"/>
    <s v="Pendiente"/>
  </r>
  <r>
    <x v="217"/>
    <x v="1"/>
    <s v="TX-101980"/>
    <x v="15"/>
    <x v="0"/>
    <x v="3"/>
    <n v="10374.86"/>
    <n v="0"/>
    <x v="1978"/>
    <x v="2"/>
    <s v="Cuenta Ahorros"/>
    <s v="Transferencia"/>
    <s v="Pagado"/>
  </r>
  <r>
    <x v="121"/>
    <x v="8"/>
    <s v="TX-101981"/>
    <x v="12"/>
    <x v="0"/>
    <x v="6"/>
    <n v="10500.52"/>
    <n v="0"/>
    <x v="1979"/>
    <x v="4"/>
    <s v="Cuenta Corriente"/>
    <s v="Efectivo"/>
    <s v="Pendiente"/>
  </r>
  <r>
    <x v="339"/>
    <x v="0"/>
    <s v="TX-101982"/>
    <x v="2"/>
    <x v="1"/>
    <x v="7"/>
    <n v="6648.62"/>
    <n v="864.32"/>
    <x v="1980"/>
    <x v="0"/>
    <s v="Tarjeta Crédito Empresarial"/>
    <s v="Tarjeta Crédito"/>
    <s v="Pagado"/>
  </r>
  <r>
    <x v="29"/>
    <x v="3"/>
    <s v="TX-101983"/>
    <x v="12"/>
    <x v="0"/>
    <x v="0"/>
    <n v="790.7"/>
    <n v="0"/>
    <x v="1981"/>
    <x v="0"/>
    <s v="Cuenta Ahorros"/>
    <s v="Transferencia"/>
    <s v="Pagado"/>
  </r>
  <r>
    <x v="344"/>
    <x v="8"/>
    <s v="TX-101984"/>
    <x v="8"/>
    <x v="1"/>
    <x v="5"/>
    <n v="7958.79"/>
    <n v="1034.6400000000001"/>
    <x v="1982"/>
    <x v="1"/>
    <s v="Tarjeta Crédito Empresarial"/>
    <s v="Tarjeta Débito"/>
    <s v="Pendiente"/>
  </r>
  <r>
    <x v="227"/>
    <x v="11"/>
    <s v="TX-101985"/>
    <x v="12"/>
    <x v="1"/>
    <x v="6"/>
    <n v="9230.52"/>
    <n v="1199.97"/>
    <x v="1983"/>
    <x v="0"/>
    <s v="Tarjeta Crédito Empresarial"/>
    <s v="Tarjeta Crédito"/>
    <s v="Pendiente"/>
  </r>
  <r>
    <x v="18"/>
    <x v="9"/>
    <s v="TX-101986"/>
    <x v="17"/>
    <x v="0"/>
    <x v="3"/>
    <n v="3757.8"/>
    <n v="0"/>
    <x v="1984"/>
    <x v="2"/>
    <s v="Cuenta Ahorros"/>
    <s v="Tarjeta Débito"/>
    <s v="Pendiente"/>
  </r>
  <r>
    <x v="313"/>
    <x v="6"/>
    <s v="TX-101987"/>
    <x v="18"/>
    <x v="0"/>
    <x v="2"/>
    <n v="5963.05"/>
    <n v="0"/>
    <x v="1985"/>
    <x v="0"/>
    <s v="Cuenta Corriente"/>
    <s v="Tarjeta Débito"/>
    <s v="Pendiente"/>
  </r>
  <r>
    <x v="61"/>
    <x v="4"/>
    <s v="TX-101988"/>
    <x v="2"/>
    <x v="0"/>
    <x v="4"/>
    <n v="3434.9"/>
    <n v="0"/>
    <x v="1986"/>
    <x v="1"/>
    <s v="Cuenta Ahorros"/>
    <s v="Transferencia"/>
    <s v="Pagado"/>
  </r>
  <r>
    <x v="240"/>
    <x v="2"/>
    <s v="TX-101989"/>
    <x v="5"/>
    <x v="1"/>
    <x v="6"/>
    <n v="7532.54"/>
    <n v="979.23"/>
    <x v="1987"/>
    <x v="0"/>
    <s v="Tarjeta Crédito Empresarial"/>
    <s v="Efectivo"/>
    <s v="Pagado"/>
  </r>
  <r>
    <x v="331"/>
    <x v="1"/>
    <s v="TX-101990"/>
    <x v="18"/>
    <x v="1"/>
    <x v="5"/>
    <n v="1598.99"/>
    <n v="207.87"/>
    <x v="1988"/>
    <x v="0"/>
    <s v="Cuenta Ahorros"/>
    <s v="Tarjeta Débito"/>
    <s v="Pagado"/>
  </r>
  <r>
    <x v="276"/>
    <x v="9"/>
    <s v="TX-101991"/>
    <x v="1"/>
    <x v="0"/>
    <x v="1"/>
    <n v="7210.01"/>
    <n v="0"/>
    <x v="1989"/>
    <x v="0"/>
    <s v="Cuenta Ahorros"/>
    <s v="Tarjeta Débito"/>
    <s v="Pendiente"/>
  </r>
  <r>
    <x v="202"/>
    <x v="2"/>
    <s v="TX-101992"/>
    <x v="8"/>
    <x v="0"/>
    <x v="7"/>
    <n v="12015.28"/>
    <n v="0"/>
    <x v="1990"/>
    <x v="4"/>
    <s v="Cuenta Corriente"/>
    <s v="Tarjeta Débito"/>
    <s v="Pagado"/>
  </r>
  <r>
    <x v="87"/>
    <x v="3"/>
    <s v="TX-101993"/>
    <x v="9"/>
    <x v="0"/>
    <x v="3"/>
    <n v="12731.44"/>
    <n v="0"/>
    <x v="1991"/>
    <x v="3"/>
    <s v="Cuenta Corriente"/>
    <s v="Tarjeta Débito"/>
    <s v="Pagado"/>
  </r>
  <r>
    <x v="78"/>
    <x v="0"/>
    <s v="TX-101994"/>
    <x v="14"/>
    <x v="0"/>
    <x v="2"/>
    <n v="2088.59"/>
    <n v="0"/>
    <x v="1992"/>
    <x v="4"/>
    <s v="Tarjeta Crédito Empresarial"/>
    <s v="Efectivo"/>
    <s v="Pendiente"/>
  </r>
  <r>
    <x v="51"/>
    <x v="9"/>
    <s v="TX-101995"/>
    <x v="8"/>
    <x v="0"/>
    <x v="0"/>
    <n v="4994.97"/>
    <n v="0"/>
    <x v="1993"/>
    <x v="1"/>
    <s v="Cuenta Corriente"/>
    <s v="Efectivo"/>
    <s v="Pagado"/>
  </r>
  <r>
    <x v="235"/>
    <x v="7"/>
    <s v="TX-101996"/>
    <x v="1"/>
    <x v="0"/>
    <x v="6"/>
    <n v="8310.6299999999992"/>
    <n v="0"/>
    <x v="1994"/>
    <x v="2"/>
    <s v="Tarjeta Crédito Empresarial"/>
    <s v="Tarjeta Crédito"/>
    <s v="Pendiente"/>
  </r>
  <r>
    <x v="305"/>
    <x v="10"/>
    <s v="TX-101997"/>
    <x v="12"/>
    <x v="1"/>
    <x v="2"/>
    <n v="3381.19"/>
    <n v="439.55"/>
    <x v="1995"/>
    <x v="0"/>
    <s v="Cuenta Ahorros"/>
    <s v="Transferencia"/>
    <s v="Pagado"/>
  </r>
  <r>
    <x v="16"/>
    <x v="5"/>
    <s v="TX-101998"/>
    <x v="16"/>
    <x v="1"/>
    <x v="3"/>
    <n v="2405.69"/>
    <n v="312.74"/>
    <x v="1996"/>
    <x v="4"/>
    <s v="Cuenta Corriente"/>
    <s v="Tarjeta Débito"/>
    <s v="Pagado"/>
  </r>
  <r>
    <x v="353"/>
    <x v="7"/>
    <s v="TX-101999"/>
    <x v="13"/>
    <x v="0"/>
    <x v="5"/>
    <n v="4013.59"/>
    <n v="0"/>
    <x v="1997"/>
    <x v="3"/>
    <s v="Cuenta Corriente"/>
    <s v="Tarjeta Crédito"/>
    <s v="Pagado"/>
  </r>
  <r>
    <x v="22"/>
    <x v="10"/>
    <s v="TX-102000"/>
    <x v="2"/>
    <x v="0"/>
    <x v="3"/>
    <n v="11732.39"/>
    <n v="0"/>
    <x v="1998"/>
    <x v="3"/>
    <s v="Cuenta Corriente"/>
    <s v="Tarjeta Crédito"/>
    <s v="Pagado"/>
  </r>
  <r>
    <x v="146"/>
    <x v="6"/>
    <s v="TX-102001"/>
    <x v="7"/>
    <x v="1"/>
    <x v="5"/>
    <n v="13297.51"/>
    <n v="1728.68"/>
    <x v="1999"/>
    <x v="3"/>
    <s v="Tarjeta Crédito Empresarial"/>
    <s v="Efectivo"/>
    <s v="Pendiente"/>
  </r>
  <r>
    <x v="283"/>
    <x v="1"/>
    <s v="TX-102002"/>
    <x v="18"/>
    <x v="0"/>
    <x v="4"/>
    <n v="2865.44"/>
    <n v="0"/>
    <x v="2000"/>
    <x v="2"/>
    <s v="Cuenta Corriente"/>
    <s v="Tarjeta Crédito"/>
    <s v="Pagado"/>
  </r>
  <r>
    <x v="164"/>
    <x v="10"/>
    <s v="TX-102003"/>
    <x v="5"/>
    <x v="0"/>
    <x v="1"/>
    <n v="2492.37"/>
    <n v="0"/>
    <x v="2001"/>
    <x v="0"/>
    <s v="Cuenta Ahorros"/>
    <s v="Efectivo"/>
    <s v="Pendiente"/>
  </r>
  <r>
    <x v="2"/>
    <x v="2"/>
    <s v="TX-102004"/>
    <x v="16"/>
    <x v="0"/>
    <x v="6"/>
    <n v="10961"/>
    <n v="0"/>
    <x v="2002"/>
    <x v="4"/>
    <s v="Cuenta Corriente"/>
    <s v="Tarjeta Débito"/>
    <s v="Pagado"/>
  </r>
  <r>
    <x v="109"/>
    <x v="3"/>
    <s v="TX-102005"/>
    <x v="0"/>
    <x v="1"/>
    <x v="1"/>
    <n v="2059.91"/>
    <n v="267.79000000000002"/>
    <x v="2003"/>
    <x v="0"/>
    <s v="Cuenta Corriente"/>
    <s v="Tarjeta Débito"/>
    <s v="Pagado"/>
  </r>
  <r>
    <x v="213"/>
    <x v="3"/>
    <s v="TX-102006"/>
    <x v="5"/>
    <x v="1"/>
    <x v="0"/>
    <n v="2999.17"/>
    <n v="389.89"/>
    <x v="2004"/>
    <x v="1"/>
    <s v="Cuenta Ahorros"/>
    <s v="Transferencia"/>
    <s v="Pagado"/>
  </r>
  <r>
    <x v="302"/>
    <x v="8"/>
    <s v="TX-102007"/>
    <x v="13"/>
    <x v="0"/>
    <x v="1"/>
    <n v="6591.22"/>
    <n v="0"/>
    <x v="2005"/>
    <x v="4"/>
    <s v="Cuenta Ahorros"/>
    <s v="Tarjeta Crédito"/>
    <s v="Pendiente"/>
  </r>
  <r>
    <x v="330"/>
    <x v="7"/>
    <s v="TX-102008"/>
    <x v="0"/>
    <x v="1"/>
    <x v="4"/>
    <n v="9644.24"/>
    <n v="1253.75"/>
    <x v="2006"/>
    <x v="3"/>
    <s v="Cuenta Corriente"/>
    <s v="Tarjeta Débito"/>
    <s v="Pagado"/>
  </r>
  <r>
    <x v="61"/>
    <x v="4"/>
    <s v="TX-102009"/>
    <x v="13"/>
    <x v="1"/>
    <x v="0"/>
    <n v="484.2"/>
    <n v="62.95"/>
    <x v="2007"/>
    <x v="4"/>
    <s v="Cuenta Corriente"/>
    <s v="Tarjeta Débito"/>
    <s v="Pendiente"/>
  </r>
  <r>
    <x v="208"/>
    <x v="2"/>
    <s v="TX-102010"/>
    <x v="18"/>
    <x v="1"/>
    <x v="2"/>
    <n v="6840.57"/>
    <n v="889.27"/>
    <x v="2008"/>
    <x v="4"/>
    <s v="Tarjeta Crédito Empresarial"/>
    <s v="Tarjeta Débito"/>
    <s v="Pendiente"/>
  </r>
  <r>
    <x v="222"/>
    <x v="3"/>
    <s v="TX-102011"/>
    <x v="3"/>
    <x v="1"/>
    <x v="7"/>
    <n v="12224.15"/>
    <n v="1589.14"/>
    <x v="2009"/>
    <x v="2"/>
    <s v="Tarjeta Crédito Empresarial"/>
    <s v="Efectivo"/>
    <s v="Pagado"/>
  </r>
  <r>
    <x v="28"/>
    <x v="6"/>
    <s v="TX-102012"/>
    <x v="13"/>
    <x v="0"/>
    <x v="4"/>
    <n v="6238.1"/>
    <n v="0"/>
    <x v="2010"/>
    <x v="0"/>
    <s v="Cuenta Corriente"/>
    <s v="Tarjeta Crédito"/>
    <s v="Pagado"/>
  </r>
  <r>
    <x v="359"/>
    <x v="5"/>
    <s v="TX-102013"/>
    <x v="8"/>
    <x v="1"/>
    <x v="7"/>
    <n v="2353.59"/>
    <n v="305.97000000000003"/>
    <x v="2011"/>
    <x v="1"/>
    <s v="Tarjeta Crédito Empresarial"/>
    <s v="Tarjeta Débito"/>
    <s v="Pendiente"/>
  </r>
  <r>
    <x v="25"/>
    <x v="10"/>
    <s v="TX-102014"/>
    <x v="14"/>
    <x v="1"/>
    <x v="6"/>
    <n v="9002.02"/>
    <n v="1170.26"/>
    <x v="2012"/>
    <x v="2"/>
    <s v="Cuenta Ahorros"/>
    <s v="Efectivo"/>
    <s v="Pendiente"/>
  </r>
  <r>
    <x v="91"/>
    <x v="6"/>
    <s v="TX-102015"/>
    <x v="4"/>
    <x v="1"/>
    <x v="0"/>
    <n v="7307.74"/>
    <n v="950.01"/>
    <x v="2013"/>
    <x v="4"/>
    <s v="Cuenta Ahorros"/>
    <s v="Transferencia"/>
    <s v="Pagado"/>
  </r>
  <r>
    <x v="323"/>
    <x v="2"/>
    <s v="TX-102016"/>
    <x v="14"/>
    <x v="1"/>
    <x v="2"/>
    <n v="14690.93"/>
    <n v="1909.82"/>
    <x v="2014"/>
    <x v="0"/>
    <s v="Cuenta Ahorros"/>
    <s v="Transferencia"/>
    <s v="Pagado"/>
  </r>
  <r>
    <x v="245"/>
    <x v="0"/>
    <s v="TX-102017"/>
    <x v="4"/>
    <x v="0"/>
    <x v="1"/>
    <n v="10060.66"/>
    <n v="0"/>
    <x v="2015"/>
    <x v="1"/>
    <s v="Cuenta Corriente"/>
    <s v="Efectivo"/>
    <s v="Pendiente"/>
  </r>
  <r>
    <x v="178"/>
    <x v="6"/>
    <s v="TX-102018"/>
    <x v="5"/>
    <x v="1"/>
    <x v="6"/>
    <n v="1598.36"/>
    <n v="207.79"/>
    <x v="2016"/>
    <x v="0"/>
    <s v="Cuenta Ahorros"/>
    <s v="Tarjeta Crédito"/>
    <s v="Pagado"/>
  </r>
  <r>
    <x v="70"/>
    <x v="2"/>
    <s v="TX-102019"/>
    <x v="18"/>
    <x v="0"/>
    <x v="2"/>
    <n v="2631.32"/>
    <n v="0"/>
    <x v="2017"/>
    <x v="1"/>
    <s v="Cuenta Ahorros"/>
    <s v="Tarjeta Crédito"/>
    <s v="Pagado"/>
  </r>
  <r>
    <x v="210"/>
    <x v="3"/>
    <s v="TX-102020"/>
    <x v="11"/>
    <x v="0"/>
    <x v="5"/>
    <n v="2495.0700000000002"/>
    <n v="0"/>
    <x v="2018"/>
    <x v="2"/>
    <s v="Cuenta Corriente"/>
    <s v="Tarjeta Débito"/>
    <s v="Pagado"/>
  </r>
  <r>
    <x v="267"/>
    <x v="4"/>
    <s v="TX-102021"/>
    <x v="16"/>
    <x v="0"/>
    <x v="6"/>
    <n v="10292.23"/>
    <n v="0"/>
    <x v="2019"/>
    <x v="0"/>
    <s v="Tarjeta Crédito Empresarial"/>
    <s v="Efectivo"/>
    <s v="Pagado"/>
  </r>
  <r>
    <x v="4"/>
    <x v="4"/>
    <s v="TX-102022"/>
    <x v="0"/>
    <x v="1"/>
    <x v="0"/>
    <n v="14643.62"/>
    <n v="1903.67"/>
    <x v="2020"/>
    <x v="2"/>
    <s v="Cuenta Ahorros"/>
    <s v="Transferencia"/>
    <s v="Pendiente"/>
  </r>
  <r>
    <x v="308"/>
    <x v="1"/>
    <s v="TX-102023"/>
    <x v="4"/>
    <x v="0"/>
    <x v="1"/>
    <n v="4100.88"/>
    <n v="0"/>
    <x v="2021"/>
    <x v="4"/>
    <s v="Cuenta Corriente"/>
    <s v="Tarjeta Crédito"/>
    <s v="Pendiente"/>
  </r>
  <r>
    <x v="272"/>
    <x v="8"/>
    <s v="TX-102024"/>
    <x v="18"/>
    <x v="0"/>
    <x v="0"/>
    <n v="11830.94"/>
    <n v="0"/>
    <x v="2022"/>
    <x v="1"/>
    <s v="Cuenta Ahorros"/>
    <s v="Tarjeta Débito"/>
    <s v="Pendiente"/>
  </r>
  <r>
    <x v="184"/>
    <x v="4"/>
    <s v="TX-102025"/>
    <x v="12"/>
    <x v="1"/>
    <x v="6"/>
    <n v="6241.02"/>
    <n v="811.33"/>
    <x v="2023"/>
    <x v="4"/>
    <s v="Cuenta Ahorros"/>
    <s v="Efectivo"/>
    <s v="Pendiente"/>
  </r>
  <r>
    <x v="343"/>
    <x v="1"/>
    <s v="TX-102026"/>
    <x v="16"/>
    <x v="1"/>
    <x v="6"/>
    <n v="8530.2199999999993"/>
    <n v="1108.93"/>
    <x v="2024"/>
    <x v="1"/>
    <s v="Cuenta Corriente"/>
    <s v="Efectivo"/>
    <s v="Pendiente"/>
  </r>
  <r>
    <x v="153"/>
    <x v="10"/>
    <s v="TX-102027"/>
    <x v="14"/>
    <x v="1"/>
    <x v="1"/>
    <n v="9829.09"/>
    <n v="1277.78"/>
    <x v="2025"/>
    <x v="4"/>
    <s v="Cuenta Corriente"/>
    <s v="Tarjeta Crédito"/>
    <s v="Pagado"/>
  </r>
  <r>
    <x v="82"/>
    <x v="10"/>
    <s v="TX-102028"/>
    <x v="3"/>
    <x v="0"/>
    <x v="0"/>
    <n v="678.52"/>
    <n v="0"/>
    <x v="2026"/>
    <x v="2"/>
    <s v="Cuenta Ahorros"/>
    <s v="Efectivo"/>
    <s v="Pagado"/>
  </r>
  <r>
    <x v="340"/>
    <x v="2"/>
    <s v="TX-102029"/>
    <x v="12"/>
    <x v="0"/>
    <x v="5"/>
    <n v="9704"/>
    <n v="0"/>
    <x v="2027"/>
    <x v="0"/>
    <s v="Tarjeta Crédito Empresarial"/>
    <s v="Tarjeta Crédito"/>
    <s v="Pagado"/>
  </r>
  <r>
    <x v="260"/>
    <x v="4"/>
    <s v="TX-102030"/>
    <x v="15"/>
    <x v="0"/>
    <x v="2"/>
    <n v="5061.6099999999997"/>
    <n v="0"/>
    <x v="2028"/>
    <x v="0"/>
    <s v="Tarjeta Crédito Empresarial"/>
    <s v="Transferencia"/>
    <s v="Pendiente"/>
  </r>
  <r>
    <x v="57"/>
    <x v="10"/>
    <s v="TX-102031"/>
    <x v="5"/>
    <x v="1"/>
    <x v="2"/>
    <n v="3384.38"/>
    <n v="439.97"/>
    <x v="2029"/>
    <x v="3"/>
    <s v="Cuenta Corriente"/>
    <s v="Tarjeta Crédito"/>
    <s v="Pagado"/>
  </r>
  <r>
    <x v="269"/>
    <x v="0"/>
    <s v="TX-102032"/>
    <x v="1"/>
    <x v="1"/>
    <x v="5"/>
    <n v="12765.03"/>
    <n v="1659.45"/>
    <x v="2030"/>
    <x v="4"/>
    <s v="Cuenta Corriente"/>
    <s v="Tarjeta Crédito"/>
    <s v="Pendiente"/>
  </r>
  <r>
    <x v="187"/>
    <x v="10"/>
    <s v="TX-102033"/>
    <x v="3"/>
    <x v="1"/>
    <x v="3"/>
    <n v="8174.43"/>
    <n v="1062.68"/>
    <x v="2031"/>
    <x v="1"/>
    <s v="Cuenta Ahorros"/>
    <s v="Tarjeta Crédito"/>
    <s v="Pagado"/>
  </r>
  <r>
    <x v="57"/>
    <x v="10"/>
    <s v="TX-102034"/>
    <x v="19"/>
    <x v="1"/>
    <x v="6"/>
    <n v="3969.05"/>
    <n v="515.98"/>
    <x v="2032"/>
    <x v="3"/>
    <s v="Cuenta Ahorros"/>
    <s v="Tarjeta Crédito"/>
    <s v="Pendiente"/>
  </r>
  <r>
    <x v="297"/>
    <x v="11"/>
    <s v="TX-102035"/>
    <x v="0"/>
    <x v="1"/>
    <x v="3"/>
    <n v="2706.04"/>
    <n v="351.79"/>
    <x v="2033"/>
    <x v="1"/>
    <s v="Cuenta Ahorros"/>
    <s v="Efectivo"/>
    <s v="Pagado"/>
  </r>
  <r>
    <x v="114"/>
    <x v="4"/>
    <s v="TX-102036"/>
    <x v="4"/>
    <x v="0"/>
    <x v="3"/>
    <n v="9585.2000000000007"/>
    <n v="0"/>
    <x v="2034"/>
    <x v="1"/>
    <s v="Tarjeta Crédito Empresarial"/>
    <s v="Tarjeta Crédito"/>
    <s v="Pagado"/>
  </r>
  <r>
    <x v="159"/>
    <x v="0"/>
    <s v="TX-102037"/>
    <x v="16"/>
    <x v="1"/>
    <x v="4"/>
    <n v="9894.6299999999992"/>
    <n v="1286.3"/>
    <x v="2035"/>
    <x v="0"/>
    <s v="Cuenta Corriente"/>
    <s v="Efectivo"/>
    <s v="Pagado"/>
  </r>
  <r>
    <x v="33"/>
    <x v="5"/>
    <s v="TX-102038"/>
    <x v="1"/>
    <x v="1"/>
    <x v="5"/>
    <n v="305.76"/>
    <n v="39.75"/>
    <x v="2036"/>
    <x v="3"/>
    <s v="Cuenta Corriente"/>
    <s v="Tarjeta Crédito"/>
    <s v="Pagado"/>
  </r>
  <r>
    <x v="118"/>
    <x v="11"/>
    <s v="TX-102039"/>
    <x v="4"/>
    <x v="1"/>
    <x v="2"/>
    <n v="4257"/>
    <n v="553.41"/>
    <x v="2037"/>
    <x v="0"/>
    <s v="Tarjeta Crédito Empresarial"/>
    <s v="Transferencia"/>
    <s v="Pagado"/>
  </r>
  <r>
    <x v="59"/>
    <x v="3"/>
    <s v="TX-102040"/>
    <x v="2"/>
    <x v="0"/>
    <x v="5"/>
    <n v="12389.47"/>
    <n v="0"/>
    <x v="2038"/>
    <x v="0"/>
    <s v="Tarjeta Crédito Empresarial"/>
    <s v="Tarjeta Crédito"/>
    <s v="Pagado"/>
  </r>
  <r>
    <x v="308"/>
    <x v="1"/>
    <s v="TX-102041"/>
    <x v="11"/>
    <x v="1"/>
    <x v="2"/>
    <n v="11043.57"/>
    <n v="1435.66"/>
    <x v="2039"/>
    <x v="3"/>
    <s v="Cuenta Corriente"/>
    <s v="Efectivo"/>
    <s v="Pendiente"/>
  </r>
  <r>
    <x v="165"/>
    <x v="9"/>
    <s v="TX-102042"/>
    <x v="10"/>
    <x v="1"/>
    <x v="1"/>
    <n v="982.7"/>
    <n v="127.75"/>
    <x v="2040"/>
    <x v="4"/>
    <s v="Tarjeta Crédito Empresarial"/>
    <s v="Tarjeta Débito"/>
    <s v="Pendiente"/>
  </r>
  <r>
    <x v="342"/>
    <x v="1"/>
    <s v="TX-102043"/>
    <x v="11"/>
    <x v="0"/>
    <x v="0"/>
    <n v="13100.87"/>
    <n v="0"/>
    <x v="2041"/>
    <x v="2"/>
    <s v="Tarjeta Crédito Empresarial"/>
    <s v="Transferencia"/>
    <s v="Pendiente"/>
  </r>
  <r>
    <x v="220"/>
    <x v="1"/>
    <s v="TX-102044"/>
    <x v="9"/>
    <x v="1"/>
    <x v="0"/>
    <n v="8270.01"/>
    <n v="1075.0999999999999"/>
    <x v="2042"/>
    <x v="2"/>
    <s v="Tarjeta Crédito Empresarial"/>
    <s v="Tarjeta Débito"/>
    <s v="Pendiente"/>
  </r>
  <r>
    <x v="173"/>
    <x v="11"/>
    <s v="TX-102045"/>
    <x v="19"/>
    <x v="1"/>
    <x v="1"/>
    <n v="6793.97"/>
    <n v="883.22"/>
    <x v="2043"/>
    <x v="1"/>
    <s v="Cuenta Corriente"/>
    <s v="Efectivo"/>
    <s v="Pendiente"/>
  </r>
  <r>
    <x v="307"/>
    <x v="11"/>
    <s v="TX-102046"/>
    <x v="5"/>
    <x v="1"/>
    <x v="0"/>
    <n v="13236.11"/>
    <n v="1720.69"/>
    <x v="2044"/>
    <x v="0"/>
    <s v="Cuenta Ahorros"/>
    <s v="Tarjeta Débito"/>
    <s v="Pagado"/>
  </r>
  <r>
    <x v="295"/>
    <x v="6"/>
    <s v="TX-102047"/>
    <x v="7"/>
    <x v="1"/>
    <x v="6"/>
    <n v="9543.25"/>
    <n v="1240.6199999999999"/>
    <x v="2045"/>
    <x v="0"/>
    <s v="Cuenta Ahorros"/>
    <s v="Tarjeta Débito"/>
    <s v="Pendiente"/>
  </r>
  <r>
    <x v="98"/>
    <x v="0"/>
    <s v="TX-102048"/>
    <x v="18"/>
    <x v="1"/>
    <x v="3"/>
    <n v="8304.64"/>
    <n v="1079.5999999999999"/>
    <x v="2046"/>
    <x v="3"/>
    <s v="Cuenta Corriente"/>
    <s v="Tarjeta Débito"/>
    <s v="Pagado"/>
  </r>
  <r>
    <x v="22"/>
    <x v="10"/>
    <s v="TX-102049"/>
    <x v="5"/>
    <x v="1"/>
    <x v="5"/>
    <n v="1532.28"/>
    <n v="199.2"/>
    <x v="2047"/>
    <x v="0"/>
    <s v="Tarjeta Crédito Empresarial"/>
    <s v="Tarjeta Débito"/>
    <s v="Pendiente"/>
  </r>
  <r>
    <x v="71"/>
    <x v="5"/>
    <s v="TX-102050"/>
    <x v="6"/>
    <x v="1"/>
    <x v="7"/>
    <n v="4914.2299999999996"/>
    <n v="638.85"/>
    <x v="2048"/>
    <x v="3"/>
    <s v="Cuenta Ahorros"/>
    <s v="Efectivo"/>
    <s v="Pendiente"/>
  </r>
  <r>
    <x v="29"/>
    <x v="3"/>
    <s v="TX-102051"/>
    <x v="18"/>
    <x v="1"/>
    <x v="3"/>
    <n v="11344.99"/>
    <n v="1474.85"/>
    <x v="2049"/>
    <x v="0"/>
    <s v="Cuenta Corriente"/>
    <s v="Transferencia"/>
    <s v="Pagado"/>
  </r>
  <r>
    <x v="298"/>
    <x v="8"/>
    <s v="TX-102052"/>
    <x v="12"/>
    <x v="1"/>
    <x v="5"/>
    <n v="7032.98"/>
    <n v="914.29"/>
    <x v="2050"/>
    <x v="1"/>
    <s v="Cuenta Corriente"/>
    <s v="Efectivo"/>
    <s v="Pagado"/>
  </r>
  <r>
    <x v="190"/>
    <x v="9"/>
    <s v="TX-102053"/>
    <x v="2"/>
    <x v="0"/>
    <x v="0"/>
    <n v="8138.22"/>
    <n v="0"/>
    <x v="2051"/>
    <x v="2"/>
    <s v="Tarjeta Crédito Empresarial"/>
    <s v="Efectivo"/>
    <s v="Pagado"/>
  </r>
  <r>
    <x v="100"/>
    <x v="3"/>
    <s v="TX-102054"/>
    <x v="14"/>
    <x v="0"/>
    <x v="3"/>
    <n v="5561.16"/>
    <n v="0"/>
    <x v="2052"/>
    <x v="0"/>
    <s v="Cuenta Ahorros"/>
    <s v="Tarjeta Débito"/>
    <s v="Pendiente"/>
  </r>
  <r>
    <x v="155"/>
    <x v="6"/>
    <s v="TX-102055"/>
    <x v="14"/>
    <x v="0"/>
    <x v="7"/>
    <n v="3101.89"/>
    <n v="0"/>
    <x v="2053"/>
    <x v="0"/>
    <s v="Tarjeta Crédito Empresarial"/>
    <s v="Tarjeta Débito"/>
    <s v="Pendiente"/>
  </r>
  <r>
    <x v="331"/>
    <x v="1"/>
    <s v="TX-102056"/>
    <x v="12"/>
    <x v="0"/>
    <x v="3"/>
    <n v="9442.7000000000007"/>
    <n v="0"/>
    <x v="2054"/>
    <x v="1"/>
    <s v="Tarjeta Crédito Empresarial"/>
    <s v="Tarjeta Crédito"/>
    <s v="Pagado"/>
  </r>
  <r>
    <x v="119"/>
    <x v="6"/>
    <s v="TX-102057"/>
    <x v="6"/>
    <x v="0"/>
    <x v="7"/>
    <n v="2183.65"/>
    <n v="0"/>
    <x v="2055"/>
    <x v="1"/>
    <s v="Cuenta Ahorros"/>
    <s v="Tarjeta Crédito"/>
    <s v="Pagado"/>
  </r>
  <r>
    <x v="342"/>
    <x v="1"/>
    <s v="TX-102058"/>
    <x v="2"/>
    <x v="0"/>
    <x v="7"/>
    <n v="372.83"/>
    <n v="0"/>
    <x v="2056"/>
    <x v="0"/>
    <s v="Tarjeta Crédito Empresarial"/>
    <s v="Efectivo"/>
    <s v="Pendiente"/>
  </r>
  <r>
    <x v="198"/>
    <x v="0"/>
    <s v="TX-102059"/>
    <x v="17"/>
    <x v="0"/>
    <x v="4"/>
    <n v="6114.14"/>
    <n v="0"/>
    <x v="2057"/>
    <x v="0"/>
    <s v="Cuenta Corriente"/>
    <s v="Tarjeta Crédito"/>
    <s v="Pagado"/>
  </r>
  <r>
    <x v="76"/>
    <x v="11"/>
    <s v="TX-102060"/>
    <x v="13"/>
    <x v="1"/>
    <x v="4"/>
    <n v="12591.49"/>
    <n v="1636.89"/>
    <x v="2058"/>
    <x v="2"/>
    <s v="Cuenta Corriente"/>
    <s v="Efectivo"/>
    <s v="Pagado"/>
  </r>
  <r>
    <x v="251"/>
    <x v="1"/>
    <s v="TX-102061"/>
    <x v="17"/>
    <x v="1"/>
    <x v="4"/>
    <n v="4385.74"/>
    <n v="570.15"/>
    <x v="2059"/>
    <x v="0"/>
    <s v="Cuenta Corriente"/>
    <s v="Efectivo"/>
    <s v="Pagado"/>
  </r>
  <r>
    <x v="21"/>
    <x v="2"/>
    <s v="TX-102062"/>
    <x v="16"/>
    <x v="1"/>
    <x v="1"/>
    <n v="2502.19"/>
    <n v="325.27999999999997"/>
    <x v="2060"/>
    <x v="1"/>
    <s v="Cuenta Corriente"/>
    <s v="Efectivo"/>
    <s v="Pendiente"/>
  </r>
  <r>
    <x v="211"/>
    <x v="7"/>
    <s v="TX-102063"/>
    <x v="4"/>
    <x v="1"/>
    <x v="1"/>
    <n v="12606.02"/>
    <n v="1638.78"/>
    <x v="2061"/>
    <x v="2"/>
    <s v="Tarjeta Crédito Empresarial"/>
    <s v="Tarjeta Crédito"/>
    <s v="Pendiente"/>
  </r>
  <r>
    <x v="179"/>
    <x v="1"/>
    <s v="TX-102064"/>
    <x v="5"/>
    <x v="1"/>
    <x v="0"/>
    <n v="13130.26"/>
    <n v="1706.93"/>
    <x v="2062"/>
    <x v="2"/>
    <s v="Cuenta Ahorros"/>
    <s v="Tarjeta Crédito"/>
    <s v="Pagado"/>
  </r>
  <r>
    <x v="35"/>
    <x v="4"/>
    <s v="TX-102065"/>
    <x v="17"/>
    <x v="1"/>
    <x v="6"/>
    <n v="6269.11"/>
    <n v="814.98"/>
    <x v="2063"/>
    <x v="3"/>
    <s v="Cuenta Corriente"/>
    <s v="Efectivo"/>
    <s v="Pendiente"/>
  </r>
  <r>
    <x v="299"/>
    <x v="9"/>
    <s v="TX-102066"/>
    <x v="0"/>
    <x v="1"/>
    <x v="0"/>
    <n v="736.57"/>
    <n v="95.75"/>
    <x v="2064"/>
    <x v="1"/>
    <s v="Tarjeta Crédito Empresarial"/>
    <s v="Efectivo"/>
    <s v="Pagado"/>
  </r>
  <r>
    <x v="144"/>
    <x v="0"/>
    <s v="TX-102067"/>
    <x v="12"/>
    <x v="1"/>
    <x v="6"/>
    <n v="5841.67"/>
    <n v="759.42"/>
    <x v="2065"/>
    <x v="0"/>
    <s v="Cuenta Ahorros"/>
    <s v="Tarjeta Débito"/>
    <s v="Pendiente"/>
  </r>
  <r>
    <x v="137"/>
    <x v="11"/>
    <s v="TX-102068"/>
    <x v="7"/>
    <x v="0"/>
    <x v="1"/>
    <n v="7564.67"/>
    <n v="0"/>
    <x v="2066"/>
    <x v="3"/>
    <s v="Tarjeta Crédito Empresarial"/>
    <s v="Transferencia"/>
    <s v="Pendiente"/>
  </r>
  <r>
    <x v="142"/>
    <x v="7"/>
    <s v="TX-102069"/>
    <x v="15"/>
    <x v="1"/>
    <x v="1"/>
    <n v="1739.33"/>
    <n v="226.11"/>
    <x v="2067"/>
    <x v="1"/>
    <s v="Cuenta Ahorros"/>
    <s v="Transferencia"/>
    <s v="Pagado"/>
  </r>
  <r>
    <x v="65"/>
    <x v="4"/>
    <s v="TX-102070"/>
    <x v="9"/>
    <x v="0"/>
    <x v="4"/>
    <n v="14247.92"/>
    <n v="0"/>
    <x v="2068"/>
    <x v="4"/>
    <s v="Tarjeta Crédito Empresarial"/>
    <s v="Transferencia"/>
    <s v="Pendiente"/>
  </r>
  <r>
    <x v="109"/>
    <x v="3"/>
    <s v="TX-102071"/>
    <x v="17"/>
    <x v="0"/>
    <x v="3"/>
    <n v="8401.4599999999991"/>
    <n v="0"/>
    <x v="2069"/>
    <x v="2"/>
    <s v="Cuenta Corriente"/>
    <s v="Tarjeta Crédito"/>
    <s v="Pagado"/>
  </r>
  <r>
    <x v="299"/>
    <x v="9"/>
    <s v="TX-102072"/>
    <x v="16"/>
    <x v="1"/>
    <x v="2"/>
    <n v="4887.93"/>
    <n v="635.42999999999995"/>
    <x v="2070"/>
    <x v="0"/>
    <s v="Tarjeta Crédito Empresarial"/>
    <s v="Efectivo"/>
    <s v="Pendiente"/>
  </r>
  <r>
    <x v="338"/>
    <x v="7"/>
    <s v="TX-102073"/>
    <x v="3"/>
    <x v="0"/>
    <x v="5"/>
    <n v="2804.34"/>
    <n v="0"/>
    <x v="2071"/>
    <x v="3"/>
    <s v="Tarjeta Crédito Empresarial"/>
    <s v="Transferencia"/>
    <s v="Pendiente"/>
  </r>
  <r>
    <x v="260"/>
    <x v="4"/>
    <s v="TX-102074"/>
    <x v="5"/>
    <x v="0"/>
    <x v="7"/>
    <n v="11907.27"/>
    <n v="0"/>
    <x v="2072"/>
    <x v="1"/>
    <s v="Cuenta Ahorros"/>
    <s v="Efectivo"/>
    <s v="Pendiente"/>
  </r>
  <r>
    <x v="250"/>
    <x v="7"/>
    <s v="TX-102075"/>
    <x v="4"/>
    <x v="0"/>
    <x v="6"/>
    <n v="5616.86"/>
    <n v="0"/>
    <x v="2073"/>
    <x v="0"/>
    <s v="Cuenta Ahorros"/>
    <s v="Tarjeta Crédito"/>
    <s v="Pagado"/>
  </r>
  <r>
    <x v="224"/>
    <x v="0"/>
    <s v="TX-102076"/>
    <x v="5"/>
    <x v="1"/>
    <x v="6"/>
    <n v="141.29"/>
    <n v="18.37"/>
    <x v="2074"/>
    <x v="4"/>
    <s v="Cuenta Ahorros"/>
    <s v="Tarjeta Crédito"/>
    <s v="Pendiente"/>
  </r>
  <r>
    <x v="46"/>
    <x v="4"/>
    <s v="TX-102077"/>
    <x v="1"/>
    <x v="1"/>
    <x v="1"/>
    <n v="99.7"/>
    <n v="12.96"/>
    <x v="2075"/>
    <x v="1"/>
    <s v="Cuenta Corriente"/>
    <s v="Tarjeta Débito"/>
    <s v="Pagado"/>
  </r>
  <r>
    <x v="303"/>
    <x v="8"/>
    <s v="TX-102078"/>
    <x v="6"/>
    <x v="1"/>
    <x v="5"/>
    <n v="9517.94"/>
    <n v="1237.33"/>
    <x v="2076"/>
    <x v="1"/>
    <s v="Cuenta Corriente"/>
    <s v="Efectivo"/>
    <s v="Pendiente"/>
  </r>
  <r>
    <x v="74"/>
    <x v="9"/>
    <s v="TX-102079"/>
    <x v="19"/>
    <x v="0"/>
    <x v="6"/>
    <n v="10699.86"/>
    <n v="0"/>
    <x v="2077"/>
    <x v="0"/>
    <s v="Cuenta Ahorros"/>
    <s v="Tarjeta Débito"/>
    <s v="Pagado"/>
  </r>
  <r>
    <x v="27"/>
    <x v="9"/>
    <s v="TX-102080"/>
    <x v="16"/>
    <x v="0"/>
    <x v="5"/>
    <n v="10706.4"/>
    <n v="0"/>
    <x v="2078"/>
    <x v="3"/>
    <s v="Cuenta Ahorros"/>
    <s v="Transferencia"/>
    <s v="Pendiente"/>
  </r>
  <r>
    <x v="51"/>
    <x v="9"/>
    <s v="TX-102081"/>
    <x v="8"/>
    <x v="1"/>
    <x v="7"/>
    <n v="1045.07"/>
    <n v="135.86000000000001"/>
    <x v="2079"/>
    <x v="3"/>
    <s v="Tarjeta Crédito Empresarial"/>
    <s v="Transferencia"/>
    <s v="Pendiente"/>
  </r>
  <r>
    <x v="14"/>
    <x v="9"/>
    <s v="TX-102082"/>
    <x v="2"/>
    <x v="1"/>
    <x v="4"/>
    <n v="6751.14"/>
    <n v="877.65"/>
    <x v="2080"/>
    <x v="2"/>
    <s v="Cuenta Ahorros"/>
    <s v="Tarjeta Débito"/>
    <s v="Pendiente"/>
  </r>
  <r>
    <x v="314"/>
    <x v="11"/>
    <s v="TX-102083"/>
    <x v="3"/>
    <x v="1"/>
    <x v="4"/>
    <n v="6603.49"/>
    <n v="858.45"/>
    <x v="2081"/>
    <x v="2"/>
    <s v="Cuenta Corriente"/>
    <s v="Efectivo"/>
    <s v="Pagado"/>
  </r>
  <r>
    <x v="135"/>
    <x v="4"/>
    <s v="TX-102084"/>
    <x v="2"/>
    <x v="0"/>
    <x v="7"/>
    <n v="3031.61"/>
    <n v="0"/>
    <x v="2082"/>
    <x v="0"/>
    <s v="Cuenta Corriente"/>
    <s v="Transferencia"/>
    <s v="Pendiente"/>
  </r>
  <r>
    <x v="132"/>
    <x v="11"/>
    <s v="TX-102085"/>
    <x v="6"/>
    <x v="1"/>
    <x v="0"/>
    <n v="2968.77"/>
    <n v="385.94"/>
    <x v="2083"/>
    <x v="4"/>
    <s v="Cuenta Ahorros"/>
    <s v="Transferencia"/>
    <s v="Pagado"/>
  </r>
  <r>
    <x v="247"/>
    <x v="11"/>
    <s v="TX-102086"/>
    <x v="5"/>
    <x v="1"/>
    <x v="3"/>
    <n v="14048.27"/>
    <n v="1826.28"/>
    <x v="2084"/>
    <x v="1"/>
    <s v="Tarjeta Crédito Empresarial"/>
    <s v="Tarjeta Débito"/>
    <s v="Pagado"/>
  </r>
  <r>
    <x v="47"/>
    <x v="4"/>
    <s v="TX-102087"/>
    <x v="16"/>
    <x v="0"/>
    <x v="7"/>
    <n v="2984.67"/>
    <n v="0"/>
    <x v="2085"/>
    <x v="0"/>
    <s v="Cuenta Ahorros"/>
    <s v="Tarjeta Débito"/>
    <s v="Pendiente"/>
  </r>
  <r>
    <x v="128"/>
    <x v="9"/>
    <s v="TX-102088"/>
    <x v="3"/>
    <x v="1"/>
    <x v="2"/>
    <n v="6705.3"/>
    <n v="871.69"/>
    <x v="2086"/>
    <x v="1"/>
    <s v="Cuenta Ahorros"/>
    <s v="Tarjeta Débito"/>
    <s v="Pendiente"/>
  </r>
  <r>
    <x v="158"/>
    <x v="0"/>
    <s v="TX-102089"/>
    <x v="6"/>
    <x v="1"/>
    <x v="2"/>
    <n v="7702.67"/>
    <n v="1001.35"/>
    <x v="2087"/>
    <x v="2"/>
    <s v="Cuenta Ahorros"/>
    <s v="Efectivo"/>
    <s v="Pagado"/>
  </r>
  <r>
    <x v="137"/>
    <x v="11"/>
    <s v="TX-102090"/>
    <x v="17"/>
    <x v="0"/>
    <x v="7"/>
    <n v="1359.95"/>
    <n v="0"/>
    <x v="2088"/>
    <x v="1"/>
    <s v="Tarjeta Crédito Empresarial"/>
    <s v="Efectivo"/>
    <s v="Pagado"/>
  </r>
  <r>
    <x v="93"/>
    <x v="3"/>
    <s v="TX-102091"/>
    <x v="2"/>
    <x v="1"/>
    <x v="4"/>
    <n v="3406.03"/>
    <n v="442.78"/>
    <x v="2089"/>
    <x v="4"/>
    <s v="Tarjeta Crédito Empresarial"/>
    <s v="Tarjeta Crédito"/>
    <s v="Pendiente"/>
  </r>
  <r>
    <x v="259"/>
    <x v="10"/>
    <s v="TX-102092"/>
    <x v="17"/>
    <x v="0"/>
    <x v="1"/>
    <n v="9163.39"/>
    <n v="0"/>
    <x v="2090"/>
    <x v="0"/>
    <s v="Cuenta Corriente"/>
    <s v="Transferencia"/>
    <s v="Pagado"/>
  </r>
  <r>
    <x v="343"/>
    <x v="1"/>
    <s v="TX-102093"/>
    <x v="11"/>
    <x v="0"/>
    <x v="7"/>
    <n v="3456.73"/>
    <n v="0"/>
    <x v="2091"/>
    <x v="0"/>
    <s v="Cuenta Corriente"/>
    <s v="Tarjeta Crédito"/>
    <s v="Pagado"/>
  </r>
  <r>
    <x v="150"/>
    <x v="2"/>
    <s v="TX-102094"/>
    <x v="1"/>
    <x v="0"/>
    <x v="4"/>
    <n v="13573.8"/>
    <n v="0"/>
    <x v="2092"/>
    <x v="2"/>
    <s v="Cuenta Ahorros"/>
    <s v="Tarjeta Crédito"/>
    <s v="Pendiente"/>
  </r>
  <r>
    <x v="29"/>
    <x v="3"/>
    <s v="TX-102095"/>
    <x v="2"/>
    <x v="0"/>
    <x v="7"/>
    <n v="2601.91"/>
    <n v="0"/>
    <x v="2093"/>
    <x v="1"/>
    <s v="Cuenta Ahorros"/>
    <s v="Tarjeta Crédito"/>
    <s v="Pagado"/>
  </r>
  <r>
    <x v="348"/>
    <x v="8"/>
    <s v="TX-102096"/>
    <x v="19"/>
    <x v="1"/>
    <x v="5"/>
    <n v="2194.7199999999998"/>
    <n v="285.31"/>
    <x v="2094"/>
    <x v="0"/>
    <s v="Cuenta Ahorros"/>
    <s v="Transferencia"/>
    <s v="Pagado"/>
  </r>
  <r>
    <x v="344"/>
    <x v="8"/>
    <s v="TX-102097"/>
    <x v="4"/>
    <x v="1"/>
    <x v="7"/>
    <n v="13485.77"/>
    <n v="1753.15"/>
    <x v="2095"/>
    <x v="3"/>
    <s v="Cuenta Ahorros"/>
    <s v="Tarjeta Crédito"/>
    <s v="Pendiente"/>
  </r>
  <r>
    <x v="2"/>
    <x v="2"/>
    <s v="TX-102098"/>
    <x v="18"/>
    <x v="0"/>
    <x v="0"/>
    <n v="6410.54"/>
    <n v="0"/>
    <x v="2096"/>
    <x v="0"/>
    <s v="Cuenta Ahorros"/>
    <s v="Transferencia"/>
    <s v="Pagado"/>
  </r>
  <r>
    <x v="277"/>
    <x v="9"/>
    <s v="TX-102099"/>
    <x v="5"/>
    <x v="1"/>
    <x v="0"/>
    <n v="7946.04"/>
    <n v="1032.99"/>
    <x v="2097"/>
    <x v="1"/>
    <s v="Tarjeta Crédito Empresarial"/>
    <s v="Transferencia"/>
    <s v="Pagado"/>
  </r>
  <r>
    <x v="51"/>
    <x v="9"/>
    <s v="TX-102100"/>
    <x v="19"/>
    <x v="0"/>
    <x v="2"/>
    <n v="4162.78"/>
    <n v="0"/>
    <x v="2098"/>
    <x v="0"/>
    <s v="Cuenta Corriente"/>
    <s v="Transferencia"/>
    <s v="Pagado"/>
  </r>
  <r>
    <x v="96"/>
    <x v="2"/>
    <s v="TX-102101"/>
    <x v="6"/>
    <x v="0"/>
    <x v="1"/>
    <n v="5587.58"/>
    <n v="0"/>
    <x v="2099"/>
    <x v="0"/>
    <s v="Cuenta Ahorros"/>
    <s v="Efectivo"/>
    <s v="Pagado"/>
  </r>
  <r>
    <x v="57"/>
    <x v="10"/>
    <s v="TX-102102"/>
    <x v="3"/>
    <x v="1"/>
    <x v="6"/>
    <n v="11180.48"/>
    <n v="1453.46"/>
    <x v="2100"/>
    <x v="3"/>
    <s v="Tarjeta Crédito Empresarial"/>
    <s v="Efectivo"/>
    <s v="Pagado"/>
  </r>
  <r>
    <x v="264"/>
    <x v="2"/>
    <s v="TX-102103"/>
    <x v="12"/>
    <x v="1"/>
    <x v="3"/>
    <n v="348.63"/>
    <n v="45.32"/>
    <x v="2101"/>
    <x v="3"/>
    <s v="Tarjeta Crédito Empresarial"/>
    <s v="Tarjeta Débito"/>
    <s v="Pagado"/>
  </r>
  <r>
    <x v="188"/>
    <x v="6"/>
    <s v="TX-102104"/>
    <x v="5"/>
    <x v="1"/>
    <x v="7"/>
    <n v="4645.24"/>
    <n v="603.88"/>
    <x v="2102"/>
    <x v="2"/>
    <s v="Cuenta Ahorros"/>
    <s v="Transferencia"/>
    <s v="Pagado"/>
  </r>
  <r>
    <x v="5"/>
    <x v="0"/>
    <s v="TX-102105"/>
    <x v="10"/>
    <x v="1"/>
    <x v="6"/>
    <n v="12403.96"/>
    <n v="1612.51"/>
    <x v="2103"/>
    <x v="0"/>
    <s v="Tarjeta Crédito Empresarial"/>
    <s v="Transferencia"/>
    <s v="Pagado"/>
  </r>
  <r>
    <x v="319"/>
    <x v="5"/>
    <s v="TX-102106"/>
    <x v="8"/>
    <x v="1"/>
    <x v="5"/>
    <n v="4525.09"/>
    <n v="588.26"/>
    <x v="2104"/>
    <x v="1"/>
    <s v="Cuenta Corriente"/>
    <s v="Efectivo"/>
    <s v="Pagado"/>
  </r>
  <r>
    <x v="109"/>
    <x v="3"/>
    <s v="TX-102107"/>
    <x v="4"/>
    <x v="0"/>
    <x v="0"/>
    <n v="5717.76"/>
    <n v="0"/>
    <x v="2105"/>
    <x v="4"/>
    <s v="Cuenta Ahorros"/>
    <s v="Transferencia"/>
    <s v="Pagado"/>
  </r>
  <r>
    <x v="124"/>
    <x v="4"/>
    <s v="TX-102108"/>
    <x v="4"/>
    <x v="0"/>
    <x v="0"/>
    <n v="3174.34"/>
    <n v="0"/>
    <x v="2106"/>
    <x v="0"/>
    <s v="Cuenta Corriente"/>
    <s v="Transferencia"/>
    <s v="Pendiente"/>
  </r>
  <r>
    <x v="317"/>
    <x v="4"/>
    <s v="TX-102109"/>
    <x v="7"/>
    <x v="1"/>
    <x v="6"/>
    <n v="9511.39"/>
    <n v="1236.48"/>
    <x v="2107"/>
    <x v="1"/>
    <s v="Tarjeta Crédito Empresarial"/>
    <s v="Tarjeta Débito"/>
    <s v="Pagado"/>
  </r>
  <r>
    <x v="131"/>
    <x v="10"/>
    <s v="TX-102110"/>
    <x v="7"/>
    <x v="0"/>
    <x v="0"/>
    <n v="8792.51"/>
    <n v="0"/>
    <x v="2108"/>
    <x v="4"/>
    <s v="Cuenta Ahorros"/>
    <s v="Tarjeta Crédito"/>
    <s v="Pagado"/>
  </r>
  <r>
    <x v="238"/>
    <x v="5"/>
    <s v="TX-102111"/>
    <x v="15"/>
    <x v="0"/>
    <x v="0"/>
    <n v="5923.67"/>
    <n v="0"/>
    <x v="2109"/>
    <x v="0"/>
    <s v="Cuenta Corriente"/>
    <s v="Tarjeta Débito"/>
    <s v="Pagado"/>
  </r>
  <r>
    <x v="2"/>
    <x v="2"/>
    <s v="TX-102112"/>
    <x v="13"/>
    <x v="1"/>
    <x v="7"/>
    <n v="471.19"/>
    <n v="61.25"/>
    <x v="2110"/>
    <x v="0"/>
    <s v="Tarjeta Crédito Empresarial"/>
    <s v="Efectivo"/>
    <s v="Pendiente"/>
  </r>
  <r>
    <x v="214"/>
    <x v="11"/>
    <s v="TX-102113"/>
    <x v="10"/>
    <x v="0"/>
    <x v="0"/>
    <n v="4460.03"/>
    <n v="0"/>
    <x v="2111"/>
    <x v="3"/>
    <s v="Cuenta Ahorros"/>
    <s v="Tarjeta Crédito"/>
    <s v="Pendiente"/>
  </r>
  <r>
    <x v="99"/>
    <x v="6"/>
    <s v="TX-102114"/>
    <x v="15"/>
    <x v="1"/>
    <x v="1"/>
    <n v="13404.86"/>
    <n v="1742.63"/>
    <x v="2112"/>
    <x v="1"/>
    <s v="Cuenta Ahorros"/>
    <s v="Tarjeta Débito"/>
    <s v="Pendiente"/>
  </r>
  <r>
    <x v="40"/>
    <x v="2"/>
    <s v="TX-102115"/>
    <x v="7"/>
    <x v="0"/>
    <x v="1"/>
    <n v="14630.93"/>
    <n v="0"/>
    <x v="2113"/>
    <x v="3"/>
    <s v="Cuenta Corriente"/>
    <s v="Transferencia"/>
    <s v="Pagado"/>
  </r>
  <r>
    <x v="50"/>
    <x v="8"/>
    <s v="TX-102116"/>
    <x v="12"/>
    <x v="1"/>
    <x v="4"/>
    <n v="2183.5100000000002"/>
    <n v="283.86"/>
    <x v="2114"/>
    <x v="4"/>
    <s v="Cuenta Ahorros"/>
    <s v="Tarjeta Débito"/>
    <s v="Pagado"/>
  </r>
  <r>
    <x v="249"/>
    <x v="10"/>
    <s v="TX-102117"/>
    <x v="17"/>
    <x v="0"/>
    <x v="7"/>
    <n v="1785.09"/>
    <n v="0"/>
    <x v="2115"/>
    <x v="4"/>
    <s v="Tarjeta Crédito Empresarial"/>
    <s v="Tarjeta Crédito"/>
    <s v="Pagado"/>
  </r>
  <r>
    <x v="109"/>
    <x v="3"/>
    <s v="TX-102118"/>
    <x v="19"/>
    <x v="0"/>
    <x v="1"/>
    <n v="6304.92"/>
    <n v="0"/>
    <x v="2116"/>
    <x v="2"/>
    <s v="Tarjeta Crédito Empresarial"/>
    <s v="Transferencia"/>
    <s v="Pagado"/>
  </r>
  <r>
    <x v="174"/>
    <x v="9"/>
    <s v="TX-102119"/>
    <x v="11"/>
    <x v="0"/>
    <x v="7"/>
    <n v="11490.65"/>
    <n v="0"/>
    <x v="2117"/>
    <x v="2"/>
    <s v="Cuenta Corriente"/>
    <s v="Tarjeta Débito"/>
    <s v="Pendiente"/>
  </r>
  <r>
    <x v="327"/>
    <x v="7"/>
    <s v="TX-102120"/>
    <x v="16"/>
    <x v="0"/>
    <x v="2"/>
    <n v="6830.02"/>
    <n v="0"/>
    <x v="2118"/>
    <x v="3"/>
    <s v="Tarjeta Crédito Empresarial"/>
    <s v="Efectivo"/>
    <s v="Pagado"/>
  </r>
  <r>
    <x v="353"/>
    <x v="7"/>
    <s v="TX-102121"/>
    <x v="15"/>
    <x v="0"/>
    <x v="1"/>
    <n v="3086.27"/>
    <n v="0"/>
    <x v="2119"/>
    <x v="0"/>
    <s v="Tarjeta Crédito Empresarial"/>
    <s v="Transferencia"/>
    <s v="Pendiente"/>
  </r>
  <r>
    <x v="3"/>
    <x v="3"/>
    <s v="TX-102122"/>
    <x v="11"/>
    <x v="0"/>
    <x v="7"/>
    <n v="9795.9"/>
    <n v="0"/>
    <x v="2120"/>
    <x v="0"/>
    <s v="Cuenta Corriente"/>
    <s v="Tarjeta Débito"/>
    <s v="Pagado"/>
  </r>
  <r>
    <x v="242"/>
    <x v="4"/>
    <s v="TX-102123"/>
    <x v="17"/>
    <x v="0"/>
    <x v="7"/>
    <n v="258.17"/>
    <n v="0"/>
    <x v="2121"/>
    <x v="3"/>
    <s v="Cuenta Corriente"/>
    <s v="Transferencia"/>
    <s v="Pagado"/>
  </r>
  <r>
    <x v="252"/>
    <x v="7"/>
    <s v="TX-102124"/>
    <x v="3"/>
    <x v="1"/>
    <x v="3"/>
    <n v="14541.4"/>
    <n v="1890.38"/>
    <x v="2122"/>
    <x v="0"/>
    <s v="Cuenta Corriente"/>
    <s v="Efectivo"/>
    <s v="Pagado"/>
  </r>
  <r>
    <x v="221"/>
    <x v="0"/>
    <s v="TX-102125"/>
    <x v="17"/>
    <x v="1"/>
    <x v="1"/>
    <n v="13861.25"/>
    <n v="1801.96"/>
    <x v="2123"/>
    <x v="4"/>
    <s v="Cuenta Corriente"/>
    <s v="Transferencia"/>
    <s v="Pagado"/>
  </r>
  <r>
    <x v="354"/>
    <x v="4"/>
    <s v="TX-102126"/>
    <x v="13"/>
    <x v="0"/>
    <x v="5"/>
    <n v="159.47999999999999"/>
    <n v="0"/>
    <x v="2124"/>
    <x v="3"/>
    <s v="Cuenta Corriente"/>
    <s v="Transferencia"/>
    <s v="Pendiente"/>
  </r>
  <r>
    <x v="352"/>
    <x v="4"/>
    <s v="TX-102127"/>
    <x v="18"/>
    <x v="1"/>
    <x v="5"/>
    <n v="4097.3"/>
    <n v="532.65"/>
    <x v="2125"/>
    <x v="0"/>
    <s v="Tarjeta Crédito Empresarial"/>
    <s v="Transferencia"/>
    <s v="Pagado"/>
  </r>
  <r>
    <x v="130"/>
    <x v="2"/>
    <s v="TX-102128"/>
    <x v="2"/>
    <x v="0"/>
    <x v="2"/>
    <n v="14323.53"/>
    <n v="0"/>
    <x v="2126"/>
    <x v="4"/>
    <s v="Cuenta Ahorros"/>
    <s v="Efectivo"/>
    <s v="Pagado"/>
  </r>
  <r>
    <x v="259"/>
    <x v="10"/>
    <s v="TX-102129"/>
    <x v="16"/>
    <x v="0"/>
    <x v="4"/>
    <n v="12989.97"/>
    <n v="0"/>
    <x v="2127"/>
    <x v="1"/>
    <s v="Cuenta Corriente"/>
    <s v="Tarjeta Débito"/>
    <s v="Pagado"/>
  </r>
  <r>
    <x v="341"/>
    <x v="7"/>
    <s v="TX-102130"/>
    <x v="18"/>
    <x v="0"/>
    <x v="4"/>
    <n v="11912.09"/>
    <n v="0"/>
    <x v="2128"/>
    <x v="2"/>
    <s v="Cuenta Corriente"/>
    <s v="Tarjeta Crédito"/>
    <s v="Pagado"/>
  </r>
  <r>
    <x v="28"/>
    <x v="6"/>
    <s v="TX-102131"/>
    <x v="15"/>
    <x v="1"/>
    <x v="2"/>
    <n v="8026.86"/>
    <n v="1043.49"/>
    <x v="2129"/>
    <x v="3"/>
    <s v="Cuenta Corriente"/>
    <s v="Tarjeta Débito"/>
    <s v="Pendiente"/>
  </r>
  <r>
    <x v="355"/>
    <x v="7"/>
    <s v="TX-102132"/>
    <x v="4"/>
    <x v="0"/>
    <x v="2"/>
    <n v="10328.76"/>
    <n v="0"/>
    <x v="2130"/>
    <x v="3"/>
    <s v="Cuenta Ahorros"/>
    <s v="Transferencia"/>
    <s v="Pagado"/>
  </r>
  <r>
    <x v="288"/>
    <x v="2"/>
    <s v="TX-102133"/>
    <x v="13"/>
    <x v="1"/>
    <x v="1"/>
    <n v="14017.04"/>
    <n v="1822.22"/>
    <x v="2131"/>
    <x v="3"/>
    <s v="Cuenta Corriente"/>
    <s v="Tarjeta Crédito"/>
    <s v="Pagado"/>
  </r>
  <r>
    <x v="327"/>
    <x v="7"/>
    <s v="TX-102134"/>
    <x v="7"/>
    <x v="1"/>
    <x v="2"/>
    <n v="8590.06"/>
    <n v="1116.71"/>
    <x v="2132"/>
    <x v="1"/>
    <s v="Tarjeta Crédito Empresarial"/>
    <s v="Transferencia"/>
    <s v="Pagado"/>
  </r>
  <r>
    <x v="144"/>
    <x v="0"/>
    <s v="TX-102135"/>
    <x v="13"/>
    <x v="0"/>
    <x v="6"/>
    <n v="498.87"/>
    <n v="0"/>
    <x v="2133"/>
    <x v="1"/>
    <s v="Cuenta Corriente"/>
    <s v="Tarjeta Débito"/>
    <s v="Pendiente"/>
  </r>
  <r>
    <x v="234"/>
    <x v="0"/>
    <s v="TX-102136"/>
    <x v="0"/>
    <x v="0"/>
    <x v="0"/>
    <n v="9249.27"/>
    <n v="0"/>
    <x v="2134"/>
    <x v="4"/>
    <s v="Cuenta Corriente"/>
    <s v="Efectivo"/>
    <s v="Pagado"/>
  </r>
  <r>
    <x v="107"/>
    <x v="3"/>
    <s v="TX-102137"/>
    <x v="1"/>
    <x v="1"/>
    <x v="0"/>
    <n v="8131.01"/>
    <n v="1057.03"/>
    <x v="2135"/>
    <x v="0"/>
    <s v="Cuenta Corriente"/>
    <s v="Efectivo"/>
    <s v="Pagado"/>
  </r>
  <r>
    <x v="65"/>
    <x v="4"/>
    <s v="TX-102138"/>
    <x v="13"/>
    <x v="1"/>
    <x v="5"/>
    <n v="1843.26"/>
    <n v="239.62"/>
    <x v="2136"/>
    <x v="2"/>
    <s v="Tarjeta Crédito Empresarial"/>
    <s v="Tarjeta Crédito"/>
    <s v="Pendiente"/>
  </r>
  <r>
    <x v="185"/>
    <x v="0"/>
    <s v="TX-102139"/>
    <x v="6"/>
    <x v="1"/>
    <x v="5"/>
    <n v="8230.01"/>
    <n v="1069.9000000000001"/>
    <x v="2137"/>
    <x v="1"/>
    <s v="Cuenta Corriente"/>
    <s v="Efectivo"/>
    <s v="Pendiente"/>
  </r>
  <r>
    <x v="268"/>
    <x v="2"/>
    <s v="TX-102140"/>
    <x v="12"/>
    <x v="0"/>
    <x v="1"/>
    <n v="14749.59"/>
    <n v="0"/>
    <x v="2138"/>
    <x v="4"/>
    <s v="Cuenta Ahorros"/>
    <s v="Tarjeta Crédito"/>
    <s v="Pagado"/>
  </r>
  <r>
    <x v="63"/>
    <x v="1"/>
    <s v="TX-102141"/>
    <x v="3"/>
    <x v="1"/>
    <x v="2"/>
    <n v="9736.7900000000009"/>
    <n v="1265.78"/>
    <x v="2139"/>
    <x v="4"/>
    <s v="Cuenta Ahorros"/>
    <s v="Tarjeta Débito"/>
    <s v="Pagado"/>
  </r>
  <r>
    <x v="128"/>
    <x v="9"/>
    <s v="TX-102142"/>
    <x v="18"/>
    <x v="1"/>
    <x v="1"/>
    <n v="8770.9500000000007"/>
    <n v="1140.22"/>
    <x v="2140"/>
    <x v="1"/>
    <s v="Cuenta Ahorros"/>
    <s v="Tarjeta Débito"/>
    <s v="Pendiente"/>
  </r>
  <r>
    <x v="129"/>
    <x v="9"/>
    <s v="TX-102143"/>
    <x v="5"/>
    <x v="1"/>
    <x v="3"/>
    <n v="9641.2099999999991"/>
    <n v="1253.3599999999999"/>
    <x v="2141"/>
    <x v="2"/>
    <s v="Cuenta Corriente"/>
    <s v="Tarjeta Débito"/>
    <s v="Pagado"/>
  </r>
  <r>
    <x v="190"/>
    <x v="9"/>
    <s v="TX-102144"/>
    <x v="7"/>
    <x v="1"/>
    <x v="7"/>
    <n v="9060.0300000000007"/>
    <n v="1177.8"/>
    <x v="2142"/>
    <x v="0"/>
    <s v="Cuenta Corriente"/>
    <s v="Tarjeta Débito"/>
    <s v="Pendiente"/>
  </r>
  <r>
    <x v="202"/>
    <x v="2"/>
    <s v="TX-102145"/>
    <x v="8"/>
    <x v="0"/>
    <x v="2"/>
    <n v="5764.86"/>
    <n v="0"/>
    <x v="2143"/>
    <x v="3"/>
    <s v="Cuenta Corriente"/>
    <s v="Transferencia"/>
    <s v="Pendiente"/>
  </r>
  <r>
    <x v="6"/>
    <x v="5"/>
    <s v="TX-102146"/>
    <x v="14"/>
    <x v="0"/>
    <x v="3"/>
    <n v="14900.85"/>
    <n v="0"/>
    <x v="2144"/>
    <x v="2"/>
    <s v="Tarjeta Crédito Empresarial"/>
    <s v="Efectivo"/>
    <s v="Pendiente"/>
  </r>
  <r>
    <x v="303"/>
    <x v="8"/>
    <s v="TX-102147"/>
    <x v="4"/>
    <x v="0"/>
    <x v="3"/>
    <n v="1947.18"/>
    <n v="0"/>
    <x v="2145"/>
    <x v="1"/>
    <s v="Cuenta Corriente"/>
    <s v="Transferencia"/>
    <s v="Pendiente"/>
  </r>
  <r>
    <x v="181"/>
    <x v="7"/>
    <s v="TX-102148"/>
    <x v="13"/>
    <x v="0"/>
    <x v="1"/>
    <n v="7692.02"/>
    <n v="0"/>
    <x v="2146"/>
    <x v="1"/>
    <s v="Tarjeta Crédito Empresarial"/>
    <s v="Transferencia"/>
    <s v="Pagado"/>
  </r>
  <r>
    <x v="190"/>
    <x v="9"/>
    <s v="TX-102149"/>
    <x v="6"/>
    <x v="0"/>
    <x v="5"/>
    <n v="1332.02"/>
    <n v="0"/>
    <x v="2147"/>
    <x v="3"/>
    <s v="Cuenta Corriente"/>
    <s v="Efectivo"/>
    <s v="Pagado"/>
  </r>
  <r>
    <x v="347"/>
    <x v="7"/>
    <s v="TX-102150"/>
    <x v="2"/>
    <x v="1"/>
    <x v="0"/>
    <n v="11792.07"/>
    <n v="1532.97"/>
    <x v="2148"/>
    <x v="2"/>
    <s v="Tarjeta Crédito Empresarial"/>
    <s v="Tarjeta Crédito"/>
    <s v="Pendiente"/>
  </r>
  <r>
    <x v="153"/>
    <x v="10"/>
    <s v="TX-102151"/>
    <x v="13"/>
    <x v="1"/>
    <x v="5"/>
    <n v="1803.16"/>
    <n v="234.41"/>
    <x v="2149"/>
    <x v="0"/>
    <s v="Cuenta Ahorros"/>
    <s v="Tarjeta Crédito"/>
    <s v="Pendiente"/>
  </r>
  <r>
    <x v="289"/>
    <x v="2"/>
    <s v="TX-102152"/>
    <x v="16"/>
    <x v="1"/>
    <x v="1"/>
    <n v="2564.1799999999998"/>
    <n v="333.34"/>
    <x v="2150"/>
    <x v="4"/>
    <s v="Tarjeta Crédito Empresarial"/>
    <s v="Efectivo"/>
    <s v="Pagado"/>
  </r>
  <r>
    <x v="257"/>
    <x v="7"/>
    <s v="TX-102153"/>
    <x v="3"/>
    <x v="0"/>
    <x v="1"/>
    <n v="13185.81"/>
    <n v="0"/>
    <x v="2151"/>
    <x v="3"/>
    <s v="Cuenta Corriente"/>
    <s v="Transferencia"/>
    <s v="Pagado"/>
  </r>
  <r>
    <x v="333"/>
    <x v="10"/>
    <s v="TX-102154"/>
    <x v="12"/>
    <x v="0"/>
    <x v="3"/>
    <n v="6828.88"/>
    <n v="0"/>
    <x v="2152"/>
    <x v="3"/>
    <s v="Tarjeta Crédito Empresarial"/>
    <s v="Transferencia"/>
    <s v="Pagado"/>
  </r>
  <r>
    <x v="342"/>
    <x v="1"/>
    <s v="TX-102155"/>
    <x v="1"/>
    <x v="0"/>
    <x v="2"/>
    <n v="6122.6"/>
    <n v="0"/>
    <x v="2153"/>
    <x v="3"/>
    <s v="Tarjeta Crédito Empresarial"/>
    <s v="Transferencia"/>
    <s v="Pendiente"/>
  </r>
  <r>
    <x v="177"/>
    <x v="8"/>
    <s v="TX-102156"/>
    <x v="5"/>
    <x v="1"/>
    <x v="7"/>
    <n v="3063.05"/>
    <n v="398.2"/>
    <x v="2154"/>
    <x v="0"/>
    <s v="Tarjeta Crédito Empresarial"/>
    <s v="Efectivo"/>
    <s v="Pagado"/>
  </r>
  <r>
    <x v="182"/>
    <x v="0"/>
    <s v="TX-102157"/>
    <x v="10"/>
    <x v="0"/>
    <x v="4"/>
    <n v="8172.73"/>
    <n v="0"/>
    <x v="2155"/>
    <x v="0"/>
    <s v="Cuenta Ahorros"/>
    <s v="Efectivo"/>
    <s v="Pendiente"/>
  </r>
  <r>
    <x v="38"/>
    <x v="6"/>
    <s v="TX-102158"/>
    <x v="12"/>
    <x v="1"/>
    <x v="1"/>
    <n v="394.71"/>
    <n v="51.31"/>
    <x v="2156"/>
    <x v="0"/>
    <s v="Tarjeta Crédito Empresarial"/>
    <s v="Tarjeta Crédito"/>
    <s v="Pagado"/>
  </r>
  <r>
    <x v="175"/>
    <x v="4"/>
    <s v="TX-102159"/>
    <x v="15"/>
    <x v="1"/>
    <x v="2"/>
    <n v="10859.04"/>
    <n v="1411.68"/>
    <x v="2157"/>
    <x v="1"/>
    <s v="Cuenta Corriente"/>
    <s v="Transferencia"/>
    <s v="Pagado"/>
  </r>
  <r>
    <x v="70"/>
    <x v="2"/>
    <s v="TX-102160"/>
    <x v="18"/>
    <x v="0"/>
    <x v="4"/>
    <n v="4979.41"/>
    <n v="0"/>
    <x v="2158"/>
    <x v="0"/>
    <s v="Cuenta Ahorros"/>
    <s v="Tarjeta Débito"/>
    <s v="Pagado"/>
  </r>
  <r>
    <x v="200"/>
    <x v="9"/>
    <s v="TX-102161"/>
    <x v="9"/>
    <x v="1"/>
    <x v="2"/>
    <n v="5477.13"/>
    <n v="712.03"/>
    <x v="2159"/>
    <x v="4"/>
    <s v="Cuenta Ahorros"/>
    <s v="Efectivo"/>
    <s v="Pendiente"/>
  </r>
  <r>
    <x v="253"/>
    <x v="6"/>
    <s v="TX-102162"/>
    <x v="6"/>
    <x v="0"/>
    <x v="3"/>
    <n v="14154.57"/>
    <n v="0"/>
    <x v="2160"/>
    <x v="0"/>
    <s v="Cuenta Ahorros"/>
    <s v="Tarjeta Crédito"/>
    <s v="Pendiente"/>
  </r>
  <r>
    <x v="269"/>
    <x v="0"/>
    <s v="TX-102163"/>
    <x v="7"/>
    <x v="0"/>
    <x v="5"/>
    <n v="10755.9"/>
    <n v="0"/>
    <x v="2161"/>
    <x v="3"/>
    <s v="Tarjeta Crédito Empresarial"/>
    <s v="Tarjeta Débito"/>
    <s v="Pendiente"/>
  </r>
  <r>
    <x v="146"/>
    <x v="6"/>
    <s v="TX-102164"/>
    <x v="14"/>
    <x v="1"/>
    <x v="5"/>
    <n v="13813.73"/>
    <n v="1795.78"/>
    <x v="2162"/>
    <x v="4"/>
    <s v="Tarjeta Crédito Empresarial"/>
    <s v="Efectivo"/>
    <s v="Pendiente"/>
  </r>
  <r>
    <x v="244"/>
    <x v="9"/>
    <s v="TX-102165"/>
    <x v="14"/>
    <x v="0"/>
    <x v="5"/>
    <n v="553.53"/>
    <n v="0"/>
    <x v="2163"/>
    <x v="0"/>
    <s v="Cuenta Corriente"/>
    <s v="Efectivo"/>
    <s v="Pendiente"/>
  </r>
  <r>
    <x v="3"/>
    <x v="3"/>
    <s v="TX-102166"/>
    <x v="16"/>
    <x v="0"/>
    <x v="0"/>
    <n v="11855.55"/>
    <n v="0"/>
    <x v="2164"/>
    <x v="4"/>
    <s v="Cuenta Ahorros"/>
    <s v="Tarjeta Crédito"/>
    <s v="Pagado"/>
  </r>
  <r>
    <x v="223"/>
    <x v="0"/>
    <s v="TX-102167"/>
    <x v="3"/>
    <x v="0"/>
    <x v="1"/>
    <n v="175.9"/>
    <n v="0"/>
    <x v="2165"/>
    <x v="4"/>
    <s v="Tarjeta Crédito Empresarial"/>
    <s v="Transferencia"/>
    <s v="Pagado"/>
  </r>
  <r>
    <x v="91"/>
    <x v="6"/>
    <s v="TX-102168"/>
    <x v="18"/>
    <x v="1"/>
    <x v="3"/>
    <n v="14077.11"/>
    <n v="1830.02"/>
    <x v="2166"/>
    <x v="4"/>
    <s v="Tarjeta Crédito Empresarial"/>
    <s v="Tarjeta Crédito"/>
    <s v="Pendiente"/>
  </r>
  <r>
    <x v="361"/>
    <x v="0"/>
    <s v="TX-102169"/>
    <x v="9"/>
    <x v="0"/>
    <x v="2"/>
    <n v="13256.37"/>
    <n v="0"/>
    <x v="2167"/>
    <x v="1"/>
    <s v="Tarjeta Crédito Empresarial"/>
    <s v="Tarjeta Débito"/>
    <s v="Pagado"/>
  </r>
  <r>
    <x v="113"/>
    <x v="0"/>
    <s v="TX-102170"/>
    <x v="9"/>
    <x v="0"/>
    <x v="3"/>
    <n v="401.8"/>
    <n v="0"/>
    <x v="2168"/>
    <x v="4"/>
    <s v="Tarjeta Crédito Empresarial"/>
    <s v="Tarjeta Débito"/>
    <s v="Pagado"/>
  </r>
  <r>
    <x v="219"/>
    <x v="2"/>
    <s v="TX-102171"/>
    <x v="18"/>
    <x v="1"/>
    <x v="2"/>
    <n v="10864.92"/>
    <n v="1412.44"/>
    <x v="2169"/>
    <x v="4"/>
    <s v="Cuenta Corriente"/>
    <s v="Efectivo"/>
    <s v="Pagado"/>
  </r>
  <r>
    <x v="68"/>
    <x v="4"/>
    <s v="TX-102172"/>
    <x v="18"/>
    <x v="1"/>
    <x v="1"/>
    <n v="9840.2199999999993"/>
    <n v="1279.23"/>
    <x v="2170"/>
    <x v="0"/>
    <s v="Tarjeta Crédito Empresarial"/>
    <s v="Tarjeta Crédito"/>
    <s v="Pagado"/>
  </r>
  <r>
    <x v="260"/>
    <x v="4"/>
    <s v="TX-102173"/>
    <x v="7"/>
    <x v="0"/>
    <x v="6"/>
    <n v="3404.61"/>
    <n v="0"/>
    <x v="2171"/>
    <x v="2"/>
    <s v="Cuenta Ahorros"/>
    <s v="Transferencia"/>
    <s v="Pendiente"/>
  </r>
  <r>
    <x v="31"/>
    <x v="6"/>
    <s v="TX-102174"/>
    <x v="14"/>
    <x v="0"/>
    <x v="3"/>
    <n v="14814.26"/>
    <n v="0"/>
    <x v="2172"/>
    <x v="2"/>
    <s v="Cuenta Ahorros"/>
    <s v="Transferencia"/>
    <s v="Pagado"/>
  </r>
  <r>
    <x v="84"/>
    <x v="6"/>
    <s v="TX-102175"/>
    <x v="3"/>
    <x v="1"/>
    <x v="1"/>
    <n v="5520.97"/>
    <n v="717.73"/>
    <x v="2173"/>
    <x v="4"/>
    <s v="Tarjeta Crédito Empresarial"/>
    <s v="Tarjeta Crédito"/>
    <s v="Pendiente"/>
  </r>
  <r>
    <x v="49"/>
    <x v="8"/>
    <s v="TX-102176"/>
    <x v="9"/>
    <x v="1"/>
    <x v="6"/>
    <n v="8397.1"/>
    <n v="1091.6199999999999"/>
    <x v="2174"/>
    <x v="3"/>
    <s v="Cuenta Ahorros"/>
    <s v="Efectivo"/>
    <s v="Pagado"/>
  </r>
  <r>
    <x v="176"/>
    <x v="5"/>
    <s v="TX-102177"/>
    <x v="3"/>
    <x v="1"/>
    <x v="5"/>
    <n v="12399.45"/>
    <n v="1611.93"/>
    <x v="2175"/>
    <x v="4"/>
    <s v="Cuenta Ahorros"/>
    <s v="Efectivo"/>
    <s v="Pagado"/>
  </r>
  <r>
    <x v="100"/>
    <x v="3"/>
    <s v="TX-102178"/>
    <x v="7"/>
    <x v="0"/>
    <x v="6"/>
    <n v="13981.64"/>
    <n v="0"/>
    <x v="2176"/>
    <x v="4"/>
    <s v="Cuenta Corriente"/>
    <s v="Tarjeta Crédito"/>
    <s v="Pagado"/>
  </r>
  <r>
    <x v="4"/>
    <x v="4"/>
    <s v="TX-102179"/>
    <x v="7"/>
    <x v="0"/>
    <x v="4"/>
    <n v="11862.1"/>
    <n v="0"/>
    <x v="2177"/>
    <x v="1"/>
    <s v="Cuenta Ahorros"/>
    <s v="Transferencia"/>
    <s v="Pagado"/>
  </r>
  <r>
    <x v="98"/>
    <x v="0"/>
    <s v="TX-102180"/>
    <x v="5"/>
    <x v="0"/>
    <x v="1"/>
    <n v="595.66999999999996"/>
    <n v="0"/>
    <x v="2178"/>
    <x v="0"/>
    <s v="Cuenta Ahorros"/>
    <s v="Efectivo"/>
    <s v="Pendiente"/>
  </r>
  <r>
    <x v="330"/>
    <x v="7"/>
    <s v="TX-102181"/>
    <x v="14"/>
    <x v="1"/>
    <x v="6"/>
    <n v="12968.21"/>
    <n v="1685.87"/>
    <x v="2179"/>
    <x v="2"/>
    <s v="Cuenta Corriente"/>
    <s v="Tarjeta Crédito"/>
    <s v="Pendiente"/>
  </r>
  <r>
    <x v="51"/>
    <x v="9"/>
    <s v="TX-102182"/>
    <x v="4"/>
    <x v="1"/>
    <x v="2"/>
    <n v="2304.6999999999998"/>
    <n v="299.61"/>
    <x v="2180"/>
    <x v="1"/>
    <s v="Cuenta Ahorros"/>
    <s v="Tarjeta Crédito"/>
    <s v="Pagado"/>
  </r>
  <r>
    <x v="254"/>
    <x v="5"/>
    <s v="TX-102183"/>
    <x v="17"/>
    <x v="1"/>
    <x v="1"/>
    <n v="14549.95"/>
    <n v="1891.49"/>
    <x v="2181"/>
    <x v="2"/>
    <s v="Cuenta Ahorros"/>
    <s v="Transferencia"/>
    <s v="Pagado"/>
  </r>
  <r>
    <x v="224"/>
    <x v="0"/>
    <s v="TX-102184"/>
    <x v="19"/>
    <x v="0"/>
    <x v="0"/>
    <n v="8223.19"/>
    <n v="0"/>
    <x v="2182"/>
    <x v="0"/>
    <s v="Cuenta Corriente"/>
    <s v="Efectivo"/>
    <s v="Pagado"/>
  </r>
  <r>
    <x v="359"/>
    <x v="5"/>
    <s v="TX-102185"/>
    <x v="15"/>
    <x v="1"/>
    <x v="4"/>
    <n v="3418.94"/>
    <n v="444.46"/>
    <x v="2183"/>
    <x v="0"/>
    <s v="Cuenta Ahorros"/>
    <s v="Tarjeta Débito"/>
    <s v="Pagado"/>
  </r>
  <r>
    <x v="60"/>
    <x v="3"/>
    <s v="TX-102186"/>
    <x v="2"/>
    <x v="0"/>
    <x v="1"/>
    <n v="14896.43"/>
    <n v="0"/>
    <x v="2184"/>
    <x v="2"/>
    <s v="Cuenta Corriente"/>
    <s v="Tarjeta Crédito"/>
    <s v="Pagado"/>
  </r>
  <r>
    <x v="29"/>
    <x v="3"/>
    <s v="TX-102187"/>
    <x v="0"/>
    <x v="1"/>
    <x v="2"/>
    <n v="2456.92"/>
    <n v="319.39999999999998"/>
    <x v="2185"/>
    <x v="2"/>
    <s v="Cuenta Corriente"/>
    <s v="Tarjeta Crédito"/>
    <s v="Pagado"/>
  </r>
  <r>
    <x v="311"/>
    <x v="1"/>
    <s v="TX-102188"/>
    <x v="5"/>
    <x v="1"/>
    <x v="2"/>
    <n v="10638.08"/>
    <n v="1382.95"/>
    <x v="2186"/>
    <x v="2"/>
    <s v="Tarjeta Crédito Empresarial"/>
    <s v="Efectivo"/>
    <s v="Pagado"/>
  </r>
  <r>
    <x v="301"/>
    <x v="6"/>
    <s v="TX-102189"/>
    <x v="6"/>
    <x v="1"/>
    <x v="2"/>
    <n v="10717.27"/>
    <n v="1393.25"/>
    <x v="2187"/>
    <x v="0"/>
    <s v="Cuenta Ahorros"/>
    <s v="Transferencia"/>
    <s v="Pagado"/>
  </r>
  <r>
    <x v="167"/>
    <x v="8"/>
    <s v="TX-102190"/>
    <x v="14"/>
    <x v="1"/>
    <x v="0"/>
    <n v="1620.27"/>
    <n v="210.64"/>
    <x v="2188"/>
    <x v="0"/>
    <s v="Tarjeta Crédito Empresarial"/>
    <s v="Transferencia"/>
    <s v="Pagado"/>
  </r>
  <r>
    <x v="15"/>
    <x v="8"/>
    <s v="TX-102191"/>
    <x v="9"/>
    <x v="1"/>
    <x v="1"/>
    <n v="3187.36"/>
    <n v="414.36"/>
    <x v="2189"/>
    <x v="3"/>
    <s v="Cuenta Corriente"/>
    <s v="Transferencia"/>
    <s v="Pendiente"/>
  </r>
  <r>
    <x v="236"/>
    <x v="0"/>
    <s v="TX-102192"/>
    <x v="19"/>
    <x v="0"/>
    <x v="3"/>
    <n v="731.53"/>
    <n v="0"/>
    <x v="2190"/>
    <x v="1"/>
    <s v="Cuenta Corriente"/>
    <s v="Tarjeta Crédito"/>
    <s v="Pagado"/>
  </r>
  <r>
    <x v="161"/>
    <x v="9"/>
    <s v="TX-102193"/>
    <x v="18"/>
    <x v="0"/>
    <x v="7"/>
    <n v="12331.06"/>
    <n v="0"/>
    <x v="2191"/>
    <x v="2"/>
    <s v="Cuenta Corriente"/>
    <s v="Transferencia"/>
    <s v="Pagado"/>
  </r>
  <r>
    <x v="282"/>
    <x v="2"/>
    <s v="TX-102194"/>
    <x v="6"/>
    <x v="0"/>
    <x v="0"/>
    <n v="5098.57"/>
    <n v="0"/>
    <x v="2192"/>
    <x v="3"/>
    <s v="Cuenta Corriente"/>
    <s v="Efectivo"/>
    <s v="Pagado"/>
  </r>
  <r>
    <x v="11"/>
    <x v="8"/>
    <s v="TX-102195"/>
    <x v="4"/>
    <x v="1"/>
    <x v="7"/>
    <n v="2107.15"/>
    <n v="273.93"/>
    <x v="2193"/>
    <x v="0"/>
    <s v="Cuenta Corriente"/>
    <s v="Tarjeta Débito"/>
    <s v="Pendiente"/>
  </r>
  <r>
    <x v="33"/>
    <x v="5"/>
    <s v="TX-102196"/>
    <x v="15"/>
    <x v="1"/>
    <x v="3"/>
    <n v="460.98"/>
    <n v="59.93"/>
    <x v="2194"/>
    <x v="0"/>
    <s v="Cuenta Corriente"/>
    <s v="Efectivo"/>
    <s v="Pagado"/>
  </r>
  <r>
    <x v="323"/>
    <x v="2"/>
    <s v="TX-102197"/>
    <x v="5"/>
    <x v="0"/>
    <x v="4"/>
    <n v="7242.77"/>
    <n v="0"/>
    <x v="2195"/>
    <x v="0"/>
    <s v="Cuenta Corriente"/>
    <s v="Efectivo"/>
    <s v="Pendiente"/>
  </r>
  <r>
    <x v="158"/>
    <x v="0"/>
    <s v="TX-102198"/>
    <x v="0"/>
    <x v="0"/>
    <x v="3"/>
    <n v="8416.89"/>
    <n v="0"/>
    <x v="2196"/>
    <x v="3"/>
    <s v="Cuenta Corriente"/>
    <s v="Tarjeta Crédito"/>
    <s v="Pagado"/>
  </r>
  <r>
    <x v="73"/>
    <x v="6"/>
    <s v="TX-102199"/>
    <x v="8"/>
    <x v="0"/>
    <x v="1"/>
    <n v="270.22000000000003"/>
    <n v="0"/>
    <x v="2197"/>
    <x v="2"/>
    <s v="Tarjeta Crédito Empresarial"/>
    <s v="Tarjeta Crédito"/>
    <s v="Pagado"/>
  </r>
  <r>
    <x v="264"/>
    <x v="2"/>
    <s v="TX-102200"/>
    <x v="5"/>
    <x v="0"/>
    <x v="5"/>
    <n v="2475.9299999999998"/>
    <n v="0"/>
    <x v="2198"/>
    <x v="1"/>
    <s v="Tarjeta Crédito Empresarial"/>
    <s v="Transferencia"/>
    <s v="Pendiente"/>
  </r>
  <r>
    <x v="88"/>
    <x v="5"/>
    <s v="TX-102201"/>
    <x v="4"/>
    <x v="0"/>
    <x v="7"/>
    <n v="3930.74"/>
    <n v="0"/>
    <x v="2199"/>
    <x v="1"/>
    <s v="Cuenta Corriente"/>
    <s v="Efectivo"/>
    <s v="Pendiente"/>
  </r>
  <r>
    <x v="120"/>
    <x v="3"/>
    <s v="TX-102202"/>
    <x v="18"/>
    <x v="0"/>
    <x v="2"/>
    <n v="3726.32"/>
    <n v="0"/>
    <x v="2200"/>
    <x v="4"/>
    <s v="Cuenta Corriente"/>
    <s v="Tarjeta Crédito"/>
    <s v="Pagado"/>
  </r>
  <r>
    <x v="122"/>
    <x v="1"/>
    <s v="TX-102203"/>
    <x v="15"/>
    <x v="0"/>
    <x v="5"/>
    <n v="5856.51"/>
    <n v="0"/>
    <x v="2201"/>
    <x v="1"/>
    <s v="Cuenta Corriente"/>
    <s v="Tarjeta Débito"/>
    <s v="Pagado"/>
  </r>
  <r>
    <x v="8"/>
    <x v="7"/>
    <s v="TX-102204"/>
    <x v="10"/>
    <x v="0"/>
    <x v="5"/>
    <n v="4266.9399999999996"/>
    <n v="0"/>
    <x v="2202"/>
    <x v="3"/>
    <s v="Tarjeta Crédito Empresarial"/>
    <s v="Tarjeta Débito"/>
    <s v="Pagado"/>
  </r>
  <r>
    <x v="251"/>
    <x v="1"/>
    <s v="TX-102205"/>
    <x v="4"/>
    <x v="0"/>
    <x v="2"/>
    <n v="3344.84"/>
    <n v="0"/>
    <x v="2203"/>
    <x v="2"/>
    <s v="Cuenta Corriente"/>
    <s v="Efectivo"/>
    <s v="Pagado"/>
  </r>
  <r>
    <x v="53"/>
    <x v="3"/>
    <s v="TX-102206"/>
    <x v="3"/>
    <x v="1"/>
    <x v="1"/>
    <n v="2253.0300000000002"/>
    <n v="292.89"/>
    <x v="2204"/>
    <x v="3"/>
    <s v="Cuenta Ahorros"/>
    <s v="Efectivo"/>
    <s v="Pendiente"/>
  </r>
  <r>
    <x v="97"/>
    <x v="6"/>
    <s v="TX-102207"/>
    <x v="17"/>
    <x v="0"/>
    <x v="0"/>
    <n v="3504.77"/>
    <n v="0"/>
    <x v="2205"/>
    <x v="2"/>
    <s v="Cuenta Corriente"/>
    <s v="Tarjeta Crédito"/>
    <s v="Pagado"/>
  </r>
  <r>
    <x v="95"/>
    <x v="4"/>
    <s v="TX-102208"/>
    <x v="0"/>
    <x v="0"/>
    <x v="1"/>
    <n v="12311.77"/>
    <n v="0"/>
    <x v="2206"/>
    <x v="1"/>
    <s v="Cuenta Ahorros"/>
    <s v="Tarjeta Crédito"/>
    <s v="Pagado"/>
  </r>
  <r>
    <x v="9"/>
    <x v="4"/>
    <s v="TX-102209"/>
    <x v="4"/>
    <x v="0"/>
    <x v="2"/>
    <n v="4834.8599999999997"/>
    <n v="0"/>
    <x v="2207"/>
    <x v="0"/>
    <s v="Cuenta Ahorros"/>
    <s v="Tarjeta Crédito"/>
    <s v="Pagado"/>
  </r>
  <r>
    <x v="161"/>
    <x v="9"/>
    <s v="TX-102210"/>
    <x v="11"/>
    <x v="1"/>
    <x v="7"/>
    <n v="13618.73"/>
    <n v="1770.43"/>
    <x v="2208"/>
    <x v="3"/>
    <s v="Cuenta Corriente"/>
    <s v="Tarjeta Débito"/>
    <s v="Pendiente"/>
  </r>
  <r>
    <x v="83"/>
    <x v="2"/>
    <s v="TX-102211"/>
    <x v="4"/>
    <x v="1"/>
    <x v="6"/>
    <n v="5466.09"/>
    <n v="710.59"/>
    <x v="2209"/>
    <x v="1"/>
    <s v="Tarjeta Crédito Empresarial"/>
    <s v="Transferencia"/>
    <s v="Pendiente"/>
  </r>
  <r>
    <x v="317"/>
    <x v="4"/>
    <s v="TX-102212"/>
    <x v="5"/>
    <x v="0"/>
    <x v="1"/>
    <n v="2344.9499999999998"/>
    <n v="0"/>
    <x v="2210"/>
    <x v="1"/>
    <s v="Tarjeta Crédito Empresarial"/>
    <s v="Tarjeta Crédito"/>
    <s v="Pendiente"/>
  </r>
  <r>
    <x v="357"/>
    <x v="0"/>
    <s v="TX-102213"/>
    <x v="13"/>
    <x v="0"/>
    <x v="5"/>
    <n v="598.34"/>
    <n v="0"/>
    <x v="2211"/>
    <x v="1"/>
    <s v="Cuenta Corriente"/>
    <s v="Transferencia"/>
    <s v="Pendiente"/>
  </r>
  <r>
    <x v="225"/>
    <x v="4"/>
    <s v="TX-102214"/>
    <x v="0"/>
    <x v="0"/>
    <x v="2"/>
    <n v="5456.72"/>
    <n v="0"/>
    <x v="2212"/>
    <x v="1"/>
    <s v="Tarjeta Crédito Empresarial"/>
    <s v="Tarjeta Débito"/>
    <s v="Pendiente"/>
  </r>
  <r>
    <x v="36"/>
    <x v="7"/>
    <s v="TX-102215"/>
    <x v="5"/>
    <x v="1"/>
    <x v="7"/>
    <n v="4804.8500000000004"/>
    <n v="624.63"/>
    <x v="2213"/>
    <x v="0"/>
    <s v="Cuenta Corriente"/>
    <s v="Tarjeta Débito"/>
    <s v="Pendiente"/>
  </r>
  <r>
    <x v="16"/>
    <x v="5"/>
    <s v="TX-102216"/>
    <x v="18"/>
    <x v="0"/>
    <x v="6"/>
    <n v="10599.88"/>
    <n v="0"/>
    <x v="2214"/>
    <x v="4"/>
    <s v="Cuenta Ahorros"/>
    <s v="Transferencia"/>
    <s v="Pagado"/>
  </r>
  <r>
    <x v="329"/>
    <x v="3"/>
    <s v="TX-102217"/>
    <x v="3"/>
    <x v="0"/>
    <x v="3"/>
    <n v="10294.51"/>
    <n v="0"/>
    <x v="2215"/>
    <x v="4"/>
    <s v="Cuenta Ahorros"/>
    <s v="Tarjeta Débito"/>
    <s v="Pendiente"/>
  </r>
  <r>
    <x v="251"/>
    <x v="1"/>
    <s v="TX-102218"/>
    <x v="6"/>
    <x v="0"/>
    <x v="3"/>
    <n v="3797.54"/>
    <n v="0"/>
    <x v="2216"/>
    <x v="1"/>
    <s v="Tarjeta Crédito Empresarial"/>
    <s v="Efectivo"/>
    <s v="Pagado"/>
  </r>
  <r>
    <x v="353"/>
    <x v="7"/>
    <s v="TX-102219"/>
    <x v="6"/>
    <x v="1"/>
    <x v="0"/>
    <n v="14149.03"/>
    <n v="1839.37"/>
    <x v="2217"/>
    <x v="0"/>
    <s v="Cuenta Ahorros"/>
    <s v="Efectivo"/>
    <s v="Pendiente"/>
  </r>
  <r>
    <x v="42"/>
    <x v="8"/>
    <s v="TX-102220"/>
    <x v="3"/>
    <x v="1"/>
    <x v="0"/>
    <n v="13402.09"/>
    <n v="1742.27"/>
    <x v="2218"/>
    <x v="0"/>
    <s v="Cuenta Ahorros"/>
    <s v="Transferencia"/>
    <s v="Pendiente"/>
  </r>
  <r>
    <x v="285"/>
    <x v="5"/>
    <s v="TX-102221"/>
    <x v="9"/>
    <x v="0"/>
    <x v="0"/>
    <n v="2686.66"/>
    <n v="0"/>
    <x v="2219"/>
    <x v="2"/>
    <s v="Cuenta Ahorros"/>
    <s v="Tarjeta Débito"/>
    <s v="Pendiente"/>
  </r>
  <r>
    <x v="275"/>
    <x v="10"/>
    <s v="TX-102222"/>
    <x v="3"/>
    <x v="1"/>
    <x v="5"/>
    <n v="7140.27"/>
    <n v="928.24"/>
    <x v="2220"/>
    <x v="1"/>
    <s v="Tarjeta Crédito Empresarial"/>
    <s v="Transferencia"/>
    <s v="Pendiente"/>
  </r>
  <r>
    <x v="228"/>
    <x v="5"/>
    <s v="TX-102223"/>
    <x v="7"/>
    <x v="0"/>
    <x v="1"/>
    <n v="4748.3500000000004"/>
    <n v="0"/>
    <x v="2221"/>
    <x v="2"/>
    <s v="Cuenta Ahorros"/>
    <s v="Efectivo"/>
    <s v="Pagado"/>
  </r>
  <r>
    <x v="299"/>
    <x v="9"/>
    <s v="TX-102224"/>
    <x v="4"/>
    <x v="0"/>
    <x v="7"/>
    <n v="10674.67"/>
    <n v="0"/>
    <x v="2222"/>
    <x v="2"/>
    <s v="Cuenta Corriente"/>
    <s v="Efectivo"/>
    <s v="Pagado"/>
  </r>
  <r>
    <x v="162"/>
    <x v="11"/>
    <s v="TX-102225"/>
    <x v="5"/>
    <x v="0"/>
    <x v="5"/>
    <n v="12683.92"/>
    <n v="0"/>
    <x v="2223"/>
    <x v="4"/>
    <s v="Cuenta Ahorros"/>
    <s v="Tarjeta Débito"/>
    <s v="Pendiente"/>
  </r>
  <r>
    <x v="310"/>
    <x v="6"/>
    <s v="TX-102226"/>
    <x v="14"/>
    <x v="1"/>
    <x v="5"/>
    <n v="2672.85"/>
    <n v="347.47"/>
    <x v="2224"/>
    <x v="4"/>
    <s v="Cuenta Ahorros"/>
    <s v="Transferencia"/>
    <s v="Pagado"/>
  </r>
  <r>
    <x v="323"/>
    <x v="2"/>
    <s v="TX-102227"/>
    <x v="6"/>
    <x v="0"/>
    <x v="7"/>
    <n v="6417.6"/>
    <n v="0"/>
    <x v="2225"/>
    <x v="1"/>
    <s v="Cuenta Corriente"/>
    <s v="Efectivo"/>
    <s v="Pagado"/>
  </r>
  <r>
    <x v="184"/>
    <x v="4"/>
    <s v="TX-102228"/>
    <x v="9"/>
    <x v="1"/>
    <x v="6"/>
    <n v="1754.6"/>
    <n v="228.1"/>
    <x v="2226"/>
    <x v="0"/>
    <s v="Cuenta Ahorros"/>
    <s v="Tarjeta Débito"/>
    <s v="Pagado"/>
  </r>
  <r>
    <x v="331"/>
    <x v="1"/>
    <s v="TX-102229"/>
    <x v="16"/>
    <x v="1"/>
    <x v="3"/>
    <n v="14332.54"/>
    <n v="1863.23"/>
    <x v="2227"/>
    <x v="4"/>
    <s v="Tarjeta Crédito Empresarial"/>
    <s v="Tarjeta Débito"/>
    <s v="Pagado"/>
  </r>
  <r>
    <x v="218"/>
    <x v="4"/>
    <s v="TX-102230"/>
    <x v="14"/>
    <x v="0"/>
    <x v="1"/>
    <n v="1480.05"/>
    <n v="0"/>
    <x v="2228"/>
    <x v="4"/>
    <s v="Tarjeta Crédito Empresarial"/>
    <s v="Efectivo"/>
    <s v="Pendiente"/>
  </r>
  <r>
    <x v="270"/>
    <x v="0"/>
    <s v="TX-102231"/>
    <x v="18"/>
    <x v="1"/>
    <x v="3"/>
    <n v="8218.19"/>
    <n v="1068.3599999999999"/>
    <x v="2229"/>
    <x v="1"/>
    <s v="Cuenta Ahorros"/>
    <s v="Transferencia"/>
    <s v="Pagado"/>
  </r>
  <r>
    <x v="34"/>
    <x v="1"/>
    <s v="TX-102232"/>
    <x v="15"/>
    <x v="1"/>
    <x v="7"/>
    <n v="13312.05"/>
    <n v="1730.57"/>
    <x v="2230"/>
    <x v="2"/>
    <s v="Tarjeta Crédito Empresarial"/>
    <s v="Transferencia"/>
    <s v="Pagado"/>
  </r>
  <r>
    <x v="194"/>
    <x v="8"/>
    <s v="TX-102233"/>
    <x v="2"/>
    <x v="1"/>
    <x v="0"/>
    <n v="2812.01"/>
    <n v="365.56"/>
    <x v="2231"/>
    <x v="4"/>
    <s v="Cuenta Ahorros"/>
    <s v="Tarjeta Crédito"/>
    <s v="Pendiente"/>
  </r>
  <r>
    <x v="298"/>
    <x v="8"/>
    <s v="TX-102234"/>
    <x v="1"/>
    <x v="0"/>
    <x v="5"/>
    <n v="8469.86"/>
    <n v="0"/>
    <x v="2232"/>
    <x v="1"/>
    <s v="Cuenta Corriente"/>
    <s v="Transferencia"/>
    <s v="Pagado"/>
  </r>
  <r>
    <x v="280"/>
    <x v="9"/>
    <s v="TX-102235"/>
    <x v="15"/>
    <x v="0"/>
    <x v="4"/>
    <n v="959.94"/>
    <n v="0"/>
    <x v="2233"/>
    <x v="0"/>
    <s v="Tarjeta Crédito Empresarial"/>
    <s v="Tarjeta Crédito"/>
    <s v="Pagado"/>
  </r>
  <r>
    <x v="306"/>
    <x v="2"/>
    <s v="TX-102236"/>
    <x v="19"/>
    <x v="1"/>
    <x v="5"/>
    <n v="6957.16"/>
    <n v="904.43"/>
    <x v="2234"/>
    <x v="1"/>
    <s v="Cuenta Corriente"/>
    <s v="Transferencia"/>
    <s v="Pagado"/>
  </r>
  <r>
    <x v="152"/>
    <x v="9"/>
    <s v="TX-102237"/>
    <x v="15"/>
    <x v="1"/>
    <x v="6"/>
    <n v="9800.65"/>
    <n v="1274.08"/>
    <x v="2235"/>
    <x v="0"/>
    <s v="Cuenta Ahorros"/>
    <s v="Transferencia"/>
    <s v="Pagado"/>
  </r>
  <r>
    <x v="150"/>
    <x v="2"/>
    <s v="TX-102238"/>
    <x v="7"/>
    <x v="0"/>
    <x v="3"/>
    <n v="9705.93"/>
    <n v="0"/>
    <x v="2236"/>
    <x v="1"/>
    <s v="Cuenta Corriente"/>
    <s v="Tarjeta Crédito"/>
    <s v="Pendiente"/>
  </r>
  <r>
    <x v="84"/>
    <x v="6"/>
    <s v="TX-102239"/>
    <x v="19"/>
    <x v="0"/>
    <x v="4"/>
    <n v="9370.26"/>
    <n v="0"/>
    <x v="2237"/>
    <x v="0"/>
    <s v="Cuenta Ahorros"/>
    <s v="Transferencia"/>
    <s v="Pendiente"/>
  </r>
  <r>
    <x v="50"/>
    <x v="8"/>
    <s v="TX-102240"/>
    <x v="11"/>
    <x v="0"/>
    <x v="4"/>
    <n v="12250.16"/>
    <n v="0"/>
    <x v="2238"/>
    <x v="1"/>
    <s v="Cuenta Ahorros"/>
    <s v="Efectivo"/>
    <s v="Pagado"/>
  </r>
  <r>
    <x v="150"/>
    <x v="2"/>
    <s v="TX-102241"/>
    <x v="0"/>
    <x v="1"/>
    <x v="2"/>
    <n v="8497.42"/>
    <n v="1104.6600000000001"/>
    <x v="2239"/>
    <x v="0"/>
    <s v="Cuenta Corriente"/>
    <s v="Tarjeta Débito"/>
    <s v="Pagado"/>
  </r>
  <r>
    <x v="354"/>
    <x v="4"/>
    <s v="TX-102242"/>
    <x v="3"/>
    <x v="0"/>
    <x v="0"/>
    <n v="9314.4599999999991"/>
    <n v="0"/>
    <x v="2240"/>
    <x v="2"/>
    <s v="Tarjeta Crédito Empresarial"/>
    <s v="Transferencia"/>
    <s v="Pagado"/>
  </r>
  <r>
    <x v="340"/>
    <x v="2"/>
    <s v="TX-102243"/>
    <x v="14"/>
    <x v="0"/>
    <x v="0"/>
    <n v="3746.63"/>
    <n v="0"/>
    <x v="2241"/>
    <x v="3"/>
    <s v="Cuenta Corriente"/>
    <s v="Tarjeta Débito"/>
    <s v="Pendiente"/>
  </r>
  <r>
    <x v="18"/>
    <x v="9"/>
    <s v="TX-102244"/>
    <x v="0"/>
    <x v="1"/>
    <x v="6"/>
    <n v="13592.73"/>
    <n v="1767.05"/>
    <x v="2242"/>
    <x v="2"/>
    <s v="Cuenta Corriente"/>
    <s v="Transferencia"/>
    <s v="Pagado"/>
  </r>
  <r>
    <x v="60"/>
    <x v="3"/>
    <s v="TX-102245"/>
    <x v="17"/>
    <x v="0"/>
    <x v="1"/>
    <n v="3429.24"/>
    <n v="0"/>
    <x v="2243"/>
    <x v="0"/>
    <s v="Tarjeta Crédito Empresarial"/>
    <s v="Tarjeta Crédito"/>
    <s v="Pagado"/>
  </r>
  <r>
    <x v="9"/>
    <x v="4"/>
    <s v="TX-102246"/>
    <x v="5"/>
    <x v="1"/>
    <x v="5"/>
    <n v="4453.42"/>
    <n v="578.94000000000005"/>
    <x v="2244"/>
    <x v="1"/>
    <s v="Cuenta Corriente"/>
    <s v="Efectivo"/>
    <s v="Pagado"/>
  </r>
  <r>
    <x v="57"/>
    <x v="10"/>
    <s v="TX-102247"/>
    <x v="11"/>
    <x v="1"/>
    <x v="6"/>
    <n v="8486.74"/>
    <n v="1103.28"/>
    <x v="2245"/>
    <x v="4"/>
    <s v="Cuenta Corriente"/>
    <s v="Tarjeta Débito"/>
    <s v="Pendiente"/>
  </r>
  <r>
    <x v="32"/>
    <x v="9"/>
    <s v="TX-102248"/>
    <x v="18"/>
    <x v="1"/>
    <x v="1"/>
    <n v="6692.75"/>
    <n v="870.06"/>
    <x v="2246"/>
    <x v="0"/>
    <s v="Cuenta Ahorros"/>
    <s v="Tarjeta Crédito"/>
    <s v="Pagado"/>
  </r>
  <r>
    <x v="109"/>
    <x v="3"/>
    <s v="TX-102249"/>
    <x v="1"/>
    <x v="1"/>
    <x v="0"/>
    <n v="14506.36"/>
    <n v="1885.83"/>
    <x v="2247"/>
    <x v="4"/>
    <s v="Cuenta Corriente"/>
    <s v="Efectivo"/>
    <s v="Pendiente"/>
  </r>
  <r>
    <x v="63"/>
    <x v="1"/>
    <s v="TX-102250"/>
    <x v="2"/>
    <x v="0"/>
    <x v="4"/>
    <n v="2442.79"/>
    <n v="0"/>
    <x v="2248"/>
    <x v="1"/>
    <s v="Cuenta Corriente"/>
    <s v="Tarjeta Crédito"/>
    <s v="Pagado"/>
  </r>
  <r>
    <x v="338"/>
    <x v="7"/>
    <s v="TX-102251"/>
    <x v="6"/>
    <x v="0"/>
    <x v="2"/>
    <n v="8810.06"/>
    <n v="0"/>
    <x v="2249"/>
    <x v="1"/>
    <s v="Cuenta Ahorros"/>
    <s v="Transferencia"/>
    <s v="Pagado"/>
  </r>
  <r>
    <x v="240"/>
    <x v="2"/>
    <s v="TX-102252"/>
    <x v="6"/>
    <x v="0"/>
    <x v="0"/>
    <n v="10852.08"/>
    <n v="0"/>
    <x v="2250"/>
    <x v="1"/>
    <s v="Cuenta Ahorros"/>
    <s v="Efectivo"/>
    <s v="Pendiente"/>
  </r>
  <r>
    <x v="70"/>
    <x v="2"/>
    <s v="TX-102253"/>
    <x v="11"/>
    <x v="0"/>
    <x v="4"/>
    <n v="5777.27"/>
    <n v="0"/>
    <x v="2251"/>
    <x v="3"/>
    <s v="Tarjeta Crédito Empresarial"/>
    <s v="Efectivo"/>
    <s v="Pagado"/>
  </r>
  <r>
    <x v="2"/>
    <x v="2"/>
    <s v="TX-102254"/>
    <x v="12"/>
    <x v="1"/>
    <x v="1"/>
    <n v="8587.67"/>
    <n v="1116.4000000000001"/>
    <x v="2252"/>
    <x v="0"/>
    <s v="Cuenta Ahorros"/>
    <s v="Tarjeta Crédito"/>
    <s v="Pagado"/>
  </r>
  <r>
    <x v="266"/>
    <x v="0"/>
    <s v="TX-102255"/>
    <x v="10"/>
    <x v="1"/>
    <x v="5"/>
    <n v="10592"/>
    <n v="1376.96"/>
    <x v="2253"/>
    <x v="2"/>
    <s v="Tarjeta Crédito Empresarial"/>
    <s v="Tarjeta Débito"/>
    <s v="Pendiente"/>
  </r>
  <r>
    <x v="21"/>
    <x v="2"/>
    <s v="TX-102256"/>
    <x v="10"/>
    <x v="0"/>
    <x v="2"/>
    <n v="4100.04"/>
    <n v="0"/>
    <x v="2254"/>
    <x v="3"/>
    <s v="Tarjeta Crédito Empresarial"/>
    <s v="Transferencia"/>
    <s v="Pendiente"/>
  </r>
  <r>
    <x v="344"/>
    <x v="8"/>
    <s v="TX-102257"/>
    <x v="0"/>
    <x v="0"/>
    <x v="7"/>
    <n v="13764.01"/>
    <n v="0"/>
    <x v="2255"/>
    <x v="4"/>
    <s v="Cuenta Ahorros"/>
    <s v="Efectivo"/>
    <s v="Pagado"/>
  </r>
  <r>
    <x v="307"/>
    <x v="11"/>
    <s v="TX-102258"/>
    <x v="17"/>
    <x v="1"/>
    <x v="5"/>
    <n v="14562.68"/>
    <n v="1893.15"/>
    <x v="2256"/>
    <x v="0"/>
    <s v="Cuenta Corriente"/>
    <s v="Tarjeta Crédito"/>
    <s v="Pendiente"/>
  </r>
  <r>
    <x v="305"/>
    <x v="10"/>
    <s v="TX-102259"/>
    <x v="19"/>
    <x v="1"/>
    <x v="1"/>
    <n v="4572.54"/>
    <n v="594.42999999999995"/>
    <x v="2257"/>
    <x v="1"/>
    <s v="Cuenta Ahorros"/>
    <s v="Transferencia"/>
    <s v="Pendiente"/>
  </r>
  <r>
    <x v="150"/>
    <x v="2"/>
    <s v="TX-102260"/>
    <x v="7"/>
    <x v="1"/>
    <x v="0"/>
    <n v="13215.38"/>
    <n v="1718"/>
    <x v="2258"/>
    <x v="0"/>
    <s v="Tarjeta Crédito Empresarial"/>
    <s v="Efectivo"/>
    <s v="Pendiente"/>
  </r>
  <r>
    <x v="305"/>
    <x v="10"/>
    <s v="TX-102261"/>
    <x v="3"/>
    <x v="1"/>
    <x v="5"/>
    <n v="5137.38"/>
    <n v="667.86"/>
    <x v="2259"/>
    <x v="2"/>
    <s v="Cuenta Ahorros"/>
    <s v="Tarjeta Crédito"/>
    <s v="Pagado"/>
  </r>
  <r>
    <x v="305"/>
    <x v="10"/>
    <s v="TX-102262"/>
    <x v="4"/>
    <x v="0"/>
    <x v="0"/>
    <n v="12451.66"/>
    <n v="0"/>
    <x v="2260"/>
    <x v="4"/>
    <s v="Cuenta Ahorros"/>
    <s v="Efectivo"/>
    <s v="Pendiente"/>
  </r>
  <r>
    <x v="218"/>
    <x v="4"/>
    <s v="TX-102263"/>
    <x v="15"/>
    <x v="1"/>
    <x v="1"/>
    <n v="11107.86"/>
    <n v="1444.02"/>
    <x v="2261"/>
    <x v="1"/>
    <s v="Cuenta Ahorros"/>
    <s v="Tarjeta Débito"/>
    <s v="Pagado"/>
  </r>
  <r>
    <x v="224"/>
    <x v="0"/>
    <s v="TX-102264"/>
    <x v="17"/>
    <x v="1"/>
    <x v="6"/>
    <n v="11069.85"/>
    <n v="1439.08"/>
    <x v="2262"/>
    <x v="0"/>
    <s v="Cuenta Ahorros"/>
    <s v="Tarjeta Débito"/>
    <s v="Pagado"/>
  </r>
  <r>
    <x v="173"/>
    <x v="11"/>
    <s v="TX-102265"/>
    <x v="14"/>
    <x v="0"/>
    <x v="1"/>
    <n v="11336.98"/>
    <n v="0"/>
    <x v="2263"/>
    <x v="4"/>
    <s v="Cuenta Ahorros"/>
    <s v="Efectivo"/>
    <s v="Pagado"/>
  </r>
  <r>
    <x v="242"/>
    <x v="4"/>
    <s v="TX-102266"/>
    <x v="13"/>
    <x v="1"/>
    <x v="3"/>
    <n v="2871.11"/>
    <n v="373.24"/>
    <x v="2264"/>
    <x v="4"/>
    <s v="Tarjeta Crédito Empresarial"/>
    <s v="Transferencia"/>
    <s v="Pagado"/>
  </r>
  <r>
    <x v="232"/>
    <x v="10"/>
    <s v="TX-102267"/>
    <x v="14"/>
    <x v="1"/>
    <x v="4"/>
    <n v="1353.48"/>
    <n v="175.95"/>
    <x v="2265"/>
    <x v="0"/>
    <s v="Cuenta Corriente"/>
    <s v="Transferencia"/>
    <s v="Pagado"/>
  </r>
  <r>
    <x v="213"/>
    <x v="3"/>
    <s v="TX-102268"/>
    <x v="7"/>
    <x v="1"/>
    <x v="7"/>
    <n v="644.37"/>
    <n v="83.77"/>
    <x v="2266"/>
    <x v="1"/>
    <s v="Cuenta Corriente"/>
    <s v="Tarjeta Crédito"/>
    <s v="Pendiente"/>
  </r>
  <r>
    <x v="221"/>
    <x v="0"/>
    <s v="TX-102269"/>
    <x v="19"/>
    <x v="0"/>
    <x v="3"/>
    <n v="2953.37"/>
    <n v="0"/>
    <x v="2267"/>
    <x v="1"/>
    <s v="Cuenta Ahorros"/>
    <s v="Transferencia"/>
    <s v="Pagado"/>
  </r>
  <r>
    <x v="113"/>
    <x v="0"/>
    <s v="TX-102270"/>
    <x v="19"/>
    <x v="1"/>
    <x v="1"/>
    <n v="11072.99"/>
    <n v="1439.49"/>
    <x v="2268"/>
    <x v="0"/>
    <s v="Cuenta Corriente"/>
    <s v="Tarjeta Débito"/>
    <s v="Pendiente"/>
  </r>
  <r>
    <x v="303"/>
    <x v="8"/>
    <s v="TX-102271"/>
    <x v="11"/>
    <x v="1"/>
    <x v="5"/>
    <n v="2446.8200000000002"/>
    <n v="318.08999999999997"/>
    <x v="2269"/>
    <x v="3"/>
    <s v="Cuenta Corriente"/>
    <s v="Tarjeta Débito"/>
    <s v="Pendiente"/>
  </r>
  <r>
    <x v="130"/>
    <x v="2"/>
    <s v="TX-102272"/>
    <x v="0"/>
    <x v="0"/>
    <x v="1"/>
    <n v="13979.88"/>
    <n v="0"/>
    <x v="2270"/>
    <x v="1"/>
    <s v="Cuenta Ahorros"/>
    <s v="Transferencia"/>
    <s v="Pendiente"/>
  </r>
  <r>
    <x v="50"/>
    <x v="8"/>
    <s v="TX-102273"/>
    <x v="17"/>
    <x v="0"/>
    <x v="2"/>
    <n v="13855.86"/>
    <n v="0"/>
    <x v="2271"/>
    <x v="3"/>
    <s v="Cuenta Ahorros"/>
    <s v="Efectivo"/>
    <s v="Pagado"/>
  </r>
  <r>
    <x v="153"/>
    <x v="10"/>
    <s v="TX-102274"/>
    <x v="17"/>
    <x v="1"/>
    <x v="6"/>
    <n v="204.33"/>
    <n v="26.56"/>
    <x v="2272"/>
    <x v="2"/>
    <s v="Cuenta Corriente"/>
    <s v="Efectivo"/>
    <s v="Pagado"/>
  </r>
  <r>
    <x v="89"/>
    <x v="8"/>
    <s v="TX-102275"/>
    <x v="9"/>
    <x v="0"/>
    <x v="2"/>
    <n v="6698.16"/>
    <n v="0"/>
    <x v="2273"/>
    <x v="4"/>
    <s v="Cuenta Corriente"/>
    <s v="Transferencia"/>
    <s v="Pagado"/>
  </r>
  <r>
    <x v="119"/>
    <x v="6"/>
    <s v="TX-102276"/>
    <x v="15"/>
    <x v="1"/>
    <x v="1"/>
    <n v="9661.57"/>
    <n v="1256"/>
    <x v="2274"/>
    <x v="2"/>
    <s v="Cuenta Ahorros"/>
    <s v="Transferencia"/>
    <s v="Pendiente"/>
  </r>
  <r>
    <x v="95"/>
    <x v="4"/>
    <s v="TX-102277"/>
    <x v="16"/>
    <x v="1"/>
    <x v="2"/>
    <n v="5866.89"/>
    <n v="762.7"/>
    <x v="2275"/>
    <x v="2"/>
    <s v="Cuenta Corriente"/>
    <s v="Tarjeta Débito"/>
    <s v="Pendiente"/>
  </r>
  <r>
    <x v="162"/>
    <x v="11"/>
    <s v="TX-102278"/>
    <x v="6"/>
    <x v="0"/>
    <x v="3"/>
    <n v="7874.22"/>
    <n v="0"/>
    <x v="2276"/>
    <x v="1"/>
    <s v="Cuenta Corriente"/>
    <s v="Efectivo"/>
    <s v="Pagado"/>
  </r>
  <r>
    <x v="44"/>
    <x v="1"/>
    <s v="TX-102279"/>
    <x v="2"/>
    <x v="0"/>
    <x v="5"/>
    <n v="9373.9500000000007"/>
    <n v="0"/>
    <x v="2277"/>
    <x v="2"/>
    <s v="Cuenta Ahorros"/>
    <s v="Transferencia"/>
    <s v="Pendiente"/>
  </r>
  <r>
    <x v="223"/>
    <x v="0"/>
    <s v="TX-102280"/>
    <x v="8"/>
    <x v="1"/>
    <x v="7"/>
    <n v="345.6"/>
    <n v="44.93"/>
    <x v="2278"/>
    <x v="1"/>
    <s v="Tarjeta Crédito Empresarial"/>
    <s v="Tarjeta Débito"/>
    <s v="Pagado"/>
  </r>
  <r>
    <x v="197"/>
    <x v="7"/>
    <s v="TX-102281"/>
    <x v="16"/>
    <x v="1"/>
    <x v="5"/>
    <n v="4341.12"/>
    <n v="564.35"/>
    <x v="2279"/>
    <x v="1"/>
    <s v="Cuenta Ahorros"/>
    <s v="Tarjeta Crédito"/>
    <s v="Pendiente"/>
  </r>
  <r>
    <x v="296"/>
    <x v="8"/>
    <s v="TX-102282"/>
    <x v="6"/>
    <x v="1"/>
    <x v="0"/>
    <n v="4066.59"/>
    <n v="528.66"/>
    <x v="2280"/>
    <x v="2"/>
    <s v="Cuenta Corriente"/>
    <s v="Efectivo"/>
    <s v="Pendiente"/>
  </r>
  <r>
    <x v="4"/>
    <x v="4"/>
    <s v="TX-102283"/>
    <x v="2"/>
    <x v="1"/>
    <x v="5"/>
    <n v="5416.08"/>
    <n v="704.09"/>
    <x v="2281"/>
    <x v="0"/>
    <s v="Cuenta Ahorros"/>
    <s v="Tarjeta Débito"/>
    <s v="Pendiente"/>
  </r>
  <r>
    <x v="340"/>
    <x v="2"/>
    <s v="TX-102284"/>
    <x v="15"/>
    <x v="1"/>
    <x v="4"/>
    <n v="10338.81"/>
    <n v="1344.05"/>
    <x v="2282"/>
    <x v="4"/>
    <s v="Tarjeta Crédito Empresarial"/>
    <s v="Efectivo"/>
    <s v="Pendiente"/>
  </r>
  <r>
    <x v="51"/>
    <x v="9"/>
    <s v="TX-102285"/>
    <x v="0"/>
    <x v="1"/>
    <x v="6"/>
    <n v="3445.69"/>
    <n v="447.94"/>
    <x v="2283"/>
    <x v="2"/>
    <s v="Cuenta Ahorros"/>
    <s v="Tarjeta Crédito"/>
    <s v="Pagado"/>
  </r>
  <r>
    <x v="82"/>
    <x v="10"/>
    <s v="TX-102286"/>
    <x v="15"/>
    <x v="0"/>
    <x v="0"/>
    <n v="4853.24"/>
    <n v="0"/>
    <x v="2284"/>
    <x v="0"/>
    <s v="Cuenta Corriente"/>
    <s v="Transferencia"/>
    <s v="Pagado"/>
  </r>
  <r>
    <x v="216"/>
    <x v="1"/>
    <s v="TX-102287"/>
    <x v="4"/>
    <x v="1"/>
    <x v="4"/>
    <n v="10095.83"/>
    <n v="1312.46"/>
    <x v="2285"/>
    <x v="2"/>
    <s v="Cuenta Ahorros"/>
    <s v="Efectivo"/>
    <s v="Pagado"/>
  </r>
  <r>
    <x v="194"/>
    <x v="8"/>
    <s v="TX-102288"/>
    <x v="12"/>
    <x v="0"/>
    <x v="4"/>
    <n v="4173.32"/>
    <n v="0"/>
    <x v="2286"/>
    <x v="3"/>
    <s v="Cuenta Ahorros"/>
    <s v="Efectivo"/>
    <s v="Pagado"/>
  </r>
  <r>
    <x v="11"/>
    <x v="8"/>
    <s v="TX-102289"/>
    <x v="8"/>
    <x v="0"/>
    <x v="4"/>
    <n v="13446.66"/>
    <n v="0"/>
    <x v="2287"/>
    <x v="4"/>
    <s v="Tarjeta Crédito Empresarial"/>
    <s v="Efectivo"/>
    <s v="Pagado"/>
  </r>
  <r>
    <x v="285"/>
    <x v="5"/>
    <s v="TX-102290"/>
    <x v="4"/>
    <x v="1"/>
    <x v="6"/>
    <n v="9903.8700000000008"/>
    <n v="1287.5"/>
    <x v="2288"/>
    <x v="3"/>
    <s v="Tarjeta Crédito Empresarial"/>
    <s v="Tarjeta Crédito"/>
    <s v="Pagado"/>
  </r>
  <r>
    <x v="289"/>
    <x v="2"/>
    <s v="TX-102291"/>
    <x v="14"/>
    <x v="0"/>
    <x v="7"/>
    <n v="13871.32"/>
    <n v="0"/>
    <x v="2289"/>
    <x v="0"/>
    <s v="Cuenta Corriente"/>
    <s v="Transferencia"/>
    <s v="Pendiente"/>
  </r>
  <r>
    <x v="26"/>
    <x v="7"/>
    <s v="TX-102292"/>
    <x v="10"/>
    <x v="0"/>
    <x v="3"/>
    <n v="355.49"/>
    <n v="0"/>
    <x v="2290"/>
    <x v="2"/>
    <s v="Cuenta Ahorros"/>
    <s v="Efectivo"/>
    <s v="Pagado"/>
  </r>
  <r>
    <x v="89"/>
    <x v="8"/>
    <s v="TX-102293"/>
    <x v="10"/>
    <x v="1"/>
    <x v="0"/>
    <n v="6690.9"/>
    <n v="869.82"/>
    <x v="2291"/>
    <x v="0"/>
    <s v="Tarjeta Crédito Empresarial"/>
    <s v="Tarjeta Débito"/>
    <s v="Pagado"/>
  </r>
  <r>
    <x v="265"/>
    <x v="1"/>
    <s v="TX-102294"/>
    <x v="15"/>
    <x v="0"/>
    <x v="7"/>
    <n v="10004.780000000001"/>
    <n v="0"/>
    <x v="2292"/>
    <x v="1"/>
    <s v="Cuenta Ahorros"/>
    <s v="Transferencia"/>
    <s v="Pagado"/>
  </r>
  <r>
    <x v="15"/>
    <x v="8"/>
    <s v="TX-102295"/>
    <x v="14"/>
    <x v="0"/>
    <x v="3"/>
    <n v="13323.4"/>
    <n v="0"/>
    <x v="2293"/>
    <x v="0"/>
    <s v="Tarjeta Crédito Empresarial"/>
    <s v="Tarjeta Crédito"/>
    <s v="Pagado"/>
  </r>
  <r>
    <x v="297"/>
    <x v="11"/>
    <s v="TX-102296"/>
    <x v="11"/>
    <x v="0"/>
    <x v="3"/>
    <n v="4970"/>
    <n v="0"/>
    <x v="2294"/>
    <x v="2"/>
    <s v="Tarjeta Crédito Empresarial"/>
    <s v="Transferencia"/>
    <s v="Pendiente"/>
  </r>
  <r>
    <x v="43"/>
    <x v="2"/>
    <s v="TX-102297"/>
    <x v="12"/>
    <x v="0"/>
    <x v="0"/>
    <n v="4604.96"/>
    <n v="0"/>
    <x v="2295"/>
    <x v="0"/>
    <s v="Tarjeta Crédito Empresarial"/>
    <s v="Efectivo"/>
    <s v="Pendiente"/>
  </r>
  <r>
    <x v="290"/>
    <x v="6"/>
    <s v="TX-102298"/>
    <x v="3"/>
    <x v="0"/>
    <x v="1"/>
    <n v="12665.45"/>
    <n v="0"/>
    <x v="2296"/>
    <x v="2"/>
    <s v="Tarjeta Crédito Empresarial"/>
    <s v="Tarjeta Débito"/>
    <s v="Pagado"/>
  </r>
  <r>
    <x v="262"/>
    <x v="10"/>
    <s v="TX-102299"/>
    <x v="6"/>
    <x v="1"/>
    <x v="4"/>
    <n v="9736.2800000000007"/>
    <n v="1265.72"/>
    <x v="2297"/>
    <x v="1"/>
    <s v="Tarjeta Crédito Empresarial"/>
    <s v="Transferencia"/>
    <s v="Pendiente"/>
  </r>
  <r>
    <x v="361"/>
    <x v="0"/>
    <s v="TX-102300"/>
    <x v="10"/>
    <x v="0"/>
    <x v="3"/>
    <n v="3128.69"/>
    <n v="0"/>
    <x v="2298"/>
    <x v="3"/>
    <s v="Cuenta Ahorros"/>
    <s v="Tarjeta Débito"/>
    <s v="Pagado"/>
  </r>
  <r>
    <x v="131"/>
    <x v="10"/>
    <s v="TX-102301"/>
    <x v="12"/>
    <x v="1"/>
    <x v="2"/>
    <n v="10109.91"/>
    <n v="1314.29"/>
    <x v="2299"/>
    <x v="0"/>
    <s v="Cuenta Corriente"/>
    <s v="Efectivo"/>
    <s v="Pagado"/>
  </r>
  <r>
    <x v="94"/>
    <x v="7"/>
    <s v="TX-102302"/>
    <x v="15"/>
    <x v="0"/>
    <x v="0"/>
    <n v="11600.59"/>
    <n v="0"/>
    <x v="2300"/>
    <x v="1"/>
    <s v="Cuenta Corriente"/>
    <s v="Efectivo"/>
    <s v="Pagado"/>
  </r>
  <r>
    <x v="317"/>
    <x v="4"/>
    <s v="TX-102303"/>
    <x v="17"/>
    <x v="0"/>
    <x v="5"/>
    <n v="6108.12"/>
    <n v="0"/>
    <x v="2301"/>
    <x v="4"/>
    <s v="Cuenta Corriente"/>
    <s v="Tarjeta Débito"/>
    <s v="Pagado"/>
  </r>
  <r>
    <x v="7"/>
    <x v="6"/>
    <s v="TX-102304"/>
    <x v="5"/>
    <x v="0"/>
    <x v="4"/>
    <n v="10321.959999999999"/>
    <n v="0"/>
    <x v="2302"/>
    <x v="0"/>
    <s v="Tarjeta Crédito Empresarial"/>
    <s v="Transferencia"/>
    <s v="Pagado"/>
  </r>
  <r>
    <x v="107"/>
    <x v="3"/>
    <s v="TX-102305"/>
    <x v="8"/>
    <x v="0"/>
    <x v="7"/>
    <n v="450.42"/>
    <n v="0"/>
    <x v="2303"/>
    <x v="0"/>
    <s v="Cuenta Corriente"/>
    <s v="Transferencia"/>
    <s v="Pendiente"/>
  </r>
  <r>
    <x v="253"/>
    <x v="6"/>
    <s v="TX-102306"/>
    <x v="12"/>
    <x v="1"/>
    <x v="6"/>
    <n v="3914.03"/>
    <n v="508.82"/>
    <x v="2304"/>
    <x v="0"/>
    <s v="Cuenta Corriente"/>
    <s v="Tarjeta Crédito"/>
    <s v="Pagado"/>
  </r>
  <r>
    <x v="285"/>
    <x v="5"/>
    <s v="TX-102307"/>
    <x v="12"/>
    <x v="1"/>
    <x v="5"/>
    <n v="11753.01"/>
    <n v="1527.89"/>
    <x v="2305"/>
    <x v="3"/>
    <s v="Cuenta Ahorros"/>
    <s v="Transferencia"/>
    <s v="Pendiente"/>
  </r>
  <r>
    <x v="301"/>
    <x v="6"/>
    <s v="TX-102308"/>
    <x v="4"/>
    <x v="1"/>
    <x v="3"/>
    <n v="9528.56"/>
    <n v="1238.71"/>
    <x v="2306"/>
    <x v="2"/>
    <s v="Tarjeta Crédito Empresarial"/>
    <s v="Tarjeta Débito"/>
    <s v="Pagado"/>
  </r>
  <r>
    <x v="65"/>
    <x v="4"/>
    <s v="TX-102309"/>
    <x v="4"/>
    <x v="1"/>
    <x v="2"/>
    <n v="5725.22"/>
    <n v="744.28"/>
    <x v="2307"/>
    <x v="0"/>
    <s v="Tarjeta Crédito Empresarial"/>
    <s v="Tarjeta Débito"/>
    <s v="Pagado"/>
  </r>
  <r>
    <x v="78"/>
    <x v="0"/>
    <s v="TX-102310"/>
    <x v="10"/>
    <x v="1"/>
    <x v="7"/>
    <n v="11631.92"/>
    <n v="1512.15"/>
    <x v="2308"/>
    <x v="1"/>
    <s v="Cuenta Corriente"/>
    <s v="Tarjeta Débito"/>
    <s v="Pendiente"/>
  </r>
  <r>
    <x v="247"/>
    <x v="11"/>
    <s v="TX-102311"/>
    <x v="10"/>
    <x v="0"/>
    <x v="1"/>
    <n v="3093.63"/>
    <n v="0"/>
    <x v="2309"/>
    <x v="0"/>
    <s v="Cuenta Corriente"/>
    <s v="Transferencia"/>
    <s v="Pendiente"/>
  </r>
  <r>
    <x v="80"/>
    <x v="3"/>
    <s v="TX-102312"/>
    <x v="15"/>
    <x v="1"/>
    <x v="5"/>
    <n v="9029.5400000000009"/>
    <n v="1173.8399999999999"/>
    <x v="2310"/>
    <x v="0"/>
    <s v="Cuenta Corriente"/>
    <s v="Tarjeta Crédito"/>
    <s v="Pendiente"/>
  </r>
  <r>
    <x v="149"/>
    <x v="11"/>
    <s v="TX-102313"/>
    <x v="10"/>
    <x v="1"/>
    <x v="7"/>
    <n v="2252.21"/>
    <n v="292.79000000000002"/>
    <x v="2311"/>
    <x v="0"/>
    <s v="Cuenta Ahorros"/>
    <s v="Tarjeta Débito"/>
    <s v="Pendiente"/>
  </r>
  <r>
    <x v="117"/>
    <x v="8"/>
    <s v="TX-102314"/>
    <x v="18"/>
    <x v="1"/>
    <x v="3"/>
    <n v="8120.56"/>
    <n v="1055.67"/>
    <x v="2312"/>
    <x v="0"/>
    <s v="Tarjeta Crédito Empresarial"/>
    <s v="Transferencia"/>
    <s v="Pendiente"/>
  </r>
  <r>
    <x v="63"/>
    <x v="1"/>
    <s v="TX-102315"/>
    <x v="14"/>
    <x v="0"/>
    <x v="3"/>
    <n v="5909.1"/>
    <n v="0"/>
    <x v="2313"/>
    <x v="0"/>
    <s v="Cuenta Corriente"/>
    <s v="Tarjeta Débito"/>
    <s v="Pagado"/>
  </r>
  <r>
    <x v="219"/>
    <x v="2"/>
    <s v="TX-102316"/>
    <x v="19"/>
    <x v="1"/>
    <x v="7"/>
    <n v="899.44"/>
    <n v="116.93"/>
    <x v="2314"/>
    <x v="1"/>
    <s v="Cuenta Corriente"/>
    <s v="Tarjeta Crédito"/>
    <s v="Pendiente"/>
  </r>
  <r>
    <x v="341"/>
    <x v="7"/>
    <s v="TX-102317"/>
    <x v="12"/>
    <x v="0"/>
    <x v="3"/>
    <n v="9471.7000000000007"/>
    <n v="0"/>
    <x v="2315"/>
    <x v="2"/>
    <s v="Cuenta Ahorros"/>
    <s v="Efectivo"/>
    <s v="Pagado"/>
  </r>
  <r>
    <x v="256"/>
    <x v="5"/>
    <s v="TX-102318"/>
    <x v="14"/>
    <x v="1"/>
    <x v="4"/>
    <n v="12167.07"/>
    <n v="1581.72"/>
    <x v="2316"/>
    <x v="4"/>
    <s v="Cuenta Ahorros"/>
    <s v="Tarjeta Débito"/>
    <s v="Pendiente"/>
  </r>
  <r>
    <x v="83"/>
    <x v="2"/>
    <s v="TX-102319"/>
    <x v="15"/>
    <x v="1"/>
    <x v="2"/>
    <n v="14084.88"/>
    <n v="1831.03"/>
    <x v="2317"/>
    <x v="4"/>
    <s v="Cuenta Ahorros"/>
    <s v="Tarjeta Crédito"/>
    <s v="Pagado"/>
  </r>
  <r>
    <x v="193"/>
    <x v="5"/>
    <s v="TX-102320"/>
    <x v="14"/>
    <x v="0"/>
    <x v="7"/>
    <n v="6105.78"/>
    <n v="0"/>
    <x v="2318"/>
    <x v="3"/>
    <s v="Cuenta Corriente"/>
    <s v="Efectivo"/>
    <s v="Pendiente"/>
  </r>
  <r>
    <x v="30"/>
    <x v="2"/>
    <s v="TX-102321"/>
    <x v="14"/>
    <x v="0"/>
    <x v="0"/>
    <n v="5662.72"/>
    <n v="0"/>
    <x v="2319"/>
    <x v="2"/>
    <s v="Cuenta Corriente"/>
    <s v="Tarjeta Crédito"/>
    <s v="Pendiente"/>
  </r>
  <r>
    <x v="348"/>
    <x v="8"/>
    <s v="TX-102322"/>
    <x v="15"/>
    <x v="0"/>
    <x v="2"/>
    <n v="10513.69"/>
    <n v="0"/>
    <x v="2320"/>
    <x v="2"/>
    <s v="Cuenta Ahorros"/>
    <s v="Transferencia"/>
    <s v="Pagado"/>
  </r>
  <r>
    <x v="232"/>
    <x v="10"/>
    <s v="TX-102323"/>
    <x v="17"/>
    <x v="1"/>
    <x v="2"/>
    <n v="5316.56"/>
    <n v="691.15"/>
    <x v="2321"/>
    <x v="1"/>
    <s v="Cuenta Ahorros"/>
    <s v="Tarjeta Débito"/>
    <s v="Pendiente"/>
  </r>
  <r>
    <x v="240"/>
    <x v="2"/>
    <s v="TX-102324"/>
    <x v="7"/>
    <x v="0"/>
    <x v="5"/>
    <n v="14985.99"/>
    <n v="0"/>
    <x v="2322"/>
    <x v="4"/>
    <s v="Cuenta Ahorros"/>
    <s v="Transferencia"/>
    <s v="Pendiente"/>
  </r>
  <r>
    <x v="243"/>
    <x v="2"/>
    <s v="TX-102325"/>
    <x v="13"/>
    <x v="0"/>
    <x v="4"/>
    <n v="8800.34"/>
    <n v="0"/>
    <x v="2323"/>
    <x v="2"/>
    <s v="Tarjeta Crédito Empresarial"/>
    <s v="Tarjeta Crédito"/>
    <s v="Pendiente"/>
  </r>
  <r>
    <x v="227"/>
    <x v="11"/>
    <s v="TX-102326"/>
    <x v="14"/>
    <x v="1"/>
    <x v="4"/>
    <n v="2830.63"/>
    <n v="367.98"/>
    <x v="2324"/>
    <x v="1"/>
    <s v="Cuenta Corriente"/>
    <s v="Tarjeta Débito"/>
    <s v="Pendiente"/>
  </r>
  <r>
    <x v="12"/>
    <x v="8"/>
    <s v="TX-102327"/>
    <x v="0"/>
    <x v="0"/>
    <x v="3"/>
    <n v="6002.42"/>
    <n v="0"/>
    <x v="2325"/>
    <x v="0"/>
    <s v="Tarjeta Crédito Empresarial"/>
    <s v="Efectivo"/>
    <s v="Pagado"/>
  </r>
  <r>
    <x v="313"/>
    <x v="6"/>
    <s v="TX-102328"/>
    <x v="3"/>
    <x v="0"/>
    <x v="5"/>
    <n v="8840.42"/>
    <n v="0"/>
    <x v="2326"/>
    <x v="0"/>
    <s v="Cuenta Corriente"/>
    <s v="Tarjeta Débito"/>
    <s v="Pendiente"/>
  </r>
  <r>
    <x v="252"/>
    <x v="7"/>
    <s v="TX-102329"/>
    <x v="7"/>
    <x v="0"/>
    <x v="7"/>
    <n v="6791.55"/>
    <n v="0"/>
    <x v="2327"/>
    <x v="2"/>
    <s v="Cuenta Ahorros"/>
    <s v="Transferencia"/>
    <s v="Pendiente"/>
  </r>
  <r>
    <x v="242"/>
    <x v="4"/>
    <s v="TX-102330"/>
    <x v="5"/>
    <x v="0"/>
    <x v="5"/>
    <n v="780.39"/>
    <n v="0"/>
    <x v="2328"/>
    <x v="0"/>
    <s v="Cuenta Corriente"/>
    <s v="Transferencia"/>
    <s v="Pendiente"/>
  </r>
  <r>
    <x v="320"/>
    <x v="2"/>
    <s v="TX-102331"/>
    <x v="19"/>
    <x v="1"/>
    <x v="2"/>
    <n v="2363.63"/>
    <n v="307.27"/>
    <x v="2329"/>
    <x v="1"/>
    <s v="Cuenta Corriente"/>
    <s v="Transferencia"/>
    <s v="Pagado"/>
  </r>
  <r>
    <x v="254"/>
    <x v="5"/>
    <s v="TX-102332"/>
    <x v="9"/>
    <x v="0"/>
    <x v="1"/>
    <n v="9802.9500000000007"/>
    <n v="0"/>
    <x v="2330"/>
    <x v="1"/>
    <s v="Cuenta Ahorros"/>
    <s v="Tarjeta Débito"/>
    <s v="Pagado"/>
  </r>
  <r>
    <x v="66"/>
    <x v="10"/>
    <s v="TX-102333"/>
    <x v="12"/>
    <x v="1"/>
    <x v="4"/>
    <n v="10979.78"/>
    <n v="1427.37"/>
    <x v="2331"/>
    <x v="3"/>
    <s v="Cuenta Corriente"/>
    <s v="Tarjeta Crédito"/>
    <s v="Pagado"/>
  </r>
  <r>
    <x v="140"/>
    <x v="6"/>
    <s v="TX-102334"/>
    <x v="5"/>
    <x v="0"/>
    <x v="6"/>
    <n v="2326.9699999999998"/>
    <n v="0"/>
    <x v="2332"/>
    <x v="0"/>
    <s v="Cuenta Ahorros"/>
    <s v="Tarjeta Débito"/>
    <s v="Pagado"/>
  </r>
  <r>
    <x v="88"/>
    <x v="5"/>
    <s v="TX-102335"/>
    <x v="8"/>
    <x v="0"/>
    <x v="4"/>
    <n v="2438.5500000000002"/>
    <n v="0"/>
    <x v="2333"/>
    <x v="4"/>
    <s v="Cuenta Ahorros"/>
    <s v="Transferencia"/>
    <s v="Pendiente"/>
  </r>
  <r>
    <x v="181"/>
    <x v="7"/>
    <s v="TX-102336"/>
    <x v="0"/>
    <x v="1"/>
    <x v="0"/>
    <n v="5085.66"/>
    <n v="661.14"/>
    <x v="2334"/>
    <x v="3"/>
    <s v="Tarjeta Crédito Empresarial"/>
    <s v="Efectivo"/>
    <s v="Pendiente"/>
  </r>
  <r>
    <x v="178"/>
    <x v="6"/>
    <s v="TX-102337"/>
    <x v="2"/>
    <x v="1"/>
    <x v="4"/>
    <n v="8402.5499999999993"/>
    <n v="1092.33"/>
    <x v="2335"/>
    <x v="1"/>
    <s v="Cuenta Corriente"/>
    <s v="Transferencia"/>
    <s v="Pendiente"/>
  </r>
  <r>
    <x v="254"/>
    <x v="5"/>
    <s v="TX-102338"/>
    <x v="4"/>
    <x v="1"/>
    <x v="1"/>
    <n v="1323.37"/>
    <n v="172.04"/>
    <x v="2336"/>
    <x v="2"/>
    <s v="Cuenta Corriente"/>
    <s v="Transferencia"/>
    <s v="Pendiente"/>
  </r>
  <r>
    <x v="137"/>
    <x v="11"/>
    <s v="TX-102339"/>
    <x v="7"/>
    <x v="1"/>
    <x v="3"/>
    <n v="8599.4699999999993"/>
    <n v="1117.93"/>
    <x v="2337"/>
    <x v="4"/>
    <s v="Tarjeta Crédito Empresarial"/>
    <s v="Tarjeta Crédito"/>
    <s v="Pagado"/>
  </r>
  <r>
    <x v="229"/>
    <x v="5"/>
    <s v="TX-102340"/>
    <x v="12"/>
    <x v="0"/>
    <x v="7"/>
    <n v="3901.53"/>
    <n v="0"/>
    <x v="2338"/>
    <x v="4"/>
    <s v="Cuenta Ahorros"/>
    <s v="Tarjeta Débito"/>
    <s v="Pagado"/>
  </r>
  <r>
    <x v="311"/>
    <x v="1"/>
    <s v="TX-102341"/>
    <x v="6"/>
    <x v="0"/>
    <x v="3"/>
    <n v="1499.15"/>
    <n v="0"/>
    <x v="2339"/>
    <x v="1"/>
    <s v="Cuenta Ahorros"/>
    <s v="Efectivo"/>
    <s v="Pagado"/>
  </r>
  <r>
    <x v="50"/>
    <x v="8"/>
    <s v="TX-102342"/>
    <x v="1"/>
    <x v="0"/>
    <x v="6"/>
    <n v="978.54"/>
    <n v="0"/>
    <x v="2340"/>
    <x v="3"/>
    <s v="Tarjeta Crédito Empresarial"/>
    <s v="Tarjeta Débito"/>
    <s v="Pagado"/>
  </r>
  <r>
    <x v="281"/>
    <x v="7"/>
    <s v="TX-102343"/>
    <x v="3"/>
    <x v="1"/>
    <x v="0"/>
    <n v="7758.76"/>
    <n v="1008.64"/>
    <x v="2341"/>
    <x v="4"/>
    <s v="Cuenta Ahorros"/>
    <s v="Transferencia"/>
    <s v="Pagado"/>
  </r>
  <r>
    <x v="272"/>
    <x v="8"/>
    <s v="TX-102344"/>
    <x v="16"/>
    <x v="0"/>
    <x v="4"/>
    <n v="4162.17"/>
    <n v="0"/>
    <x v="2342"/>
    <x v="2"/>
    <s v="Tarjeta Crédito Empresarial"/>
    <s v="Transferencia"/>
    <s v="Pendiente"/>
  </r>
  <r>
    <x v="173"/>
    <x v="11"/>
    <s v="TX-102345"/>
    <x v="7"/>
    <x v="1"/>
    <x v="7"/>
    <n v="11259.4"/>
    <n v="1463.72"/>
    <x v="2343"/>
    <x v="1"/>
    <s v="Cuenta Corriente"/>
    <s v="Tarjeta Débito"/>
    <s v="Pendiente"/>
  </r>
  <r>
    <x v="362"/>
    <x v="6"/>
    <s v="TX-102346"/>
    <x v="0"/>
    <x v="0"/>
    <x v="3"/>
    <n v="4854.22"/>
    <n v="0"/>
    <x v="2344"/>
    <x v="3"/>
    <s v="Cuenta Ahorros"/>
    <s v="Transferencia"/>
    <s v="Pendiente"/>
  </r>
  <r>
    <x v="333"/>
    <x v="10"/>
    <s v="TX-102347"/>
    <x v="6"/>
    <x v="1"/>
    <x v="5"/>
    <n v="12964.98"/>
    <n v="1685.45"/>
    <x v="2345"/>
    <x v="2"/>
    <s v="Cuenta Corriente"/>
    <s v="Tarjeta Crédito"/>
    <s v="Pendiente"/>
  </r>
  <r>
    <x v="245"/>
    <x v="0"/>
    <s v="TX-102348"/>
    <x v="12"/>
    <x v="0"/>
    <x v="1"/>
    <n v="9095.0300000000007"/>
    <n v="0"/>
    <x v="2346"/>
    <x v="0"/>
    <s v="Cuenta Ahorros"/>
    <s v="Transferencia"/>
    <s v="Pendiente"/>
  </r>
  <r>
    <x v="358"/>
    <x v="8"/>
    <s v="TX-102349"/>
    <x v="4"/>
    <x v="1"/>
    <x v="2"/>
    <n v="4848.37"/>
    <n v="630.29"/>
    <x v="2347"/>
    <x v="2"/>
    <s v="Cuenta Ahorros"/>
    <s v="Efectivo"/>
    <s v="Pendiente"/>
  </r>
  <r>
    <x v="64"/>
    <x v="11"/>
    <s v="TX-102350"/>
    <x v="19"/>
    <x v="1"/>
    <x v="3"/>
    <n v="751.02"/>
    <n v="97.63"/>
    <x v="2348"/>
    <x v="1"/>
    <s v="Cuenta Corriente"/>
    <s v="Transferencia"/>
    <s v="Pendiente"/>
  </r>
  <r>
    <x v="174"/>
    <x v="9"/>
    <s v="TX-102351"/>
    <x v="19"/>
    <x v="1"/>
    <x v="1"/>
    <n v="10766.53"/>
    <n v="1399.65"/>
    <x v="2349"/>
    <x v="2"/>
    <s v="Cuenta Corriente"/>
    <s v="Tarjeta Crédito"/>
    <s v="Pagado"/>
  </r>
  <r>
    <x v="22"/>
    <x v="10"/>
    <s v="TX-102352"/>
    <x v="19"/>
    <x v="1"/>
    <x v="5"/>
    <n v="1267.45"/>
    <n v="164.77"/>
    <x v="2350"/>
    <x v="3"/>
    <s v="Tarjeta Crédito Empresarial"/>
    <s v="Tarjeta Débito"/>
    <s v="Pendiente"/>
  </r>
  <r>
    <x v="166"/>
    <x v="10"/>
    <s v="TX-102353"/>
    <x v="16"/>
    <x v="1"/>
    <x v="0"/>
    <n v="7730.44"/>
    <n v="1004.96"/>
    <x v="2351"/>
    <x v="0"/>
    <s v="Cuenta Ahorros"/>
    <s v="Tarjeta Crédito"/>
    <s v="Pagado"/>
  </r>
  <r>
    <x v="306"/>
    <x v="2"/>
    <s v="TX-102354"/>
    <x v="4"/>
    <x v="1"/>
    <x v="5"/>
    <n v="5906.55"/>
    <n v="767.85"/>
    <x v="2352"/>
    <x v="0"/>
    <s v="Tarjeta Crédito Empresarial"/>
    <s v="Tarjeta Crédito"/>
    <s v="Pagado"/>
  </r>
  <r>
    <x v="35"/>
    <x v="4"/>
    <s v="TX-102355"/>
    <x v="17"/>
    <x v="0"/>
    <x v="0"/>
    <n v="13010.93"/>
    <n v="0"/>
    <x v="2353"/>
    <x v="2"/>
    <s v="Tarjeta Crédito Empresarial"/>
    <s v="Efectivo"/>
    <s v="Pagado"/>
  </r>
  <r>
    <x v="308"/>
    <x v="1"/>
    <s v="TX-102356"/>
    <x v="0"/>
    <x v="1"/>
    <x v="7"/>
    <n v="4534.72"/>
    <n v="589.51"/>
    <x v="2354"/>
    <x v="0"/>
    <s v="Tarjeta Crédito Empresarial"/>
    <s v="Transferencia"/>
    <s v="Pendiente"/>
  </r>
  <r>
    <x v="179"/>
    <x v="1"/>
    <s v="TX-102357"/>
    <x v="10"/>
    <x v="0"/>
    <x v="1"/>
    <n v="8968.8799999999992"/>
    <n v="0"/>
    <x v="2355"/>
    <x v="3"/>
    <s v="Tarjeta Crédito Empresarial"/>
    <s v="Transferencia"/>
    <s v="Pendiente"/>
  </r>
  <r>
    <x v="268"/>
    <x v="2"/>
    <s v="TX-102358"/>
    <x v="1"/>
    <x v="1"/>
    <x v="0"/>
    <n v="10227.200000000001"/>
    <n v="1329.54"/>
    <x v="2356"/>
    <x v="1"/>
    <s v="Cuenta Ahorros"/>
    <s v="Transferencia"/>
    <s v="Pagado"/>
  </r>
  <r>
    <x v="151"/>
    <x v="9"/>
    <s v="TX-102359"/>
    <x v="4"/>
    <x v="0"/>
    <x v="6"/>
    <n v="8435.11"/>
    <n v="0"/>
    <x v="2357"/>
    <x v="4"/>
    <s v="Cuenta Ahorros"/>
    <s v="Tarjeta Débito"/>
    <s v="Pagado"/>
  </r>
  <r>
    <x v="12"/>
    <x v="8"/>
    <s v="TX-102360"/>
    <x v="1"/>
    <x v="0"/>
    <x v="1"/>
    <n v="4464.2700000000004"/>
    <n v="0"/>
    <x v="2358"/>
    <x v="4"/>
    <s v="Cuenta Corriente"/>
    <s v="Transferencia"/>
    <s v="Pendiente"/>
  </r>
  <r>
    <x v="103"/>
    <x v="4"/>
    <s v="TX-102361"/>
    <x v="19"/>
    <x v="0"/>
    <x v="1"/>
    <n v="7166.93"/>
    <n v="0"/>
    <x v="2359"/>
    <x v="2"/>
    <s v="Tarjeta Crédito Empresarial"/>
    <s v="Tarjeta Crédito"/>
    <s v="Pendiente"/>
  </r>
  <r>
    <x v="266"/>
    <x v="0"/>
    <s v="TX-102362"/>
    <x v="10"/>
    <x v="1"/>
    <x v="0"/>
    <n v="1244.93"/>
    <n v="161.84"/>
    <x v="2360"/>
    <x v="2"/>
    <s v="Cuenta Ahorros"/>
    <s v="Transferencia"/>
    <s v="Pendiente"/>
  </r>
  <r>
    <x v="118"/>
    <x v="11"/>
    <s v="TX-102363"/>
    <x v="19"/>
    <x v="0"/>
    <x v="3"/>
    <n v="13152.17"/>
    <n v="0"/>
    <x v="2361"/>
    <x v="1"/>
    <s v="Cuenta Ahorros"/>
    <s v="Tarjeta Débito"/>
    <s v="Pendiente"/>
  </r>
  <r>
    <x v="120"/>
    <x v="3"/>
    <s v="TX-102364"/>
    <x v="5"/>
    <x v="0"/>
    <x v="3"/>
    <n v="13846.59"/>
    <n v="0"/>
    <x v="2362"/>
    <x v="4"/>
    <s v="Cuenta Corriente"/>
    <s v="Tarjeta Débito"/>
    <s v="Pendiente"/>
  </r>
  <r>
    <x v="118"/>
    <x v="11"/>
    <s v="TX-102365"/>
    <x v="11"/>
    <x v="0"/>
    <x v="1"/>
    <n v="1989.61"/>
    <n v="0"/>
    <x v="2363"/>
    <x v="0"/>
    <s v="Cuenta Ahorros"/>
    <s v="Transferencia"/>
    <s v="Pagado"/>
  </r>
  <r>
    <x v="311"/>
    <x v="1"/>
    <s v="TX-102366"/>
    <x v="4"/>
    <x v="0"/>
    <x v="1"/>
    <n v="4993.13"/>
    <n v="0"/>
    <x v="2364"/>
    <x v="1"/>
    <s v="Cuenta Corriente"/>
    <s v="Transferencia"/>
    <s v="Pendiente"/>
  </r>
  <r>
    <x v="243"/>
    <x v="2"/>
    <s v="TX-102367"/>
    <x v="12"/>
    <x v="0"/>
    <x v="1"/>
    <n v="5595.92"/>
    <n v="0"/>
    <x v="2365"/>
    <x v="0"/>
    <s v="Tarjeta Crédito Empresarial"/>
    <s v="Transferencia"/>
    <s v="Pendiente"/>
  </r>
  <r>
    <x v="171"/>
    <x v="10"/>
    <s v="TX-102368"/>
    <x v="10"/>
    <x v="1"/>
    <x v="1"/>
    <n v="12900.74"/>
    <n v="1677.1"/>
    <x v="2366"/>
    <x v="3"/>
    <s v="Tarjeta Crédito Empresarial"/>
    <s v="Transferencia"/>
    <s v="Pagado"/>
  </r>
  <r>
    <x v="265"/>
    <x v="1"/>
    <s v="TX-102369"/>
    <x v="5"/>
    <x v="1"/>
    <x v="5"/>
    <n v="5504.31"/>
    <n v="715.56"/>
    <x v="2367"/>
    <x v="0"/>
    <s v="Cuenta Ahorros"/>
    <s v="Tarjeta Crédito"/>
    <s v="Pagado"/>
  </r>
  <r>
    <x v="147"/>
    <x v="3"/>
    <s v="TX-102370"/>
    <x v="6"/>
    <x v="0"/>
    <x v="7"/>
    <n v="10456.9"/>
    <n v="0"/>
    <x v="2368"/>
    <x v="4"/>
    <s v="Cuenta Corriente"/>
    <s v="Tarjeta Débito"/>
    <s v="Pendiente"/>
  </r>
  <r>
    <x v="303"/>
    <x v="8"/>
    <s v="TX-102371"/>
    <x v="0"/>
    <x v="0"/>
    <x v="1"/>
    <n v="2039.07"/>
    <n v="0"/>
    <x v="2369"/>
    <x v="2"/>
    <s v="Cuenta Ahorros"/>
    <s v="Tarjeta Crédito"/>
    <s v="Pendiente"/>
  </r>
  <r>
    <x v="170"/>
    <x v="10"/>
    <s v="TX-102372"/>
    <x v="17"/>
    <x v="1"/>
    <x v="1"/>
    <n v="4819.3900000000003"/>
    <n v="626.52"/>
    <x v="2370"/>
    <x v="0"/>
    <s v="Cuenta Ahorros"/>
    <s v="Tarjeta Crédito"/>
    <s v="Pendiente"/>
  </r>
  <r>
    <x v="263"/>
    <x v="6"/>
    <s v="TX-102373"/>
    <x v="11"/>
    <x v="1"/>
    <x v="2"/>
    <n v="8383.7000000000007"/>
    <n v="1089.8800000000001"/>
    <x v="2371"/>
    <x v="0"/>
    <s v="Cuenta Corriente"/>
    <s v="Efectivo"/>
    <s v="Pendiente"/>
  </r>
  <r>
    <x v="114"/>
    <x v="4"/>
    <s v="TX-102374"/>
    <x v="4"/>
    <x v="1"/>
    <x v="4"/>
    <n v="13300.41"/>
    <n v="1729.05"/>
    <x v="2372"/>
    <x v="2"/>
    <s v="Cuenta Ahorros"/>
    <s v="Efectivo"/>
    <s v="Pagado"/>
  </r>
  <r>
    <x v="155"/>
    <x v="6"/>
    <s v="TX-102375"/>
    <x v="19"/>
    <x v="0"/>
    <x v="5"/>
    <n v="1894.05"/>
    <n v="0"/>
    <x v="2373"/>
    <x v="1"/>
    <s v="Cuenta Corriente"/>
    <s v="Tarjeta Crédito"/>
    <s v="Pendiente"/>
  </r>
  <r>
    <x v="49"/>
    <x v="8"/>
    <s v="TX-102376"/>
    <x v="10"/>
    <x v="1"/>
    <x v="3"/>
    <n v="1583.11"/>
    <n v="205.8"/>
    <x v="2374"/>
    <x v="4"/>
    <s v="Cuenta Ahorros"/>
    <s v="Efectivo"/>
    <s v="Pagado"/>
  </r>
  <r>
    <x v="48"/>
    <x v="2"/>
    <s v="TX-102377"/>
    <x v="10"/>
    <x v="0"/>
    <x v="7"/>
    <n v="12962.21"/>
    <n v="0"/>
    <x v="2375"/>
    <x v="1"/>
    <s v="Cuenta Ahorros"/>
    <s v="Transferencia"/>
    <s v="Pagado"/>
  </r>
  <r>
    <x v="1"/>
    <x v="1"/>
    <s v="TX-102378"/>
    <x v="3"/>
    <x v="1"/>
    <x v="6"/>
    <n v="7584.32"/>
    <n v="985.96"/>
    <x v="2376"/>
    <x v="3"/>
    <s v="Cuenta Ahorros"/>
    <s v="Tarjeta Débito"/>
    <s v="Pagado"/>
  </r>
  <r>
    <x v="269"/>
    <x v="0"/>
    <s v="TX-102379"/>
    <x v="6"/>
    <x v="1"/>
    <x v="2"/>
    <n v="6376.25"/>
    <n v="828.91"/>
    <x v="2377"/>
    <x v="2"/>
    <s v="Cuenta Ahorros"/>
    <s v="Transferencia"/>
    <s v="Pendiente"/>
  </r>
  <r>
    <x v="309"/>
    <x v="4"/>
    <s v="TX-102380"/>
    <x v="2"/>
    <x v="1"/>
    <x v="6"/>
    <n v="1977.78"/>
    <n v="257.11"/>
    <x v="2378"/>
    <x v="2"/>
    <s v="Cuenta Corriente"/>
    <s v="Tarjeta Débito"/>
    <s v="Pagado"/>
  </r>
  <r>
    <x v="54"/>
    <x v="3"/>
    <s v="TX-102381"/>
    <x v="17"/>
    <x v="0"/>
    <x v="4"/>
    <n v="896.39"/>
    <n v="0"/>
    <x v="2379"/>
    <x v="2"/>
    <s v="Tarjeta Crédito Empresarial"/>
    <s v="Tarjeta Crédito"/>
    <s v="Pagado"/>
  </r>
  <r>
    <x v="201"/>
    <x v="8"/>
    <s v="TX-102382"/>
    <x v="3"/>
    <x v="0"/>
    <x v="1"/>
    <n v="4823.8"/>
    <n v="0"/>
    <x v="2380"/>
    <x v="3"/>
    <s v="Tarjeta Crédito Empresarial"/>
    <s v="Transferencia"/>
    <s v="Pendiente"/>
  </r>
  <r>
    <x v="133"/>
    <x v="3"/>
    <s v="TX-102383"/>
    <x v="17"/>
    <x v="0"/>
    <x v="0"/>
    <n v="6473.79"/>
    <n v="0"/>
    <x v="2381"/>
    <x v="3"/>
    <s v="Tarjeta Crédito Empresarial"/>
    <s v="Tarjeta Débito"/>
    <s v="Pagado"/>
  </r>
  <r>
    <x v="164"/>
    <x v="10"/>
    <s v="TX-102384"/>
    <x v="2"/>
    <x v="0"/>
    <x v="4"/>
    <n v="9426.66"/>
    <n v="0"/>
    <x v="2382"/>
    <x v="1"/>
    <s v="Cuenta Ahorros"/>
    <s v="Transferencia"/>
    <s v="Pendiente"/>
  </r>
  <r>
    <x v="285"/>
    <x v="5"/>
    <s v="TX-102385"/>
    <x v="10"/>
    <x v="1"/>
    <x v="0"/>
    <n v="14907.61"/>
    <n v="1937.99"/>
    <x v="2383"/>
    <x v="1"/>
    <s v="Cuenta Ahorros"/>
    <s v="Transferencia"/>
    <s v="Pendiente"/>
  </r>
  <r>
    <x v="313"/>
    <x v="6"/>
    <s v="TX-102386"/>
    <x v="0"/>
    <x v="1"/>
    <x v="5"/>
    <n v="2500.94"/>
    <n v="325.12"/>
    <x v="2384"/>
    <x v="2"/>
    <s v="Cuenta Ahorros"/>
    <s v="Efectivo"/>
    <s v="Pagado"/>
  </r>
  <r>
    <x v="228"/>
    <x v="5"/>
    <s v="TX-102387"/>
    <x v="5"/>
    <x v="1"/>
    <x v="7"/>
    <n v="3229.89"/>
    <n v="419.89"/>
    <x v="2385"/>
    <x v="4"/>
    <s v="Cuenta Corriente"/>
    <s v="Efectivo"/>
    <s v="Pendiente"/>
  </r>
  <r>
    <x v="208"/>
    <x v="2"/>
    <s v="TX-102388"/>
    <x v="10"/>
    <x v="1"/>
    <x v="5"/>
    <n v="4866.29"/>
    <n v="632.62"/>
    <x v="2386"/>
    <x v="1"/>
    <s v="Cuenta Ahorros"/>
    <s v="Efectivo"/>
    <s v="Pagado"/>
  </r>
  <r>
    <x v="28"/>
    <x v="6"/>
    <s v="TX-102389"/>
    <x v="16"/>
    <x v="0"/>
    <x v="7"/>
    <n v="13780.77"/>
    <n v="0"/>
    <x v="2387"/>
    <x v="4"/>
    <s v="Cuenta Corriente"/>
    <s v="Tarjeta Crédito"/>
    <s v="Pagado"/>
  </r>
  <r>
    <x v="269"/>
    <x v="0"/>
    <s v="TX-102390"/>
    <x v="14"/>
    <x v="1"/>
    <x v="5"/>
    <n v="374.28"/>
    <n v="48.66"/>
    <x v="2388"/>
    <x v="2"/>
    <s v="Tarjeta Crédito Empresarial"/>
    <s v="Transferencia"/>
    <s v="Pagado"/>
  </r>
  <r>
    <x v="219"/>
    <x v="2"/>
    <s v="TX-102391"/>
    <x v="2"/>
    <x v="1"/>
    <x v="0"/>
    <n v="11429.12"/>
    <n v="1485.79"/>
    <x v="2389"/>
    <x v="0"/>
    <s v="Cuenta Ahorros"/>
    <s v="Tarjeta Crédito"/>
    <s v="Pagado"/>
  </r>
  <r>
    <x v="227"/>
    <x v="11"/>
    <s v="TX-102392"/>
    <x v="9"/>
    <x v="0"/>
    <x v="2"/>
    <n v="9089.52"/>
    <n v="0"/>
    <x v="2390"/>
    <x v="4"/>
    <s v="Tarjeta Crédito Empresarial"/>
    <s v="Transferencia"/>
    <s v="Pendiente"/>
  </r>
  <r>
    <x v="33"/>
    <x v="5"/>
    <s v="TX-102393"/>
    <x v="8"/>
    <x v="1"/>
    <x v="6"/>
    <n v="12648.98"/>
    <n v="1644.37"/>
    <x v="2391"/>
    <x v="2"/>
    <s v="Cuenta Corriente"/>
    <s v="Efectivo"/>
    <s v="Pagado"/>
  </r>
  <r>
    <x v="273"/>
    <x v="7"/>
    <s v="TX-102394"/>
    <x v="8"/>
    <x v="0"/>
    <x v="2"/>
    <n v="3066.01"/>
    <n v="0"/>
    <x v="2392"/>
    <x v="3"/>
    <s v="Cuenta Corriente"/>
    <s v="Transferencia"/>
    <s v="Pendiente"/>
  </r>
  <r>
    <x v="192"/>
    <x v="8"/>
    <s v="TX-102395"/>
    <x v="12"/>
    <x v="1"/>
    <x v="5"/>
    <n v="2805.36"/>
    <n v="364.7"/>
    <x v="2393"/>
    <x v="4"/>
    <s v="Cuenta Corriente"/>
    <s v="Efectivo"/>
    <s v="Pendiente"/>
  </r>
  <r>
    <x v="80"/>
    <x v="3"/>
    <s v="TX-102396"/>
    <x v="13"/>
    <x v="1"/>
    <x v="0"/>
    <n v="14091.54"/>
    <n v="1831.9"/>
    <x v="2394"/>
    <x v="0"/>
    <s v="Tarjeta Crédito Empresarial"/>
    <s v="Transferencia"/>
    <s v="Pendiente"/>
  </r>
  <r>
    <x v="67"/>
    <x v="8"/>
    <s v="TX-102397"/>
    <x v="17"/>
    <x v="0"/>
    <x v="1"/>
    <n v="13886.42"/>
    <n v="0"/>
    <x v="2395"/>
    <x v="3"/>
    <s v="Cuenta Corriente"/>
    <s v="Tarjeta Crédito"/>
    <s v="Pagado"/>
  </r>
  <r>
    <x v="43"/>
    <x v="2"/>
    <s v="TX-102398"/>
    <x v="15"/>
    <x v="1"/>
    <x v="6"/>
    <n v="9234.7199999999993"/>
    <n v="1200.51"/>
    <x v="2396"/>
    <x v="0"/>
    <s v="Tarjeta Crédito Empresarial"/>
    <s v="Tarjeta Crédito"/>
    <s v="Pagado"/>
  </r>
  <r>
    <x v="152"/>
    <x v="9"/>
    <s v="TX-102399"/>
    <x v="18"/>
    <x v="1"/>
    <x v="7"/>
    <n v="11876.73"/>
    <n v="1543.97"/>
    <x v="2397"/>
    <x v="3"/>
    <s v="Cuenta Corriente"/>
    <s v="Efectivo"/>
    <s v="Pendiente"/>
  </r>
  <r>
    <x v="296"/>
    <x v="8"/>
    <s v="TX-102400"/>
    <x v="15"/>
    <x v="0"/>
    <x v="6"/>
    <n v="7619.78"/>
    <n v="0"/>
    <x v="2398"/>
    <x v="1"/>
    <s v="Cuenta Ahorros"/>
    <s v="Tarjeta Débito"/>
    <s v="Pendiente"/>
  </r>
  <r>
    <x v="175"/>
    <x v="4"/>
    <s v="TX-102401"/>
    <x v="15"/>
    <x v="1"/>
    <x v="1"/>
    <n v="12649.41"/>
    <n v="1644.42"/>
    <x v="2399"/>
    <x v="1"/>
    <s v="Cuenta Corriente"/>
    <s v="Tarjeta Crédito"/>
    <s v="Pendiente"/>
  </r>
  <r>
    <x v="218"/>
    <x v="4"/>
    <s v="TX-102402"/>
    <x v="7"/>
    <x v="1"/>
    <x v="4"/>
    <n v="8626.4699999999993"/>
    <n v="1121.44"/>
    <x v="2400"/>
    <x v="2"/>
    <s v="Tarjeta Crédito Empresarial"/>
    <s v="Efectivo"/>
    <s v="Pagado"/>
  </r>
  <r>
    <x v="305"/>
    <x v="10"/>
    <s v="TX-102403"/>
    <x v="11"/>
    <x v="1"/>
    <x v="7"/>
    <n v="11241"/>
    <n v="1461.33"/>
    <x v="2401"/>
    <x v="2"/>
    <s v="Tarjeta Crédito Empresarial"/>
    <s v="Transferencia"/>
    <s v="Pendiente"/>
  </r>
  <r>
    <x v="114"/>
    <x v="4"/>
    <s v="TX-102404"/>
    <x v="10"/>
    <x v="0"/>
    <x v="6"/>
    <n v="262.38"/>
    <n v="0"/>
    <x v="2402"/>
    <x v="0"/>
    <s v="Tarjeta Crédito Empresarial"/>
    <s v="Tarjeta Débito"/>
    <s v="Pagado"/>
  </r>
  <r>
    <x v="273"/>
    <x v="7"/>
    <s v="TX-102405"/>
    <x v="7"/>
    <x v="0"/>
    <x v="0"/>
    <n v="1957.01"/>
    <n v="0"/>
    <x v="2403"/>
    <x v="0"/>
    <s v="Cuenta Ahorros"/>
    <s v="Efectivo"/>
    <s v="Pagado"/>
  </r>
  <r>
    <x v="236"/>
    <x v="0"/>
    <s v="TX-102406"/>
    <x v="1"/>
    <x v="1"/>
    <x v="2"/>
    <n v="9924.9699999999993"/>
    <n v="1290.25"/>
    <x v="2404"/>
    <x v="2"/>
    <s v="Tarjeta Crédito Empresarial"/>
    <s v="Tarjeta Crédito"/>
    <s v="Pendiente"/>
  </r>
  <r>
    <x v="195"/>
    <x v="7"/>
    <s v="TX-102407"/>
    <x v="9"/>
    <x v="1"/>
    <x v="1"/>
    <n v="10512.06"/>
    <n v="1366.57"/>
    <x v="2405"/>
    <x v="1"/>
    <s v="Cuenta Ahorros"/>
    <s v="Tarjeta Débito"/>
    <s v="Pagado"/>
  </r>
  <r>
    <x v="290"/>
    <x v="6"/>
    <s v="TX-102408"/>
    <x v="19"/>
    <x v="0"/>
    <x v="7"/>
    <n v="4537.5600000000004"/>
    <n v="0"/>
    <x v="2406"/>
    <x v="4"/>
    <s v="Cuenta Ahorros"/>
    <s v="Efectivo"/>
    <s v="Pendiente"/>
  </r>
  <r>
    <x v="286"/>
    <x v="11"/>
    <s v="TX-102409"/>
    <x v="18"/>
    <x v="1"/>
    <x v="5"/>
    <n v="3115.19"/>
    <n v="404.97"/>
    <x v="2407"/>
    <x v="0"/>
    <s v="Tarjeta Crédito Empresarial"/>
    <s v="Efectivo"/>
    <s v="Pagado"/>
  </r>
  <r>
    <x v="216"/>
    <x v="1"/>
    <s v="TX-102410"/>
    <x v="4"/>
    <x v="0"/>
    <x v="2"/>
    <n v="5849.6"/>
    <n v="0"/>
    <x v="2408"/>
    <x v="1"/>
    <s v="Tarjeta Crédito Empresarial"/>
    <s v="Transferencia"/>
    <s v="Pagado"/>
  </r>
  <r>
    <x v="259"/>
    <x v="10"/>
    <s v="TX-102411"/>
    <x v="2"/>
    <x v="0"/>
    <x v="3"/>
    <n v="4623.91"/>
    <n v="0"/>
    <x v="2409"/>
    <x v="0"/>
    <s v="Tarjeta Crédito Empresarial"/>
    <s v="Tarjeta Crédito"/>
    <s v="Pendiente"/>
  </r>
  <r>
    <x v="131"/>
    <x v="10"/>
    <s v="TX-102412"/>
    <x v="3"/>
    <x v="0"/>
    <x v="7"/>
    <n v="9371.81"/>
    <n v="0"/>
    <x v="2410"/>
    <x v="1"/>
    <s v="Cuenta Corriente"/>
    <s v="Tarjeta Débito"/>
    <s v="Pagado"/>
  </r>
  <r>
    <x v="216"/>
    <x v="1"/>
    <s v="TX-102413"/>
    <x v="16"/>
    <x v="1"/>
    <x v="3"/>
    <n v="12069.58"/>
    <n v="1569.05"/>
    <x v="2411"/>
    <x v="0"/>
    <s v="Cuenta Corriente"/>
    <s v="Tarjeta Débito"/>
    <s v="Pendiente"/>
  </r>
  <r>
    <x v="50"/>
    <x v="8"/>
    <s v="TX-102414"/>
    <x v="15"/>
    <x v="0"/>
    <x v="5"/>
    <n v="160.76"/>
    <n v="0"/>
    <x v="2412"/>
    <x v="2"/>
    <s v="Cuenta Ahorros"/>
    <s v="Tarjeta Crédito"/>
    <s v="Pendiente"/>
  </r>
  <r>
    <x v="304"/>
    <x v="11"/>
    <s v="TX-102415"/>
    <x v="17"/>
    <x v="0"/>
    <x v="7"/>
    <n v="9999.3700000000008"/>
    <n v="0"/>
    <x v="2413"/>
    <x v="1"/>
    <s v="Cuenta Ahorros"/>
    <s v="Tarjeta Crédito"/>
    <s v="Pendiente"/>
  </r>
  <r>
    <x v="42"/>
    <x v="8"/>
    <s v="TX-102416"/>
    <x v="8"/>
    <x v="1"/>
    <x v="5"/>
    <n v="3858.75"/>
    <n v="501.64"/>
    <x v="2414"/>
    <x v="2"/>
    <s v="Cuenta Corriente"/>
    <s v="Transferencia"/>
    <s v="Pagado"/>
  </r>
  <r>
    <x v="80"/>
    <x v="3"/>
    <s v="TX-102417"/>
    <x v="4"/>
    <x v="0"/>
    <x v="6"/>
    <n v="7839.24"/>
    <n v="0"/>
    <x v="2415"/>
    <x v="0"/>
    <s v="Cuenta Corriente"/>
    <s v="Tarjeta Crédito"/>
    <s v="Pagado"/>
  </r>
  <r>
    <x v="104"/>
    <x v="9"/>
    <s v="TX-102418"/>
    <x v="18"/>
    <x v="0"/>
    <x v="3"/>
    <n v="5325.86"/>
    <n v="0"/>
    <x v="2416"/>
    <x v="3"/>
    <s v="Cuenta Corriente"/>
    <s v="Tarjeta Débito"/>
    <s v="Pendiente"/>
  </r>
  <r>
    <x v="122"/>
    <x v="1"/>
    <s v="TX-102419"/>
    <x v="17"/>
    <x v="1"/>
    <x v="7"/>
    <n v="13997.65"/>
    <n v="1819.69"/>
    <x v="2417"/>
    <x v="4"/>
    <s v="Cuenta Corriente"/>
    <s v="Tarjeta Débito"/>
    <s v="Pendiente"/>
  </r>
  <r>
    <x v="179"/>
    <x v="1"/>
    <s v="TX-102420"/>
    <x v="10"/>
    <x v="1"/>
    <x v="6"/>
    <n v="12317.7"/>
    <n v="1601.3"/>
    <x v="2418"/>
    <x v="3"/>
    <s v="Cuenta Ahorros"/>
    <s v="Transferencia"/>
    <s v="Pagado"/>
  </r>
  <r>
    <x v="184"/>
    <x v="4"/>
    <s v="TX-102421"/>
    <x v="12"/>
    <x v="1"/>
    <x v="4"/>
    <n v="12157.86"/>
    <n v="1580.52"/>
    <x v="2419"/>
    <x v="4"/>
    <s v="Cuenta Corriente"/>
    <s v="Efectivo"/>
    <s v="Pagado"/>
  </r>
  <r>
    <x v="173"/>
    <x v="11"/>
    <s v="TX-102422"/>
    <x v="0"/>
    <x v="0"/>
    <x v="1"/>
    <n v="8131.33"/>
    <n v="0"/>
    <x v="2420"/>
    <x v="4"/>
    <s v="Cuenta Corriente"/>
    <s v="Tarjeta Crédito"/>
    <s v="Pagado"/>
  </r>
  <r>
    <x v="253"/>
    <x v="6"/>
    <s v="TX-102423"/>
    <x v="9"/>
    <x v="1"/>
    <x v="3"/>
    <n v="9587.65"/>
    <n v="1246.3900000000001"/>
    <x v="2421"/>
    <x v="1"/>
    <s v="Tarjeta Crédito Empresarial"/>
    <s v="Efectivo"/>
    <s v="Pendiente"/>
  </r>
  <r>
    <x v="339"/>
    <x v="0"/>
    <s v="TX-102424"/>
    <x v="9"/>
    <x v="0"/>
    <x v="5"/>
    <n v="8350.82"/>
    <n v="0"/>
    <x v="2422"/>
    <x v="4"/>
    <s v="Cuenta Ahorros"/>
    <s v="Efectivo"/>
    <s v="Pendiente"/>
  </r>
  <r>
    <x v="58"/>
    <x v="9"/>
    <s v="TX-102425"/>
    <x v="9"/>
    <x v="0"/>
    <x v="1"/>
    <n v="6987.38"/>
    <n v="0"/>
    <x v="2423"/>
    <x v="1"/>
    <s v="Tarjeta Crédito Empresarial"/>
    <s v="Efectivo"/>
    <s v="Pendiente"/>
  </r>
  <r>
    <x v="250"/>
    <x v="7"/>
    <s v="TX-102426"/>
    <x v="19"/>
    <x v="0"/>
    <x v="7"/>
    <n v="9621.2900000000009"/>
    <n v="0"/>
    <x v="2424"/>
    <x v="0"/>
    <s v="Cuenta Ahorros"/>
    <s v="Transferencia"/>
    <s v="Pendiente"/>
  </r>
  <r>
    <x v="155"/>
    <x v="6"/>
    <s v="TX-102427"/>
    <x v="14"/>
    <x v="0"/>
    <x v="1"/>
    <n v="2570.36"/>
    <n v="0"/>
    <x v="2425"/>
    <x v="2"/>
    <s v="Cuenta Ahorros"/>
    <s v="Tarjeta Débito"/>
    <s v="Pagado"/>
  </r>
  <r>
    <x v="354"/>
    <x v="4"/>
    <s v="TX-102428"/>
    <x v="1"/>
    <x v="0"/>
    <x v="5"/>
    <n v="5015.25"/>
    <n v="0"/>
    <x v="2426"/>
    <x v="0"/>
    <s v="Cuenta Corriente"/>
    <s v="Efectivo"/>
    <s v="Pagado"/>
  </r>
  <r>
    <x v="348"/>
    <x v="8"/>
    <s v="TX-102429"/>
    <x v="16"/>
    <x v="1"/>
    <x v="0"/>
    <n v="1490.72"/>
    <n v="193.79"/>
    <x v="2427"/>
    <x v="1"/>
    <s v="Cuenta Ahorros"/>
    <s v="Tarjeta Crédito"/>
    <s v="Pendiente"/>
  </r>
  <r>
    <x v="221"/>
    <x v="0"/>
    <s v="TX-102430"/>
    <x v="8"/>
    <x v="0"/>
    <x v="2"/>
    <n v="9861.7800000000007"/>
    <n v="0"/>
    <x v="2428"/>
    <x v="0"/>
    <s v="Cuenta Ahorros"/>
    <s v="Tarjeta Crédito"/>
    <s v="Pagado"/>
  </r>
  <r>
    <x v="214"/>
    <x v="11"/>
    <s v="TX-102431"/>
    <x v="0"/>
    <x v="1"/>
    <x v="6"/>
    <n v="11811.28"/>
    <n v="1535.47"/>
    <x v="2429"/>
    <x v="1"/>
    <s v="Tarjeta Crédito Empresarial"/>
    <s v="Tarjeta Crédito"/>
    <s v="Pagado"/>
  </r>
  <r>
    <x v="296"/>
    <x v="8"/>
    <s v="TX-102432"/>
    <x v="16"/>
    <x v="1"/>
    <x v="0"/>
    <n v="2566.31"/>
    <n v="333.62"/>
    <x v="2430"/>
    <x v="3"/>
    <s v="Tarjeta Crédito Empresarial"/>
    <s v="Tarjeta Crédito"/>
    <s v="Pendiente"/>
  </r>
  <r>
    <x v="317"/>
    <x v="4"/>
    <s v="TX-102433"/>
    <x v="16"/>
    <x v="0"/>
    <x v="3"/>
    <n v="12587.72"/>
    <n v="0"/>
    <x v="2431"/>
    <x v="0"/>
    <s v="Cuenta Corriente"/>
    <s v="Transferencia"/>
    <s v="Pendiente"/>
  </r>
  <r>
    <x v="82"/>
    <x v="10"/>
    <s v="TX-102434"/>
    <x v="0"/>
    <x v="0"/>
    <x v="3"/>
    <n v="2767.81"/>
    <n v="0"/>
    <x v="2432"/>
    <x v="4"/>
    <s v="Tarjeta Crédito Empresarial"/>
    <s v="Transferencia"/>
    <s v="Pendiente"/>
  </r>
  <r>
    <x v="261"/>
    <x v="2"/>
    <s v="TX-102435"/>
    <x v="11"/>
    <x v="1"/>
    <x v="7"/>
    <n v="8136.19"/>
    <n v="1057.7"/>
    <x v="2433"/>
    <x v="2"/>
    <s v="Cuenta Corriente"/>
    <s v="Efectivo"/>
    <s v="Pendiente"/>
  </r>
  <r>
    <x v="333"/>
    <x v="10"/>
    <s v="TX-102436"/>
    <x v="2"/>
    <x v="0"/>
    <x v="3"/>
    <n v="9361.7199999999993"/>
    <n v="0"/>
    <x v="2434"/>
    <x v="3"/>
    <s v="Cuenta Ahorros"/>
    <s v="Tarjeta Débito"/>
    <s v="Pagado"/>
  </r>
  <r>
    <x v="172"/>
    <x v="2"/>
    <s v="TX-102437"/>
    <x v="6"/>
    <x v="1"/>
    <x v="0"/>
    <n v="9823.76"/>
    <n v="1277.0899999999999"/>
    <x v="2435"/>
    <x v="1"/>
    <s v="Tarjeta Crédito Empresarial"/>
    <s v="Transferencia"/>
    <s v="Pagado"/>
  </r>
  <r>
    <x v="296"/>
    <x v="8"/>
    <s v="TX-102438"/>
    <x v="5"/>
    <x v="0"/>
    <x v="1"/>
    <n v="586.88"/>
    <n v="0"/>
    <x v="2436"/>
    <x v="2"/>
    <s v="Cuenta Ahorros"/>
    <s v="Efectivo"/>
    <s v="Pagado"/>
  </r>
  <r>
    <x v="270"/>
    <x v="0"/>
    <s v="TX-102439"/>
    <x v="13"/>
    <x v="0"/>
    <x v="6"/>
    <n v="10563.84"/>
    <n v="0"/>
    <x v="2437"/>
    <x v="1"/>
    <s v="Cuenta Ahorros"/>
    <s v="Efectivo"/>
    <s v="Pendiente"/>
  </r>
  <r>
    <x v="330"/>
    <x v="7"/>
    <s v="TX-102440"/>
    <x v="12"/>
    <x v="1"/>
    <x v="1"/>
    <n v="12652.74"/>
    <n v="1644.86"/>
    <x v="2438"/>
    <x v="1"/>
    <s v="Tarjeta Crédito Empresarial"/>
    <s v="Transferencia"/>
    <s v="Pendiente"/>
  </r>
  <r>
    <x v="276"/>
    <x v="9"/>
    <s v="TX-102441"/>
    <x v="3"/>
    <x v="0"/>
    <x v="1"/>
    <n v="8389.5"/>
    <n v="0"/>
    <x v="2439"/>
    <x v="2"/>
    <s v="Tarjeta Crédito Empresarial"/>
    <s v="Efectivo"/>
    <s v="Pagado"/>
  </r>
  <r>
    <x v="67"/>
    <x v="8"/>
    <s v="TX-102442"/>
    <x v="4"/>
    <x v="1"/>
    <x v="4"/>
    <n v="8279.89"/>
    <n v="1076.3900000000001"/>
    <x v="2440"/>
    <x v="1"/>
    <s v="Cuenta Corriente"/>
    <s v="Transferencia"/>
    <s v="Pagado"/>
  </r>
  <r>
    <x v="333"/>
    <x v="10"/>
    <s v="TX-102443"/>
    <x v="6"/>
    <x v="0"/>
    <x v="2"/>
    <n v="2306.52"/>
    <n v="0"/>
    <x v="2441"/>
    <x v="1"/>
    <s v="Tarjeta Crédito Empresarial"/>
    <s v="Transferencia"/>
    <s v="Pagado"/>
  </r>
  <r>
    <x v="335"/>
    <x v="10"/>
    <s v="TX-102444"/>
    <x v="19"/>
    <x v="1"/>
    <x v="6"/>
    <n v="11086.5"/>
    <n v="1441.25"/>
    <x v="2442"/>
    <x v="0"/>
    <s v="Cuenta Corriente"/>
    <s v="Tarjeta Débito"/>
    <s v="Pendiente"/>
  </r>
  <r>
    <x v="56"/>
    <x v="11"/>
    <s v="TX-102445"/>
    <x v="11"/>
    <x v="1"/>
    <x v="1"/>
    <n v="9750.4"/>
    <n v="1267.55"/>
    <x v="2443"/>
    <x v="3"/>
    <s v="Cuenta Ahorros"/>
    <s v="Efectivo"/>
    <s v="Pagado"/>
  </r>
  <r>
    <x v="96"/>
    <x v="2"/>
    <s v="TX-102446"/>
    <x v="0"/>
    <x v="0"/>
    <x v="5"/>
    <n v="3330.72"/>
    <n v="0"/>
    <x v="2444"/>
    <x v="0"/>
    <s v="Tarjeta Crédito Empresarial"/>
    <s v="Tarjeta Débito"/>
    <s v="Pendiente"/>
  </r>
  <r>
    <x v="362"/>
    <x v="6"/>
    <s v="TX-102447"/>
    <x v="5"/>
    <x v="0"/>
    <x v="3"/>
    <n v="9937.23"/>
    <n v="0"/>
    <x v="2445"/>
    <x v="1"/>
    <s v="Cuenta Corriente"/>
    <s v="Tarjeta Débito"/>
    <s v="Pendiente"/>
  </r>
  <r>
    <x v="97"/>
    <x v="6"/>
    <s v="TX-102448"/>
    <x v="15"/>
    <x v="0"/>
    <x v="6"/>
    <n v="6930.61"/>
    <n v="0"/>
    <x v="2446"/>
    <x v="1"/>
    <s v="Tarjeta Crédito Empresarial"/>
    <s v="Tarjeta Débito"/>
    <s v="Pagado"/>
  </r>
  <r>
    <x v="67"/>
    <x v="8"/>
    <s v="TX-102449"/>
    <x v="8"/>
    <x v="0"/>
    <x v="1"/>
    <n v="12015.47"/>
    <n v="0"/>
    <x v="2447"/>
    <x v="4"/>
    <s v="Tarjeta Crédito Empresarial"/>
    <s v="Transferencia"/>
    <s v="Pagado"/>
  </r>
  <r>
    <x v="179"/>
    <x v="1"/>
    <s v="TX-102450"/>
    <x v="1"/>
    <x v="0"/>
    <x v="6"/>
    <n v="5136.9399999999996"/>
    <n v="0"/>
    <x v="2448"/>
    <x v="2"/>
    <s v="Cuenta Ahorros"/>
    <s v="Transferencia"/>
    <s v="Pendiente"/>
  </r>
  <r>
    <x v="229"/>
    <x v="5"/>
    <s v="TX-102451"/>
    <x v="1"/>
    <x v="0"/>
    <x v="0"/>
    <n v="7772.85"/>
    <n v="0"/>
    <x v="2449"/>
    <x v="2"/>
    <s v="Cuenta Ahorros"/>
    <s v="Transferencia"/>
    <s v="Pendiente"/>
  </r>
  <r>
    <x v="356"/>
    <x v="9"/>
    <s v="TX-102452"/>
    <x v="4"/>
    <x v="1"/>
    <x v="2"/>
    <n v="14579.29"/>
    <n v="1895.31"/>
    <x v="2450"/>
    <x v="3"/>
    <s v="Cuenta Ahorros"/>
    <s v="Efectivo"/>
    <s v="Pagado"/>
  </r>
  <r>
    <x v="110"/>
    <x v="7"/>
    <s v="TX-102453"/>
    <x v="14"/>
    <x v="1"/>
    <x v="6"/>
    <n v="12769.93"/>
    <n v="1660.09"/>
    <x v="2451"/>
    <x v="1"/>
    <s v="Tarjeta Crédito Empresarial"/>
    <s v="Efectivo"/>
    <s v="Pagado"/>
  </r>
  <r>
    <x v="77"/>
    <x v="8"/>
    <s v="TX-102454"/>
    <x v="7"/>
    <x v="1"/>
    <x v="1"/>
    <n v="8762.5499999999993"/>
    <n v="1139.1300000000001"/>
    <x v="2452"/>
    <x v="1"/>
    <s v="Tarjeta Crédito Empresarial"/>
    <s v="Efectivo"/>
    <s v="Pagado"/>
  </r>
  <r>
    <x v="247"/>
    <x v="11"/>
    <s v="TX-102455"/>
    <x v="5"/>
    <x v="0"/>
    <x v="4"/>
    <n v="5389.55"/>
    <n v="0"/>
    <x v="2453"/>
    <x v="2"/>
    <s v="Cuenta Ahorros"/>
    <s v="Efectivo"/>
    <s v="Pendiente"/>
  </r>
  <r>
    <x v="302"/>
    <x v="8"/>
    <s v="TX-102456"/>
    <x v="10"/>
    <x v="1"/>
    <x v="3"/>
    <n v="10898.16"/>
    <n v="1416.76"/>
    <x v="2454"/>
    <x v="2"/>
    <s v="Cuenta Corriente"/>
    <s v="Transferencia"/>
    <s v="Pendiente"/>
  </r>
  <r>
    <x v="123"/>
    <x v="11"/>
    <s v="TX-102457"/>
    <x v="14"/>
    <x v="0"/>
    <x v="7"/>
    <n v="3318.52"/>
    <n v="0"/>
    <x v="2455"/>
    <x v="0"/>
    <s v="Tarjeta Crédito Empresarial"/>
    <s v="Tarjeta Débito"/>
    <s v="Pagado"/>
  </r>
  <r>
    <x v="13"/>
    <x v="2"/>
    <s v="TX-102458"/>
    <x v="2"/>
    <x v="0"/>
    <x v="6"/>
    <n v="6822.44"/>
    <n v="0"/>
    <x v="2456"/>
    <x v="0"/>
    <s v="Tarjeta Crédito Empresarial"/>
    <s v="Tarjeta Débito"/>
    <s v="Pendiente"/>
  </r>
  <r>
    <x v="134"/>
    <x v="2"/>
    <s v="TX-102459"/>
    <x v="1"/>
    <x v="0"/>
    <x v="0"/>
    <n v="10674.52"/>
    <n v="0"/>
    <x v="2457"/>
    <x v="0"/>
    <s v="Cuenta Corriente"/>
    <s v="Tarjeta Crédito"/>
    <s v="Pendiente"/>
  </r>
  <r>
    <x v="10"/>
    <x v="0"/>
    <s v="TX-102460"/>
    <x v="16"/>
    <x v="1"/>
    <x v="0"/>
    <n v="2667"/>
    <n v="346.71"/>
    <x v="2458"/>
    <x v="1"/>
    <s v="Tarjeta Crédito Empresarial"/>
    <s v="Tarjeta Crédito"/>
    <s v="Pagado"/>
  </r>
  <r>
    <x v="189"/>
    <x v="1"/>
    <s v="TX-102461"/>
    <x v="17"/>
    <x v="1"/>
    <x v="3"/>
    <n v="11966.6"/>
    <n v="1555.66"/>
    <x v="2459"/>
    <x v="1"/>
    <s v="Cuenta Corriente"/>
    <s v="Tarjeta Crédito"/>
    <s v="Pendiente"/>
  </r>
  <r>
    <x v="264"/>
    <x v="2"/>
    <s v="TX-102462"/>
    <x v="13"/>
    <x v="0"/>
    <x v="3"/>
    <n v="2691.46"/>
    <n v="0"/>
    <x v="2460"/>
    <x v="2"/>
    <s v="Tarjeta Crédito Empresarial"/>
    <s v="Tarjeta Crédito"/>
    <s v="Pendiente"/>
  </r>
  <r>
    <x v="67"/>
    <x v="8"/>
    <s v="TX-102463"/>
    <x v="6"/>
    <x v="0"/>
    <x v="2"/>
    <n v="6399.19"/>
    <n v="0"/>
    <x v="2461"/>
    <x v="3"/>
    <s v="Cuenta Ahorros"/>
    <s v="Transferencia"/>
    <s v="Pagado"/>
  </r>
  <r>
    <x v="270"/>
    <x v="0"/>
    <s v="TX-102464"/>
    <x v="1"/>
    <x v="1"/>
    <x v="3"/>
    <n v="8489.93"/>
    <n v="1103.69"/>
    <x v="2462"/>
    <x v="2"/>
    <s v="Cuenta Corriente"/>
    <s v="Tarjeta Débito"/>
    <s v="Pendiente"/>
  </r>
  <r>
    <x v="309"/>
    <x v="4"/>
    <s v="TX-102465"/>
    <x v="13"/>
    <x v="0"/>
    <x v="1"/>
    <n v="10593.24"/>
    <n v="0"/>
    <x v="2463"/>
    <x v="0"/>
    <s v="Cuenta Corriente"/>
    <s v="Efectivo"/>
    <s v="Pendiente"/>
  </r>
  <r>
    <x v="156"/>
    <x v="4"/>
    <s v="TX-102466"/>
    <x v="10"/>
    <x v="1"/>
    <x v="5"/>
    <n v="8063.42"/>
    <n v="1048.24"/>
    <x v="2464"/>
    <x v="4"/>
    <s v="Cuenta Corriente"/>
    <s v="Transferencia"/>
    <s v="Pagado"/>
  </r>
  <r>
    <x v="252"/>
    <x v="7"/>
    <s v="TX-102467"/>
    <x v="8"/>
    <x v="1"/>
    <x v="3"/>
    <n v="10620.85"/>
    <n v="1380.71"/>
    <x v="2465"/>
    <x v="3"/>
    <s v="Tarjeta Crédito Empresarial"/>
    <s v="Tarjeta Débito"/>
    <s v="Pendiente"/>
  </r>
  <r>
    <x v="186"/>
    <x v="3"/>
    <s v="TX-102468"/>
    <x v="13"/>
    <x v="0"/>
    <x v="2"/>
    <n v="9016.76"/>
    <n v="0"/>
    <x v="2466"/>
    <x v="1"/>
    <s v="Cuenta Ahorros"/>
    <s v="Efectivo"/>
    <s v="Pagado"/>
  </r>
  <r>
    <x v="287"/>
    <x v="4"/>
    <s v="TX-102469"/>
    <x v="14"/>
    <x v="0"/>
    <x v="3"/>
    <n v="13733.3"/>
    <n v="0"/>
    <x v="2467"/>
    <x v="4"/>
    <s v="Cuenta Corriente"/>
    <s v="Tarjeta Débito"/>
    <s v="Pagado"/>
  </r>
  <r>
    <x v="353"/>
    <x v="7"/>
    <s v="TX-102470"/>
    <x v="5"/>
    <x v="0"/>
    <x v="1"/>
    <n v="1131.94"/>
    <n v="0"/>
    <x v="2468"/>
    <x v="1"/>
    <s v="Cuenta Ahorros"/>
    <s v="Tarjeta Débito"/>
    <s v="Pendiente"/>
  </r>
  <r>
    <x v="358"/>
    <x v="8"/>
    <s v="TX-102471"/>
    <x v="8"/>
    <x v="1"/>
    <x v="2"/>
    <n v="7141.58"/>
    <n v="928.41"/>
    <x v="2469"/>
    <x v="0"/>
    <s v="Cuenta Corriente"/>
    <s v="Tarjeta Crédito"/>
    <s v="Pagado"/>
  </r>
  <r>
    <x v="1"/>
    <x v="1"/>
    <s v="TX-102472"/>
    <x v="17"/>
    <x v="0"/>
    <x v="2"/>
    <n v="4151.5"/>
    <n v="0"/>
    <x v="2470"/>
    <x v="0"/>
    <s v="Cuenta Corriente"/>
    <s v="Tarjeta Débito"/>
    <s v="Pagado"/>
  </r>
  <r>
    <x v="210"/>
    <x v="3"/>
    <s v="TX-102473"/>
    <x v="18"/>
    <x v="0"/>
    <x v="4"/>
    <n v="12779.42"/>
    <n v="0"/>
    <x v="2471"/>
    <x v="1"/>
    <s v="Cuenta Ahorros"/>
    <s v="Tarjeta Débito"/>
    <s v="Pendiente"/>
  </r>
  <r>
    <x v="240"/>
    <x v="2"/>
    <s v="TX-102474"/>
    <x v="1"/>
    <x v="0"/>
    <x v="0"/>
    <n v="7369.76"/>
    <n v="0"/>
    <x v="2472"/>
    <x v="1"/>
    <s v="Cuenta Corriente"/>
    <s v="Transferencia"/>
    <s v="Pendiente"/>
  </r>
  <r>
    <x v="306"/>
    <x v="2"/>
    <s v="TX-102475"/>
    <x v="2"/>
    <x v="0"/>
    <x v="6"/>
    <n v="8760.59"/>
    <n v="0"/>
    <x v="2473"/>
    <x v="4"/>
    <s v="Cuenta Ahorros"/>
    <s v="Efectivo"/>
    <s v="Pendiente"/>
  </r>
  <r>
    <x v="335"/>
    <x v="10"/>
    <s v="TX-102476"/>
    <x v="18"/>
    <x v="0"/>
    <x v="1"/>
    <n v="443.57"/>
    <n v="0"/>
    <x v="2474"/>
    <x v="2"/>
    <s v="Cuenta Corriente"/>
    <s v="Tarjeta Débito"/>
    <s v="Pendiente"/>
  </r>
  <r>
    <x v="228"/>
    <x v="5"/>
    <s v="TX-102477"/>
    <x v="18"/>
    <x v="1"/>
    <x v="4"/>
    <n v="11703.34"/>
    <n v="1521.43"/>
    <x v="2475"/>
    <x v="2"/>
    <s v="Tarjeta Crédito Empresarial"/>
    <s v="Efectivo"/>
    <s v="Pendiente"/>
  </r>
  <r>
    <x v="124"/>
    <x v="4"/>
    <s v="TX-102478"/>
    <x v="14"/>
    <x v="1"/>
    <x v="1"/>
    <n v="4545.32"/>
    <n v="590.89"/>
    <x v="2476"/>
    <x v="4"/>
    <s v="Cuenta Corriente"/>
    <s v="Tarjeta Crédito"/>
    <s v="Pendiente"/>
  </r>
  <r>
    <x v="317"/>
    <x v="4"/>
    <s v="TX-102479"/>
    <x v="7"/>
    <x v="1"/>
    <x v="6"/>
    <n v="10315.23"/>
    <n v="1340.98"/>
    <x v="2477"/>
    <x v="0"/>
    <s v="Cuenta Corriente"/>
    <s v="Tarjeta Débito"/>
    <s v="Pendiente"/>
  </r>
  <r>
    <x v="212"/>
    <x v="8"/>
    <s v="TX-102480"/>
    <x v="1"/>
    <x v="0"/>
    <x v="7"/>
    <n v="7913.45"/>
    <n v="0"/>
    <x v="2478"/>
    <x v="0"/>
    <s v="Cuenta Ahorros"/>
    <s v="Tarjeta Débito"/>
    <s v="Pagado"/>
  </r>
  <r>
    <x v="47"/>
    <x v="4"/>
    <s v="TX-102481"/>
    <x v="0"/>
    <x v="0"/>
    <x v="1"/>
    <n v="8768.2900000000009"/>
    <n v="0"/>
    <x v="2479"/>
    <x v="4"/>
    <s v="Cuenta Ahorros"/>
    <s v="Efectivo"/>
    <s v="Pendiente"/>
  </r>
  <r>
    <x v="86"/>
    <x v="3"/>
    <s v="TX-102482"/>
    <x v="18"/>
    <x v="1"/>
    <x v="1"/>
    <n v="10490.56"/>
    <n v="1363.77"/>
    <x v="2480"/>
    <x v="0"/>
    <s v="Cuenta Corriente"/>
    <s v="Transferencia"/>
    <s v="Pagado"/>
  </r>
  <r>
    <x v="113"/>
    <x v="0"/>
    <s v="TX-102483"/>
    <x v="12"/>
    <x v="1"/>
    <x v="4"/>
    <n v="3131.65"/>
    <n v="407.11"/>
    <x v="2481"/>
    <x v="2"/>
    <s v="Cuenta Corriente"/>
    <s v="Transferencia"/>
    <s v="Pendiente"/>
  </r>
  <r>
    <x v="236"/>
    <x v="0"/>
    <s v="TX-102484"/>
    <x v="15"/>
    <x v="0"/>
    <x v="3"/>
    <n v="2603.91"/>
    <n v="0"/>
    <x v="2482"/>
    <x v="3"/>
    <s v="Cuenta Ahorros"/>
    <s v="Transferencia"/>
    <s v="Pendiente"/>
  </r>
  <r>
    <x v="240"/>
    <x v="2"/>
    <s v="TX-102485"/>
    <x v="0"/>
    <x v="0"/>
    <x v="6"/>
    <n v="6377.51"/>
    <n v="0"/>
    <x v="2483"/>
    <x v="2"/>
    <s v="Cuenta Ahorros"/>
    <s v="Transferencia"/>
    <s v="Pendiente"/>
  </r>
  <r>
    <x v="270"/>
    <x v="0"/>
    <s v="TX-102486"/>
    <x v="14"/>
    <x v="0"/>
    <x v="0"/>
    <n v="3703.65"/>
    <n v="0"/>
    <x v="2484"/>
    <x v="2"/>
    <s v="Cuenta Ahorros"/>
    <s v="Tarjeta Débito"/>
    <s v="Pagado"/>
  </r>
  <r>
    <x v="20"/>
    <x v="1"/>
    <s v="TX-102487"/>
    <x v="15"/>
    <x v="1"/>
    <x v="1"/>
    <n v="2811.06"/>
    <n v="365.44"/>
    <x v="2485"/>
    <x v="4"/>
    <s v="Tarjeta Crédito Empresarial"/>
    <s v="Efectivo"/>
    <s v="Pendiente"/>
  </r>
  <r>
    <x v="269"/>
    <x v="0"/>
    <s v="TX-102488"/>
    <x v="10"/>
    <x v="0"/>
    <x v="5"/>
    <n v="2564.59"/>
    <n v="0"/>
    <x v="2486"/>
    <x v="3"/>
    <s v="Cuenta Ahorros"/>
    <s v="Tarjeta Débito"/>
    <s v="Pagado"/>
  </r>
  <r>
    <x v="198"/>
    <x v="0"/>
    <s v="TX-102489"/>
    <x v="7"/>
    <x v="0"/>
    <x v="1"/>
    <n v="1591.3"/>
    <n v="0"/>
    <x v="2487"/>
    <x v="2"/>
    <s v="Cuenta Ahorros"/>
    <s v="Tarjeta Débito"/>
    <s v="Pagado"/>
  </r>
  <r>
    <x v="76"/>
    <x v="11"/>
    <s v="TX-102490"/>
    <x v="15"/>
    <x v="0"/>
    <x v="0"/>
    <n v="3126.81"/>
    <n v="0"/>
    <x v="2488"/>
    <x v="4"/>
    <s v="Cuenta Corriente"/>
    <s v="Tarjeta Débito"/>
    <s v="Pagado"/>
  </r>
  <r>
    <x v="171"/>
    <x v="10"/>
    <s v="TX-102491"/>
    <x v="10"/>
    <x v="1"/>
    <x v="6"/>
    <n v="3520"/>
    <n v="457.6"/>
    <x v="2489"/>
    <x v="4"/>
    <s v="Cuenta Corriente"/>
    <s v="Tarjeta Débito"/>
    <s v="Pagado"/>
  </r>
  <r>
    <x v="52"/>
    <x v="5"/>
    <s v="TX-102492"/>
    <x v="7"/>
    <x v="1"/>
    <x v="1"/>
    <n v="1479.31"/>
    <n v="192.31"/>
    <x v="2490"/>
    <x v="0"/>
    <s v="Cuenta Corriente"/>
    <s v="Transferencia"/>
    <s v="Pagado"/>
  </r>
  <r>
    <x v="5"/>
    <x v="0"/>
    <s v="TX-102493"/>
    <x v="9"/>
    <x v="0"/>
    <x v="0"/>
    <n v="3393.23"/>
    <n v="0"/>
    <x v="2491"/>
    <x v="4"/>
    <s v="Cuenta Corriente"/>
    <s v="Tarjeta Débito"/>
    <s v="Pendiente"/>
  </r>
  <r>
    <x v="2"/>
    <x v="2"/>
    <s v="TX-102494"/>
    <x v="11"/>
    <x v="0"/>
    <x v="2"/>
    <n v="11959.28"/>
    <n v="0"/>
    <x v="2492"/>
    <x v="4"/>
    <s v="Tarjeta Crédito Empresarial"/>
    <s v="Tarjeta Crédito"/>
    <s v="Pendiente"/>
  </r>
  <r>
    <x v="252"/>
    <x v="7"/>
    <s v="TX-102495"/>
    <x v="17"/>
    <x v="0"/>
    <x v="5"/>
    <n v="3287.85"/>
    <n v="0"/>
    <x v="2493"/>
    <x v="0"/>
    <s v="Cuenta Ahorros"/>
    <s v="Tarjeta Crédito"/>
    <s v="Pendiente"/>
  </r>
  <r>
    <x v="247"/>
    <x v="11"/>
    <s v="TX-102496"/>
    <x v="7"/>
    <x v="1"/>
    <x v="5"/>
    <n v="3992.45"/>
    <n v="519.02"/>
    <x v="2494"/>
    <x v="1"/>
    <s v="Cuenta Ahorros"/>
    <s v="Tarjeta Débito"/>
    <s v="Pendiente"/>
  </r>
  <r>
    <x v="12"/>
    <x v="8"/>
    <s v="TX-102497"/>
    <x v="0"/>
    <x v="0"/>
    <x v="0"/>
    <n v="6587.12"/>
    <n v="0"/>
    <x v="2495"/>
    <x v="1"/>
    <s v="Tarjeta Crédito Empresarial"/>
    <s v="Tarjeta Débito"/>
    <s v="Pendiente"/>
  </r>
  <r>
    <x v="199"/>
    <x v="0"/>
    <s v="TX-102498"/>
    <x v="16"/>
    <x v="0"/>
    <x v="0"/>
    <n v="5375.36"/>
    <n v="0"/>
    <x v="2496"/>
    <x v="2"/>
    <s v="Tarjeta Crédito Empresarial"/>
    <s v="Tarjeta Débito"/>
    <s v="Pendiente"/>
  </r>
  <r>
    <x v="180"/>
    <x v="3"/>
    <s v="TX-102499"/>
    <x v="8"/>
    <x v="0"/>
    <x v="2"/>
    <n v="4049.29"/>
    <n v="0"/>
    <x v="2497"/>
    <x v="4"/>
    <s v="Cuenta Ahorros"/>
    <s v="Tarjeta Débito"/>
    <s v="Pagado"/>
  </r>
  <r>
    <x v="29"/>
    <x v="3"/>
    <s v="TX-102500"/>
    <x v="7"/>
    <x v="0"/>
    <x v="2"/>
    <n v="4035.69"/>
    <n v="0"/>
    <x v="2498"/>
    <x v="4"/>
    <s v="Cuenta Corriente"/>
    <s v="Efectivo"/>
    <s v="Pendiente"/>
  </r>
  <r>
    <x v="215"/>
    <x v="3"/>
    <s v="TX-102501"/>
    <x v="9"/>
    <x v="0"/>
    <x v="4"/>
    <n v="13860.87"/>
    <n v="0"/>
    <x v="2499"/>
    <x v="1"/>
    <s v="Tarjeta Crédito Empresarial"/>
    <s v="Tarjeta Crédito"/>
    <s v="Pagado"/>
  </r>
  <r>
    <x v="275"/>
    <x v="10"/>
    <s v="TX-102502"/>
    <x v="12"/>
    <x v="0"/>
    <x v="5"/>
    <n v="11440.25"/>
    <n v="0"/>
    <x v="2500"/>
    <x v="0"/>
    <s v="Cuenta Ahorros"/>
    <s v="Tarjeta Débito"/>
    <s v="Pagado"/>
  </r>
  <r>
    <x v="288"/>
    <x v="2"/>
    <s v="TX-102503"/>
    <x v="12"/>
    <x v="0"/>
    <x v="7"/>
    <n v="13860.5"/>
    <n v="0"/>
    <x v="2501"/>
    <x v="2"/>
    <s v="Cuenta Corriente"/>
    <s v="Tarjeta Crédito"/>
    <s v="Pendiente"/>
  </r>
  <r>
    <x v="84"/>
    <x v="6"/>
    <s v="TX-102504"/>
    <x v="14"/>
    <x v="0"/>
    <x v="3"/>
    <n v="14265.99"/>
    <n v="0"/>
    <x v="2502"/>
    <x v="0"/>
    <s v="Cuenta Corriente"/>
    <s v="Tarjeta Crédito"/>
    <s v="Pendiente"/>
  </r>
  <r>
    <x v="296"/>
    <x v="8"/>
    <s v="TX-102505"/>
    <x v="9"/>
    <x v="0"/>
    <x v="6"/>
    <n v="7528.16"/>
    <n v="0"/>
    <x v="2503"/>
    <x v="4"/>
    <s v="Tarjeta Crédito Empresarial"/>
    <s v="Transferencia"/>
    <s v="Pendiente"/>
  </r>
  <r>
    <x v="82"/>
    <x v="10"/>
    <s v="TX-102506"/>
    <x v="15"/>
    <x v="1"/>
    <x v="4"/>
    <n v="8504.33"/>
    <n v="1105.56"/>
    <x v="2504"/>
    <x v="4"/>
    <s v="Tarjeta Crédito Empresarial"/>
    <s v="Transferencia"/>
    <s v="Pendiente"/>
  </r>
  <r>
    <x v="143"/>
    <x v="11"/>
    <s v="TX-102507"/>
    <x v="3"/>
    <x v="1"/>
    <x v="2"/>
    <n v="1567.52"/>
    <n v="203.78"/>
    <x v="2505"/>
    <x v="4"/>
    <s v="Tarjeta Crédito Empresarial"/>
    <s v="Efectivo"/>
    <s v="Pagado"/>
  </r>
  <r>
    <x v="19"/>
    <x v="8"/>
    <s v="TX-102508"/>
    <x v="5"/>
    <x v="1"/>
    <x v="7"/>
    <n v="12105.73"/>
    <n v="1573.74"/>
    <x v="2506"/>
    <x v="4"/>
    <s v="Cuenta Ahorros"/>
    <s v="Transferencia"/>
    <s v="Pendiente"/>
  </r>
  <r>
    <x v="117"/>
    <x v="8"/>
    <s v="TX-102509"/>
    <x v="0"/>
    <x v="1"/>
    <x v="4"/>
    <n v="8067.77"/>
    <n v="1048.81"/>
    <x v="2507"/>
    <x v="1"/>
    <s v="Tarjeta Crédito Empresarial"/>
    <s v="Transferencia"/>
    <s v="Pagado"/>
  </r>
  <r>
    <x v="264"/>
    <x v="2"/>
    <s v="TX-102510"/>
    <x v="17"/>
    <x v="1"/>
    <x v="2"/>
    <n v="2020.63"/>
    <n v="262.68"/>
    <x v="2508"/>
    <x v="2"/>
    <s v="Cuenta Ahorros"/>
    <s v="Tarjeta Débito"/>
    <s v="Pendiente"/>
  </r>
  <r>
    <x v="130"/>
    <x v="2"/>
    <s v="TX-102511"/>
    <x v="7"/>
    <x v="1"/>
    <x v="6"/>
    <n v="9654.5400000000009"/>
    <n v="1255.0899999999999"/>
    <x v="2509"/>
    <x v="0"/>
    <s v="Tarjeta Crédito Empresarial"/>
    <s v="Tarjeta Débito"/>
    <s v="Pendiente"/>
  </r>
  <r>
    <x v="239"/>
    <x v="7"/>
    <s v="TX-102512"/>
    <x v="8"/>
    <x v="0"/>
    <x v="0"/>
    <n v="13761.56"/>
    <n v="0"/>
    <x v="2510"/>
    <x v="0"/>
    <s v="Cuenta Corriente"/>
    <s v="Efectivo"/>
    <s v="Pagado"/>
  </r>
  <r>
    <x v="225"/>
    <x v="4"/>
    <s v="TX-102513"/>
    <x v="10"/>
    <x v="1"/>
    <x v="3"/>
    <n v="12318.86"/>
    <n v="1601.45"/>
    <x v="2511"/>
    <x v="0"/>
    <s v="Tarjeta Crédito Empresarial"/>
    <s v="Transferencia"/>
    <s v="Pagado"/>
  </r>
  <r>
    <x v="234"/>
    <x v="0"/>
    <s v="TX-102514"/>
    <x v="15"/>
    <x v="0"/>
    <x v="4"/>
    <n v="8529"/>
    <n v="0"/>
    <x v="2512"/>
    <x v="0"/>
    <s v="Cuenta Ahorros"/>
    <s v="Efectivo"/>
    <s v="Pagado"/>
  </r>
  <r>
    <x v="102"/>
    <x v="6"/>
    <s v="TX-102515"/>
    <x v="4"/>
    <x v="1"/>
    <x v="0"/>
    <n v="4963.12"/>
    <n v="645.21"/>
    <x v="2513"/>
    <x v="3"/>
    <s v="Cuenta Corriente"/>
    <s v="Transferencia"/>
    <s v="Pendiente"/>
  </r>
  <r>
    <x v="9"/>
    <x v="4"/>
    <s v="TX-102516"/>
    <x v="14"/>
    <x v="0"/>
    <x v="1"/>
    <n v="1748.15"/>
    <n v="0"/>
    <x v="2514"/>
    <x v="0"/>
    <s v="Tarjeta Crédito Empresarial"/>
    <s v="Tarjeta Crédito"/>
    <s v="Pagado"/>
  </r>
  <r>
    <x v="103"/>
    <x v="4"/>
    <s v="TX-102517"/>
    <x v="5"/>
    <x v="1"/>
    <x v="0"/>
    <n v="4119.0200000000004"/>
    <n v="535.47"/>
    <x v="2515"/>
    <x v="4"/>
    <s v="Cuenta Ahorros"/>
    <s v="Efectivo"/>
    <s v="Pendiente"/>
  </r>
  <r>
    <x v="66"/>
    <x v="10"/>
    <s v="TX-102518"/>
    <x v="9"/>
    <x v="1"/>
    <x v="4"/>
    <n v="731.58"/>
    <n v="95.11"/>
    <x v="2516"/>
    <x v="0"/>
    <s v="Tarjeta Crédito Empresarial"/>
    <s v="Tarjeta Crédito"/>
    <s v="Pagado"/>
  </r>
  <r>
    <x v="283"/>
    <x v="1"/>
    <s v="TX-102519"/>
    <x v="1"/>
    <x v="0"/>
    <x v="7"/>
    <n v="9027.41"/>
    <n v="0"/>
    <x v="2517"/>
    <x v="3"/>
    <s v="Cuenta Ahorros"/>
    <s v="Transferencia"/>
    <s v="Pagado"/>
  </r>
  <r>
    <x v="169"/>
    <x v="1"/>
    <s v="TX-102520"/>
    <x v="10"/>
    <x v="0"/>
    <x v="2"/>
    <n v="11586.3"/>
    <n v="0"/>
    <x v="2518"/>
    <x v="2"/>
    <s v="Tarjeta Crédito Empresarial"/>
    <s v="Tarjeta Débito"/>
    <s v="Pagado"/>
  </r>
  <r>
    <x v="329"/>
    <x v="3"/>
    <s v="TX-102521"/>
    <x v="11"/>
    <x v="0"/>
    <x v="3"/>
    <n v="13891.15"/>
    <n v="0"/>
    <x v="2519"/>
    <x v="0"/>
    <s v="Cuenta Corriente"/>
    <s v="Transferencia"/>
    <s v="Pagado"/>
  </r>
  <r>
    <x v="292"/>
    <x v="7"/>
    <s v="TX-102522"/>
    <x v="9"/>
    <x v="1"/>
    <x v="2"/>
    <n v="14323.86"/>
    <n v="1862.1"/>
    <x v="2520"/>
    <x v="2"/>
    <s v="Tarjeta Crédito Empresarial"/>
    <s v="Tarjeta Crédito"/>
    <s v="Pendiente"/>
  </r>
  <r>
    <x v="198"/>
    <x v="0"/>
    <s v="TX-102523"/>
    <x v="16"/>
    <x v="1"/>
    <x v="0"/>
    <n v="4822.8100000000004"/>
    <n v="626.97"/>
    <x v="2521"/>
    <x v="1"/>
    <s v="Cuenta Corriente"/>
    <s v="Efectivo"/>
    <s v="Pagado"/>
  </r>
  <r>
    <x v="87"/>
    <x v="3"/>
    <s v="TX-102524"/>
    <x v="2"/>
    <x v="1"/>
    <x v="0"/>
    <n v="13815.67"/>
    <n v="1796.04"/>
    <x v="2522"/>
    <x v="3"/>
    <s v="Cuenta Corriente"/>
    <s v="Tarjeta Crédito"/>
    <s v="Pendiente"/>
  </r>
  <r>
    <x v="134"/>
    <x v="2"/>
    <s v="TX-102525"/>
    <x v="1"/>
    <x v="0"/>
    <x v="2"/>
    <n v="3089.01"/>
    <n v="0"/>
    <x v="2523"/>
    <x v="3"/>
    <s v="Tarjeta Crédito Empresarial"/>
    <s v="Tarjeta Crédito"/>
    <s v="Pagado"/>
  </r>
  <r>
    <x v="214"/>
    <x v="11"/>
    <s v="TX-102526"/>
    <x v="9"/>
    <x v="0"/>
    <x v="1"/>
    <n v="2465.5"/>
    <n v="0"/>
    <x v="2524"/>
    <x v="0"/>
    <s v="Tarjeta Crédito Empresarial"/>
    <s v="Transferencia"/>
    <s v="Pendiente"/>
  </r>
  <r>
    <x v="190"/>
    <x v="9"/>
    <s v="TX-102527"/>
    <x v="1"/>
    <x v="1"/>
    <x v="7"/>
    <n v="12773.71"/>
    <n v="1660.58"/>
    <x v="2525"/>
    <x v="2"/>
    <s v="Cuenta Corriente"/>
    <s v="Efectivo"/>
    <s v="Pagado"/>
  </r>
  <r>
    <x v="4"/>
    <x v="4"/>
    <s v="TX-102528"/>
    <x v="15"/>
    <x v="0"/>
    <x v="6"/>
    <n v="7388.35"/>
    <n v="0"/>
    <x v="2526"/>
    <x v="1"/>
    <s v="Cuenta Corriente"/>
    <s v="Transferencia"/>
    <s v="Pagado"/>
  </r>
  <r>
    <x v="339"/>
    <x v="0"/>
    <s v="TX-102529"/>
    <x v="0"/>
    <x v="0"/>
    <x v="4"/>
    <n v="9239.26"/>
    <n v="0"/>
    <x v="2527"/>
    <x v="1"/>
    <s v="Cuenta Corriente"/>
    <s v="Tarjeta Crédito"/>
    <s v="Pagado"/>
  </r>
  <r>
    <x v="169"/>
    <x v="1"/>
    <s v="TX-102530"/>
    <x v="14"/>
    <x v="1"/>
    <x v="6"/>
    <n v="4295.1899999999996"/>
    <n v="558.37"/>
    <x v="2528"/>
    <x v="3"/>
    <s v="Tarjeta Crédito Empresarial"/>
    <s v="Tarjeta Débito"/>
    <s v="Pagado"/>
  </r>
  <r>
    <x v="52"/>
    <x v="5"/>
    <s v="TX-102531"/>
    <x v="12"/>
    <x v="0"/>
    <x v="1"/>
    <n v="6193.92"/>
    <n v="0"/>
    <x v="2529"/>
    <x v="1"/>
    <s v="Tarjeta Crédito Empresarial"/>
    <s v="Tarjeta Débito"/>
    <s v="Pendiente"/>
  </r>
  <r>
    <x v="200"/>
    <x v="9"/>
    <s v="TX-102532"/>
    <x v="15"/>
    <x v="0"/>
    <x v="6"/>
    <n v="5090.17"/>
    <n v="0"/>
    <x v="2530"/>
    <x v="4"/>
    <s v="Tarjeta Crédito Empresarial"/>
    <s v="Efectivo"/>
    <s v="Pendiente"/>
  </r>
  <r>
    <x v="357"/>
    <x v="0"/>
    <s v="TX-102533"/>
    <x v="0"/>
    <x v="1"/>
    <x v="6"/>
    <n v="4280.79"/>
    <n v="556.5"/>
    <x v="2531"/>
    <x v="1"/>
    <s v="Tarjeta Crédito Empresarial"/>
    <s v="Tarjeta Crédito"/>
    <s v="Pendiente"/>
  </r>
  <r>
    <x v="209"/>
    <x v="1"/>
    <s v="TX-102534"/>
    <x v="7"/>
    <x v="0"/>
    <x v="0"/>
    <n v="14718.37"/>
    <n v="0"/>
    <x v="2532"/>
    <x v="2"/>
    <s v="Cuenta Corriente"/>
    <s v="Tarjeta Crédito"/>
    <s v="Pendiente"/>
  </r>
  <r>
    <x v="145"/>
    <x v="11"/>
    <s v="TX-102535"/>
    <x v="8"/>
    <x v="0"/>
    <x v="0"/>
    <n v="5516.02"/>
    <n v="0"/>
    <x v="2533"/>
    <x v="2"/>
    <s v="Cuenta Corriente"/>
    <s v="Tarjeta Débito"/>
    <s v="Pendiente"/>
  </r>
  <r>
    <x v="146"/>
    <x v="6"/>
    <s v="TX-102536"/>
    <x v="6"/>
    <x v="1"/>
    <x v="3"/>
    <n v="6092.9"/>
    <n v="792.08"/>
    <x v="2534"/>
    <x v="2"/>
    <s v="Cuenta Ahorros"/>
    <s v="Tarjeta Crédito"/>
    <s v="Pagado"/>
  </r>
  <r>
    <x v="179"/>
    <x v="1"/>
    <s v="TX-102537"/>
    <x v="7"/>
    <x v="1"/>
    <x v="7"/>
    <n v="387.2"/>
    <n v="50.34"/>
    <x v="2535"/>
    <x v="3"/>
    <s v="Cuenta Ahorros"/>
    <s v="Tarjeta Crédito"/>
    <s v="Pagado"/>
  </r>
  <r>
    <x v="267"/>
    <x v="4"/>
    <s v="TX-102538"/>
    <x v="0"/>
    <x v="0"/>
    <x v="3"/>
    <n v="12924.13"/>
    <n v="0"/>
    <x v="2536"/>
    <x v="3"/>
    <s v="Tarjeta Crédito Empresarial"/>
    <s v="Efectivo"/>
    <s v="Pagado"/>
  </r>
  <r>
    <x v="23"/>
    <x v="1"/>
    <s v="TX-102539"/>
    <x v="0"/>
    <x v="0"/>
    <x v="3"/>
    <n v="8145.36"/>
    <n v="0"/>
    <x v="2537"/>
    <x v="2"/>
    <s v="Cuenta Corriente"/>
    <s v="Efectivo"/>
    <s v="Pagado"/>
  </r>
  <r>
    <x v="307"/>
    <x v="11"/>
    <s v="TX-102540"/>
    <x v="0"/>
    <x v="0"/>
    <x v="3"/>
    <n v="2569.08"/>
    <n v="0"/>
    <x v="2538"/>
    <x v="3"/>
    <s v="Cuenta Corriente"/>
    <s v="Tarjeta Crédito"/>
    <s v="Pagado"/>
  </r>
  <r>
    <x v="24"/>
    <x v="10"/>
    <s v="TX-102541"/>
    <x v="5"/>
    <x v="1"/>
    <x v="5"/>
    <n v="2755.67"/>
    <n v="358.24"/>
    <x v="2539"/>
    <x v="4"/>
    <s v="Cuenta Ahorros"/>
    <s v="Transferencia"/>
    <s v="Pendiente"/>
  </r>
  <r>
    <x v="253"/>
    <x v="6"/>
    <s v="TX-102542"/>
    <x v="8"/>
    <x v="1"/>
    <x v="0"/>
    <n v="5400.84"/>
    <n v="702.11"/>
    <x v="2540"/>
    <x v="0"/>
    <s v="Tarjeta Crédito Empresarial"/>
    <s v="Tarjeta Crédito"/>
    <s v="Pagado"/>
  </r>
  <r>
    <x v="17"/>
    <x v="10"/>
    <s v="TX-102543"/>
    <x v="9"/>
    <x v="1"/>
    <x v="1"/>
    <n v="10908.03"/>
    <n v="1418.04"/>
    <x v="2541"/>
    <x v="2"/>
    <s v="Cuenta Ahorros"/>
    <s v="Transferencia"/>
    <s v="Pagado"/>
  </r>
  <r>
    <x v="209"/>
    <x v="1"/>
    <s v="TX-102544"/>
    <x v="18"/>
    <x v="1"/>
    <x v="0"/>
    <n v="5238.09"/>
    <n v="680.95"/>
    <x v="2542"/>
    <x v="2"/>
    <s v="Cuenta Corriente"/>
    <s v="Tarjeta Crédito"/>
    <s v="Pendiente"/>
  </r>
  <r>
    <x v="39"/>
    <x v="8"/>
    <s v="TX-102545"/>
    <x v="14"/>
    <x v="1"/>
    <x v="1"/>
    <n v="11883.61"/>
    <n v="1544.87"/>
    <x v="2543"/>
    <x v="2"/>
    <s v="Cuenta Corriente"/>
    <s v="Tarjeta Crédito"/>
    <s v="Pendiente"/>
  </r>
  <r>
    <x v="22"/>
    <x v="10"/>
    <s v="TX-102546"/>
    <x v="19"/>
    <x v="0"/>
    <x v="0"/>
    <n v="486.7"/>
    <n v="0"/>
    <x v="2544"/>
    <x v="3"/>
    <s v="Cuenta Corriente"/>
    <s v="Transferencia"/>
    <s v="Pendiente"/>
  </r>
  <r>
    <x v="108"/>
    <x v="0"/>
    <s v="TX-102547"/>
    <x v="19"/>
    <x v="0"/>
    <x v="6"/>
    <n v="3676.64"/>
    <n v="0"/>
    <x v="2545"/>
    <x v="0"/>
    <s v="Cuenta Ahorros"/>
    <s v="Tarjeta Débito"/>
    <s v="Pagado"/>
  </r>
  <r>
    <x v="156"/>
    <x v="4"/>
    <s v="TX-102548"/>
    <x v="17"/>
    <x v="0"/>
    <x v="3"/>
    <n v="12008.02"/>
    <n v="0"/>
    <x v="2546"/>
    <x v="4"/>
    <s v="Tarjeta Crédito Empresarial"/>
    <s v="Transferencia"/>
    <s v="Pagado"/>
  </r>
  <r>
    <x v="299"/>
    <x v="9"/>
    <s v="TX-102549"/>
    <x v="11"/>
    <x v="1"/>
    <x v="1"/>
    <n v="5813.61"/>
    <n v="755.77"/>
    <x v="2547"/>
    <x v="1"/>
    <s v="Tarjeta Crédito Empresarial"/>
    <s v="Transferencia"/>
    <s v="Pagado"/>
  </r>
  <r>
    <x v="105"/>
    <x v="5"/>
    <s v="TX-102550"/>
    <x v="4"/>
    <x v="1"/>
    <x v="5"/>
    <n v="1505.34"/>
    <n v="195.69"/>
    <x v="2548"/>
    <x v="0"/>
    <s v="Tarjeta Crédito Empresarial"/>
    <s v="Efectivo"/>
    <s v="Pendiente"/>
  </r>
  <r>
    <x v="191"/>
    <x v="10"/>
    <s v="TX-102551"/>
    <x v="15"/>
    <x v="1"/>
    <x v="6"/>
    <n v="12224.1"/>
    <n v="1589.13"/>
    <x v="2549"/>
    <x v="2"/>
    <s v="Cuenta Ahorros"/>
    <s v="Efectivo"/>
    <s v="Pendiente"/>
  </r>
  <r>
    <x v="220"/>
    <x v="1"/>
    <s v="TX-102552"/>
    <x v="10"/>
    <x v="0"/>
    <x v="5"/>
    <n v="8659.89"/>
    <n v="0"/>
    <x v="2550"/>
    <x v="1"/>
    <s v="Tarjeta Crédito Empresarial"/>
    <s v="Efectivo"/>
    <s v="Pagado"/>
  </r>
  <r>
    <x v="221"/>
    <x v="0"/>
    <s v="TX-102553"/>
    <x v="8"/>
    <x v="1"/>
    <x v="3"/>
    <n v="270.85000000000002"/>
    <n v="35.21"/>
    <x v="2551"/>
    <x v="3"/>
    <s v="Cuenta Ahorros"/>
    <s v="Tarjeta Crédito"/>
    <s v="Pendiente"/>
  </r>
  <r>
    <x v="318"/>
    <x v="3"/>
    <s v="TX-102554"/>
    <x v="12"/>
    <x v="1"/>
    <x v="7"/>
    <n v="11354.38"/>
    <n v="1476.07"/>
    <x v="2552"/>
    <x v="1"/>
    <s v="Cuenta Corriente"/>
    <s v="Transferencia"/>
    <s v="Pendiente"/>
  </r>
  <r>
    <x v="250"/>
    <x v="7"/>
    <s v="TX-102555"/>
    <x v="16"/>
    <x v="0"/>
    <x v="3"/>
    <n v="1443.84"/>
    <n v="0"/>
    <x v="2553"/>
    <x v="1"/>
    <s v="Tarjeta Crédito Empresarial"/>
    <s v="Transferencia"/>
    <s v="Pendiente"/>
  </r>
  <r>
    <x v="247"/>
    <x v="11"/>
    <s v="TX-102556"/>
    <x v="14"/>
    <x v="0"/>
    <x v="0"/>
    <n v="9543.52"/>
    <n v="0"/>
    <x v="2554"/>
    <x v="2"/>
    <s v="Cuenta Corriente"/>
    <s v="Efectivo"/>
    <s v="Pendiente"/>
  </r>
  <r>
    <x v="201"/>
    <x v="8"/>
    <s v="TX-102557"/>
    <x v="19"/>
    <x v="0"/>
    <x v="4"/>
    <n v="4076.83"/>
    <n v="0"/>
    <x v="2555"/>
    <x v="1"/>
    <s v="Cuenta Corriente"/>
    <s v="Tarjeta Crédito"/>
    <s v="Pagado"/>
  </r>
  <r>
    <x v="219"/>
    <x v="2"/>
    <s v="TX-102558"/>
    <x v="16"/>
    <x v="1"/>
    <x v="5"/>
    <n v="13519.26"/>
    <n v="1757.5"/>
    <x v="2556"/>
    <x v="4"/>
    <s v="Cuenta Ahorros"/>
    <s v="Transferencia"/>
    <s v="Pagado"/>
  </r>
  <r>
    <x v="18"/>
    <x v="9"/>
    <s v="TX-102559"/>
    <x v="18"/>
    <x v="0"/>
    <x v="5"/>
    <n v="4651.82"/>
    <n v="0"/>
    <x v="2557"/>
    <x v="2"/>
    <s v="Cuenta Corriente"/>
    <s v="Efectivo"/>
    <s v="Pagado"/>
  </r>
  <r>
    <x v="25"/>
    <x v="10"/>
    <s v="TX-102560"/>
    <x v="4"/>
    <x v="0"/>
    <x v="6"/>
    <n v="6905.11"/>
    <n v="0"/>
    <x v="2558"/>
    <x v="3"/>
    <s v="Cuenta Ahorros"/>
    <s v="Tarjeta Débito"/>
    <s v="Pendiente"/>
  </r>
  <r>
    <x v="358"/>
    <x v="8"/>
    <s v="TX-102561"/>
    <x v="10"/>
    <x v="1"/>
    <x v="4"/>
    <n v="2509.91"/>
    <n v="326.29000000000002"/>
    <x v="2559"/>
    <x v="3"/>
    <s v="Cuenta Corriente"/>
    <s v="Tarjeta Débito"/>
    <s v="Pagado"/>
  </r>
  <r>
    <x v="273"/>
    <x v="7"/>
    <s v="TX-102562"/>
    <x v="19"/>
    <x v="0"/>
    <x v="4"/>
    <n v="5414.6"/>
    <n v="0"/>
    <x v="2560"/>
    <x v="3"/>
    <s v="Cuenta Ahorros"/>
    <s v="Tarjeta Débito"/>
    <s v="Pendiente"/>
  </r>
  <r>
    <x v="21"/>
    <x v="2"/>
    <s v="TX-102563"/>
    <x v="0"/>
    <x v="0"/>
    <x v="1"/>
    <n v="13679.14"/>
    <n v="0"/>
    <x v="2561"/>
    <x v="0"/>
    <s v="Cuenta Ahorros"/>
    <s v="Efectivo"/>
    <s v="Pagado"/>
  </r>
  <r>
    <x v="306"/>
    <x v="2"/>
    <s v="TX-102564"/>
    <x v="6"/>
    <x v="1"/>
    <x v="2"/>
    <n v="7306.33"/>
    <n v="949.82"/>
    <x v="2562"/>
    <x v="0"/>
    <s v="Cuenta Corriente"/>
    <s v="Tarjeta Débito"/>
    <s v="Pagado"/>
  </r>
  <r>
    <x v="157"/>
    <x v="2"/>
    <s v="TX-102565"/>
    <x v="18"/>
    <x v="0"/>
    <x v="7"/>
    <n v="8146.53"/>
    <n v="0"/>
    <x v="2563"/>
    <x v="3"/>
    <s v="Cuenta Ahorros"/>
    <s v="Tarjeta Débito"/>
    <s v="Pagado"/>
  </r>
  <r>
    <x v="122"/>
    <x v="1"/>
    <s v="TX-102566"/>
    <x v="7"/>
    <x v="1"/>
    <x v="7"/>
    <n v="12883.65"/>
    <n v="1674.87"/>
    <x v="2564"/>
    <x v="1"/>
    <s v="Cuenta Corriente"/>
    <s v="Tarjeta Débito"/>
    <s v="Pendiente"/>
  </r>
  <r>
    <x v="307"/>
    <x v="11"/>
    <s v="TX-102567"/>
    <x v="5"/>
    <x v="1"/>
    <x v="0"/>
    <n v="8816.2199999999993"/>
    <n v="1146.1099999999999"/>
    <x v="2565"/>
    <x v="3"/>
    <s v="Cuenta Ahorros"/>
    <s v="Tarjeta Crédito"/>
    <s v="Pagado"/>
  </r>
  <r>
    <x v="25"/>
    <x v="10"/>
    <s v="TX-102568"/>
    <x v="14"/>
    <x v="1"/>
    <x v="3"/>
    <n v="1473.53"/>
    <n v="191.56"/>
    <x v="2566"/>
    <x v="3"/>
    <s v="Cuenta Corriente"/>
    <s v="Tarjeta Débito"/>
    <s v="Pagado"/>
  </r>
  <r>
    <x v="113"/>
    <x v="0"/>
    <s v="TX-102569"/>
    <x v="3"/>
    <x v="1"/>
    <x v="7"/>
    <n v="9082.7199999999993"/>
    <n v="1180.75"/>
    <x v="2567"/>
    <x v="0"/>
    <s v="Cuenta Corriente"/>
    <s v="Transferencia"/>
    <s v="Pagado"/>
  </r>
  <r>
    <x v="268"/>
    <x v="2"/>
    <s v="TX-102570"/>
    <x v="14"/>
    <x v="0"/>
    <x v="3"/>
    <n v="1536.78"/>
    <n v="0"/>
    <x v="2568"/>
    <x v="4"/>
    <s v="Cuenta Ahorros"/>
    <s v="Efectivo"/>
    <s v="Pendiente"/>
  </r>
  <r>
    <x v="278"/>
    <x v="9"/>
    <s v="TX-102571"/>
    <x v="18"/>
    <x v="0"/>
    <x v="6"/>
    <n v="14548.92"/>
    <n v="0"/>
    <x v="2569"/>
    <x v="3"/>
    <s v="Tarjeta Crédito Empresarial"/>
    <s v="Efectivo"/>
    <s v="Pagado"/>
  </r>
  <r>
    <x v="257"/>
    <x v="7"/>
    <s v="TX-102572"/>
    <x v="0"/>
    <x v="0"/>
    <x v="6"/>
    <n v="10918"/>
    <n v="0"/>
    <x v="2570"/>
    <x v="4"/>
    <s v="Tarjeta Crédito Empresarial"/>
    <s v="Tarjeta Débito"/>
    <s v="Pagado"/>
  </r>
  <r>
    <x v="54"/>
    <x v="3"/>
    <s v="TX-102573"/>
    <x v="13"/>
    <x v="0"/>
    <x v="2"/>
    <n v="4308.71"/>
    <n v="0"/>
    <x v="2571"/>
    <x v="2"/>
    <s v="Cuenta Ahorros"/>
    <s v="Tarjeta Crédito"/>
    <s v="Pagado"/>
  </r>
  <r>
    <x v="129"/>
    <x v="9"/>
    <s v="TX-102574"/>
    <x v="10"/>
    <x v="1"/>
    <x v="4"/>
    <n v="14177.46"/>
    <n v="1843.07"/>
    <x v="2572"/>
    <x v="4"/>
    <s v="Tarjeta Crédito Empresarial"/>
    <s v="Transferencia"/>
    <s v="Pagado"/>
  </r>
  <r>
    <x v="277"/>
    <x v="9"/>
    <s v="TX-102575"/>
    <x v="13"/>
    <x v="0"/>
    <x v="3"/>
    <n v="10686.9"/>
    <n v="0"/>
    <x v="2573"/>
    <x v="3"/>
    <s v="Cuenta Ahorros"/>
    <s v="Tarjeta Débito"/>
    <s v="Pendiente"/>
  </r>
  <r>
    <x v="2"/>
    <x v="2"/>
    <s v="TX-102576"/>
    <x v="18"/>
    <x v="1"/>
    <x v="1"/>
    <n v="11767.11"/>
    <n v="1529.72"/>
    <x v="2574"/>
    <x v="0"/>
    <s v="Cuenta Corriente"/>
    <s v="Tarjeta Crédito"/>
    <s v="Pendiente"/>
  </r>
  <r>
    <x v="175"/>
    <x v="4"/>
    <s v="TX-102577"/>
    <x v="15"/>
    <x v="1"/>
    <x v="1"/>
    <n v="2380.4"/>
    <n v="309.45"/>
    <x v="2575"/>
    <x v="3"/>
    <s v="Tarjeta Crédito Empresarial"/>
    <s v="Transferencia"/>
    <s v="Pendiente"/>
  </r>
  <r>
    <x v="162"/>
    <x v="11"/>
    <s v="TX-102578"/>
    <x v="4"/>
    <x v="0"/>
    <x v="1"/>
    <n v="5826.41"/>
    <n v="0"/>
    <x v="2576"/>
    <x v="1"/>
    <s v="Cuenta Corriente"/>
    <s v="Tarjeta Crédito"/>
    <s v="Pagado"/>
  </r>
  <r>
    <x v="312"/>
    <x v="3"/>
    <s v="TX-102579"/>
    <x v="14"/>
    <x v="1"/>
    <x v="7"/>
    <n v="1890.41"/>
    <n v="245.75"/>
    <x v="2577"/>
    <x v="0"/>
    <s v="Cuenta Corriente"/>
    <s v="Transferencia"/>
    <s v="Pagado"/>
  </r>
  <r>
    <x v="90"/>
    <x v="11"/>
    <s v="TX-102580"/>
    <x v="4"/>
    <x v="0"/>
    <x v="6"/>
    <n v="6240.57"/>
    <n v="0"/>
    <x v="2578"/>
    <x v="3"/>
    <s v="Cuenta Corriente"/>
    <s v="Tarjeta Crédito"/>
    <s v="Pagado"/>
  </r>
  <r>
    <x v="175"/>
    <x v="4"/>
    <s v="TX-102581"/>
    <x v="12"/>
    <x v="1"/>
    <x v="1"/>
    <n v="482.32"/>
    <n v="62.7"/>
    <x v="2579"/>
    <x v="1"/>
    <s v="Cuenta Ahorros"/>
    <s v="Tarjeta Débito"/>
    <s v="Pagado"/>
  </r>
  <r>
    <x v="299"/>
    <x v="9"/>
    <s v="TX-102582"/>
    <x v="1"/>
    <x v="1"/>
    <x v="5"/>
    <n v="3931.81"/>
    <n v="511.14"/>
    <x v="2580"/>
    <x v="0"/>
    <s v="Tarjeta Crédito Empresarial"/>
    <s v="Efectivo"/>
    <s v="Pendiente"/>
  </r>
  <r>
    <x v="254"/>
    <x v="5"/>
    <s v="TX-102583"/>
    <x v="14"/>
    <x v="0"/>
    <x v="4"/>
    <n v="1594.06"/>
    <n v="0"/>
    <x v="2581"/>
    <x v="0"/>
    <s v="Cuenta Corriente"/>
    <s v="Efectivo"/>
    <s v="Pendiente"/>
  </r>
  <r>
    <x v="227"/>
    <x v="11"/>
    <s v="TX-102584"/>
    <x v="2"/>
    <x v="1"/>
    <x v="6"/>
    <n v="13437.98"/>
    <n v="1746.94"/>
    <x v="2582"/>
    <x v="4"/>
    <s v="Cuenta Corriente"/>
    <s v="Transferencia"/>
    <s v="Pagado"/>
  </r>
  <r>
    <x v="296"/>
    <x v="8"/>
    <s v="TX-102585"/>
    <x v="10"/>
    <x v="0"/>
    <x v="6"/>
    <n v="2496.83"/>
    <n v="0"/>
    <x v="2583"/>
    <x v="1"/>
    <s v="Cuenta Ahorros"/>
    <s v="Tarjeta Débito"/>
    <s v="Pendiente"/>
  </r>
  <r>
    <x v="196"/>
    <x v="11"/>
    <s v="TX-102586"/>
    <x v="12"/>
    <x v="0"/>
    <x v="2"/>
    <n v="12091.96"/>
    <n v="0"/>
    <x v="2584"/>
    <x v="4"/>
    <s v="Cuenta Ahorros"/>
    <s v="Tarjeta Crédito"/>
    <s v="Pendiente"/>
  </r>
  <r>
    <x v="27"/>
    <x v="9"/>
    <s v="TX-102587"/>
    <x v="5"/>
    <x v="0"/>
    <x v="6"/>
    <n v="10105.99"/>
    <n v="0"/>
    <x v="2585"/>
    <x v="1"/>
    <s v="Tarjeta Crédito Empresarial"/>
    <s v="Efectivo"/>
    <s v="Pendiente"/>
  </r>
  <r>
    <x v="2"/>
    <x v="2"/>
    <s v="TX-102588"/>
    <x v="4"/>
    <x v="0"/>
    <x v="4"/>
    <n v="8850.77"/>
    <n v="0"/>
    <x v="2586"/>
    <x v="4"/>
    <s v="Cuenta Ahorros"/>
    <s v="Tarjeta Crédito"/>
    <s v="Pendiente"/>
  </r>
  <r>
    <x v="75"/>
    <x v="9"/>
    <s v="TX-102589"/>
    <x v="0"/>
    <x v="0"/>
    <x v="3"/>
    <n v="9400.84"/>
    <n v="0"/>
    <x v="2587"/>
    <x v="3"/>
    <s v="Cuenta Ahorros"/>
    <s v="Tarjeta Débito"/>
    <s v="Pendiente"/>
  </r>
  <r>
    <x v="315"/>
    <x v="5"/>
    <s v="TX-102590"/>
    <x v="7"/>
    <x v="0"/>
    <x v="2"/>
    <n v="2187.77"/>
    <n v="0"/>
    <x v="2588"/>
    <x v="3"/>
    <s v="Cuenta Ahorros"/>
    <s v="Tarjeta Débito"/>
    <s v="Pendiente"/>
  </r>
  <r>
    <x v="6"/>
    <x v="5"/>
    <s v="TX-102591"/>
    <x v="13"/>
    <x v="1"/>
    <x v="0"/>
    <n v="11108.44"/>
    <n v="1444.1"/>
    <x v="2589"/>
    <x v="3"/>
    <s v="Tarjeta Crédito Empresarial"/>
    <s v="Efectivo"/>
    <s v="Pagado"/>
  </r>
  <r>
    <x v="339"/>
    <x v="0"/>
    <s v="TX-102592"/>
    <x v="17"/>
    <x v="1"/>
    <x v="2"/>
    <n v="2008.31"/>
    <n v="261.08"/>
    <x v="2590"/>
    <x v="2"/>
    <s v="Cuenta Ahorros"/>
    <s v="Tarjeta Crédito"/>
    <s v="Pagado"/>
  </r>
  <r>
    <x v="344"/>
    <x v="8"/>
    <s v="TX-102593"/>
    <x v="14"/>
    <x v="1"/>
    <x v="4"/>
    <n v="13400.04"/>
    <n v="1742.01"/>
    <x v="2591"/>
    <x v="0"/>
    <s v="Tarjeta Crédito Empresarial"/>
    <s v="Transferencia"/>
    <s v="Pendiente"/>
  </r>
  <r>
    <x v="214"/>
    <x v="11"/>
    <s v="TX-102594"/>
    <x v="13"/>
    <x v="0"/>
    <x v="5"/>
    <n v="5635.03"/>
    <n v="0"/>
    <x v="2592"/>
    <x v="2"/>
    <s v="Tarjeta Crédito Empresarial"/>
    <s v="Transferencia"/>
    <s v="Pendiente"/>
  </r>
  <r>
    <x v="358"/>
    <x v="8"/>
    <s v="TX-102595"/>
    <x v="5"/>
    <x v="1"/>
    <x v="5"/>
    <n v="1449.43"/>
    <n v="188.43"/>
    <x v="2593"/>
    <x v="0"/>
    <s v="Tarjeta Crédito Empresarial"/>
    <s v="Tarjeta Débito"/>
    <s v="Pagado"/>
  </r>
  <r>
    <x v="324"/>
    <x v="5"/>
    <s v="TX-102596"/>
    <x v="6"/>
    <x v="1"/>
    <x v="1"/>
    <n v="13900.65"/>
    <n v="1807.08"/>
    <x v="2594"/>
    <x v="2"/>
    <s v="Cuenta Ahorros"/>
    <s v="Transferencia"/>
    <s v="Pendiente"/>
  </r>
  <r>
    <x v="59"/>
    <x v="3"/>
    <s v="TX-102597"/>
    <x v="7"/>
    <x v="0"/>
    <x v="1"/>
    <n v="5961.59"/>
    <n v="0"/>
    <x v="2595"/>
    <x v="4"/>
    <s v="Tarjeta Crédito Empresarial"/>
    <s v="Tarjeta Débito"/>
    <s v="Pendiente"/>
  </r>
  <r>
    <x v="288"/>
    <x v="2"/>
    <s v="TX-102598"/>
    <x v="0"/>
    <x v="1"/>
    <x v="2"/>
    <n v="14827.17"/>
    <n v="1927.53"/>
    <x v="2596"/>
    <x v="3"/>
    <s v="Cuenta Corriente"/>
    <s v="Tarjeta Crédito"/>
    <s v="Pendiente"/>
  </r>
  <r>
    <x v="8"/>
    <x v="7"/>
    <s v="TX-102599"/>
    <x v="15"/>
    <x v="0"/>
    <x v="0"/>
    <n v="3108.66"/>
    <n v="0"/>
    <x v="2597"/>
    <x v="1"/>
    <s v="Cuenta Ahorros"/>
    <s v="Efectivo"/>
    <s v="Pagado"/>
  </r>
  <r>
    <x v="290"/>
    <x v="6"/>
    <s v="TX-102600"/>
    <x v="11"/>
    <x v="0"/>
    <x v="7"/>
    <n v="10870.54"/>
    <n v="0"/>
    <x v="2598"/>
    <x v="3"/>
    <s v="Tarjeta Crédito Empresarial"/>
    <s v="Tarjeta Débito"/>
    <s v="Pendiente"/>
  </r>
  <r>
    <x v="360"/>
    <x v="6"/>
    <s v="TX-102601"/>
    <x v="3"/>
    <x v="0"/>
    <x v="4"/>
    <n v="13365.26"/>
    <n v="0"/>
    <x v="2599"/>
    <x v="4"/>
    <s v="Cuenta Corriente"/>
    <s v="Tarjeta Crédito"/>
    <s v="Pendiente"/>
  </r>
  <r>
    <x v="268"/>
    <x v="2"/>
    <s v="TX-102602"/>
    <x v="2"/>
    <x v="1"/>
    <x v="2"/>
    <n v="13012.95"/>
    <n v="1691.68"/>
    <x v="2600"/>
    <x v="2"/>
    <s v="Tarjeta Crédito Empresarial"/>
    <s v="Tarjeta Crédito"/>
    <s v="Pagado"/>
  </r>
  <r>
    <x v="18"/>
    <x v="9"/>
    <s v="TX-102603"/>
    <x v="3"/>
    <x v="1"/>
    <x v="1"/>
    <n v="1207.81"/>
    <n v="157.02000000000001"/>
    <x v="2601"/>
    <x v="2"/>
    <s v="Cuenta Ahorros"/>
    <s v="Transferencia"/>
    <s v="Pendiente"/>
  </r>
  <r>
    <x v="227"/>
    <x v="11"/>
    <s v="TX-102604"/>
    <x v="4"/>
    <x v="1"/>
    <x v="1"/>
    <n v="3290.22"/>
    <n v="427.73"/>
    <x v="2602"/>
    <x v="0"/>
    <s v="Tarjeta Crédito Empresarial"/>
    <s v="Transferencia"/>
    <s v="Pendiente"/>
  </r>
  <r>
    <x v="124"/>
    <x v="4"/>
    <s v="TX-102605"/>
    <x v="18"/>
    <x v="1"/>
    <x v="4"/>
    <n v="968.47"/>
    <n v="125.9"/>
    <x v="2603"/>
    <x v="3"/>
    <s v="Cuenta Ahorros"/>
    <s v="Efectivo"/>
    <s v="Pendiente"/>
  </r>
  <r>
    <x v="31"/>
    <x v="6"/>
    <s v="TX-102606"/>
    <x v="18"/>
    <x v="1"/>
    <x v="6"/>
    <n v="2904.44"/>
    <n v="377.58"/>
    <x v="2604"/>
    <x v="3"/>
    <s v="Cuenta Ahorros"/>
    <s v="Tarjeta Débito"/>
    <s v="Pendiente"/>
  </r>
  <r>
    <x v="327"/>
    <x v="7"/>
    <s v="TX-102607"/>
    <x v="13"/>
    <x v="0"/>
    <x v="6"/>
    <n v="7610"/>
    <n v="0"/>
    <x v="2605"/>
    <x v="3"/>
    <s v="Tarjeta Crédito Empresarial"/>
    <s v="Transferencia"/>
    <s v="Pagado"/>
  </r>
  <r>
    <x v="339"/>
    <x v="0"/>
    <s v="TX-102608"/>
    <x v="4"/>
    <x v="0"/>
    <x v="3"/>
    <n v="4263.3900000000003"/>
    <n v="0"/>
    <x v="2606"/>
    <x v="1"/>
    <s v="Cuenta Ahorros"/>
    <s v="Tarjeta Crédito"/>
    <s v="Pagado"/>
  </r>
  <r>
    <x v="256"/>
    <x v="5"/>
    <s v="TX-102609"/>
    <x v="19"/>
    <x v="1"/>
    <x v="5"/>
    <n v="13334.23"/>
    <n v="1733.45"/>
    <x v="2607"/>
    <x v="3"/>
    <s v="Cuenta Ahorros"/>
    <s v="Tarjeta Débito"/>
    <s v="Pendiente"/>
  </r>
  <r>
    <x v="180"/>
    <x v="3"/>
    <s v="TX-102610"/>
    <x v="15"/>
    <x v="1"/>
    <x v="2"/>
    <n v="5518.91"/>
    <n v="717.46"/>
    <x v="2608"/>
    <x v="1"/>
    <s v="Tarjeta Crédito Empresarial"/>
    <s v="Efectivo"/>
    <s v="Pagado"/>
  </r>
  <r>
    <x v="249"/>
    <x v="10"/>
    <s v="TX-102611"/>
    <x v="19"/>
    <x v="0"/>
    <x v="3"/>
    <n v="6606.18"/>
    <n v="0"/>
    <x v="2609"/>
    <x v="0"/>
    <s v="Cuenta Corriente"/>
    <s v="Tarjeta Débito"/>
    <s v="Pagado"/>
  </r>
  <r>
    <x v="284"/>
    <x v="1"/>
    <s v="TX-102612"/>
    <x v="18"/>
    <x v="0"/>
    <x v="1"/>
    <n v="10805.29"/>
    <n v="0"/>
    <x v="2610"/>
    <x v="2"/>
    <s v="Tarjeta Crédito Empresarial"/>
    <s v="Tarjeta Débito"/>
    <s v="Pendiente"/>
  </r>
  <r>
    <x v="117"/>
    <x v="8"/>
    <s v="TX-102613"/>
    <x v="9"/>
    <x v="0"/>
    <x v="2"/>
    <n v="8841.5300000000007"/>
    <n v="0"/>
    <x v="2611"/>
    <x v="2"/>
    <s v="Cuenta Ahorros"/>
    <s v="Tarjeta Débito"/>
    <s v="Pendiente"/>
  </r>
  <r>
    <x v="333"/>
    <x v="10"/>
    <s v="TX-102614"/>
    <x v="3"/>
    <x v="1"/>
    <x v="0"/>
    <n v="8698.61"/>
    <n v="1130.82"/>
    <x v="2612"/>
    <x v="0"/>
    <s v="Cuenta Corriente"/>
    <s v="Tarjeta Crédito"/>
    <s v="Pagado"/>
  </r>
  <r>
    <x v="71"/>
    <x v="5"/>
    <s v="TX-102615"/>
    <x v="7"/>
    <x v="1"/>
    <x v="2"/>
    <n v="7048.46"/>
    <n v="916.3"/>
    <x v="2613"/>
    <x v="1"/>
    <s v="Cuenta Ahorros"/>
    <s v="Transferencia"/>
    <s v="Pagado"/>
  </r>
  <r>
    <x v="118"/>
    <x v="11"/>
    <s v="TX-102616"/>
    <x v="4"/>
    <x v="0"/>
    <x v="3"/>
    <n v="6444.97"/>
    <n v="0"/>
    <x v="2614"/>
    <x v="0"/>
    <s v="Cuenta Corriente"/>
    <s v="Transferencia"/>
    <s v="Pagado"/>
  </r>
  <r>
    <x v="344"/>
    <x v="8"/>
    <s v="TX-102617"/>
    <x v="14"/>
    <x v="0"/>
    <x v="0"/>
    <n v="2405.9699999999998"/>
    <n v="0"/>
    <x v="2615"/>
    <x v="4"/>
    <s v="Cuenta Ahorros"/>
    <s v="Efectivo"/>
    <s v="Pendiente"/>
  </r>
  <r>
    <x v="229"/>
    <x v="5"/>
    <s v="TX-102618"/>
    <x v="9"/>
    <x v="0"/>
    <x v="2"/>
    <n v="9587.67"/>
    <n v="0"/>
    <x v="2616"/>
    <x v="3"/>
    <s v="Cuenta Corriente"/>
    <s v="Tarjeta Crédito"/>
    <s v="Pagado"/>
  </r>
  <r>
    <x v="122"/>
    <x v="1"/>
    <s v="TX-102619"/>
    <x v="17"/>
    <x v="0"/>
    <x v="2"/>
    <n v="14525.8"/>
    <n v="0"/>
    <x v="2617"/>
    <x v="0"/>
    <s v="Cuenta Ahorros"/>
    <s v="Tarjeta Débito"/>
    <s v="Pagado"/>
  </r>
  <r>
    <x v="250"/>
    <x v="7"/>
    <s v="TX-102620"/>
    <x v="16"/>
    <x v="1"/>
    <x v="7"/>
    <n v="11494.61"/>
    <n v="1494.3"/>
    <x v="2618"/>
    <x v="0"/>
    <s v="Tarjeta Crédito Empresarial"/>
    <s v="Tarjeta Débito"/>
    <s v="Pendiente"/>
  </r>
  <r>
    <x v="307"/>
    <x v="11"/>
    <s v="TX-102621"/>
    <x v="13"/>
    <x v="0"/>
    <x v="2"/>
    <n v="1857.02"/>
    <n v="0"/>
    <x v="2619"/>
    <x v="2"/>
    <s v="Cuenta Corriente"/>
    <s v="Tarjeta Crédito"/>
    <s v="Pagado"/>
  </r>
  <r>
    <x v="313"/>
    <x v="6"/>
    <s v="TX-102622"/>
    <x v="4"/>
    <x v="0"/>
    <x v="0"/>
    <n v="66.400000000000006"/>
    <n v="0"/>
    <x v="2620"/>
    <x v="3"/>
    <s v="Cuenta Corriente"/>
    <s v="Efectivo"/>
    <s v="Pagado"/>
  </r>
  <r>
    <x v="287"/>
    <x v="4"/>
    <s v="TX-102623"/>
    <x v="1"/>
    <x v="1"/>
    <x v="5"/>
    <n v="10759.1"/>
    <n v="1398.68"/>
    <x v="2621"/>
    <x v="4"/>
    <s v="Cuenta Corriente"/>
    <s v="Tarjeta Crédito"/>
    <s v="Pendiente"/>
  </r>
  <r>
    <x v="62"/>
    <x v="11"/>
    <s v="TX-102624"/>
    <x v="12"/>
    <x v="1"/>
    <x v="6"/>
    <n v="11095.95"/>
    <n v="1442.47"/>
    <x v="2622"/>
    <x v="1"/>
    <s v="Cuenta Ahorros"/>
    <s v="Transferencia"/>
    <s v="Pendiente"/>
  </r>
  <r>
    <x v="229"/>
    <x v="5"/>
    <s v="TX-102625"/>
    <x v="19"/>
    <x v="0"/>
    <x v="2"/>
    <n v="5674.16"/>
    <n v="0"/>
    <x v="2623"/>
    <x v="0"/>
    <s v="Cuenta Ahorros"/>
    <s v="Tarjeta Crédito"/>
    <s v="Pendiente"/>
  </r>
  <r>
    <x v="316"/>
    <x v="6"/>
    <s v="TX-102626"/>
    <x v="13"/>
    <x v="0"/>
    <x v="4"/>
    <n v="658.34"/>
    <n v="0"/>
    <x v="2624"/>
    <x v="1"/>
    <s v="Tarjeta Crédito Empresarial"/>
    <s v="Tarjeta Débito"/>
    <s v="Pagado"/>
  </r>
  <r>
    <x v="147"/>
    <x v="3"/>
    <s v="TX-102627"/>
    <x v="17"/>
    <x v="1"/>
    <x v="1"/>
    <n v="9244.15"/>
    <n v="1201.74"/>
    <x v="2625"/>
    <x v="4"/>
    <s v="Cuenta Corriente"/>
    <s v="Tarjeta Crédito"/>
    <s v="Pagado"/>
  </r>
  <r>
    <x v="285"/>
    <x v="5"/>
    <s v="TX-102628"/>
    <x v="8"/>
    <x v="1"/>
    <x v="7"/>
    <n v="9380.94"/>
    <n v="1219.52"/>
    <x v="2626"/>
    <x v="4"/>
    <s v="Cuenta Corriente"/>
    <s v="Transferencia"/>
    <s v="Pagado"/>
  </r>
  <r>
    <x v="325"/>
    <x v="5"/>
    <s v="TX-102629"/>
    <x v="12"/>
    <x v="1"/>
    <x v="7"/>
    <n v="367.71"/>
    <n v="47.8"/>
    <x v="2627"/>
    <x v="2"/>
    <s v="Cuenta Ahorros"/>
    <s v="Tarjeta Débito"/>
    <s v="Pendiente"/>
  </r>
  <r>
    <x v="171"/>
    <x v="10"/>
    <s v="TX-102630"/>
    <x v="1"/>
    <x v="0"/>
    <x v="7"/>
    <n v="11839.43"/>
    <n v="0"/>
    <x v="2628"/>
    <x v="3"/>
    <s v="Cuenta Corriente"/>
    <s v="Tarjeta Crédito"/>
    <s v="Pagado"/>
  </r>
  <r>
    <x v="288"/>
    <x v="2"/>
    <s v="TX-102631"/>
    <x v="0"/>
    <x v="1"/>
    <x v="3"/>
    <n v="10647.15"/>
    <n v="1384.13"/>
    <x v="2629"/>
    <x v="1"/>
    <s v="Cuenta Corriente"/>
    <s v="Transferencia"/>
    <s v="Pagado"/>
  </r>
  <r>
    <x v="11"/>
    <x v="8"/>
    <s v="TX-102632"/>
    <x v="15"/>
    <x v="0"/>
    <x v="0"/>
    <n v="10057.9"/>
    <n v="0"/>
    <x v="2630"/>
    <x v="2"/>
    <s v="Tarjeta Crédito Empresarial"/>
    <s v="Efectivo"/>
    <s v="Pagado"/>
  </r>
  <r>
    <x v="234"/>
    <x v="0"/>
    <s v="TX-102633"/>
    <x v="3"/>
    <x v="0"/>
    <x v="0"/>
    <n v="5404.44"/>
    <n v="0"/>
    <x v="2631"/>
    <x v="0"/>
    <s v="Cuenta Corriente"/>
    <s v="Transferencia"/>
    <s v="Pendiente"/>
  </r>
  <r>
    <x v="229"/>
    <x v="5"/>
    <s v="TX-102634"/>
    <x v="13"/>
    <x v="1"/>
    <x v="4"/>
    <n v="5796.84"/>
    <n v="753.59"/>
    <x v="2632"/>
    <x v="0"/>
    <s v="Cuenta Ahorros"/>
    <s v="Efectivo"/>
    <s v="Pendiente"/>
  </r>
  <r>
    <x v="328"/>
    <x v="11"/>
    <s v="TX-102635"/>
    <x v="14"/>
    <x v="1"/>
    <x v="0"/>
    <n v="1419.71"/>
    <n v="184.56"/>
    <x v="2633"/>
    <x v="4"/>
    <s v="Tarjeta Crédito Empresarial"/>
    <s v="Efectivo"/>
    <s v="Pendiente"/>
  </r>
  <r>
    <x v="32"/>
    <x v="9"/>
    <s v="TX-102636"/>
    <x v="16"/>
    <x v="1"/>
    <x v="4"/>
    <n v="5923.04"/>
    <n v="770"/>
    <x v="2634"/>
    <x v="2"/>
    <s v="Tarjeta Crédito Empresarial"/>
    <s v="Tarjeta Débito"/>
    <s v="Pendiente"/>
  </r>
  <r>
    <x v="237"/>
    <x v="5"/>
    <s v="TX-102637"/>
    <x v="9"/>
    <x v="1"/>
    <x v="1"/>
    <n v="12172.12"/>
    <n v="1582.38"/>
    <x v="2635"/>
    <x v="4"/>
    <s v="Cuenta Corriente"/>
    <s v="Efectivo"/>
    <s v="Pagado"/>
  </r>
  <r>
    <x v="226"/>
    <x v="10"/>
    <s v="TX-102638"/>
    <x v="9"/>
    <x v="0"/>
    <x v="1"/>
    <n v="4828.46"/>
    <n v="0"/>
    <x v="2636"/>
    <x v="3"/>
    <s v="Tarjeta Crédito Empresarial"/>
    <s v="Tarjeta Crédito"/>
    <s v="Pendiente"/>
  </r>
  <r>
    <x v="73"/>
    <x v="6"/>
    <s v="TX-102639"/>
    <x v="14"/>
    <x v="0"/>
    <x v="2"/>
    <n v="6039.63"/>
    <n v="0"/>
    <x v="2637"/>
    <x v="4"/>
    <s v="Tarjeta Crédito Empresarial"/>
    <s v="Transferencia"/>
    <s v="Pagado"/>
  </r>
  <r>
    <x v="337"/>
    <x v="5"/>
    <s v="TX-102640"/>
    <x v="3"/>
    <x v="0"/>
    <x v="0"/>
    <n v="5751.77"/>
    <n v="0"/>
    <x v="2638"/>
    <x v="4"/>
    <s v="Cuenta Corriente"/>
    <s v="Transferencia"/>
    <s v="Pagado"/>
  </r>
  <r>
    <x v="298"/>
    <x v="8"/>
    <s v="TX-102641"/>
    <x v="0"/>
    <x v="1"/>
    <x v="0"/>
    <n v="1036.2"/>
    <n v="134.71"/>
    <x v="2639"/>
    <x v="0"/>
    <s v="Cuenta Corriente"/>
    <s v="Transferencia"/>
    <s v="Pendiente"/>
  </r>
  <r>
    <x v="287"/>
    <x v="4"/>
    <s v="TX-102642"/>
    <x v="14"/>
    <x v="1"/>
    <x v="6"/>
    <n v="10500.35"/>
    <n v="1365.05"/>
    <x v="2640"/>
    <x v="3"/>
    <s v="Cuenta Ahorros"/>
    <s v="Tarjeta Débito"/>
    <s v="Pagado"/>
  </r>
  <r>
    <x v="141"/>
    <x v="8"/>
    <s v="TX-102643"/>
    <x v="0"/>
    <x v="0"/>
    <x v="0"/>
    <n v="9518.69"/>
    <n v="0"/>
    <x v="2641"/>
    <x v="1"/>
    <s v="Cuenta Corriente"/>
    <s v="Tarjeta Débito"/>
    <s v="Pendiente"/>
  </r>
  <r>
    <x v="274"/>
    <x v="2"/>
    <s v="TX-102644"/>
    <x v="16"/>
    <x v="1"/>
    <x v="2"/>
    <n v="2147.94"/>
    <n v="279.23"/>
    <x v="2642"/>
    <x v="1"/>
    <s v="Tarjeta Crédito Empresarial"/>
    <s v="Transferencia"/>
    <s v="Pendiente"/>
  </r>
  <r>
    <x v="244"/>
    <x v="9"/>
    <s v="TX-102645"/>
    <x v="13"/>
    <x v="0"/>
    <x v="7"/>
    <n v="12709.72"/>
    <n v="0"/>
    <x v="2643"/>
    <x v="4"/>
    <s v="Cuenta Corriente"/>
    <s v="Transferencia"/>
    <s v="Pagado"/>
  </r>
  <r>
    <x v="349"/>
    <x v="6"/>
    <s v="TX-102646"/>
    <x v="4"/>
    <x v="1"/>
    <x v="0"/>
    <n v="175.09"/>
    <n v="22.76"/>
    <x v="2644"/>
    <x v="1"/>
    <s v="Cuenta Ahorros"/>
    <s v="Tarjeta Débito"/>
    <s v="Pendiente"/>
  </r>
  <r>
    <x v="21"/>
    <x v="2"/>
    <s v="TX-102647"/>
    <x v="16"/>
    <x v="1"/>
    <x v="2"/>
    <n v="11217.59"/>
    <n v="1458.29"/>
    <x v="2645"/>
    <x v="1"/>
    <s v="Tarjeta Crédito Empresarial"/>
    <s v="Tarjeta Débito"/>
    <s v="Pendiente"/>
  </r>
  <r>
    <x v="118"/>
    <x v="11"/>
    <s v="TX-102648"/>
    <x v="8"/>
    <x v="1"/>
    <x v="2"/>
    <n v="6112.76"/>
    <n v="794.66"/>
    <x v="2646"/>
    <x v="1"/>
    <s v="Cuenta Ahorros"/>
    <s v="Transferencia"/>
    <s v="Pendiente"/>
  </r>
  <r>
    <x v="26"/>
    <x v="7"/>
    <s v="TX-102649"/>
    <x v="7"/>
    <x v="1"/>
    <x v="0"/>
    <n v="6167.05"/>
    <n v="801.72"/>
    <x v="2647"/>
    <x v="1"/>
    <s v="Tarjeta Crédito Empresarial"/>
    <s v="Tarjeta Crédito"/>
    <s v="Pagado"/>
  </r>
  <r>
    <x v="340"/>
    <x v="2"/>
    <s v="TX-102650"/>
    <x v="15"/>
    <x v="1"/>
    <x v="7"/>
    <n v="13868.56"/>
    <n v="1802.91"/>
    <x v="2648"/>
    <x v="0"/>
    <s v="Cuenta Corriente"/>
    <s v="Tarjeta Débito"/>
    <s v="Pendiente"/>
  </r>
  <r>
    <x v="237"/>
    <x v="5"/>
    <s v="TX-102651"/>
    <x v="7"/>
    <x v="0"/>
    <x v="1"/>
    <n v="8569.65"/>
    <n v="0"/>
    <x v="2649"/>
    <x v="4"/>
    <s v="Cuenta Ahorros"/>
    <s v="Efectivo"/>
    <s v="Pagado"/>
  </r>
  <r>
    <x v="301"/>
    <x v="6"/>
    <s v="TX-102652"/>
    <x v="8"/>
    <x v="1"/>
    <x v="5"/>
    <n v="8276.94"/>
    <n v="1076"/>
    <x v="2650"/>
    <x v="0"/>
    <s v="Tarjeta Crédito Empresarial"/>
    <s v="Transferencia"/>
    <s v="Pendiente"/>
  </r>
  <r>
    <x v="158"/>
    <x v="0"/>
    <s v="TX-102653"/>
    <x v="2"/>
    <x v="1"/>
    <x v="6"/>
    <n v="8505.73"/>
    <n v="1105.74"/>
    <x v="2651"/>
    <x v="4"/>
    <s v="Cuenta Ahorros"/>
    <s v="Tarjeta Crédito"/>
    <s v="Pendiente"/>
  </r>
  <r>
    <x v="313"/>
    <x v="6"/>
    <s v="TX-102654"/>
    <x v="13"/>
    <x v="1"/>
    <x v="3"/>
    <n v="4874.6099999999997"/>
    <n v="633.70000000000005"/>
    <x v="2652"/>
    <x v="1"/>
    <s v="Cuenta Ahorros"/>
    <s v="Tarjeta Crédito"/>
    <s v="Pagado"/>
  </r>
  <r>
    <x v="245"/>
    <x v="0"/>
    <s v="TX-102655"/>
    <x v="11"/>
    <x v="0"/>
    <x v="1"/>
    <n v="4790.46"/>
    <n v="0"/>
    <x v="2653"/>
    <x v="2"/>
    <s v="Cuenta Corriente"/>
    <s v="Efectivo"/>
    <s v="Pagado"/>
  </r>
  <r>
    <x v="21"/>
    <x v="2"/>
    <s v="TX-102656"/>
    <x v="8"/>
    <x v="0"/>
    <x v="0"/>
    <n v="8596.27"/>
    <n v="0"/>
    <x v="2654"/>
    <x v="0"/>
    <s v="Cuenta Ahorros"/>
    <s v="Efectivo"/>
    <s v="Pendiente"/>
  </r>
  <r>
    <x v="14"/>
    <x v="9"/>
    <s v="TX-102657"/>
    <x v="11"/>
    <x v="0"/>
    <x v="2"/>
    <n v="9741.89"/>
    <n v="0"/>
    <x v="2655"/>
    <x v="0"/>
    <s v="Cuenta Ahorros"/>
    <s v="Transferencia"/>
    <s v="Pagado"/>
  </r>
  <r>
    <x v="69"/>
    <x v="10"/>
    <s v="TX-102658"/>
    <x v="10"/>
    <x v="1"/>
    <x v="5"/>
    <n v="3965.26"/>
    <n v="515.48"/>
    <x v="2656"/>
    <x v="4"/>
    <s v="Tarjeta Crédito Empresarial"/>
    <s v="Efectivo"/>
    <s v="Pendiente"/>
  </r>
  <r>
    <x v="70"/>
    <x v="2"/>
    <s v="TX-102659"/>
    <x v="13"/>
    <x v="1"/>
    <x v="0"/>
    <n v="9656.2800000000007"/>
    <n v="1255.32"/>
    <x v="2657"/>
    <x v="0"/>
    <s v="Cuenta Corriente"/>
    <s v="Transferencia"/>
    <s v="Pagado"/>
  </r>
  <r>
    <x v="149"/>
    <x v="11"/>
    <s v="TX-102660"/>
    <x v="14"/>
    <x v="0"/>
    <x v="1"/>
    <n v="1003.93"/>
    <n v="0"/>
    <x v="2658"/>
    <x v="1"/>
    <s v="Tarjeta Crédito Empresarial"/>
    <s v="Transferencia"/>
    <s v="Pendiente"/>
  </r>
  <r>
    <x v="102"/>
    <x v="6"/>
    <s v="TX-102661"/>
    <x v="16"/>
    <x v="1"/>
    <x v="3"/>
    <n v="9940.44"/>
    <n v="1292.26"/>
    <x v="2659"/>
    <x v="2"/>
    <s v="Cuenta Corriente"/>
    <s v="Tarjeta Débito"/>
    <s v="Pagado"/>
  </r>
  <r>
    <x v="31"/>
    <x v="6"/>
    <s v="TX-102662"/>
    <x v="5"/>
    <x v="0"/>
    <x v="0"/>
    <n v="12321.56"/>
    <n v="0"/>
    <x v="2660"/>
    <x v="0"/>
    <s v="Cuenta Corriente"/>
    <s v="Efectivo"/>
    <s v="Pagado"/>
  </r>
  <r>
    <x v="134"/>
    <x v="2"/>
    <s v="TX-102663"/>
    <x v="0"/>
    <x v="0"/>
    <x v="0"/>
    <n v="346.2"/>
    <n v="0"/>
    <x v="2661"/>
    <x v="2"/>
    <s v="Cuenta Corriente"/>
    <s v="Efectivo"/>
    <s v="Pendiente"/>
  </r>
  <r>
    <x v="140"/>
    <x v="6"/>
    <s v="TX-102664"/>
    <x v="9"/>
    <x v="0"/>
    <x v="6"/>
    <n v="3626.31"/>
    <n v="0"/>
    <x v="2662"/>
    <x v="2"/>
    <s v="Cuenta Corriente"/>
    <s v="Tarjeta Crédito"/>
    <s v="Pendiente"/>
  </r>
  <r>
    <x v="38"/>
    <x v="6"/>
    <s v="TX-102665"/>
    <x v="9"/>
    <x v="0"/>
    <x v="3"/>
    <n v="14193.25"/>
    <n v="0"/>
    <x v="2663"/>
    <x v="2"/>
    <s v="Cuenta Ahorros"/>
    <s v="Efectivo"/>
    <s v="Pendiente"/>
  </r>
  <r>
    <x v="139"/>
    <x v="9"/>
    <s v="TX-102666"/>
    <x v="15"/>
    <x v="0"/>
    <x v="0"/>
    <n v="5460.21"/>
    <n v="0"/>
    <x v="2664"/>
    <x v="2"/>
    <s v="Cuenta Ahorros"/>
    <s v="Tarjeta Débito"/>
    <s v="Pendiente"/>
  </r>
  <r>
    <x v="255"/>
    <x v="10"/>
    <s v="TX-102667"/>
    <x v="18"/>
    <x v="0"/>
    <x v="3"/>
    <n v="9846.98"/>
    <n v="0"/>
    <x v="2665"/>
    <x v="0"/>
    <s v="Tarjeta Crédito Empresarial"/>
    <s v="Efectivo"/>
    <s v="Pendiente"/>
  </r>
  <r>
    <x v="347"/>
    <x v="7"/>
    <s v="TX-102668"/>
    <x v="9"/>
    <x v="1"/>
    <x v="4"/>
    <n v="8445.39"/>
    <n v="1097.9000000000001"/>
    <x v="2666"/>
    <x v="2"/>
    <s v="Tarjeta Crédito Empresarial"/>
    <s v="Efectivo"/>
    <s v="Pagado"/>
  </r>
  <r>
    <x v="190"/>
    <x v="9"/>
    <s v="TX-102669"/>
    <x v="13"/>
    <x v="1"/>
    <x v="3"/>
    <n v="14680.63"/>
    <n v="1908.48"/>
    <x v="1069"/>
    <x v="0"/>
    <s v="Cuenta Ahorros"/>
    <s v="Tarjeta Débito"/>
    <s v="Pagado"/>
  </r>
  <r>
    <x v="122"/>
    <x v="1"/>
    <s v="TX-102670"/>
    <x v="6"/>
    <x v="0"/>
    <x v="6"/>
    <n v="7891.65"/>
    <n v="0"/>
    <x v="2667"/>
    <x v="0"/>
    <s v="Tarjeta Crédito Empresarial"/>
    <s v="Tarjeta Crédito"/>
    <s v="Pagado"/>
  </r>
  <r>
    <x v="42"/>
    <x v="8"/>
    <s v="TX-102671"/>
    <x v="15"/>
    <x v="1"/>
    <x v="4"/>
    <n v="4546.45"/>
    <n v="591.04"/>
    <x v="2668"/>
    <x v="0"/>
    <s v="Tarjeta Crédito Empresarial"/>
    <s v="Tarjeta Crédito"/>
    <s v="Pagado"/>
  </r>
  <r>
    <x v="210"/>
    <x v="3"/>
    <s v="TX-102672"/>
    <x v="10"/>
    <x v="0"/>
    <x v="6"/>
    <n v="12005.66"/>
    <n v="0"/>
    <x v="2669"/>
    <x v="3"/>
    <s v="Tarjeta Crédito Empresarial"/>
    <s v="Tarjeta Débito"/>
    <s v="Pendiente"/>
  </r>
  <r>
    <x v="327"/>
    <x v="7"/>
    <s v="TX-102673"/>
    <x v="13"/>
    <x v="1"/>
    <x v="1"/>
    <n v="814.49"/>
    <n v="105.88"/>
    <x v="2670"/>
    <x v="2"/>
    <s v="Cuenta Corriente"/>
    <s v="Tarjeta Débito"/>
    <s v="Pagado"/>
  </r>
  <r>
    <x v="82"/>
    <x v="10"/>
    <s v="TX-102674"/>
    <x v="13"/>
    <x v="1"/>
    <x v="7"/>
    <n v="13609.43"/>
    <n v="1769.23"/>
    <x v="2671"/>
    <x v="2"/>
    <s v="Cuenta Ahorros"/>
    <s v="Tarjeta Crédito"/>
    <s v="Pagado"/>
  </r>
  <r>
    <x v="231"/>
    <x v="9"/>
    <s v="TX-102675"/>
    <x v="11"/>
    <x v="1"/>
    <x v="2"/>
    <n v="6354.57"/>
    <n v="826.09"/>
    <x v="2672"/>
    <x v="0"/>
    <s v="Cuenta Ahorros"/>
    <s v="Transferencia"/>
    <s v="Pendiente"/>
  </r>
  <r>
    <x v="265"/>
    <x v="1"/>
    <s v="TX-102676"/>
    <x v="14"/>
    <x v="1"/>
    <x v="4"/>
    <n v="14887.23"/>
    <n v="1935.34"/>
    <x v="2673"/>
    <x v="4"/>
    <s v="Tarjeta Crédito Empresarial"/>
    <s v="Transferencia"/>
    <s v="Pendiente"/>
  </r>
  <r>
    <x v="303"/>
    <x v="8"/>
    <s v="TX-102677"/>
    <x v="3"/>
    <x v="1"/>
    <x v="2"/>
    <n v="2132.0700000000002"/>
    <n v="277.17"/>
    <x v="2674"/>
    <x v="0"/>
    <s v="Cuenta Ahorros"/>
    <s v="Tarjeta Débito"/>
    <s v="Pagado"/>
  </r>
  <r>
    <x v="5"/>
    <x v="0"/>
    <s v="TX-102678"/>
    <x v="2"/>
    <x v="0"/>
    <x v="0"/>
    <n v="1226.1099999999999"/>
    <n v="0"/>
    <x v="2675"/>
    <x v="3"/>
    <s v="Cuenta Corriente"/>
    <s v="Tarjeta Débito"/>
    <s v="Pendiente"/>
  </r>
  <r>
    <x v="201"/>
    <x v="8"/>
    <s v="TX-102679"/>
    <x v="9"/>
    <x v="1"/>
    <x v="3"/>
    <n v="5401.65"/>
    <n v="702.21"/>
    <x v="2676"/>
    <x v="2"/>
    <s v="Cuenta Corriente"/>
    <s v="Efectivo"/>
    <s v="Pendiente"/>
  </r>
  <r>
    <x v="328"/>
    <x v="11"/>
    <s v="TX-102680"/>
    <x v="3"/>
    <x v="1"/>
    <x v="1"/>
    <n v="7877.41"/>
    <n v="1024.06"/>
    <x v="2677"/>
    <x v="4"/>
    <s v="Tarjeta Crédito Empresarial"/>
    <s v="Tarjeta Débito"/>
    <s v="Pendiente"/>
  </r>
  <r>
    <x v="42"/>
    <x v="8"/>
    <s v="TX-102681"/>
    <x v="17"/>
    <x v="0"/>
    <x v="2"/>
    <n v="3930.18"/>
    <n v="0"/>
    <x v="2678"/>
    <x v="3"/>
    <s v="Tarjeta Crédito Empresarial"/>
    <s v="Transferencia"/>
    <s v="Pagado"/>
  </r>
  <r>
    <x v="139"/>
    <x v="9"/>
    <s v="TX-102682"/>
    <x v="18"/>
    <x v="1"/>
    <x v="7"/>
    <n v="10000.16"/>
    <n v="1300.02"/>
    <x v="2679"/>
    <x v="2"/>
    <s v="Cuenta Ahorros"/>
    <s v="Tarjeta Crédito"/>
    <s v="Pagado"/>
  </r>
  <r>
    <x v="166"/>
    <x v="10"/>
    <s v="TX-102683"/>
    <x v="10"/>
    <x v="0"/>
    <x v="5"/>
    <n v="7134.9"/>
    <n v="0"/>
    <x v="2680"/>
    <x v="3"/>
    <s v="Cuenta Ahorros"/>
    <s v="Efectivo"/>
    <s v="Pagado"/>
  </r>
  <r>
    <x v="21"/>
    <x v="2"/>
    <s v="TX-102684"/>
    <x v="6"/>
    <x v="0"/>
    <x v="3"/>
    <n v="1477.25"/>
    <n v="0"/>
    <x v="2681"/>
    <x v="3"/>
    <s v="Tarjeta Crédito Empresarial"/>
    <s v="Tarjeta Crédito"/>
    <s v="Pendiente"/>
  </r>
  <r>
    <x v="5"/>
    <x v="0"/>
    <s v="TX-102685"/>
    <x v="7"/>
    <x v="1"/>
    <x v="3"/>
    <n v="3897.06"/>
    <n v="506.62"/>
    <x v="2682"/>
    <x v="4"/>
    <s v="Cuenta Ahorros"/>
    <s v="Transferencia"/>
    <s v="Pendiente"/>
  </r>
  <r>
    <x v="226"/>
    <x v="10"/>
    <s v="TX-102686"/>
    <x v="11"/>
    <x v="0"/>
    <x v="3"/>
    <n v="2438.77"/>
    <n v="0"/>
    <x v="2683"/>
    <x v="0"/>
    <s v="Cuenta Corriente"/>
    <s v="Efectivo"/>
    <s v="Pagado"/>
  </r>
  <r>
    <x v="26"/>
    <x v="7"/>
    <s v="TX-102687"/>
    <x v="19"/>
    <x v="0"/>
    <x v="0"/>
    <n v="351.66"/>
    <n v="0"/>
    <x v="2684"/>
    <x v="0"/>
    <s v="Tarjeta Crédito Empresarial"/>
    <s v="Tarjeta Crédito"/>
    <s v="Pagado"/>
  </r>
  <r>
    <x v="337"/>
    <x v="5"/>
    <s v="TX-102688"/>
    <x v="13"/>
    <x v="1"/>
    <x v="4"/>
    <n v="5067.0200000000004"/>
    <n v="658.71"/>
    <x v="2685"/>
    <x v="2"/>
    <s v="Tarjeta Crédito Empresarial"/>
    <s v="Tarjeta Débito"/>
    <s v="Pagado"/>
  </r>
  <r>
    <x v="355"/>
    <x v="7"/>
    <s v="TX-102689"/>
    <x v="13"/>
    <x v="1"/>
    <x v="2"/>
    <n v="14217.26"/>
    <n v="1848.24"/>
    <x v="2686"/>
    <x v="2"/>
    <s v="Cuenta Corriente"/>
    <s v="Transferencia"/>
    <s v="Pendiente"/>
  </r>
  <r>
    <x v="29"/>
    <x v="3"/>
    <s v="TX-102690"/>
    <x v="18"/>
    <x v="0"/>
    <x v="5"/>
    <n v="904.91"/>
    <n v="0"/>
    <x v="2687"/>
    <x v="0"/>
    <s v="Cuenta Corriente"/>
    <s v="Efectivo"/>
    <s v="Pendiente"/>
  </r>
  <r>
    <x v="35"/>
    <x v="4"/>
    <s v="TX-102691"/>
    <x v="10"/>
    <x v="1"/>
    <x v="5"/>
    <n v="11792.23"/>
    <n v="1532.99"/>
    <x v="2688"/>
    <x v="3"/>
    <s v="Cuenta Corriente"/>
    <s v="Tarjeta Crédito"/>
    <s v="Pagado"/>
  </r>
  <r>
    <x v="341"/>
    <x v="7"/>
    <s v="TX-102692"/>
    <x v="8"/>
    <x v="0"/>
    <x v="7"/>
    <n v="5710.02"/>
    <n v="0"/>
    <x v="2689"/>
    <x v="0"/>
    <s v="Tarjeta Crédito Empresarial"/>
    <s v="Transferencia"/>
    <s v="Pagado"/>
  </r>
  <r>
    <x v="281"/>
    <x v="7"/>
    <s v="TX-102693"/>
    <x v="17"/>
    <x v="1"/>
    <x v="4"/>
    <n v="9449.23"/>
    <n v="1228.4000000000001"/>
    <x v="2690"/>
    <x v="3"/>
    <s v="Tarjeta Crédito Empresarial"/>
    <s v="Tarjeta Débito"/>
    <s v="Pendiente"/>
  </r>
  <r>
    <x v="113"/>
    <x v="0"/>
    <s v="TX-102694"/>
    <x v="15"/>
    <x v="0"/>
    <x v="0"/>
    <n v="13734.51"/>
    <n v="0"/>
    <x v="2691"/>
    <x v="3"/>
    <s v="Tarjeta Crédito Empresarial"/>
    <s v="Tarjeta Débito"/>
    <s v="Pendiente"/>
  </r>
  <r>
    <x v="96"/>
    <x v="2"/>
    <s v="TX-102695"/>
    <x v="18"/>
    <x v="1"/>
    <x v="6"/>
    <n v="286.2"/>
    <n v="37.21"/>
    <x v="2692"/>
    <x v="0"/>
    <s v="Cuenta Corriente"/>
    <s v="Efectivo"/>
    <s v="Pagado"/>
  </r>
  <r>
    <x v="13"/>
    <x v="2"/>
    <s v="TX-102696"/>
    <x v="8"/>
    <x v="1"/>
    <x v="7"/>
    <n v="3243.76"/>
    <n v="421.69"/>
    <x v="2693"/>
    <x v="0"/>
    <s v="Cuenta Corriente"/>
    <s v="Efectivo"/>
    <s v="Pagado"/>
  </r>
  <r>
    <x v="83"/>
    <x v="2"/>
    <s v="TX-102697"/>
    <x v="0"/>
    <x v="0"/>
    <x v="0"/>
    <n v="12310.45"/>
    <n v="0"/>
    <x v="2694"/>
    <x v="4"/>
    <s v="Cuenta Corriente"/>
    <s v="Tarjeta Débito"/>
    <s v="Pendiente"/>
  </r>
  <r>
    <x v="207"/>
    <x v="8"/>
    <s v="TX-102698"/>
    <x v="3"/>
    <x v="0"/>
    <x v="0"/>
    <n v="10206.99"/>
    <n v="0"/>
    <x v="2695"/>
    <x v="1"/>
    <s v="Cuenta Corriente"/>
    <s v="Transferencia"/>
    <s v="Pendiente"/>
  </r>
  <r>
    <x v="310"/>
    <x v="6"/>
    <s v="TX-102699"/>
    <x v="19"/>
    <x v="0"/>
    <x v="7"/>
    <n v="64.63"/>
    <n v="0"/>
    <x v="2696"/>
    <x v="2"/>
    <s v="Cuenta Ahorros"/>
    <s v="Transferencia"/>
    <s v="Pendiente"/>
  </r>
  <r>
    <x v="251"/>
    <x v="1"/>
    <s v="TX-102700"/>
    <x v="0"/>
    <x v="0"/>
    <x v="4"/>
    <n v="4801.05"/>
    <n v="0"/>
    <x v="2697"/>
    <x v="4"/>
    <s v="Cuenta Corriente"/>
    <s v="Tarjeta Débito"/>
    <s v="Pendiente"/>
  </r>
  <r>
    <x v="278"/>
    <x v="9"/>
    <s v="TX-102701"/>
    <x v="11"/>
    <x v="0"/>
    <x v="1"/>
    <n v="13311.46"/>
    <n v="0"/>
    <x v="2698"/>
    <x v="2"/>
    <s v="Cuenta Corriente"/>
    <s v="Tarjeta Débito"/>
    <s v="Pendiente"/>
  </r>
  <r>
    <x v="169"/>
    <x v="1"/>
    <s v="TX-102702"/>
    <x v="13"/>
    <x v="0"/>
    <x v="1"/>
    <n v="3604.21"/>
    <n v="0"/>
    <x v="2699"/>
    <x v="2"/>
    <s v="Cuenta Corriente"/>
    <s v="Tarjeta Débito"/>
    <s v="Pendiente"/>
  </r>
  <r>
    <x v="187"/>
    <x v="10"/>
    <s v="TX-102703"/>
    <x v="13"/>
    <x v="0"/>
    <x v="4"/>
    <n v="9400.23"/>
    <n v="0"/>
    <x v="2700"/>
    <x v="4"/>
    <s v="Cuenta Corriente"/>
    <s v="Efectivo"/>
    <s v="Pagado"/>
  </r>
  <r>
    <x v="270"/>
    <x v="0"/>
    <s v="TX-102704"/>
    <x v="1"/>
    <x v="1"/>
    <x v="5"/>
    <n v="6723.79"/>
    <n v="874.09"/>
    <x v="2701"/>
    <x v="3"/>
    <s v="Cuenta Ahorros"/>
    <s v="Transferencia"/>
    <s v="Pagado"/>
  </r>
  <r>
    <x v="278"/>
    <x v="9"/>
    <s v="TX-102705"/>
    <x v="9"/>
    <x v="0"/>
    <x v="1"/>
    <n v="1553.22"/>
    <n v="0"/>
    <x v="2702"/>
    <x v="4"/>
    <s v="Cuenta Corriente"/>
    <s v="Transferencia"/>
    <s v="Pagado"/>
  </r>
  <r>
    <x v="340"/>
    <x v="2"/>
    <s v="TX-102706"/>
    <x v="11"/>
    <x v="1"/>
    <x v="6"/>
    <n v="11951.61"/>
    <n v="1553.71"/>
    <x v="2703"/>
    <x v="3"/>
    <s v="Tarjeta Crédito Empresarial"/>
    <s v="Tarjeta Débito"/>
    <s v="Pagado"/>
  </r>
  <r>
    <x v="331"/>
    <x v="1"/>
    <s v="TX-102707"/>
    <x v="4"/>
    <x v="1"/>
    <x v="3"/>
    <n v="3372.84"/>
    <n v="438.47"/>
    <x v="2704"/>
    <x v="4"/>
    <s v="Tarjeta Crédito Empresarial"/>
    <s v="Transferencia"/>
    <s v="Pendiente"/>
  </r>
  <r>
    <x v="333"/>
    <x v="10"/>
    <s v="TX-102708"/>
    <x v="15"/>
    <x v="1"/>
    <x v="7"/>
    <n v="11248.84"/>
    <n v="1462.35"/>
    <x v="2705"/>
    <x v="2"/>
    <s v="Tarjeta Crédito Empresarial"/>
    <s v="Efectivo"/>
    <s v="Pendiente"/>
  </r>
  <r>
    <x v="243"/>
    <x v="2"/>
    <s v="TX-102709"/>
    <x v="16"/>
    <x v="1"/>
    <x v="1"/>
    <n v="395.86"/>
    <n v="51.46"/>
    <x v="2706"/>
    <x v="3"/>
    <s v="Cuenta Ahorros"/>
    <s v="Transferencia"/>
    <s v="Pagado"/>
  </r>
  <r>
    <x v="184"/>
    <x v="4"/>
    <s v="TX-102710"/>
    <x v="10"/>
    <x v="0"/>
    <x v="2"/>
    <n v="6533.84"/>
    <n v="0"/>
    <x v="2707"/>
    <x v="0"/>
    <s v="Cuenta Ahorros"/>
    <s v="Transferencia"/>
    <s v="Pendiente"/>
  </r>
  <r>
    <x v="318"/>
    <x v="3"/>
    <s v="TX-102711"/>
    <x v="14"/>
    <x v="1"/>
    <x v="7"/>
    <n v="145.97999999999999"/>
    <n v="18.98"/>
    <x v="2708"/>
    <x v="3"/>
    <s v="Cuenta Corriente"/>
    <s v="Transferencia"/>
    <s v="Pendiente"/>
  </r>
  <r>
    <x v="79"/>
    <x v="8"/>
    <s v="TX-102712"/>
    <x v="8"/>
    <x v="0"/>
    <x v="6"/>
    <n v="6333.72"/>
    <n v="0"/>
    <x v="2709"/>
    <x v="4"/>
    <s v="Tarjeta Crédito Empresarial"/>
    <s v="Efectivo"/>
    <s v="Pendiente"/>
  </r>
  <r>
    <x v="123"/>
    <x v="11"/>
    <s v="TX-102713"/>
    <x v="7"/>
    <x v="1"/>
    <x v="5"/>
    <n v="6830.12"/>
    <n v="887.92"/>
    <x v="2710"/>
    <x v="3"/>
    <s v="Cuenta Corriente"/>
    <s v="Efectivo"/>
    <s v="Pendiente"/>
  </r>
  <r>
    <x v="124"/>
    <x v="4"/>
    <s v="TX-102714"/>
    <x v="11"/>
    <x v="0"/>
    <x v="5"/>
    <n v="12704.54"/>
    <n v="0"/>
    <x v="2711"/>
    <x v="0"/>
    <s v="Cuenta Ahorros"/>
    <s v="Efectivo"/>
    <s v="Pagado"/>
  </r>
  <r>
    <x v="189"/>
    <x v="1"/>
    <s v="TX-102715"/>
    <x v="15"/>
    <x v="0"/>
    <x v="7"/>
    <n v="8181.35"/>
    <n v="0"/>
    <x v="2712"/>
    <x v="2"/>
    <s v="Cuenta Ahorros"/>
    <s v="Efectivo"/>
    <s v="Pagado"/>
  </r>
  <r>
    <x v="44"/>
    <x v="1"/>
    <s v="TX-102716"/>
    <x v="18"/>
    <x v="1"/>
    <x v="7"/>
    <n v="11224.22"/>
    <n v="1459.15"/>
    <x v="2713"/>
    <x v="4"/>
    <s v="Tarjeta Crédito Empresarial"/>
    <s v="Tarjeta Débito"/>
    <s v="Pagado"/>
  </r>
  <r>
    <x v="291"/>
    <x v="3"/>
    <s v="TX-102717"/>
    <x v="7"/>
    <x v="1"/>
    <x v="4"/>
    <n v="4491.93"/>
    <n v="583.95000000000005"/>
    <x v="2714"/>
    <x v="1"/>
    <s v="Cuenta Corriente"/>
    <s v="Efectivo"/>
    <s v="Pendiente"/>
  </r>
  <r>
    <x v="339"/>
    <x v="0"/>
    <s v="TX-102718"/>
    <x v="5"/>
    <x v="1"/>
    <x v="4"/>
    <n v="14273.85"/>
    <n v="1855.6"/>
    <x v="2715"/>
    <x v="3"/>
    <s v="Cuenta Ahorros"/>
    <s v="Efectivo"/>
    <s v="Pagado"/>
  </r>
  <r>
    <x v="363"/>
    <x v="11"/>
    <s v="TX-102719"/>
    <x v="16"/>
    <x v="1"/>
    <x v="6"/>
    <n v="2824.25"/>
    <n v="367.15"/>
    <x v="2716"/>
    <x v="4"/>
    <s v="Cuenta Corriente"/>
    <s v="Efectivo"/>
    <s v="Pendiente"/>
  </r>
  <r>
    <x v="242"/>
    <x v="4"/>
    <s v="TX-102720"/>
    <x v="15"/>
    <x v="0"/>
    <x v="7"/>
    <n v="456.84"/>
    <n v="0"/>
    <x v="2717"/>
    <x v="1"/>
    <s v="Cuenta Ahorros"/>
    <s v="Efectivo"/>
    <s v="Pendiente"/>
  </r>
  <r>
    <x v="181"/>
    <x v="7"/>
    <s v="TX-102721"/>
    <x v="10"/>
    <x v="1"/>
    <x v="3"/>
    <n v="8290.5400000000009"/>
    <n v="1077.77"/>
    <x v="2718"/>
    <x v="3"/>
    <s v="Cuenta Corriente"/>
    <s v="Tarjeta Crédito"/>
    <s v="Pagado"/>
  </r>
  <r>
    <x v="33"/>
    <x v="5"/>
    <s v="TX-102722"/>
    <x v="2"/>
    <x v="1"/>
    <x v="3"/>
    <n v="10947.6"/>
    <n v="1423.19"/>
    <x v="2719"/>
    <x v="3"/>
    <s v="Cuenta Ahorros"/>
    <s v="Tarjeta Débito"/>
    <s v="Pagado"/>
  </r>
  <r>
    <x v="360"/>
    <x v="6"/>
    <s v="TX-102723"/>
    <x v="14"/>
    <x v="0"/>
    <x v="1"/>
    <n v="5780.36"/>
    <n v="0"/>
    <x v="2720"/>
    <x v="4"/>
    <s v="Cuenta Ahorros"/>
    <s v="Transferencia"/>
    <s v="Pagado"/>
  </r>
  <r>
    <x v="224"/>
    <x v="0"/>
    <s v="TX-102724"/>
    <x v="10"/>
    <x v="0"/>
    <x v="5"/>
    <n v="8706.19"/>
    <n v="0"/>
    <x v="2721"/>
    <x v="0"/>
    <s v="Cuenta Ahorros"/>
    <s v="Tarjeta Débito"/>
    <s v="Pagado"/>
  </r>
  <r>
    <x v="308"/>
    <x v="1"/>
    <s v="TX-102725"/>
    <x v="9"/>
    <x v="0"/>
    <x v="2"/>
    <n v="7802.98"/>
    <n v="0"/>
    <x v="2722"/>
    <x v="3"/>
    <s v="Tarjeta Crédito Empresarial"/>
    <s v="Transferencia"/>
    <s v="Pendiente"/>
  </r>
  <r>
    <x v="286"/>
    <x v="11"/>
    <s v="TX-102726"/>
    <x v="10"/>
    <x v="0"/>
    <x v="6"/>
    <n v="10173.32"/>
    <n v="0"/>
    <x v="2723"/>
    <x v="0"/>
    <s v="Tarjeta Crédito Empresarial"/>
    <s v="Tarjeta Crédito"/>
    <s v="Pendiente"/>
  </r>
  <r>
    <x v="134"/>
    <x v="2"/>
    <s v="TX-102727"/>
    <x v="2"/>
    <x v="0"/>
    <x v="1"/>
    <n v="4770.07"/>
    <n v="0"/>
    <x v="2724"/>
    <x v="3"/>
    <s v="Cuenta Ahorros"/>
    <s v="Transferencia"/>
    <s v="Pagado"/>
  </r>
  <r>
    <x v="312"/>
    <x v="3"/>
    <s v="TX-102728"/>
    <x v="4"/>
    <x v="0"/>
    <x v="6"/>
    <n v="14818.28"/>
    <n v="0"/>
    <x v="2725"/>
    <x v="0"/>
    <s v="Tarjeta Crédito Empresarial"/>
    <s v="Transferencia"/>
    <s v="Pagado"/>
  </r>
  <r>
    <x v="126"/>
    <x v="5"/>
    <s v="TX-102729"/>
    <x v="15"/>
    <x v="1"/>
    <x v="7"/>
    <n v="3208.33"/>
    <n v="417.08"/>
    <x v="2726"/>
    <x v="2"/>
    <s v="Cuenta Ahorros"/>
    <s v="Tarjeta Débito"/>
    <s v="Pagado"/>
  </r>
  <r>
    <x v="147"/>
    <x v="3"/>
    <s v="TX-102730"/>
    <x v="12"/>
    <x v="1"/>
    <x v="5"/>
    <n v="8965.85"/>
    <n v="1165.56"/>
    <x v="2727"/>
    <x v="2"/>
    <s v="Cuenta Ahorros"/>
    <s v="Tarjeta Débito"/>
    <s v="Pendiente"/>
  </r>
  <r>
    <x v="262"/>
    <x v="10"/>
    <s v="TX-102731"/>
    <x v="15"/>
    <x v="0"/>
    <x v="3"/>
    <n v="3307.88"/>
    <n v="0"/>
    <x v="2728"/>
    <x v="0"/>
    <s v="Cuenta Corriente"/>
    <s v="Transferencia"/>
    <s v="Pagado"/>
  </r>
  <r>
    <x v="353"/>
    <x v="7"/>
    <s v="TX-102732"/>
    <x v="15"/>
    <x v="1"/>
    <x v="1"/>
    <n v="1751.74"/>
    <n v="227.73"/>
    <x v="2729"/>
    <x v="3"/>
    <s v="Cuenta Ahorros"/>
    <s v="Transferencia"/>
    <s v="Pendiente"/>
  </r>
  <r>
    <x v="273"/>
    <x v="7"/>
    <s v="TX-102733"/>
    <x v="8"/>
    <x v="1"/>
    <x v="5"/>
    <n v="1768.04"/>
    <n v="229.85"/>
    <x v="2730"/>
    <x v="4"/>
    <s v="Cuenta Ahorros"/>
    <s v="Transferencia"/>
    <s v="Pagado"/>
  </r>
  <r>
    <x v="44"/>
    <x v="1"/>
    <s v="TX-102734"/>
    <x v="6"/>
    <x v="0"/>
    <x v="4"/>
    <n v="8697.02"/>
    <n v="0"/>
    <x v="2731"/>
    <x v="2"/>
    <s v="Tarjeta Crédito Empresarial"/>
    <s v="Transferencia"/>
    <s v="Pagado"/>
  </r>
  <r>
    <x v="32"/>
    <x v="9"/>
    <s v="TX-102735"/>
    <x v="16"/>
    <x v="0"/>
    <x v="4"/>
    <n v="5604.99"/>
    <n v="0"/>
    <x v="2732"/>
    <x v="0"/>
    <s v="Cuenta Corriente"/>
    <s v="Tarjeta Crédito"/>
    <s v="Pendiente"/>
  </r>
  <r>
    <x v="287"/>
    <x v="4"/>
    <s v="TX-102736"/>
    <x v="19"/>
    <x v="1"/>
    <x v="5"/>
    <n v="7253.34"/>
    <n v="942.93"/>
    <x v="2733"/>
    <x v="4"/>
    <s v="Tarjeta Crédito Empresarial"/>
    <s v="Tarjeta Débito"/>
    <s v="Pagado"/>
  </r>
  <r>
    <x v="185"/>
    <x v="0"/>
    <s v="TX-102737"/>
    <x v="8"/>
    <x v="1"/>
    <x v="7"/>
    <n v="12140.39"/>
    <n v="1578.25"/>
    <x v="2734"/>
    <x v="0"/>
    <s v="Tarjeta Crédito Empresarial"/>
    <s v="Tarjeta Débito"/>
    <s v="Pendiente"/>
  </r>
  <r>
    <x v="158"/>
    <x v="0"/>
    <s v="TX-102738"/>
    <x v="9"/>
    <x v="0"/>
    <x v="3"/>
    <n v="13475.55"/>
    <n v="0"/>
    <x v="2735"/>
    <x v="4"/>
    <s v="Tarjeta Crédito Empresarial"/>
    <s v="Tarjeta Débito"/>
    <s v="Pendiente"/>
  </r>
  <r>
    <x v="267"/>
    <x v="4"/>
    <s v="TX-102739"/>
    <x v="1"/>
    <x v="0"/>
    <x v="0"/>
    <n v="8593.15"/>
    <n v="0"/>
    <x v="2736"/>
    <x v="2"/>
    <s v="Cuenta Ahorros"/>
    <s v="Transferencia"/>
    <s v="Pagado"/>
  </r>
  <r>
    <x v="257"/>
    <x v="7"/>
    <s v="TX-102740"/>
    <x v="8"/>
    <x v="1"/>
    <x v="2"/>
    <n v="4743.57"/>
    <n v="616.66"/>
    <x v="2737"/>
    <x v="3"/>
    <s v="Tarjeta Crédito Empresarial"/>
    <s v="Tarjeta Débito"/>
    <s v="Pagado"/>
  </r>
  <r>
    <x v="28"/>
    <x v="6"/>
    <s v="TX-102741"/>
    <x v="2"/>
    <x v="0"/>
    <x v="6"/>
    <n v="11638.79"/>
    <n v="0"/>
    <x v="2738"/>
    <x v="3"/>
    <s v="Tarjeta Crédito Empresarial"/>
    <s v="Efectivo"/>
    <s v="Pendiente"/>
  </r>
  <r>
    <x v="321"/>
    <x v="1"/>
    <s v="TX-102742"/>
    <x v="2"/>
    <x v="0"/>
    <x v="5"/>
    <n v="9463.08"/>
    <n v="0"/>
    <x v="2739"/>
    <x v="0"/>
    <s v="Tarjeta Crédito Empresarial"/>
    <s v="Tarjeta Débito"/>
    <s v="Pagado"/>
  </r>
  <r>
    <x v="199"/>
    <x v="0"/>
    <s v="TX-102743"/>
    <x v="13"/>
    <x v="1"/>
    <x v="6"/>
    <n v="9780.2099999999991"/>
    <n v="1271.43"/>
    <x v="2740"/>
    <x v="1"/>
    <s v="Cuenta Ahorros"/>
    <s v="Transferencia"/>
    <s v="Pagado"/>
  </r>
  <r>
    <x v="358"/>
    <x v="8"/>
    <s v="TX-102744"/>
    <x v="5"/>
    <x v="0"/>
    <x v="0"/>
    <n v="14017.87"/>
    <n v="0"/>
    <x v="2741"/>
    <x v="3"/>
    <s v="Cuenta Ahorros"/>
    <s v="Tarjeta Débito"/>
    <s v="Pagado"/>
  </r>
  <r>
    <x v="338"/>
    <x v="7"/>
    <s v="TX-102745"/>
    <x v="12"/>
    <x v="0"/>
    <x v="1"/>
    <n v="10609.89"/>
    <n v="0"/>
    <x v="2742"/>
    <x v="2"/>
    <s v="Cuenta Corriente"/>
    <s v="Tarjeta Débito"/>
    <s v="Pagado"/>
  </r>
  <r>
    <x v="175"/>
    <x v="4"/>
    <s v="TX-102746"/>
    <x v="18"/>
    <x v="1"/>
    <x v="1"/>
    <n v="6206.33"/>
    <n v="806.82"/>
    <x v="2743"/>
    <x v="4"/>
    <s v="Tarjeta Crédito Empresarial"/>
    <s v="Tarjeta Débito"/>
    <s v="Pendiente"/>
  </r>
  <r>
    <x v="5"/>
    <x v="0"/>
    <s v="TX-102747"/>
    <x v="17"/>
    <x v="1"/>
    <x v="2"/>
    <n v="13378.82"/>
    <n v="1739.25"/>
    <x v="2744"/>
    <x v="2"/>
    <s v="Cuenta Ahorros"/>
    <s v="Tarjeta Crédito"/>
    <s v="Pagado"/>
  </r>
  <r>
    <x v="176"/>
    <x v="5"/>
    <s v="TX-102748"/>
    <x v="4"/>
    <x v="0"/>
    <x v="5"/>
    <n v="10057.56"/>
    <n v="0"/>
    <x v="2745"/>
    <x v="3"/>
    <s v="Cuenta Corriente"/>
    <s v="Tarjeta Crédito"/>
    <s v="Pagado"/>
  </r>
  <r>
    <x v="6"/>
    <x v="5"/>
    <s v="TX-102749"/>
    <x v="10"/>
    <x v="0"/>
    <x v="7"/>
    <n v="6199.72"/>
    <n v="0"/>
    <x v="2746"/>
    <x v="3"/>
    <s v="Cuenta Corriente"/>
    <s v="Efectivo"/>
    <s v="Pagado"/>
  </r>
  <r>
    <x v="259"/>
    <x v="10"/>
    <s v="TX-102750"/>
    <x v="7"/>
    <x v="0"/>
    <x v="1"/>
    <n v="9209.69"/>
    <n v="0"/>
    <x v="2747"/>
    <x v="2"/>
    <s v="Cuenta Corriente"/>
    <s v="Tarjeta Crédito"/>
    <s v="Pendiente"/>
  </r>
  <r>
    <x v="174"/>
    <x v="9"/>
    <s v="TX-102751"/>
    <x v="12"/>
    <x v="1"/>
    <x v="0"/>
    <n v="7038.5"/>
    <n v="915"/>
    <x v="2748"/>
    <x v="2"/>
    <s v="Tarjeta Crédito Empresarial"/>
    <s v="Tarjeta Débito"/>
    <s v="Pendiente"/>
  </r>
  <r>
    <x v="198"/>
    <x v="0"/>
    <s v="TX-102752"/>
    <x v="18"/>
    <x v="1"/>
    <x v="5"/>
    <n v="5813.88"/>
    <n v="755.8"/>
    <x v="2749"/>
    <x v="3"/>
    <s v="Cuenta Corriente"/>
    <s v="Tarjeta Débito"/>
    <s v="Pendiente"/>
  </r>
  <r>
    <x v="333"/>
    <x v="10"/>
    <s v="TX-102753"/>
    <x v="8"/>
    <x v="0"/>
    <x v="5"/>
    <n v="11252.77"/>
    <n v="0"/>
    <x v="2750"/>
    <x v="4"/>
    <s v="Cuenta Corriente"/>
    <s v="Tarjeta Débito"/>
    <s v="Pagado"/>
  </r>
  <r>
    <x v="117"/>
    <x v="8"/>
    <s v="TX-102754"/>
    <x v="7"/>
    <x v="0"/>
    <x v="3"/>
    <n v="8767.14"/>
    <n v="0"/>
    <x v="2751"/>
    <x v="0"/>
    <s v="Cuenta Corriente"/>
    <s v="Tarjeta Débito"/>
    <s v="Pendiente"/>
  </r>
  <r>
    <x v="199"/>
    <x v="0"/>
    <s v="TX-102755"/>
    <x v="5"/>
    <x v="0"/>
    <x v="2"/>
    <n v="8551.7800000000007"/>
    <n v="0"/>
    <x v="2752"/>
    <x v="3"/>
    <s v="Tarjeta Crédito Empresarial"/>
    <s v="Tarjeta Débito"/>
    <s v="Pagado"/>
  </r>
  <r>
    <x v="261"/>
    <x v="2"/>
    <s v="TX-102756"/>
    <x v="9"/>
    <x v="1"/>
    <x v="4"/>
    <n v="9822.89"/>
    <n v="1276.98"/>
    <x v="2753"/>
    <x v="2"/>
    <s v="Cuenta Corriente"/>
    <s v="Efectivo"/>
    <s v="Pendiente"/>
  </r>
  <r>
    <x v="294"/>
    <x v="7"/>
    <s v="TX-102757"/>
    <x v="11"/>
    <x v="1"/>
    <x v="4"/>
    <n v="6181.17"/>
    <n v="803.55"/>
    <x v="2754"/>
    <x v="2"/>
    <s v="Tarjeta Crédito Empresarial"/>
    <s v="Tarjeta Débito"/>
    <s v="Pagado"/>
  </r>
  <r>
    <x v="286"/>
    <x v="11"/>
    <s v="TX-102758"/>
    <x v="12"/>
    <x v="0"/>
    <x v="6"/>
    <n v="1582.79"/>
    <n v="0"/>
    <x v="2755"/>
    <x v="1"/>
    <s v="Cuenta Ahorros"/>
    <s v="Tarjeta Crédito"/>
    <s v="Pagado"/>
  </r>
  <r>
    <x v="262"/>
    <x v="10"/>
    <s v="TX-102759"/>
    <x v="8"/>
    <x v="0"/>
    <x v="5"/>
    <n v="4299.97"/>
    <n v="0"/>
    <x v="2756"/>
    <x v="4"/>
    <s v="Cuenta Ahorros"/>
    <s v="Tarjeta Débito"/>
    <s v="Pendiente"/>
  </r>
  <r>
    <x v="265"/>
    <x v="1"/>
    <s v="TX-102760"/>
    <x v="10"/>
    <x v="0"/>
    <x v="4"/>
    <n v="3102.83"/>
    <n v="0"/>
    <x v="2757"/>
    <x v="0"/>
    <s v="Cuenta Ahorros"/>
    <s v="Tarjeta Débito"/>
    <s v="Pendiente"/>
  </r>
  <r>
    <x v="72"/>
    <x v="6"/>
    <s v="TX-102761"/>
    <x v="13"/>
    <x v="1"/>
    <x v="0"/>
    <n v="8561.31"/>
    <n v="1112.97"/>
    <x v="2758"/>
    <x v="1"/>
    <s v="Cuenta Ahorros"/>
    <s v="Tarjeta Crédito"/>
    <s v="Pagado"/>
  </r>
  <r>
    <x v="125"/>
    <x v="1"/>
    <s v="TX-102762"/>
    <x v="2"/>
    <x v="1"/>
    <x v="7"/>
    <n v="6102.62"/>
    <n v="793.34"/>
    <x v="2759"/>
    <x v="2"/>
    <s v="Cuenta Ahorros"/>
    <s v="Transferencia"/>
    <s v="Pagado"/>
  </r>
  <r>
    <x v="37"/>
    <x v="11"/>
    <s v="TX-102763"/>
    <x v="0"/>
    <x v="0"/>
    <x v="4"/>
    <n v="2088.79"/>
    <n v="0"/>
    <x v="2760"/>
    <x v="1"/>
    <s v="Cuenta Corriente"/>
    <s v="Tarjeta Crédito"/>
    <s v="Pendiente"/>
  </r>
  <r>
    <x v="57"/>
    <x v="10"/>
    <s v="TX-102764"/>
    <x v="7"/>
    <x v="0"/>
    <x v="3"/>
    <n v="6777.11"/>
    <n v="0"/>
    <x v="2761"/>
    <x v="0"/>
    <s v="Tarjeta Crédito Empresarial"/>
    <s v="Tarjeta Crédito"/>
    <s v="Pendiente"/>
  </r>
  <r>
    <x v="301"/>
    <x v="6"/>
    <s v="TX-102765"/>
    <x v="15"/>
    <x v="1"/>
    <x v="7"/>
    <n v="10519.19"/>
    <n v="1367.49"/>
    <x v="2762"/>
    <x v="3"/>
    <s v="Cuenta Ahorros"/>
    <s v="Transferencia"/>
    <s v="Pagado"/>
  </r>
  <r>
    <x v="355"/>
    <x v="7"/>
    <s v="TX-102766"/>
    <x v="2"/>
    <x v="0"/>
    <x v="2"/>
    <n v="1257.8599999999999"/>
    <n v="0"/>
    <x v="2763"/>
    <x v="0"/>
    <s v="Cuenta Ahorros"/>
    <s v="Efectivo"/>
    <s v="Pagado"/>
  </r>
  <r>
    <x v="104"/>
    <x v="9"/>
    <s v="TX-102767"/>
    <x v="7"/>
    <x v="0"/>
    <x v="6"/>
    <n v="6311.53"/>
    <n v="0"/>
    <x v="2764"/>
    <x v="3"/>
    <s v="Tarjeta Crédito Empresarial"/>
    <s v="Tarjeta Crédito"/>
    <s v="Pagado"/>
  </r>
  <r>
    <x v="317"/>
    <x v="4"/>
    <s v="TX-102768"/>
    <x v="10"/>
    <x v="1"/>
    <x v="3"/>
    <n v="7396.35"/>
    <n v="961.53"/>
    <x v="2765"/>
    <x v="2"/>
    <s v="Tarjeta Crédito Empresarial"/>
    <s v="Tarjeta Débito"/>
    <s v="Pagado"/>
  </r>
  <r>
    <x v="351"/>
    <x v="9"/>
    <s v="TX-102769"/>
    <x v="12"/>
    <x v="0"/>
    <x v="3"/>
    <n v="8653.48"/>
    <n v="0"/>
    <x v="2766"/>
    <x v="3"/>
    <s v="Cuenta Ahorros"/>
    <s v="Tarjeta Crédito"/>
    <s v="Pagado"/>
  </r>
  <r>
    <x v="356"/>
    <x v="9"/>
    <s v="TX-102770"/>
    <x v="7"/>
    <x v="0"/>
    <x v="0"/>
    <n v="7292.86"/>
    <n v="0"/>
    <x v="2767"/>
    <x v="3"/>
    <s v="Cuenta Corriente"/>
    <s v="Tarjeta Crédito"/>
    <s v="Pagado"/>
  </r>
  <r>
    <x v="167"/>
    <x v="8"/>
    <s v="TX-102771"/>
    <x v="18"/>
    <x v="0"/>
    <x v="5"/>
    <n v="13497.65"/>
    <n v="0"/>
    <x v="2768"/>
    <x v="3"/>
    <s v="Cuenta Ahorros"/>
    <s v="Transferencia"/>
    <s v="Pagado"/>
  </r>
  <r>
    <x v="64"/>
    <x v="11"/>
    <s v="TX-102772"/>
    <x v="10"/>
    <x v="1"/>
    <x v="6"/>
    <n v="13075.83"/>
    <n v="1699.86"/>
    <x v="2769"/>
    <x v="1"/>
    <s v="Tarjeta Crédito Empresarial"/>
    <s v="Tarjeta Débito"/>
    <s v="Pendiente"/>
  </r>
  <r>
    <x v="46"/>
    <x v="4"/>
    <s v="TX-102773"/>
    <x v="4"/>
    <x v="1"/>
    <x v="3"/>
    <n v="11420.84"/>
    <n v="1484.71"/>
    <x v="2770"/>
    <x v="0"/>
    <s v="Tarjeta Crédito Empresarial"/>
    <s v="Tarjeta Crédito"/>
    <s v="Pagado"/>
  </r>
  <r>
    <x v="247"/>
    <x v="11"/>
    <s v="TX-102774"/>
    <x v="4"/>
    <x v="1"/>
    <x v="3"/>
    <n v="2978.14"/>
    <n v="387.16"/>
    <x v="2771"/>
    <x v="2"/>
    <s v="Cuenta Corriente"/>
    <s v="Transferencia"/>
    <s v="Pagado"/>
  </r>
  <r>
    <x v="186"/>
    <x v="3"/>
    <s v="TX-102775"/>
    <x v="1"/>
    <x v="1"/>
    <x v="7"/>
    <n v="8261.61"/>
    <n v="1074.01"/>
    <x v="2772"/>
    <x v="0"/>
    <s v="Cuenta Ahorros"/>
    <s v="Transferencia"/>
    <s v="Pagado"/>
  </r>
  <r>
    <x v="271"/>
    <x v="5"/>
    <s v="TX-102776"/>
    <x v="9"/>
    <x v="0"/>
    <x v="5"/>
    <n v="13602.94"/>
    <n v="0"/>
    <x v="2773"/>
    <x v="1"/>
    <s v="Cuenta Ahorros"/>
    <s v="Tarjeta Crédito"/>
    <s v="Pendiente"/>
  </r>
  <r>
    <x v="96"/>
    <x v="2"/>
    <s v="TX-102777"/>
    <x v="10"/>
    <x v="1"/>
    <x v="3"/>
    <n v="4946.84"/>
    <n v="643.09"/>
    <x v="2774"/>
    <x v="3"/>
    <s v="Cuenta Corriente"/>
    <s v="Efectivo"/>
    <s v="Pagado"/>
  </r>
  <r>
    <x v="260"/>
    <x v="4"/>
    <s v="TX-102778"/>
    <x v="17"/>
    <x v="0"/>
    <x v="0"/>
    <n v="9451.58"/>
    <n v="0"/>
    <x v="2775"/>
    <x v="1"/>
    <s v="Tarjeta Crédito Empresarial"/>
    <s v="Efectivo"/>
    <s v="Pagado"/>
  </r>
  <r>
    <x v="29"/>
    <x v="3"/>
    <s v="TX-102779"/>
    <x v="1"/>
    <x v="1"/>
    <x v="5"/>
    <n v="2982.84"/>
    <n v="387.77"/>
    <x v="2776"/>
    <x v="1"/>
    <s v="Tarjeta Crédito Empresarial"/>
    <s v="Efectivo"/>
    <s v="Pagado"/>
  </r>
  <r>
    <x v="167"/>
    <x v="8"/>
    <s v="TX-102780"/>
    <x v="10"/>
    <x v="0"/>
    <x v="0"/>
    <n v="12581.07"/>
    <n v="0"/>
    <x v="2777"/>
    <x v="2"/>
    <s v="Cuenta Ahorros"/>
    <s v="Tarjeta Crédito"/>
    <s v="Pendiente"/>
  </r>
  <r>
    <x v="133"/>
    <x v="3"/>
    <s v="TX-102781"/>
    <x v="7"/>
    <x v="1"/>
    <x v="3"/>
    <n v="13358.37"/>
    <n v="1736.59"/>
    <x v="2778"/>
    <x v="4"/>
    <s v="Cuenta Ahorros"/>
    <s v="Efectivo"/>
    <s v="Pendiente"/>
  </r>
  <r>
    <x v="328"/>
    <x v="11"/>
    <s v="TX-102782"/>
    <x v="11"/>
    <x v="0"/>
    <x v="7"/>
    <n v="4011.24"/>
    <n v="0"/>
    <x v="2779"/>
    <x v="2"/>
    <s v="Tarjeta Crédito Empresarial"/>
    <s v="Tarjeta Crédito"/>
    <s v="Pendiente"/>
  </r>
  <r>
    <x v="239"/>
    <x v="7"/>
    <s v="TX-102783"/>
    <x v="9"/>
    <x v="0"/>
    <x v="5"/>
    <n v="8832.1299999999992"/>
    <n v="0"/>
    <x v="2780"/>
    <x v="1"/>
    <s v="Tarjeta Crédito Empresarial"/>
    <s v="Efectivo"/>
    <s v="Pendiente"/>
  </r>
  <r>
    <x v="170"/>
    <x v="10"/>
    <s v="TX-102784"/>
    <x v="5"/>
    <x v="0"/>
    <x v="3"/>
    <n v="7012.68"/>
    <n v="0"/>
    <x v="2781"/>
    <x v="1"/>
    <s v="Cuenta Ahorros"/>
    <s v="Transferencia"/>
    <s v="Pendiente"/>
  </r>
  <r>
    <x v="224"/>
    <x v="0"/>
    <s v="TX-102785"/>
    <x v="0"/>
    <x v="0"/>
    <x v="3"/>
    <n v="7035.33"/>
    <n v="0"/>
    <x v="2782"/>
    <x v="2"/>
    <s v="Tarjeta Crédito Empresarial"/>
    <s v="Efectivo"/>
    <s v="Pendiente"/>
  </r>
  <r>
    <x v="79"/>
    <x v="8"/>
    <s v="TX-102786"/>
    <x v="9"/>
    <x v="1"/>
    <x v="2"/>
    <n v="4790.5"/>
    <n v="622.76"/>
    <x v="2783"/>
    <x v="4"/>
    <s v="Tarjeta Crédito Empresarial"/>
    <s v="Tarjeta Débito"/>
    <s v="Pagado"/>
  </r>
  <r>
    <x v="213"/>
    <x v="3"/>
    <s v="TX-102787"/>
    <x v="0"/>
    <x v="1"/>
    <x v="4"/>
    <n v="11090.2"/>
    <n v="1441.73"/>
    <x v="2784"/>
    <x v="2"/>
    <s v="Cuenta Ahorros"/>
    <s v="Tarjeta Crédito"/>
    <s v="Pagado"/>
  </r>
  <r>
    <x v="32"/>
    <x v="9"/>
    <s v="TX-102788"/>
    <x v="9"/>
    <x v="0"/>
    <x v="6"/>
    <n v="3700.28"/>
    <n v="0"/>
    <x v="2785"/>
    <x v="1"/>
    <s v="Cuenta Ahorros"/>
    <s v="Tarjeta Débito"/>
    <s v="Pendiente"/>
  </r>
  <r>
    <x v="321"/>
    <x v="1"/>
    <s v="TX-102789"/>
    <x v="5"/>
    <x v="1"/>
    <x v="3"/>
    <n v="6476.07"/>
    <n v="841.89"/>
    <x v="2786"/>
    <x v="3"/>
    <s v="Cuenta Corriente"/>
    <s v="Tarjeta Crédito"/>
    <s v="Pendiente"/>
  </r>
  <r>
    <x v="175"/>
    <x v="4"/>
    <s v="TX-102790"/>
    <x v="19"/>
    <x v="1"/>
    <x v="2"/>
    <n v="945.95"/>
    <n v="122.97"/>
    <x v="2787"/>
    <x v="2"/>
    <s v="Tarjeta Crédito Empresarial"/>
    <s v="Tarjeta Crédito"/>
    <s v="Pendiente"/>
  </r>
  <r>
    <x v="223"/>
    <x v="0"/>
    <s v="TX-102791"/>
    <x v="1"/>
    <x v="0"/>
    <x v="6"/>
    <n v="14904.6"/>
    <n v="0"/>
    <x v="2788"/>
    <x v="0"/>
    <s v="Cuenta Corriente"/>
    <s v="Tarjeta Crédito"/>
    <s v="Pagado"/>
  </r>
  <r>
    <x v="128"/>
    <x v="9"/>
    <s v="TX-102792"/>
    <x v="17"/>
    <x v="0"/>
    <x v="3"/>
    <n v="1193.69"/>
    <n v="0"/>
    <x v="2789"/>
    <x v="1"/>
    <s v="Cuenta Ahorros"/>
    <s v="Efectivo"/>
    <s v="Pagado"/>
  </r>
  <r>
    <x v="344"/>
    <x v="8"/>
    <s v="TX-102793"/>
    <x v="4"/>
    <x v="0"/>
    <x v="1"/>
    <n v="4245.93"/>
    <n v="0"/>
    <x v="2790"/>
    <x v="0"/>
    <s v="Cuenta Ahorros"/>
    <s v="Efectivo"/>
    <s v="Pendiente"/>
  </r>
  <r>
    <x v="53"/>
    <x v="3"/>
    <s v="TX-102794"/>
    <x v="19"/>
    <x v="1"/>
    <x v="6"/>
    <n v="10694.62"/>
    <n v="1390.3"/>
    <x v="2791"/>
    <x v="1"/>
    <s v="Cuenta Ahorros"/>
    <s v="Tarjeta Crédito"/>
    <s v="Pagado"/>
  </r>
  <r>
    <x v="342"/>
    <x v="1"/>
    <s v="TX-102795"/>
    <x v="9"/>
    <x v="1"/>
    <x v="0"/>
    <n v="10390.25"/>
    <n v="1350.73"/>
    <x v="2792"/>
    <x v="4"/>
    <s v="Tarjeta Crédito Empresarial"/>
    <s v="Tarjeta Débito"/>
    <s v="Pendiente"/>
  </r>
  <r>
    <x v="230"/>
    <x v="11"/>
    <s v="TX-102796"/>
    <x v="17"/>
    <x v="1"/>
    <x v="6"/>
    <n v="4209.68"/>
    <n v="547.26"/>
    <x v="2793"/>
    <x v="4"/>
    <s v="Tarjeta Crédito Empresarial"/>
    <s v="Efectivo"/>
    <s v="Pagado"/>
  </r>
  <r>
    <x v="355"/>
    <x v="7"/>
    <s v="TX-102797"/>
    <x v="1"/>
    <x v="0"/>
    <x v="1"/>
    <n v="5350.57"/>
    <n v="0"/>
    <x v="2794"/>
    <x v="3"/>
    <s v="Tarjeta Crédito Empresarial"/>
    <s v="Efectivo"/>
    <s v="Pendiente"/>
  </r>
  <r>
    <x v="45"/>
    <x v="4"/>
    <s v="TX-102798"/>
    <x v="9"/>
    <x v="0"/>
    <x v="4"/>
    <n v="6793.46"/>
    <n v="0"/>
    <x v="2795"/>
    <x v="4"/>
    <s v="Tarjeta Crédito Empresarial"/>
    <s v="Transferencia"/>
    <s v="Pendiente"/>
  </r>
  <r>
    <x v="190"/>
    <x v="9"/>
    <s v="TX-102799"/>
    <x v="4"/>
    <x v="0"/>
    <x v="5"/>
    <n v="3954.19"/>
    <n v="0"/>
    <x v="2796"/>
    <x v="2"/>
    <s v="Cuenta Corriente"/>
    <s v="Transferencia"/>
    <s v="Pagado"/>
  </r>
  <r>
    <x v="315"/>
    <x v="5"/>
    <s v="TX-102800"/>
    <x v="2"/>
    <x v="0"/>
    <x v="4"/>
    <n v="1591.52"/>
    <n v="0"/>
    <x v="2797"/>
    <x v="4"/>
    <s v="Tarjeta Crédito Empresarial"/>
    <s v="Tarjeta Débito"/>
    <s v="Pendiente"/>
  </r>
  <r>
    <x v="90"/>
    <x v="11"/>
    <s v="TX-102801"/>
    <x v="3"/>
    <x v="1"/>
    <x v="3"/>
    <n v="6233.62"/>
    <n v="810.37"/>
    <x v="2798"/>
    <x v="1"/>
    <s v="Cuenta Ahorros"/>
    <s v="Transferencia"/>
    <s v="Pagado"/>
  </r>
  <r>
    <x v="235"/>
    <x v="7"/>
    <s v="TX-102802"/>
    <x v="5"/>
    <x v="0"/>
    <x v="2"/>
    <n v="7606.96"/>
    <n v="0"/>
    <x v="2799"/>
    <x v="3"/>
    <s v="Cuenta Corriente"/>
    <s v="Tarjeta Crédito"/>
    <s v="Pendiente"/>
  </r>
  <r>
    <x v="154"/>
    <x v="0"/>
    <s v="TX-102803"/>
    <x v="9"/>
    <x v="0"/>
    <x v="6"/>
    <n v="8040.95"/>
    <n v="0"/>
    <x v="2800"/>
    <x v="2"/>
    <s v="Cuenta Corriente"/>
    <s v="Tarjeta Crédito"/>
    <s v="Pagado"/>
  </r>
  <r>
    <x v="178"/>
    <x v="6"/>
    <s v="TX-102804"/>
    <x v="6"/>
    <x v="0"/>
    <x v="6"/>
    <n v="13158.52"/>
    <n v="0"/>
    <x v="2801"/>
    <x v="3"/>
    <s v="Tarjeta Crédito Empresarial"/>
    <s v="Tarjeta Crédito"/>
    <s v="Pagado"/>
  </r>
  <r>
    <x v="76"/>
    <x v="11"/>
    <s v="TX-102805"/>
    <x v="11"/>
    <x v="0"/>
    <x v="6"/>
    <n v="5447.04"/>
    <n v="0"/>
    <x v="2802"/>
    <x v="3"/>
    <s v="Cuenta Ahorros"/>
    <s v="Efectivo"/>
    <s v="Pendiente"/>
  </r>
  <r>
    <x v="356"/>
    <x v="9"/>
    <s v="TX-102806"/>
    <x v="5"/>
    <x v="1"/>
    <x v="2"/>
    <n v="8834.57"/>
    <n v="1148.49"/>
    <x v="2803"/>
    <x v="0"/>
    <s v="Tarjeta Crédito Empresarial"/>
    <s v="Transferencia"/>
    <s v="Pagado"/>
  </r>
  <r>
    <x v="235"/>
    <x v="7"/>
    <s v="TX-102807"/>
    <x v="5"/>
    <x v="1"/>
    <x v="4"/>
    <n v="12998.92"/>
    <n v="1689.86"/>
    <x v="2804"/>
    <x v="2"/>
    <s v="Cuenta Corriente"/>
    <s v="Tarjeta Débito"/>
    <s v="Pendiente"/>
  </r>
  <r>
    <x v="124"/>
    <x v="4"/>
    <s v="TX-102808"/>
    <x v="1"/>
    <x v="0"/>
    <x v="7"/>
    <n v="11181.21"/>
    <n v="0"/>
    <x v="2805"/>
    <x v="3"/>
    <s v="Tarjeta Crédito Empresarial"/>
    <s v="Transferencia"/>
    <s v="Pagado"/>
  </r>
  <r>
    <x v="160"/>
    <x v="7"/>
    <s v="TX-102809"/>
    <x v="11"/>
    <x v="0"/>
    <x v="5"/>
    <n v="7109.12"/>
    <n v="0"/>
    <x v="2806"/>
    <x v="2"/>
    <s v="Cuenta Corriente"/>
    <s v="Transferencia"/>
    <s v="Pendiente"/>
  </r>
  <r>
    <x v="301"/>
    <x v="6"/>
    <s v="TX-102810"/>
    <x v="18"/>
    <x v="1"/>
    <x v="0"/>
    <n v="1303.52"/>
    <n v="169.46"/>
    <x v="2807"/>
    <x v="2"/>
    <s v="Cuenta Ahorros"/>
    <s v="Tarjeta Débito"/>
    <s v="Pagado"/>
  </r>
  <r>
    <x v="14"/>
    <x v="9"/>
    <s v="TX-102811"/>
    <x v="3"/>
    <x v="1"/>
    <x v="1"/>
    <n v="2887.65"/>
    <n v="375.39"/>
    <x v="2808"/>
    <x v="2"/>
    <s v="Cuenta Corriente"/>
    <s v="Efectivo"/>
    <s v="Pendiente"/>
  </r>
  <r>
    <x v="255"/>
    <x v="10"/>
    <s v="TX-102812"/>
    <x v="1"/>
    <x v="1"/>
    <x v="3"/>
    <n v="5440.41"/>
    <n v="707.25"/>
    <x v="2809"/>
    <x v="2"/>
    <s v="Tarjeta Crédito Empresarial"/>
    <s v="Tarjeta Crédito"/>
    <s v="Pendiente"/>
  </r>
  <r>
    <x v="128"/>
    <x v="9"/>
    <s v="TX-102813"/>
    <x v="7"/>
    <x v="0"/>
    <x v="0"/>
    <n v="11252.22"/>
    <n v="0"/>
    <x v="2810"/>
    <x v="2"/>
    <s v="Cuenta Ahorros"/>
    <s v="Transferencia"/>
    <s v="Pagado"/>
  </r>
  <r>
    <x v="168"/>
    <x v="1"/>
    <s v="TX-102814"/>
    <x v="14"/>
    <x v="0"/>
    <x v="4"/>
    <n v="5151.59"/>
    <n v="0"/>
    <x v="2811"/>
    <x v="1"/>
    <s v="Cuenta Ahorros"/>
    <s v="Transferencia"/>
    <s v="Pagado"/>
  </r>
  <r>
    <x v="107"/>
    <x v="3"/>
    <s v="TX-102815"/>
    <x v="15"/>
    <x v="1"/>
    <x v="3"/>
    <n v="14733.93"/>
    <n v="1915.41"/>
    <x v="2812"/>
    <x v="0"/>
    <s v="Cuenta Corriente"/>
    <s v="Transferencia"/>
    <s v="Pagado"/>
  </r>
  <r>
    <x v="40"/>
    <x v="2"/>
    <s v="TX-102816"/>
    <x v="14"/>
    <x v="0"/>
    <x v="5"/>
    <n v="12010.92"/>
    <n v="0"/>
    <x v="2813"/>
    <x v="1"/>
    <s v="Tarjeta Crédito Empresarial"/>
    <s v="Tarjeta Débito"/>
    <s v="Pendiente"/>
  </r>
  <r>
    <x v="290"/>
    <x v="6"/>
    <s v="TX-102817"/>
    <x v="14"/>
    <x v="1"/>
    <x v="7"/>
    <n v="5369.8"/>
    <n v="698.07"/>
    <x v="2814"/>
    <x v="1"/>
    <s v="Cuenta Corriente"/>
    <s v="Efectivo"/>
    <s v="Pendiente"/>
  </r>
  <r>
    <x v="271"/>
    <x v="5"/>
    <s v="TX-102818"/>
    <x v="0"/>
    <x v="1"/>
    <x v="4"/>
    <n v="7473.71"/>
    <n v="971.58"/>
    <x v="2815"/>
    <x v="3"/>
    <s v="Tarjeta Crédito Empresarial"/>
    <s v="Transferencia"/>
    <s v="Pagado"/>
  </r>
  <r>
    <x v="31"/>
    <x v="6"/>
    <s v="TX-102819"/>
    <x v="2"/>
    <x v="1"/>
    <x v="5"/>
    <n v="9947.6299999999992"/>
    <n v="1293.19"/>
    <x v="2816"/>
    <x v="2"/>
    <s v="Cuenta Ahorros"/>
    <s v="Tarjeta Débito"/>
    <s v="Pagado"/>
  </r>
  <r>
    <x v="44"/>
    <x v="1"/>
    <s v="TX-102820"/>
    <x v="10"/>
    <x v="1"/>
    <x v="5"/>
    <n v="2229.2199999999998"/>
    <n v="289.8"/>
    <x v="2817"/>
    <x v="1"/>
    <s v="Cuenta Ahorros"/>
    <s v="Tarjeta Crédito"/>
    <s v="Pendiente"/>
  </r>
  <r>
    <x v="268"/>
    <x v="2"/>
    <s v="TX-102821"/>
    <x v="9"/>
    <x v="1"/>
    <x v="7"/>
    <n v="14092.17"/>
    <n v="1831.98"/>
    <x v="2818"/>
    <x v="0"/>
    <s v="Cuenta Ahorros"/>
    <s v="Transferencia"/>
    <s v="Pendiente"/>
  </r>
  <r>
    <x v="247"/>
    <x v="11"/>
    <s v="TX-102822"/>
    <x v="16"/>
    <x v="1"/>
    <x v="6"/>
    <n v="10169.530000000001"/>
    <n v="1322.04"/>
    <x v="2819"/>
    <x v="3"/>
    <s v="Tarjeta Crédito Empresarial"/>
    <s v="Tarjeta Débito"/>
    <s v="Pendiente"/>
  </r>
  <r>
    <x v="340"/>
    <x v="2"/>
    <s v="TX-102823"/>
    <x v="15"/>
    <x v="1"/>
    <x v="4"/>
    <n v="8308.65"/>
    <n v="1080.1199999999999"/>
    <x v="2820"/>
    <x v="4"/>
    <s v="Cuenta Ahorros"/>
    <s v="Transferencia"/>
    <s v="Pendiente"/>
  </r>
  <r>
    <x v="100"/>
    <x v="3"/>
    <s v="TX-102824"/>
    <x v="17"/>
    <x v="0"/>
    <x v="4"/>
    <n v="6794.77"/>
    <n v="0"/>
    <x v="2821"/>
    <x v="0"/>
    <s v="Cuenta Ahorros"/>
    <s v="Transferencia"/>
    <s v="Pagado"/>
  </r>
  <r>
    <x v="237"/>
    <x v="5"/>
    <s v="TX-102825"/>
    <x v="18"/>
    <x v="0"/>
    <x v="3"/>
    <n v="5912.53"/>
    <n v="0"/>
    <x v="2822"/>
    <x v="2"/>
    <s v="Cuenta Corriente"/>
    <s v="Transferencia"/>
    <s v="Pagado"/>
  </r>
  <r>
    <x v="197"/>
    <x v="7"/>
    <s v="TX-102826"/>
    <x v="8"/>
    <x v="0"/>
    <x v="3"/>
    <n v="12088.62"/>
    <n v="0"/>
    <x v="2823"/>
    <x v="0"/>
    <s v="Tarjeta Crédito Empresarial"/>
    <s v="Efectivo"/>
    <s v="Pendiente"/>
  </r>
  <r>
    <x v="180"/>
    <x v="3"/>
    <s v="TX-102827"/>
    <x v="8"/>
    <x v="0"/>
    <x v="0"/>
    <n v="1157.33"/>
    <n v="0"/>
    <x v="2824"/>
    <x v="3"/>
    <s v="Cuenta Ahorros"/>
    <s v="Tarjeta Débito"/>
    <s v="Pagado"/>
  </r>
  <r>
    <x v="331"/>
    <x v="1"/>
    <s v="TX-102828"/>
    <x v="1"/>
    <x v="1"/>
    <x v="0"/>
    <n v="8362.39"/>
    <n v="1087.1099999999999"/>
    <x v="2825"/>
    <x v="2"/>
    <s v="Cuenta Ahorros"/>
    <s v="Tarjeta Crédito"/>
    <s v="Pendiente"/>
  </r>
  <r>
    <x v="353"/>
    <x v="7"/>
    <s v="TX-102829"/>
    <x v="19"/>
    <x v="1"/>
    <x v="0"/>
    <n v="7658.65"/>
    <n v="995.62"/>
    <x v="2826"/>
    <x v="2"/>
    <s v="Cuenta Corriente"/>
    <s v="Tarjeta Crédito"/>
    <s v="Pendiente"/>
  </r>
  <r>
    <x v="226"/>
    <x v="10"/>
    <s v="TX-102830"/>
    <x v="11"/>
    <x v="1"/>
    <x v="4"/>
    <n v="4655.1899999999996"/>
    <n v="605.16999999999996"/>
    <x v="2827"/>
    <x v="3"/>
    <s v="Cuenta Ahorros"/>
    <s v="Efectivo"/>
    <s v="Pagado"/>
  </r>
  <r>
    <x v="352"/>
    <x v="4"/>
    <s v="TX-102831"/>
    <x v="12"/>
    <x v="0"/>
    <x v="7"/>
    <n v="1965.78"/>
    <n v="0"/>
    <x v="2828"/>
    <x v="0"/>
    <s v="Cuenta Ahorros"/>
    <s v="Transferencia"/>
    <s v="Pendiente"/>
  </r>
  <r>
    <x v="320"/>
    <x v="2"/>
    <s v="TX-102832"/>
    <x v="12"/>
    <x v="1"/>
    <x v="6"/>
    <n v="10944.26"/>
    <n v="1422.75"/>
    <x v="2829"/>
    <x v="1"/>
    <s v="Cuenta Ahorros"/>
    <s v="Transferencia"/>
    <s v="Pendiente"/>
  </r>
  <r>
    <x v="105"/>
    <x v="5"/>
    <s v="TX-102833"/>
    <x v="4"/>
    <x v="0"/>
    <x v="6"/>
    <n v="5730.97"/>
    <n v="0"/>
    <x v="2830"/>
    <x v="4"/>
    <s v="Tarjeta Crédito Empresarial"/>
    <s v="Tarjeta Débito"/>
    <s v="Pendiente"/>
  </r>
  <r>
    <x v="339"/>
    <x v="0"/>
    <s v="TX-102834"/>
    <x v="14"/>
    <x v="1"/>
    <x v="1"/>
    <n v="11414.04"/>
    <n v="1483.83"/>
    <x v="2831"/>
    <x v="0"/>
    <s v="Cuenta Corriente"/>
    <s v="Tarjeta Débito"/>
    <s v="Pagado"/>
  </r>
  <r>
    <x v="143"/>
    <x v="11"/>
    <s v="TX-102835"/>
    <x v="12"/>
    <x v="1"/>
    <x v="3"/>
    <n v="13479.25"/>
    <n v="1752.3"/>
    <x v="2832"/>
    <x v="2"/>
    <s v="Cuenta Ahorros"/>
    <s v="Tarjeta Crédito"/>
    <s v="Pendiente"/>
  </r>
  <r>
    <x v="100"/>
    <x v="3"/>
    <s v="TX-102836"/>
    <x v="7"/>
    <x v="0"/>
    <x v="1"/>
    <n v="9181.64"/>
    <n v="0"/>
    <x v="2833"/>
    <x v="2"/>
    <s v="Cuenta Ahorros"/>
    <s v="Tarjeta Débito"/>
    <s v="Pendiente"/>
  </r>
  <r>
    <x v="154"/>
    <x v="0"/>
    <s v="TX-102837"/>
    <x v="17"/>
    <x v="0"/>
    <x v="7"/>
    <n v="5054.1099999999997"/>
    <n v="0"/>
    <x v="2834"/>
    <x v="4"/>
    <s v="Cuenta Ahorros"/>
    <s v="Tarjeta Débito"/>
    <s v="Pagado"/>
  </r>
  <r>
    <x v="2"/>
    <x v="2"/>
    <s v="TX-102838"/>
    <x v="8"/>
    <x v="0"/>
    <x v="6"/>
    <n v="9015.52"/>
    <n v="0"/>
    <x v="2835"/>
    <x v="0"/>
    <s v="Tarjeta Crédito Empresarial"/>
    <s v="Efectivo"/>
    <s v="Pendiente"/>
  </r>
  <r>
    <x v="317"/>
    <x v="4"/>
    <s v="TX-102839"/>
    <x v="17"/>
    <x v="1"/>
    <x v="2"/>
    <n v="10601.02"/>
    <n v="1378.13"/>
    <x v="2836"/>
    <x v="0"/>
    <s v="Cuenta Ahorros"/>
    <s v="Tarjeta Débito"/>
    <s v="Pendiente"/>
  </r>
  <r>
    <x v="119"/>
    <x v="6"/>
    <s v="TX-102840"/>
    <x v="8"/>
    <x v="1"/>
    <x v="2"/>
    <n v="11859.14"/>
    <n v="1541.69"/>
    <x v="2837"/>
    <x v="1"/>
    <s v="Cuenta Ahorros"/>
    <s v="Tarjeta Crédito"/>
    <s v="Pendiente"/>
  </r>
  <r>
    <x v="270"/>
    <x v="0"/>
    <s v="TX-102841"/>
    <x v="9"/>
    <x v="0"/>
    <x v="6"/>
    <n v="11817.6"/>
    <n v="0"/>
    <x v="2838"/>
    <x v="2"/>
    <s v="Tarjeta Crédito Empresarial"/>
    <s v="Efectivo"/>
    <s v="Pendiente"/>
  </r>
  <r>
    <x v="302"/>
    <x v="8"/>
    <s v="TX-102842"/>
    <x v="19"/>
    <x v="0"/>
    <x v="7"/>
    <n v="7964.36"/>
    <n v="0"/>
    <x v="2839"/>
    <x v="4"/>
    <s v="Tarjeta Crédito Empresarial"/>
    <s v="Transferencia"/>
    <s v="Pagado"/>
  </r>
  <r>
    <x v="93"/>
    <x v="3"/>
    <s v="TX-102843"/>
    <x v="3"/>
    <x v="1"/>
    <x v="1"/>
    <n v="12534.3"/>
    <n v="1629.46"/>
    <x v="2840"/>
    <x v="4"/>
    <s v="Cuenta Corriente"/>
    <s v="Transferencia"/>
    <s v="Pendiente"/>
  </r>
  <r>
    <x v="227"/>
    <x v="11"/>
    <s v="TX-102844"/>
    <x v="16"/>
    <x v="1"/>
    <x v="4"/>
    <n v="2211.52"/>
    <n v="287.5"/>
    <x v="2841"/>
    <x v="2"/>
    <s v="Tarjeta Crédito Empresarial"/>
    <s v="Tarjeta Débito"/>
    <s v="Pendiente"/>
  </r>
  <r>
    <x v="131"/>
    <x v="10"/>
    <s v="TX-102845"/>
    <x v="6"/>
    <x v="0"/>
    <x v="3"/>
    <n v="8321.7900000000009"/>
    <n v="0"/>
    <x v="2842"/>
    <x v="0"/>
    <s v="Cuenta Ahorros"/>
    <s v="Efectivo"/>
    <s v="Pagado"/>
  </r>
  <r>
    <x v="142"/>
    <x v="7"/>
    <s v="TX-102846"/>
    <x v="11"/>
    <x v="1"/>
    <x v="4"/>
    <n v="171.19"/>
    <n v="22.25"/>
    <x v="2843"/>
    <x v="4"/>
    <s v="Cuenta Ahorros"/>
    <s v="Transferencia"/>
    <s v="Pagado"/>
  </r>
  <r>
    <x v="286"/>
    <x v="11"/>
    <s v="TX-102847"/>
    <x v="12"/>
    <x v="0"/>
    <x v="0"/>
    <n v="5652.18"/>
    <n v="0"/>
    <x v="2844"/>
    <x v="1"/>
    <s v="Cuenta Ahorros"/>
    <s v="Efectivo"/>
    <s v="Pagado"/>
  </r>
  <r>
    <x v="343"/>
    <x v="1"/>
    <s v="TX-102848"/>
    <x v="8"/>
    <x v="0"/>
    <x v="4"/>
    <n v="6281.59"/>
    <n v="0"/>
    <x v="2845"/>
    <x v="2"/>
    <s v="Cuenta Corriente"/>
    <s v="Tarjeta Débito"/>
    <s v="Pendiente"/>
  </r>
  <r>
    <x v="329"/>
    <x v="3"/>
    <s v="TX-102849"/>
    <x v="19"/>
    <x v="0"/>
    <x v="7"/>
    <n v="12844.09"/>
    <n v="0"/>
    <x v="2846"/>
    <x v="4"/>
    <s v="Cuenta Ahorros"/>
    <s v="Tarjeta Débito"/>
    <s v="Pagado"/>
  </r>
  <r>
    <x v="266"/>
    <x v="0"/>
    <s v="TX-102850"/>
    <x v="12"/>
    <x v="0"/>
    <x v="4"/>
    <n v="9379.56"/>
    <n v="0"/>
    <x v="2847"/>
    <x v="3"/>
    <s v="Tarjeta Crédito Empresarial"/>
    <s v="Tarjeta Débito"/>
    <s v="Pendiente"/>
  </r>
  <r>
    <x v="150"/>
    <x v="2"/>
    <s v="TX-102851"/>
    <x v="13"/>
    <x v="1"/>
    <x v="6"/>
    <n v="11081.05"/>
    <n v="1440.54"/>
    <x v="2848"/>
    <x v="3"/>
    <s v="Cuenta Ahorros"/>
    <s v="Tarjeta Crédito"/>
    <s v="Pagado"/>
  </r>
  <r>
    <x v="174"/>
    <x v="9"/>
    <s v="TX-102852"/>
    <x v="0"/>
    <x v="0"/>
    <x v="7"/>
    <n v="5135.75"/>
    <n v="0"/>
    <x v="2849"/>
    <x v="0"/>
    <s v="Cuenta Corriente"/>
    <s v="Transferencia"/>
    <s v="Pagado"/>
  </r>
  <r>
    <x v="253"/>
    <x v="6"/>
    <s v="TX-102853"/>
    <x v="16"/>
    <x v="0"/>
    <x v="4"/>
    <n v="3302.28"/>
    <n v="0"/>
    <x v="2850"/>
    <x v="2"/>
    <s v="Cuenta Ahorros"/>
    <s v="Efectivo"/>
    <s v="Pendiente"/>
  </r>
  <r>
    <x v="265"/>
    <x v="1"/>
    <s v="TX-102854"/>
    <x v="7"/>
    <x v="1"/>
    <x v="7"/>
    <n v="8439.6200000000008"/>
    <n v="1097.1500000000001"/>
    <x v="2851"/>
    <x v="1"/>
    <s v="Cuenta Ahorros"/>
    <s v="Transferencia"/>
    <s v="Pagado"/>
  </r>
  <r>
    <x v="48"/>
    <x v="2"/>
    <s v="TX-102855"/>
    <x v="6"/>
    <x v="0"/>
    <x v="6"/>
    <n v="5586.36"/>
    <n v="0"/>
    <x v="2852"/>
    <x v="0"/>
    <s v="Tarjeta Crédito Empresarial"/>
    <s v="Tarjeta Crédito"/>
    <s v="Pendiente"/>
  </r>
  <r>
    <x v="5"/>
    <x v="0"/>
    <s v="TX-102856"/>
    <x v="9"/>
    <x v="1"/>
    <x v="6"/>
    <n v="3129.83"/>
    <n v="406.88"/>
    <x v="2853"/>
    <x v="1"/>
    <s v="Cuenta Ahorros"/>
    <s v="Tarjeta Débito"/>
    <s v="Pagado"/>
  </r>
  <r>
    <x v="207"/>
    <x v="8"/>
    <s v="TX-102857"/>
    <x v="2"/>
    <x v="0"/>
    <x v="4"/>
    <n v="6627.62"/>
    <n v="0"/>
    <x v="2854"/>
    <x v="2"/>
    <s v="Cuenta Ahorros"/>
    <s v="Tarjeta Crédito"/>
    <s v="Pagado"/>
  </r>
  <r>
    <x v="349"/>
    <x v="6"/>
    <s v="TX-102858"/>
    <x v="10"/>
    <x v="0"/>
    <x v="6"/>
    <n v="4579.74"/>
    <n v="0"/>
    <x v="2855"/>
    <x v="2"/>
    <s v="Tarjeta Crédito Empresarial"/>
    <s v="Tarjeta Débito"/>
    <s v="Pendiente"/>
  </r>
  <r>
    <x v="81"/>
    <x v="3"/>
    <s v="TX-102859"/>
    <x v="15"/>
    <x v="0"/>
    <x v="7"/>
    <n v="1572.64"/>
    <n v="0"/>
    <x v="2856"/>
    <x v="0"/>
    <s v="Cuenta Corriente"/>
    <s v="Tarjeta Débito"/>
    <s v="Pagado"/>
  </r>
  <r>
    <x v="285"/>
    <x v="5"/>
    <s v="TX-102860"/>
    <x v="2"/>
    <x v="1"/>
    <x v="7"/>
    <n v="6103.48"/>
    <n v="793.45"/>
    <x v="2857"/>
    <x v="4"/>
    <s v="Cuenta Ahorros"/>
    <s v="Transferencia"/>
    <s v="Pendiente"/>
  </r>
  <r>
    <x v="311"/>
    <x v="1"/>
    <s v="TX-102861"/>
    <x v="3"/>
    <x v="0"/>
    <x v="7"/>
    <n v="1918.59"/>
    <n v="0"/>
    <x v="2858"/>
    <x v="3"/>
    <s v="Cuenta Corriente"/>
    <s v="Transferencia"/>
    <s v="Pendiente"/>
  </r>
  <r>
    <x v="97"/>
    <x v="6"/>
    <s v="TX-102862"/>
    <x v="13"/>
    <x v="0"/>
    <x v="0"/>
    <n v="11509.17"/>
    <n v="0"/>
    <x v="2859"/>
    <x v="2"/>
    <s v="Cuenta Corriente"/>
    <s v="Transferencia"/>
    <s v="Pendiente"/>
  </r>
  <r>
    <x v="11"/>
    <x v="8"/>
    <s v="TX-102863"/>
    <x v="16"/>
    <x v="1"/>
    <x v="6"/>
    <n v="14141.63"/>
    <n v="1838.41"/>
    <x v="2860"/>
    <x v="0"/>
    <s v="Cuenta Ahorros"/>
    <s v="Efectivo"/>
    <s v="Pendiente"/>
  </r>
  <r>
    <x v="31"/>
    <x v="6"/>
    <s v="TX-102864"/>
    <x v="5"/>
    <x v="0"/>
    <x v="4"/>
    <n v="9739.9599999999991"/>
    <n v="0"/>
    <x v="2861"/>
    <x v="1"/>
    <s v="Cuenta Ahorros"/>
    <s v="Transferencia"/>
    <s v="Pendiente"/>
  </r>
  <r>
    <x v="27"/>
    <x v="9"/>
    <s v="TX-102865"/>
    <x v="8"/>
    <x v="0"/>
    <x v="0"/>
    <n v="9312.64"/>
    <n v="0"/>
    <x v="2862"/>
    <x v="4"/>
    <s v="Cuenta Corriente"/>
    <s v="Tarjeta Débito"/>
    <s v="Pendiente"/>
  </r>
  <r>
    <x v="360"/>
    <x v="6"/>
    <s v="TX-102866"/>
    <x v="8"/>
    <x v="1"/>
    <x v="6"/>
    <n v="7315.47"/>
    <n v="951.01"/>
    <x v="2863"/>
    <x v="2"/>
    <s v="Cuenta Ahorros"/>
    <s v="Tarjeta Crédito"/>
    <s v="Pagado"/>
  </r>
  <r>
    <x v="132"/>
    <x v="11"/>
    <s v="TX-102867"/>
    <x v="7"/>
    <x v="1"/>
    <x v="5"/>
    <n v="11821.85"/>
    <n v="1536.84"/>
    <x v="2864"/>
    <x v="2"/>
    <s v="Tarjeta Crédito Empresarial"/>
    <s v="Transferencia"/>
    <s v="Pagado"/>
  </r>
  <r>
    <x v="116"/>
    <x v="5"/>
    <s v="TX-102868"/>
    <x v="16"/>
    <x v="1"/>
    <x v="0"/>
    <n v="11137.87"/>
    <n v="1447.92"/>
    <x v="2865"/>
    <x v="2"/>
    <s v="Cuenta Ahorros"/>
    <s v="Transferencia"/>
    <s v="Pendiente"/>
  </r>
  <r>
    <x v="333"/>
    <x v="10"/>
    <s v="TX-102869"/>
    <x v="6"/>
    <x v="1"/>
    <x v="4"/>
    <n v="6036.69"/>
    <n v="784.77"/>
    <x v="2866"/>
    <x v="1"/>
    <s v="Tarjeta Crédito Empresarial"/>
    <s v="Transferencia"/>
    <s v="Pendiente"/>
  </r>
  <r>
    <x v="40"/>
    <x v="2"/>
    <s v="TX-102870"/>
    <x v="2"/>
    <x v="0"/>
    <x v="0"/>
    <n v="14614.19"/>
    <n v="0"/>
    <x v="2867"/>
    <x v="0"/>
    <s v="Cuenta Ahorros"/>
    <s v="Tarjeta Crédito"/>
    <s v="Pendiente"/>
  </r>
  <r>
    <x v="318"/>
    <x v="3"/>
    <s v="TX-102871"/>
    <x v="11"/>
    <x v="1"/>
    <x v="7"/>
    <n v="14085.51"/>
    <n v="1831.12"/>
    <x v="2868"/>
    <x v="1"/>
    <s v="Cuenta Corriente"/>
    <s v="Transferencia"/>
    <s v="Pendiente"/>
  </r>
  <r>
    <x v="201"/>
    <x v="8"/>
    <s v="TX-102872"/>
    <x v="5"/>
    <x v="0"/>
    <x v="2"/>
    <n v="338.46"/>
    <n v="0"/>
    <x v="2869"/>
    <x v="2"/>
    <s v="Tarjeta Crédito Empresarial"/>
    <s v="Transferencia"/>
    <s v="Pagado"/>
  </r>
  <r>
    <x v="188"/>
    <x v="6"/>
    <s v="TX-102873"/>
    <x v="6"/>
    <x v="1"/>
    <x v="3"/>
    <n v="6927.18"/>
    <n v="900.53"/>
    <x v="2870"/>
    <x v="2"/>
    <s v="Tarjeta Crédito Empresarial"/>
    <s v="Transferencia"/>
    <s v="Pendiente"/>
  </r>
  <r>
    <x v="85"/>
    <x v="0"/>
    <s v="TX-102874"/>
    <x v="2"/>
    <x v="1"/>
    <x v="6"/>
    <n v="4741.55"/>
    <n v="616.4"/>
    <x v="2871"/>
    <x v="1"/>
    <s v="Tarjeta Crédito Empresarial"/>
    <s v="Tarjeta Débito"/>
    <s v="Pagado"/>
  </r>
  <r>
    <x v="359"/>
    <x v="5"/>
    <s v="TX-102875"/>
    <x v="2"/>
    <x v="1"/>
    <x v="3"/>
    <n v="6705.29"/>
    <n v="871.69"/>
    <x v="2872"/>
    <x v="4"/>
    <s v="Cuenta Ahorros"/>
    <s v="Tarjeta Débito"/>
    <s v="Pendiente"/>
  </r>
  <r>
    <x v="69"/>
    <x v="10"/>
    <s v="TX-102876"/>
    <x v="12"/>
    <x v="0"/>
    <x v="6"/>
    <n v="10563.3"/>
    <n v="0"/>
    <x v="2873"/>
    <x v="1"/>
    <s v="Cuenta Corriente"/>
    <s v="Efectivo"/>
    <s v="Pagado"/>
  </r>
  <r>
    <x v="113"/>
    <x v="0"/>
    <s v="TX-102877"/>
    <x v="16"/>
    <x v="1"/>
    <x v="0"/>
    <n v="4087.85"/>
    <n v="531.41999999999996"/>
    <x v="2874"/>
    <x v="4"/>
    <s v="Cuenta Corriente"/>
    <s v="Tarjeta Crédito"/>
    <s v="Pagado"/>
  </r>
  <r>
    <x v="169"/>
    <x v="1"/>
    <s v="TX-102878"/>
    <x v="19"/>
    <x v="1"/>
    <x v="2"/>
    <n v="4117.97"/>
    <n v="535.34"/>
    <x v="2875"/>
    <x v="0"/>
    <s v="Cuenta Ahorros"/>
    <s v="Tarjeta Crédito"/>
    <s v="Pagado"/>
  </r>
  <r>
    <x v="315"/>
    <x v="5"/>
    <s v="TX-102879"/>
    <x v="17"/>
    <x v="1"/>
    <x v="3"/>
    <n v="6107.57"/>
    <n v="793.98"/>
    <x v="2876"/>
    <x v="4"/>
    <s v="Cuenta Ahorros"/>
    <s v="Efectivo"/>
    <s v="Pendiente"/>
  </r>
  <r>
    <x v="88"/>
    <x v="5"/>
    <s v="TX-102880"/>
    <x v="18"/>
    <x v="0"/>
    <x v="1"/>
    <n v="2980.46"/>
    <n v="0"/>
    <x v="2877"/>
    <x v="3"/>
    <s v="Tarjeta Crédito Empresarial"/>
    <s v="Transferencia"/>
    <s v="Pendiente"/>
  </r>
  <r>
    <x v="48"/>
    <x v="2"/>
    <s v="TX-102881"/>
    <x v="3"/>
    <x v="0"/>
    <x v="6"/>
    <n v="8432.76"/>
    <n v="0"/>
    <x v="2878"/>
    <x v="1"/>
    <s v="Cuenta Corriente"/>
    <s v="Tarjeta Débito"/>
    <s v="Pendiente"/>
  </r>
  <r>
    <x v="68"/>
    <x v="4"/>
    <s v="TX-102882"/>
    <x v="15"/>
    <x v="1"/>
    <x v="7"/>
    <n v="12156.18"/>
    <n v="1580.3"/>
    <x v="2879"/>
    <x v="3"/>
    <s v="Cuenta Corriente"/>
    <s v="Efectivo"/>
    <s v="Pendiente"/>
  </r>
  <r>
    <x v="289"/>
    <x v="2"/>
    <s v="TX-102883"/>
    <x v="1"/>
    <x v="1"/>
    <x v="5"/>
    <n v="14355.87"/>
    <n v="1866.26"/>
    <x v="2880"/>
    <x v="3"/>
    <s v="Cuenta Ahorros"/>
    <s v="Tarjeta Débito"/>
    <s v="Pendiente"/>
  </r>
  <r>
    <x v="301"/>
    <x v="6"/>
    <s v="TX-102884"/>
    <x v="15"/>
    <x v="1"/>
    <x v="2"/>
    <n v="8804.43"/>
    <n v="1144.58"/>
    <x v="2881"/>
    <x v="0"/>
    <s v="Tarjeta Crédito Empresarial"/>
    <s v="Tarjeta Débito"/>
    <s v="Pendiente"/>
  </r>
  <r>
    <x v="263"/>
    <x v="6"/>
    <s v="TX-102885"/>
    <x v="7"/>
    <x v="0"/>
    <x v="7"/>
    <n v="14458.23"/>
    <n v="0"/>
    <x v="2882"/>
    <x v="2"/>
    <s v="Cuenta Ahorros"/>
    <s v="Tarjeta Crédito"/>
    <s v="Pagado"/>
  </r>
  <r>
    <x v="108"/>
    <x v="0"/>
    <s v="TX-102886"/>
    <x v="3"/>
    <x v="0"/>
    <x v="4"/>
    <n v="4331.83"/>
    <n v="0"/>
    <x v="2883"/>
    <x v="3"/>
    <s v="Tarjeta Crédito Empresarial"/>
    <s v="Transferencia"/>
    <s v="Pendiente"/>
  </r>
  <r>
    <x v="293"/>
    <x v="1"/>
    <s v="TX-102887"/>
    <x v="5"/>
    <x v="0"/>
    <x v="7"/>
    <n v="2854.32"/>
    <n v="0"/>
    <x v="2884"/>
    <x v="2"/>
    <s v="Cuenta Corriente"/>
    <s v="Transferencia"/>
    <s v="Pagado"/>
  </r>
  <r>
    <x v="296"/>
    <x v="8"/>
    <s v="TX-102888"/>
    <x v="19"/>
    <x v="1"/>
    <x v="7"/>
    <n v="12570.65"/>
    <n v="1634.18"/>
    <x v="2885"/>
    <x v="0"/>
    <s v="Cuenta Ahorros"/>
    <s v="Transferencia"/>
    <s v="Pendiente"/>
  </r>
  <r>
    <x v="282"/>
    <x v="2"/>
    <s v="TX-102889"/>
    <x v="18"/>
    <x v="0"/>
    <x v="3"/>
    <n v="10077.870000000001"/>
    <n v="0"/>
    <x v="2886"/>
    <x v="3"/>
    <s v="Cuenta Corriente"/>
    <s v="Tarjeta Crédito"/>
    <s v="Pagado"/>
  </r>
  <r>
    <x v="144"/>
    <x v="0"/>
    <s v="TX-102890"/>
    <x v="5"/>
    <x v="0"/>
    <x v="4"/>
    <n v="14622.92"/>
    <n v="0"/>
    <x v="2887"/>
    <x v="3"/>
    <s v="Cuenta Corriente"/>
    <s v="Efectivo"/>
    <s v="Pagado"/>
  </r>
  <r>
    <x v="230"/>
    <x v="11"/>
    <s v="TX-102891"/>
    <x v="15"/>
    <x v="1"/>
    <x v="0"/>
    <n v="74.209999999999994"/>
    <n v="9.65"/>
    <x v="2888"/>
    <x v="1"/>
    <s v="Cuenta Ahorros"/>
    <s v="Efectivo"/>
    <s v="Pendiente"/>
  </r>
  <r>
    <x v="62"/>
    <x v="11"/>
    <s v="TX-102892"/>
    <x v="19"/>
    <x v="1"/>
    <x v="3"/>
    <n v="9937.93"/>
    <n v="1291.93"/>
    <x v="2889"/>
    <x v="1"/>
    <s v="Cuenta Corriente"/>
    <s v="Tarjeta Débito"/>
    <s v="Pendiente"/>
  </r>
  <r>
    <x v="146"/>
    <x v="6"/>
    <s v="TX-102893"/>
    <x v="16"/>
    <x v="0"/>
    <x v="1"/>
    <n v="7273.58"/>
    <n v="0"/>
    <x v="2890"/>
    <x v="1"/>
    <s v="Tarjeta Crédito Empresarial"/>
    <s v="Transferencia"/>
    <s v="Pendiente"/>
  </r>
  <r>
    <x v="246"/>
    <x v="10"/>
    <s v="TX-102894"/>
    <x v="1"/>
    <x v="0"/>
    <x v="5"/>
    <n v="674.86"/>
    <n v="0"/>
    <x v="2891"/>
    <x v="0"/>
    <s v="Tarjeta Crédito Empresarial"/>
    <s v="Efectivo"/>
    <s v="Pagado"/>
  </r>
  <r>
    <x v="16"/>
    <x v="5"/>
    <s v="TX-102895"/>
    <x v="18"/>
    <x v="0"/>
    <x v="0"/>
    <n v="718.51"/>
    <n v="0"/>
    <x v="2892"/>
    <x v="4"/>
    <s v="Cuenta Ahorros"/>
    <s v="Tarjeta Crédito"/>
    <s v="Pendiente"/>
  </r>
  <r>
    <x v="226"/>
    <x v="10"/>
    <s v="TX-102896"/>
    <x v="17"/>
    <x v="0"/>
    <x v="7"/>
    <n v="4512.7299999999996"/>
    <n v="0"/>
    <x v="2893"/>
    <x v="0"/>
    <s v="Cuenta Corriente"/>
    <s v="Efectivo"/>
    <s v="Pagado"/>
  </r>
  <r>
    <x v="242"/>
    <x v="4"/>
    <s v="TX-102897"/>
    <x v="12"/>
    <x v="1"/>
    <x v="3"/>
    <n v="11780.18"/>
    <n v="1531.42"/>
    <x v="2894"/>
    <x v="0"/>
    <s v="Cuenta Corriente"/>
    <s v="Efectivo"/>
    <s v="Pagado"/>
  </r>
  <r>
    <x v="78"/>
    <x v="0"/>
    <s v="TX-102898"/>
    <x v="9"/>
    <x v="1"/>
    <x v="6"/>
    <n v="12224.54"/>
    <n v="1589.19"/>
    <x v="2895"/>
    <x v="0"/>
    <s v="Cuenta Ahorros"/>
    <s v="Transferencia"/>
    <s v="Pagado"/>
  </r>
  <r>
    <x v="166"/>
    <x v="10"/>
    <s v="TX-102899"/>
    <x v="3"/>
    <x v="1"/>
    <x v="0"/>
    <n v="5986.74"/>
    <n v="778.28"/>
    <x v="2896"/>
    <x v="4"/>
    <s v="Tarjeta Crédito Empresarial"/>
    <s v="Efectivo"/>
    <s v="Pendiente"/>
  </r>
  <r>
    <x v="32"/>
    <x v="9"/>
    <s v="TX-102900"/>
    <x v="6"/>
    <x v="0"/>
    <x v="5"/>
    <n v="1812.09"/>
    <n v="0"/>
    <x v="2897"/>
    <x v="4"/>
    <s v="Cuenta Corriente"/>
    <s v="Tarjeta Débito"/>
    <s v="Pendiente"/>
  </r>
  <r>
    <x v="21"/>
    <x v="2"/>
    <s v="TX-102901"/>
    <x v="3"/>
    <x v="1"/>
    <x v="3"/>
    <n v="11948.56"/>
    <n v="1553.31"/>
    <x v="2898"/>
    <x v="4"/>
    <s v="Cuenta Corriente"/>
    <s v="Efectivo"/>
    <s v="Pagado"/>
  </r>
  <r>
    <x v="313"/>
    <x v="6"/>
    <s v="TX-102902"/>
    <x v="8"/>
    <x v="0"/>
    <x v="1"/>
    <n v="2166.39"/>
    <n v="0"/>
    <x v="2899"/>
    <x v="4"/>
    <s v="Cuenta Corriente"/>
    <s v="Tarjeta Crédito"/>
    <s v="Pagado"/>
  </r>
  <r>
    <x v="272"/>
    <x v="8"/>
    <s v="TX-102903"/>
    <x v="12"/>
    <x v="1"/>
    <x v="1"/>
    <n v="6153.39"/>
    <n v="799.94"/>
    <x v="2900"/>
    <x v="4"/>
    <s v="Cuenta Ahorros"/>
    <s v="Transferencia"/>
    <s v="Pendiente"/>
  </r>
  <r>
    <x v="33"/>
    <x v="5"/>
    <s v="TX-102904"/>
    <x v="8"/>
    <x v="0"/>
    <x v="3"/>
    <n v="8629.9599999999991"/>
    <n v="0"/>
    <x v="2901"/>
    <x v="2"/>
    <s v="Cuenta Corriente"/>
    <s v="Transferencia"/>
    <s v="Pagado"/>
  </r>
  <r>
    <x v="166"/>
    <x v="10"/>
    <s v="TX-102905"/>
    <x v="9"/>
    <x v="1"/>
    <x v="2"/>
    <n v="2300.6"/>
    <n v="299.08"/>
    <x v="2902"/>
    <x v="4"/>
    <s v="Cuenta Corriente"/>
    <s v="Transferencia"/>
    <s v="Pendiente"/>
  </r>
  <r>
    <x v="364"/>
    <x v="9"/>
    <s v="TX-102906"/>
    <x v="4"/>
    <x v="0"/>
    <x v="1"/>
    <n v="13979.39"/>
    <n v="0"/>
    <x v="2903"/>
    <x v="0"/>
    <s v="Cuenta Ahorros"/>
    <s v="Transferencia"/>
    <s v="Pendiente"/>
  </r>
  <r>
    <x v="299"/>
    <x v="9"/>
    <s v="TX-102907"/>
    <x v="18"/>
    <x v="0"/>
    <x v="1"/>
    <n v="2924.07"/>
    <n v="0"/>
    <x v="2904"/>
    <x v="1"/>
    <s v="Tarjeta Crédito Empresarial"/>
    <s v="Efectivo"/>
    <s v="Pagado"/>
  </r>
  <r>
    <x v="324"/>
    <x v="5"/>
    <s v="TX-102908"/>
    <x v="18"/>
    <x v="1"/>
    <x v="4"/>
    <n v="13655.64"/>
    <n v="1775.23"/>
    <x v="2905"/>
    <x v="1"/>
    <s v="Cuenta Corriente"/>
    <s v="Tarjeta Crédito"/>
    <s v="Pagado"/>
  </r>
  <r>
    <x v="272"/>
    <x v="8"/>
    <s v="TX-102909"/>
    <x v="17"/>
    <x v="1"/>
    <x v="6"/>
    <n v="3172.07"/>
    <n v="412.37"/>
    <x v="2906"/>
    <x v="1"/>
    <s v="Tarjeta Crédito Empresarial"/>
    <s v="Tarjeta Crédito"/>
    <s v="Pagado"/>
  </r>
  <r>
    <x v="39"/>
    <x v="8"/>
    <s v="TX-102910"/>
    <x v="7"/>
    <x v="0"/>
    <x v="7"/>
    <n v="12991.76"/>
    <n v="0"/>
    <x v="2907"/>
    <x v="3"/>
    <s v="Cuenta Corriente"/>
    <s v="Efectivo"/>
    <s v="Pendiente"/>
  </r>
  <r>
    <x v="176"/>
    <x v="5"/>
    <s v="TX-102911"/>
    <x v="9"/>
    <x v="0"/>
    <x v="7"/>
    <n v="10161.02"/>
    <n v="0"/>
    <x v="2908"/>
    <x v="4"/>
    <s v="Cuenta Corriente"/>
    <s v="Efectivo"/>
    <s v="Pagado"/>
  </r>
  <r>
    <x v="49"/>
    <x v="8"/>
    <s v="TX-102912"/>
    <x v="5"/>
    <x v="1"/>
    <x v="5"/>
    <n v="3999.74"/>
    <n v="519.97"/>
    <x v="2909"/>
    <x v="1"/>
    <s v="Cuenta Ahorros"/>
    <s v="Efectivo"/>
    <s v="Pendiente"/>
  </r>
  <r>
    <x v="173"/>
    <x v="11"/>
    <s v="TX-102913"/>
    <x v="18"/>
    <x v="1"/>
    <x v="4"/>
    <n v="8165.53"/>
    <n v="1061.52"/>
    <x v="2910"/>
    <x v="3"/>
    <s v="Tarjeta Crédito Empresarial"/>
    <s v="Tarjeta Crédito"/>
    <s v="Pendiente"/>
  </r>
  <r>
    <x v="277"/>
    <x v="9"/>
    <s v="TX-102914"/>
    <x v="1"/>
    <x v="1"/>
    <x v="6"/>
    <n v="5835.9"/>
    <n v="758.67"/>
    <x v="2911"/>
    <x v="2"/>
    <s v="Cuenta Corriente"/>
    <s v="Efectivo"/>
    <s v="Pagado"/>
  </r>
  <r>
    <x v="222"/>
    <x v="3"/>
    <s v="TX-102915"/>
    <x v="2"/>
    <x v="0"/>
    <x v="4"/>
    <n v="12051.06"/>
    <n v="0"/>
    <x v="2912"/>
    <x v="3"/>
    <s v="Cuenta Corriente"/>
    <s v="Transferencia"/>
    <s v="Pagado"/>
  </r>
  <r>
    <x v="148"/>
    <x v="8"/>
    <s v="TX-102916"/>
    <x v="2"/>
    <x v="0"/>
    <x v="3"/>
    <n v="4634.7700000000004"/>
    <n v="0"/>
    <x v="2913"/>
    <x v="2"/>
    <s v="Cuenta Ahorros"/>
    <s v="Tarjeta Crédito"/>
    <s v="Pendiente"/>
  </r>
  <r>
    <x v="133"/>
    <x v="3"/>
    <s v="TX-102917"/>
    <x v="13"/>
    <x v="1"/>
    <x v="7"/>
    <n v="2317.9299999999998"/>
    <n v="301.33"/>
    <x v="2914"/>
    <x v="0"/>
    <s v="Cuenta Corriente"/>
    <s v="Tarjeta Crédito"/>
    <s v="Pendiente"/>
  </r>
  <r>
    <x v="260"/>
    <x v="4"/>
    <s v="TX-102918"/>
    <x v="10"/>
    <x v="1"/>
    <x v="1"/>
    <n v="9152.3799999999992"/>
    <n v="1189.81"/>
    <x v="2915"/>
    <x v="1"/>
    <s v="Tarjeta Crédito Empresarial"/>
    <s v="Tarjeta Crédito"/>
    <s v="Pendiente"/>
  </r>
  <r>
    <x v="203"/>
    <x v="6"/>
    <s v="TX-102919"/>
    <x v="15"/>
    <x v="0"/>
    <x v="5"/>
    <n v="13836.43"/>
    <n v="0"/>
    <x v="2916"/>
    <x v="1"/>
    <s v="Cuenta Corriente"/>
    <s v="Tarjeta Débito"/>
    <s v="Pagado"/>
  </r>
  <r>
    <x v="67"/>
    <x v="8"/>
    <s v="TX-102920"/>
    <x v="4"/>
    <x v="0"/>
    <x v="1"/>
    <n v="9390.7000000000007"/>
    <n v="0"/>
    <x v="2917"/>
    <x v="1"/>
    <s v="Cuenta Ahorros"/>
    <s v="Efectivo"/>
    <s v="Pendiente"/>
  </r>
  <r>
    <x v="250"/>
    <x v="7"/>
    <s v="TX-102921"/>
    <x v="10"/>
    <x v="1"/>
    <x v="3"/>
    <n v="2207.5100000000002"/>
    <n v="286.98"/>
    <x v="2918"/>
    <x v="1"/>
    <s v="Cuenta Ahorros"/>
    <s v="Tarjeta Débito"/>
    <s v="Pendiente"/>
  </r>
  <r>
    <x v="3"/>
    <x v="3"/>
    <s v="TX-102922"/>
    <x v="1"/>
    <x v="1"/>
    <x v="7"/>
    <n v="11401.38"/>
    <n v="1482.18"/>
    <x v="2919"/>
    <x v="3"/>
    <s v="Cuenta Corriente"/>
    <s v="Efectivo"/>
    <s v="Pagado"/>
  </r>
  <r>
    <x v="208"/>
    <x v="2"/>
    <s v="TX-102923"/>
    <x v="0"/>
    <x v="0"/>
    <x v="5"/>
    <n v="4346.92"/>
    <n v="0"/>
    <x v="2920"/>
    <x v="4"/>
    <s v="Cuenta Corriente"/>
    <s v="Tarjeta Débito"/>
    <s v="Pagado"/>
  </r>
  <r>
    <x v="265"/>
    <x v="1"/>
    <s v="TX-102924"/>
    <x v="5"/>
    <x v="1"/>
    <x v="4"/>
    <n v="4234.8500000000004"/>
    <n v="550.53"/>
    <x v="2921"/>
    <x v="1"/>
    <s v="Tarjeta Crédito Empresarial"/>
    <s v="Transferencia"/>
    <s v="Pendiente"/>
  </r>
  <r>
    <x v="116"/>
    <x v="5"/>
    <s v="TX-102925"/>
    <x v="12"/>
    <x v="1"/>
    <x v="3"/>
    <n v="9198.98"/>
    <n v="1195.8699999999999"/>
    <x v="2922"/>
    <x v="4"/>
    <s v="Cuenta Corriente"/>
    <s v="Tarjeta Crédito"/>
    <s v="Pendiente"/>
  </r>
  <r>
    <x v="145"/>
    <x v="11"/>
    <s v="TX-102926"/>
    <x v="8"/>
    <x v="1"/>
    <x v="4"/>
    <n v="1400.64"/>
    <n v="182.08"/>
    <x v="2923"/>
    <x v="2"/>
    <s v="Cuenta Corriente"/>
    <s v="Efectivo"/>
    <s v="Pagado"/>
  </r>
  <r>
    <x v="24"/>
    <x v="10"/>
    <s v="TX-102927"/>
    <x v="15"/>
    <x v="0"/>
    <x v="4"/>
    <n v="7989.38"/>
    <n v="0"/>
    <x v="2924"/>
    <x v="2"/>
    <s v="Cuenta Ahorros"/>
    <s v="Efectivo"/>
    <s v="Pendiente"/>
  </r>
  <r>
    <x v="336"/>
    <x v="3"/>
    <s v="TX-102928"/>
    <x v="1"/>
    <x v="1"/>
    <x v="1"/>
    <n v="3876.08"/>
    <n v="503.89"/>
    <x v="2925"/>
    <x v="2"/>
    <s v="Cuenta Ahorros"/>
    <s v="Tarjeta Débito"/>
    <s v="Pagado"/>
  </r>
  <r>
    <x v="276"/>
    <x v="9"/>
    <s v="TX-102929"/>
    <x v="12"/>
    <x v="0"/>
    <x v="3"/>
    <n v="11413.98"/>
    <n v="0"/>
    <x v="2926"/>
    <x v="4"/>
    <s v="Cuenta Ahorros"/>
    <s v="Tarjeta Crédito"/>
    <s v="Pagado"/>
  </r>
  <r>
    <x v="284"/>
    <x v="1"/>
    <s v="TX-102930"/>
    <x v="4"/>
    <x v="0"/>
    <x v="7"/>
    <n v="8188.13"/>
    <n v="0"/>
    <x v="2927"/>
    <x v="4"/>
    <s v="Cuenta Corriente"/>
    <s v="Tarjeta Débito"/>
    <s v="Pagado"/>
  </r>
  <r>
    <x v="217"/>
    <x v="1"/>
    <s v="TX-102931"/>
    <x v="1"/>
    <x v="1"/>
    <x v="2"/>
    <n v="13759.94"/>
    <n v="1788.79"/>
    <x v="2928"/>
    <x v="3"/>
    <s v="Tarjeta Crédito Empresarial"/>
    <s v="Tarjeta Crédito"/>
    <s v="Pendiente"/>
  </r>
  <r>
    <x v="62"/>
    <x v="11"/>
    <s v="TX-102932"/>
    <x v="12"/>
    <x v="1"/>
    <x v="7"/>
    <n v="8509.61"/>
    <n v="1106.25"/>
    <x v="2929"/>
    <x v="4"/>
    <s v="Tarjeta Crédito Empresarial"/>
    <s v="Efectivo"/>
    <s v="Pagado"/>
  </r>
  <r>
    <x v="213"/>
    <x v="3"/>
    <s v="TX-102933"/>
    <x v="9"/>
    <x v="1"/>
    <x v="4"/>
    <n v="8532.39"/>
    <n v="1109.21"/>
    <x v="2930"/>
    <x v="4"/>
    <s v="Tarjeta Crédito Empresarial"/>
    <s v="Transferencia"/>
    <s v="Pendiente"/>
  </r>
  <r>
    <x v="26"/>
    <x v="7"/>
    <s v="TX-102934"/>
    <x v="17"/>
    <x v="0"/>
    <x v="2"/>
    <n v="6435.3"/>
    <n v="0"/>
    <x v="2931"/>
    <x v="4"/>
    <s v="Cuenta Corriente"/>
    <s v="Transferencia"/>
    <s v="Pendiente"/>
  </r>
  <r>
    <x v="211"/>
    <x v="7"/>
    <s v="TX-102935"/>
    <x v="0"/>
    <x v="0"/>
    <x v="2"/>
    <n v="10538.68"/>
    <n v="0"/>
    <x v="2932"/>
    <x v="0"/>
    <s v="Cuenta Ahorros"/>
    <s v="Tarjeta Crédito"/>
    <s v="Pendiente"/>
  </r>
  <r>
    <x v="193"/>
    <x v="5"/>
    <s v="TX-102936"/>
    <x v="14"/>
    <x v="1"/>
    <x v="5"/>
    <n v="10232.530000000001"/>
    <n v="1330.23"/>
    <x v="2933"/>
    <x v="3"/>
    <s v="Cuenta Corriente"/>
    <s v="Efectivo"/>
    <s v="Pendiente"/>
  </r>
  <r>
    <x v="132"/>
    <x v="11"/>
    <s v="TX-102937"/>
    <x v="8"/>
    <x v="0"/>
    <x v="2"/>
    <n v="6005.32"/>
    <n v="0"/>
    <x v="2934"/>
    <x v="1"/>
    <s v="Tarjeta Crédito Empresarial"/>
    <s v="Tarjeta Débito"/>
    <s v="Pagado"/>
  </r>
  <r>
    <x v="212"/>
    <x v="8"/>
    <s v="TX-102938"/>
    <x v="9"/>
    <x v="0"/>
    <x v="3"/>
    <n v="2017.54"/>
    <n v="0"/>
    <x v="2935"/>
    <x v="2"/>
    <s v="Tarjeta Crédito Empresarial"/>
    <s v="Transferencia"/>
    <s v="Pagado"/>
  </r>
  <r>
    <x v="150"/>
    <x v="2"/>
    <s v="TX-102939"/>
    <x v="16"/>
    <x v="0"/>
    <x v="7"/>
    <n v="3830.29"/>
    <n v="0"/>
    <x v="2936"/>
    <x v="3"/>
    <s v="Cuenta Corriente"/>
    <s v="Efectivo"/>
    <s v="Pagado"/>
  </r>
  <r>
    <x v="235"/>
    <x v="7"/>
    <s v="TX-102940"/>
    <x v="4"/>
    <x v="0"/>
    <x v="4"/>
    <n v="11037.42"/>
    <n v="0"/>
    <x v="2937"/>
    <x v="4"/>
    <s v="Cuenta Corriente"/>
    <s v="Tarjeta Crédito"/>
    <s v="Pendiente"/>
  </r>
  <r>
    <x v="310"/>
    <x v="6"/>
    <s v="TX-102941"/>
    <x v="5"/>
    <x v="1"/>
    <x v="3"/>
    <n v="8046.89"/>
    <n v="1046.0999999999999"/>
    <x v="2938"/>
    <x v="3"/>
    <s v="Cuenta Ahorros"/>
    <s v="Transferencia"/>
    <s v="Pagado"/>
  </r>
  <r>
    <x v="109"/>
    <x v="3"/>
    <s v="TX-102942"/>
    <x v="8"/>
    <x v="0"/>
    <x v="5"/>
    <n v="3475.34"/>
    <n v="0"/>
    <x v="2939"/>
    <x v="1"/>
    <s v="Cuenta Corriente"/>
    <s v="Tarjeta Crédito"/>
    <s v="Pendiente"/>
  </r>
  <r>
    <x v="125"/>
    <x v="1"/>
    <s v="TX-102943"/>
    <x v="19"/>
    <x v="0"/>
    <x v="1"/>
    <n v="1480.02"/>
    <n v="0"/>
    <x v="2940"/>
    <x v="3"/>
    <s v="Tarjeta Crédito Empresarial"/>
    <s v="Efectivo"/>
    <s v="Pendiente"/>
  </r>
  <r>
    <x v="112"/>
    <x v="10"/>
    <s v="TX-102944"/>
    <x v="16"/>
    <x v="1"/>
    <x v="5"/>
    <n v="5288.44"/>
    <n v="687.5"/>
    <x v="2941"/>
    <x v="4"/>
    <s v="Cuenta Corriente"/>
    <s v="Transferencia"/>
    <s v="Pagado"/>
  </r>
  <r>
    <x v="55"/>
    <x v="10"/>
    <s v="TX-102945"/>
    <x v="16"/>
    <x v="1"/>
    <x v="0"/>
    <n v="10590.23"/>
    <n v="1376.73"/>
    <x v="2942"/>
    <x v="1"/>
    <s v="Cuenta Corriente"/>
    <s v="Tarjeta Crédito"/>
    <s v="Pagado"/>
  </r>
  <r>
    <x v="0"/>
    <x v="0"/>
    <s v="TX-102946"/>
    <x v="2"/>
    <x v="0"/>
    <x v="5"/>
    <n v="8921.18"/>
    <n v="0"/>
    <x v="2943"/>
    <x v="2"/>
    <s v="Tarjeta Crédito Empresarial"/>
    <s v="Tarjeta Crédito"/>
    <s v="Pendiente"/>
  </r>
  <r>
    <x v="188"/>
    <x v="6"/>
    <s v="TX-102947"/>
    <x v="1"/>
    <x v="0"/>
    <x v="0"/>
    <n v="12040.98"/>
    <n v="0"/>
    <x v="2944"/>
    <x v="1"/>
    <s v="Cuenta Corriente"/>
    <s v="Tarjeta Crédito"/>
    <s v="Pagado"/>
  </r>
  <r>
    <x v="339"/>
    <x v="0"/>
    <s v="TX-102948"/>
    <x v="6"/>
    <x v="0"/>
    <x v="7"/>
    <n v="4575.42"/>
    <n v="0"/>
    <x v="2945"/>
    <x v="2"/>
    <s v="Cuenta Corriente"/>
    <s v="Tarjeta Crédito"/>
    <s v="Pendiente"/>
  </r>
  <r>
    <x v="244"/>
    <x v="9"/>
    <s v="TX-102949"/>
    <x v="19"/>
    <x v="0"/>
    <x v="5"/>
    <n v="5812.91"/>
    <n v="0"/>
    <x v="2946"/>
    <x v="0"/>
    <s v="Cuenta Corriente"/>
    <s v="Tarjeta Débito"/>
    <s v="Pagado"/>
  </r>
  <r>
    <x v="188"/>
    <x v="6"/>
    <s v="TX-102950"/>
    <x v="9"/>
    <x v="0"/>
    <x v="7"/>
    <n v="3572.73"/>
    <n v="0"/>
    <x v="2947"/>
    <x v="1"/>
    <s v="Tarjeta Crédito Empresarial"/>
    <s v="Efectivo"/>
    <s v="Pendiente"/>
  </r>
  <r>
    <x v="110"/>
    <x v="7"/>
    <s v="TX-102951"/>
    <x v="9"/>
    <x v="0"/>
    <x v="0"/>
    <n v="9548.58"/>
    <n v="0"/>
    <x v="2948"/>
    <x v="2"/>
    <s v="Cuenta Ahorros"/>
    <s v="Efectivo"/>
    <s v="Pendiente"/>
  </r>
  <r>
    <x v="51"/>
    <x v="9"/>
    <s v="TX-102952"/>
    <x v="19"/>
    <x v="0"/>
    <x v="6"/>
    <n v="7174.47"/>
    <n v="0"/>
    <x v="2949"/>
    <x v="1"/>
    <s v="Tarjeta Crédito Empresarial"/>
    <s v="Tarjeta Crédito"/>
    <s v="Pagado"/>
  </r>
  <r>
    <x v="173"/>
    <x v="11"/>
    <s v="TX-102953"/>
    <x v="14"/>
    <x v="1"/>
    <x v="0"/>
    <n v="4089.65"/>
    <n v="531.65"/>
    <x v="2950"/>
    <x v="3"/>
    <s v="Tarjeta Crédito Empresarial"/>
    <s v="Tarjeta Crédito"/>
    <s v="Pagado"/>
  </r>
  <r>
    <x v="216"/>
    <x v="1"/>
    <s v="TX-102954"/>
    <x v="13"/>
    <x v="0"/>
    <x v="1"/>
    <n v="9415.94"/>
    <n v="0"/>
    <x v="2951"/>
    <x v="0"/>
    <s v="Cuenta Ahorros"/>
    <s v="Transferencia"/>
    <s v="Pagado"/>
  </r>
  <r>
    <x v="240"/>
    <x v="2"/>
    <s v="TX-102955"/>
    <x v="8"/>
    <x v="0"/>
    <x v="0"/>
    <n v="7194.34"/>
    <n v="0"/>
    <x v="2952"/>
    <x v="2"/>
    <s v="Cuenta Corriente"/>
    <s v="Efectivo"/>
    <s v="Pendiente"/>
  </r>
  <r>
    <x v="321"/>
    <x v="1"/>
    <s v="TX-102956"/>
    <x v="14"/>
    <x v="0"/>
    <x v="4"/>
    <n v="8928.7999999999993"/>
    <n v="0"/>
    <x v="2953"/>
    <x v="4"/>
    <s v="Cuenta Ahorros"/>
    <s v="Tarjeta Débito"/>
    <s v="Pagado"/>
  </r>
  <r>
    <x v="96"/>
    <x v="2"/>
    <s v="TX-102957"/>
    <x v="9"/>
    <x v="1"/>
    <x v="2"/>
    <n v="10197.61"/>
    <n v="1325.69"/>
    <x v="2954"/>
    <x v="1"/>
    <s v="Cuenta Corriente"/>
    <s v="Transferencia"/>
    <s v="Pagado"/>
  </r>
  <r>
    <x v="357"/>
    <x v="0"/>
    <s v="TX-102958"/>
    <x v="16"/>
    <x v="1"/>
    <x v="3"/>
    <n v="4695.55"/>
    <n v="610.41999999999996"/>
    <x v="2955"/>
    <x v="2"/>
    <s v="Cuenta Ahorros"/>
    <s v="Tarjeta Crédito"/>
    <s v="Pendiente"/>
  </r>
  <r>
    <x v="316"/>
    <x v="6"/>
    <s v="TX-102959"/>
    <x v="0"/>
    <x v="1"/>
    <x v="4"/>
    <n v="1931.81"/>
    <n v="251.14"/>
    <x v="2956"/>
    <x v="4"/>
    <s v="Cuenta Corriente"/>
    <s v="Tarjeta Crédito"/>
    <s v="Pendiente"/>
  </r>
  <r>
    <x v="290"/>
    <x v="6"/>
    <s v="TX-102960"/>
    <x v="17"/>
    <x v="1"/>
    <x v="5"/>
    <n v="8649.3700000000008"/>
    <n v="1124.42"/>
    <x v="2957"/>
    <x v="4"/>
    <s v="Tarjeta Crédito Empresarial"/>
    <s v="Tarjeta Crédito"/>
    <s v="Pendiente"/>
  </r>
  <r>
    <x v="46"/>
    <x v="4"/>
    <s v="TX-102961"/>
    <x v="13"/>
    <x v="0"/>
    <x v="2"/>
    <n v="14744.92"/>
    <n v="0"/>
    <x v="2958"/>
    <x v="0"/>
    <s v="Cuenta Corriente"/>
    <s v="Tarjeta Débito"/>
    <s v="Pagado"/>
  </r>
  <r>
    <x v="26"/>
    <x v="7"/>
    <s v="TX-102962"/>
    <x v="16"/>
    <x v="0"/>
    <x v="7"/>
    <n v="10942.48"/>
    <n v="0"/>
    <x v="2959"/>
    <x v="1"/>
    <s v="Cuenta Ahorros"/>
    <s v="Transferencia"/>
    <s v="Pagado"/>
  </r>
  <r>
    <x v="140"/>
    <x v="6"/>
    <s v="TX-102963"/>
    <x v="14"/>
    <x v="1"/>
    <x v="1"/>
    <n v="10562.41"/>
    <n v="1373.11"/>
    <x v="2960"/>
    <x v="3"/>
    <s v="Cuenta Ahorros"/>
    <s v="Tarjeta Crédito"/>
    <s v="Pendiente"/>
  </r>
  <r>
    <x v="297"/>
    <x v="11"/>
    <s v="TX-102964"/>
    <x v="18"/>
    <x v="0"/>
    <x v="4"/>
    <n v="2227.4499999999998"/>
    <n v="0"/>
    <x v="2961"/>
    <x v="1"/>
    <s v="Cuenta Corriente"/>
    <s v="Tarjeta Crédito"/>
    <s v="Pendiente"/>
  </r>
  <r>
    <x v="40"/>
    <x v="2"/>
    <s v="TX-102965"/>
    <x v="10"/>
    <x v="0"/>
    <x v="5"/>
    <n v="9637.4"/>
    <n v="0"/>
    <x v="2962"/>
    <x v="1"/>
    <s v="Tarjeta Crédito Empresarial"/>
    <s v="Efectivo"/>
    <s v="Pagado"/>
  </r>
  <r>
    <x v="184"/>
    <x v="4"/>
    <s v="TX-102966"/>
    <x v="15"/>
    <x v="0"/>
    <x v="6"/>
    <n v="12180.8"/>
    <n v="0"/>
    <x v="2963"/>
    <x v="0"/>
    <s v="Cuenta Corriente"/>
    <s v="Tarjeta Débito"/>
    <s v="Pendiente"/>
  </r>
  <r>
    <x v="8"/>
    <x v="7"/>
    <s v="TX-102967"/>
    <x v="19"/>
    <x v="0"/>
    <x v="1"/>
    <n v="4193.79"/>
    <n v="0"/>
    <x v="2964"/>
    <x v="0"/>
    <s v="Cuenta Corriente"/>
    <s v="Tarjeta Crédito"/>
    <s v="Pagado"/>
  </r>
  <r>
    <x v="46"/>
    <x v="4"/>
    <s v="TX-102968"/>
    <x v="4"/>
    <x v="1"/>
    <x v="6"/>
    <n v="6877.27"/>
    <n v="894.05"/>
    <x v="2965"/>
    <x v="0"/>
    <s v="Cuenta Corriente"/>
    <s v="Tarjeta Débito"/>
    <s v="Pagado"/>
  </r>
  <r>
    <x v="263"/>
    <x v="6"/>
    <s v="TX-102969"/>
    <x v="6"/>
    <x v="1"/>
    <x v="4"/>
    <n v="5138.78"/>
    <n v="668.04"/>
    <x v="2966"/>
    <x v="4"/>
    <s v="Cuenta Corriente"/>
    <s v="Tarjeta Débito"/>
    <s v="Pagado"/>
  </r>
  <r>
    <x v="15"/>
    <x v="8"/>
    <s v="TX-102970"/>
    <x v="17"/>
    <x v="1"/>
    <x v="5"/>
    <n v="2330.2800000000002"/>
    <n v="302.94"/>
    <x v="2967"/>
    <x v="2"/>
    <s v="Cuenta Corriente"/>
    <s v="Tarjeta Crédito"/>
    <s v="Pagado"/>
  </r>
  <r>
    <x v="125"/>
    <x v="1"/>
    <s v="TX-102971"/>
    <x v="16"/>
    <x v="1"/>
    <x v="0"/>
    <n v="3490.76"/>
    <n v="453.8"/>
    <x v="2968"/>
    <x v="2"/>
    <s v="Cuenta Corriente"/>
    <s v="Efectivo"/>
    <s v="Pagado"/>
  </r>
  <r>
    <x v="284"/>
    <x v="1"/>
    <s v="TX-102972"/>
    <x v="5"/>
    <x v="1"/>
    <x v="6"/>
    <n v="1482.77"/>
    <n v="192.76"/>
    <x v="2969"/>
    <x v="1"/>
    <s v="Tarjeta Crédito Empresarial"/>
    <s v="Transferencia"/>
    <s v="Pendiente"/>
  </r>
  <r>
    <x v="218"/>
    <x v="4"/>
    <s v="TX-102973"/>
    <x v="8"/>
    <x v="0"/>
    <x v="1"/>
    <n v="12069.38"/>
    <n v="0"/>
    <x v="2970"/>
    <x v="3"/>
    <s v="Cuenta Ahorros"/>
    <s v="Tarjeta Débito"/>
    <s v="Pagado"/>
  </r>
  <r>
    <x v="333"/>
    <x v="10"/>
    <s v="TX-102974"/>
    <x v="8"/>
    <x v="0"/>
    <x v="4"/>
    <n v="1114.54"/>
    <n v="0"/>
    <x v="2971"/>
    <x v="0"/>
    <s v="Cuenta Corriente"/>
    <s v="Tarjeta Crédito"/>
    <s v="Pendiente"/>
  </r>
  <r>
    <x v="346"/>
    <x v="1"/>
    <s v="TX-102975"/>
    <x v="14"/>
    <x v="0"/>
    <x v="0"/>
    <n v="7684.84"/>
    <n v="0"/>
    <x v="2972"/>
    <x v="1"/>
    <s v="Tarjeta Crédito Empresarial"/>
    <s v="Transferencia"/>
    <s v="Pagado"/>
  </r>
  <r>
    <x v="250"/>
    <x v="7"/>
    <s v="TX-102976"/>
    <x v="3"/>
    <x v="1"/>
    <x v="6"/>
    <n v="10746.68"/>
    <n v="1397.07"/>
    <x v="2973"/>
    <x v="2"/>
    <s v="Tarjeta Crédito Empresarial"/>
    <s v="Tarjeta Crédito"/>
    <s v="Pagado"/>
  </r>
  <r>
    <x v="27"/>
    <x v="9"/>
    <s v="TX-102977"/>
    <x v="18"/>
    <x v="0"/>
    <x v="7"/>
    <n v="12881.91"/>
    <n v="0"/>
    <x v="2974"/>
    <x v="2"/>
    <s v="Cuenta Ahorros"/>
    <s v="Transferencia"/>
    <s v="Pendiente"/>
  </r>
  <r>
    <x v="213"/>
    <x v="3"/>
    <s v="TX-102978"/>
    <x v="12"/>
    <x v="1"/>
    <x v="5"/>
    <n v="14710.89"/>
    <n v="1912.42"/>
    <x v="2975"/>
    <x v="4"/>
    <s v="Cuenta Corriente"/>
    <s v="Efectivo"/>
    <s v="Pagado"/>
  </r>
  <r>
    <x v="192"/>
    <x v="8"/>
    <s v="TX-102979"/>
    <x v="16"/>
    <x v="1"/>
    <x v="6"/>
    <n v="13382.07"/>
    <n v="1739.67"/>
    <x v="2976"/>
    <x v="4"/>
    <s v="Cuenta Ahorros"/>
    <s v="Tarjeta Débito"/>
    <s v="Pagado"/>
  </r>
  <r>
    <x v="135"/>
    <x v="4"/>
    <s v="TX-102980"/>
    <x v="6"/>
    <x v="0"/>
    <x v="2"/>
    <n v="4724.28"/>
    <n v="0"/>
    <x v="2977"/>
    <x v="4"/>
    <s v="Cuenta Corriente"/>
    <s v="Tarjeta Crédito"/>
    <s v="Pendiente"/>
  </r>
  <r>
    <x v="128"/>
    <x v="9"/>
    <s v="TX-102981"/>
    <x v="7"/>
    <x v="0"/>
    <x v="7"/>
    <n v="13165.1"/>
    <n v="0"/>
    <x v="2978"/>
    <x v="4"/>
    <s v="Tarjeta Crédito Empresarial"/>
    <s v="Tarjeta Débito"/>
    <s v="Pendiente"/>
  </r>
  <r>
    <x v="154"/>
    <x v="0"/>
    <s v="TX-102982"/>
    <x v="11"/>
    <x v="1"/>
    <x v="1"/>
    <n v="1684.1"/>
    <n v="218.93"/>
    <x v="2979"/>
    <x v="2"/>
    <s v="Cuenta Ahorros"/>
    <s v="Transferencia"/>
    <s v="Pagado"/>
  </r>
  <r>
    <x v="227"/>
    <x v="11"/>
    <s v="TX-102983"/>
    <x v="19"/>
    <x v="1"/>
    <x v="7"/>
    <n v="12474.32"/>
    <n v="1621.66"/>
    <x v="2980"/>
    <x v="0"/>
    <s v="Tarjeta Crédito Empresarial"/>
    <s v="Transferencia"/>
    <s v="Pagado"/>
  </r>
  <r>
    <x v="45"/>
    <x v="4"/>
    <s v="TX-102984"/>
    <x v="9"/>
    <x v="0"/>
    <x v="2"/>
    <n v="5818.81"/>
    <n v="0"/>
    <x v="2981"/>
    <x v="0"/>
    <s v="Tarjeta Crédito Empresarial"/>
    <s v="Transferencia"/>
    <s v="Pendiente"/>
  </r>
  <r>
    <x v="126"/>
    <x v="5"/>
    <s v="TX-102985"/>
    <x v="4"/>
    <x v="0"/>
    <x v="2"/>
    <n v="7935.26"/>
    <n v="0"/>
    <x v="2982"/>
    <x v="2"/>
    <s v="Cuenta Ahorros"/>
    <s v="Transferencia"/>
    <s v="Pendiente"/>
  </r>
  <r>
    <x v="170"/>
    <x v="10"/>
    <s v="TX-102986"/>
    <x v="19"/>
    <x v="0"/>
    <x v="6"/>
    <n v="14899.25"/>
    <n v="0"/>
    <x v="2983"/>
    <x v="0"/>
    <s v="Cuenta Corriente"/>
    <s v="Efectivo"/>
    <s v="Pendiente"/>
  </r>
  <r>
    <x v="83"/>
    <x v="2"/>
    <s v="TX-102987"/>
    <x v="11"/>
    <x v="1"/>
    <x v="1"/>
    <n v="7213.55"/>
    <n v="937.76"/>
    <x v="2984"/>
    <x v="1"/>
    <s v="Cuenta Corriente"/>
    <s v="Transferencia"/>
    <s v="Pagado"/>
  </r>
  <r>
    <x v="129"/>
    <x v="9"/>
    <s v="TX-102988"/>
    <x v="13"/>
    <x v="1"/>
    <x v="0"/>
    <n v="6898.62"/>
    <n v="896.82"/>
    <x v="2985"/>
    <x v="1"/>
    <s v="Cuenta Ahorros"/>
    <s v="Transferencia"/>
    <s v="Pendiente"/>
  </r>
  <r>
    <x v="72"/>
    <x v="6"/>
    <s v="TX-102989"/>
    <x v="0"/>
    <x v="1"/>
    <x v="1"/>
    <n v="11541.27"/>
    <n v="1500.37"/>
    <x v="2986"/>
    <x v="1"/>
    <s v="Tarjeta Crédito Empresarial"/>
    <s v="Tarjeta Crédito"/>
    <s v="Pagado"/>
  </r>
  <r>
    <x v="154"/>
    <x v="0"/>
    <s v="TX-102990"/>
    <x v="8"/>
    <x v="0"/>
    <x v="0"/>
    <n v="6204.26"/>
    <n v="0"/>
    <x v="2987"/>
    <x v="2"/>
    <s v="Cuenta Ahorros"/>
    <s v="Efectivo"/>
    <s v="Pendiente"/>
  </r>
  <r>
    <x v="185"/>
    <x v="0"/>
    <s v="TX-102991"/>
    <x v="15"/>
    <x v="0"/>
    <x v="3"/>
    <n v="6769.13"/>
    <n v="0"/>
    <x v="2988"/>
    <x v="0"/>
    <s v="Cuenta Ahorros"/>
    <s v="Efectivo"/>
    <s v="Pagado"/>
  </r>
  <r>
    <x v="280"/>
    <x v="9"/>
    <s v="TX-102992"/>
    <x v="15"/>
    <x v="0"/>
    <x v="6"/>
    <n v="6495.05"/>
    <n v="0"/>
    <x v="2989"/>
    <x v="0"/>
    <s v="Cuenta Ahorros"/>
    <s v="Efectivo"/>
    <s v="Pagado"/>
  </r>
  <r>
    <x v="116"/>
    <x v="5"/>
    <s v="TX-102993"/>
    <x v="12"/>
    <x v="1"/>
    <x v="1"/>
    <n v="13745.77"/>
    <n v="1786.95"/>
    <x v="2990"/>
    <x v="1"/>
    <s v="Cuenta Corriente"/>
    <s v="Tarjeta Débito"/>
    <s v="Pagado"/>
  </r>
  <r>
    <x v="204"/>
    <x v="7"/>
    <s v="TX-102994"/>
    <x v="14"/>
    <x v="0"/>
    <x v="6"/>
    <n v="6456.41"/>
    <n v="0"/>
    <x v="2991"/>
    <x v="4"/>
    <s v="Cuenta Ahorros"/>
    <s v="Efectivo"/>
    <s v="Pendiente"/>
  </r>
  <r>
    <x v="237"/>
    <x v="5"/>
    <s v="TX-102995"/>
    <x v="0"/>
    <x v="1"/>
    <x v="2"/>
    <n v="5709"/>
    <n v="742.17"/>
    <x v="2992"/>
    <x v="0"/>
    <s v="Cuenta Ahorros"/>
    <s v="Transferencia"/>
    <s v="Pagado"/>
  </r>
  <r>
    <x v="315"/>
    <x v="5"/>
    <s v="TX-102996"/>
    <x v="18"/>
    <x v="0"/>
    <x v="4"/>
    <n v="8235.2099999999991"/>
    <n v="0"/>
    <x v="2993"/>
    <x v="4"/>
    <s v="Cuenta Corriente"/>
    <s v="Transferencia"/>
    <s v="Pagado"/>
  </r>
  <r>
    <x v="135"/>
    <x v="4"/>
    <s v="TX-102997"/>
    <x v="10"/>
    <x v="1"/>
    <x v="6"/>
    <n v="14331.81"/>
    <n v="1863.14"/>
    <x v="2994"/>
    <x v="2"/>
    <s v="Cuenta Ahorros"/>
    <s v="Transferencia"/>
    <s v="Pagado"/>
  </r>
  <r>
    <x v="171"/>
    <x v="10"/>
    <s v="TX-102998"/>
    <x v="17"/>
    <x v="1"/>
    <x v="1"/>
    <n v="10003.83"/>
    <n v="1300.5"/>
    <x v="2995"/>
    <x v="0"/>
    <s v="Cuenta Corriente"/>
    <s v="Efectivo"/>
    <s v="Pendiente"/>
  </r>
  <r>
    <x v="144"/>
    <x v="0"/>
    <s v="TX-102999"/>
    <x v="12"/>
    <x v="0"/>
    <x v="5"/>
    <n v="4682.3500000000004"/>
    <n v="0"/>
    <x v="2996"/>
    <x v="1"/>
    <s v="Cuenta Corriente"/>
    <s v="Transferencia"/>
    <s v="Pagado"/>
  </r>
  <r>
    <x v="248"/>
    <x v="10"/>
    <s v="TX-103000"/>
    <x v="12"/>
    <x v="1"/>
    <x v="1"/>
    <n v="461.08"/>
    <n v="59.94"/>
    <x v="2997"/>
    <x v="3"/>
    <s v="Cuenta Ahorros"/>
    <s v="Tarjeta Débito"/>
    <s v="Pendiente"/>
  </r>
  <r>
    <x v="64"/>
    <x v="11"/>
    <s v="TX-103001"/>
    <x v="19"/>
    <x v="0"/>
    <x v="0"/>
    <n v="14789.44"/>
    <n v="0"/>
    <x v="2998"/>
    <x v="2"/>
    <s v="Cuenta Corriente"/>
    <s v="Efectivo"/>
    <s v="Pendiente"/>
  </r>
  <r>
    <x v="178"/>
    <x v="6"/>
    <s v="TX-103002"/>
    <x v="17"/>
    <x v="0"/>
    <x v="3"/>
    <n v="2331.4299999999998"/>
    <n v="0"/>
    <x v="2999"/>
    <x v="1"/>
    <s v="Tarjeta Crédito Empresarial"/>
    <s v="Tarjeta Débito"/>
    <s v="Pendiente"/>
  </r>
  <r>
    <x v="83"/>
    <x v="2"/>
    <s v="TX-103003"/>
    <x v="11"/>
    <x v="0"/>
    <x v="5"/>
    <n v="2221.8200000000002"/>
    <n v="0"/>
    <x v="3000"/>
    <x v="1"/>
    <s v="Cuenta Ahorros"/>
    <s v="Efectivo"/>
    <s v="Pagado"/>
  </r>
  <r>
    <x v="250"/>
    <x v="7"/>
    <s v="TX-103004"/>
    <x v="14"/>
    <x v="1"/>
    <x v="0"/>
    <n v="608.46"/>
    <n v="79.099999999999994"/>
    <x v="3001"/>
    <x v="2"/>
    <s v="Cuenta Corriente"/>
    <s v="Tarjeta Crédito"/>
    <s v="Pendiente"/>
  </r>
  <r>
    <x v="254"/>
    <x v="5"/>
    <s v="TX-103005"/>
    <x v="13"/>
    <x v="1"/>
    <x v="5"/>
    <n v="5423.41"/>
    <n v="705.04"/>
    <x v="3002"/>
    <x v="2"/>
    <s v="Tarjeta Crédito Empresarial"/>
    <s v="Transferencia"/>
    <s v="Pendiente"/>
  </r>
  <r>
    <x v="222"/>
    <x v="3"/>
    <s v="TX-103006"/>
    <x v="11"/>
    <x v="1"/>
    <x v="1"/>
    <n v="5085.37"/>
    <n v="661.1"/>
    <x v="3003"/>
    <x v="1"/>
    <s v="Cuenta Ahorros"/>
    <s v="Transferencia"/>
    <s v="Pagado"/>
  </r>
  <r>
    <x v="4"/>
    <x v="4"/>
    <s v="TX-103007"/>
    <x v="5"/>
    <x v="1"/>
    <x v="7"/>
    <n v="7931.71"/>
    <n v="1031.1199999999999"/>
    <x v="3004"/>
    <x v="2"/>
    <s v="Cuenta Ahorros"/>
    <s v="Transferencia"/>
    <s v="Pendiente"/>
  </r>
  <r>
    <x v="291"/>
    <x v="3"/>
    <s v="TX-103008"/>
    <x v="15"/>
    <x v="1"/>
    <x v="6"/>
    <n v="2151"/>
    <n v="279.63"/>
    <x v="3005"/>
    <x v="0"/>
    <s v="Cuenta Ahorros"/>
    <s v="Tarjeta Crédito"/>
    <s v="Pendiente"/>
  </r>
  <r>
    <x v="260"/>
    <x v="4"/>
    <s v="TX-103009"/>
    <x v="16"/>
    <x v="1"/>
    <x v="5"/>
    <n v="2443.06"/>
    <n v="317.60000000000002"/>
    <x v="3006"/>
    <x v="0"/>
    <s v="Cuenta Corriente"/>
    <s v="Tarjeta Crédito"/>
    <s v="Pendiente"/>
  </r>
  <r>
    <x v="108"/>
    <x v="0"/>
    <s v="TX-103010"/>
    <x v="1"/>
    <x v="1"/>
    <x v="7"/>
    <n v="3558.85"/>
    <n v="462.65"/>
    <x v="3007"/>
    <x v="2"/>
    <s v="Cuenta Ahorros"/>
    <s v="Transferencia"/>
    <s v="Pagado"/>
  </r>
  <r>
    <x v="107"/>
    <x v="3"/>
    <s v="TX-103011"/>
    <x v="1"/>
    <x v="1"/>
    <x v="5"/>
    <n v="5734.87"/>
    <n v="745.53"/>
    <x v="3008"/>
    <x v="0"/>
    <s v="Cuenta Corriente"/>
    <s v="Tarjeta Crédito"/>
    <s v="Pagado"/>
  </r>
  <r>
    <x v="189"/>
    <x v="1"/>
    <s v="TX-103012"/>
    <x v="19"/>
    <x v="0"/>
    <x v="1"/>
    <n v="5779.36"/>
    <n v="0"/>
    <x v="3009"/>
    <x v="2"/>
    <s v="Cuenta Ahorros"/>
    <s v="Transferencia"/>
    <s v="Pagado"/>
  </r>
  <r>
    <x v="186"/>
    <x v="3"/>
    <s v="TX-103013"/>
    <x v="19"/>
    <x v="1"/>
    <x v="6"/>
    <n v="12712.63"/>
    <n v="1652.64"/>
    <x v="3010"/>
    <x v="0"/>
    <s v="Cuenta Corriente"/>
    <s v="Tarjeta Crédito"/>
    <s v="Pendiente"/>
  </r>
  <r>
    <x v="44"/>
    <x v="1"/>
    <s v="TX-103014"/>
    <x v="4"/>
    <x v="1"/>
    <x v="4"/>
    <n v="997.69"/>
    <n v="129.69999999999999"/>
    <x v="3011"/>
    <x v="4"/>
    <s v="Cuenta Ahorros"/>
    <s v="Transferencia"/>
    <s v="Pendiente"/>
  </r>
  <r>
    <x v="262"/>
    <x v="10"/>
    <s v="TX-103015"/>
    <x v="5"/>
    <x v="1"/>
    <x v="2"/>
    <n v="1707.42"/>
    <n v="221.96"/>
    <x v="3012"/>
    <x v="3"/>
    <s v="Cuenta Ahorros"/>
    <s v="Transferencia"/>
    <s v="Pendiente"/>
  </r>
  <r>
    <x v="298"/>
    <x v="8"/>
    <s v="TX-103016"/>
    <x v="5"/>
    <x v="1"/>
    <x v="6"/>
    <n v="9560.9"/>
    <n v="1242.92"/>
    <x v="3013"/>
    <x v="0"/>
    <s v="Tarjeta Crédito Empresarial"/>
    <s v="Transferencia"/>
    <s v="Pendiente"/>
  </r>
  <r>
    <x v="153"/>
    <x v="10"/>
    <s v="TX-103017"/>
    <x v="13"/>
    <x v="1"/>
    <x v="6"/>
    <n v="6240.35"/>
    <n v="811.25"/>
    <x v="3014"/>
    <x v="2"/>
    <s v="Cuenta Corriente"/>
    <s v="Efectivo"/>
    <s v="Pendiente"/>
  </r>
  <r>
    <x v="110"/>
    <x v="7"/>
    <s v="TX-103018"/>
    <x v="9"/>
    <x v="0"/>
    <x v="0"/>
    <n v="1084.67"/>
    <n v="0"/>
    <x v="3015"/>
    <x v="3"/>
    <s v="Cuenta Ahorros"/>
    <s v="Tarjeta Crédito"/>
    <s v="Pendiente"/>
  </r>
  <r>
    <x v="48"/>
    <x v="2"/>
    <s v="TX-103019"/>
    <x v="8"/>
    <x v="0"/>
    <x v="5"/>
    <n v="14198.17"/>
    <n v="0"/>
    <x v="3016"/>
    <x v="1"/>
    <s v="Cuenta Ahorros"/>
    <s v="Efectivo"/>
    <s v="Pendiente"/>
  </r>
  <r>
    <x v="148"/>
    <x v="8"/>
    <s v="TX-103020"/>
    <x v="6"/>
    <x v="0"/>
    <x v="1"/>
    <n v="3376.14"/>
    <n v="0"/>
    <x v="3017"/>
    <x v="2"/>
    <s v="Cuenta Ahorros"/>
    <s v="Efectivo"/>
    <s v="Pagado"/>
  </r>
  <r>
    <x v="97"/>
    <x v="6"/>
    <s v="TX-103021"/>
    <x v="5"/>
    <x v="1"/>
    <x v="0"/>
    <n v="5928.11"/>
    <n v="770.65"/>
    <x v="3018"/>
    <x v="2"/>
    <s v="Cuenta Corriente"/>
    <s v="Tarjeta Débito"/>
    <s v="Pendiente"/>
  </r>
  <r>
    <x v="289"/>
    <x v="2"/>
    <s v="TX-103022"/>
    <x v="18"/>
    <x v="1"/>
    <x v="3"/>
    <n v="302.97000000000003"/>
    <n v="39.39"/>
    <x v="3019"/>
    <x v="1"/>
    <s v="Cuenta Ahorros"/>
    <s v="Tarjeta Crédito"/>
    <s v="Pagado"/>
  </r>
  <r>
    <x v="279"/>
    <x v="3"/>
    <s v="TX-103023"/>
    <x v="11"/>
    <x v="1"/>
    <x v="6"/>
    <n v="7359.21"/>
    <n v="956.7"/>
    <x v="3020"/>
    <x v="4"/>
    <s v="Cuenta Corriente"/>
    <s v="Transferencia"/>
    <s v="Pagado"/>
  </r>
  <r>
    <x v="269"/>
    <x v="0"/>
    <s v="TX-103024"/>
    <x v="11"/>
    <x v="0"/>
    <x v="6"/>
    <n v="4465.07"/>
    <n v="0"/>
    <x v="3021"/>
    <x v="4"/>
    <s v="Cuenta Ahorros"/>
    <s v="Tarjeta Débito"/>
    <s v="Pendiente"/>
  </r>
  <r>
    <x v="348"/>
    <x v="8"/>
    <s v="TX-103025"/>
    <x v="15"/>
    <x v="0"/>
    <x v="1"/>
    <n v="968.42"/>
    <n v="0"/>
    <x v="3022"/>
    <x v="2"/>
    <s v="Tarjeta Crédito Empresarial"/>
    <s v="Efectivo"/>
    <s v="Pendiente"/>
  </r>
  <r>
    <x v="138"/>
    <x v="11"/>
    <s v="TX-103026"/>
    <x v="4"/>
    <x v="0"/>
    <x v="4"/>
    <n v="7656.05"/>
    <n v="0"/>
    <x v="3023"/>
    <x v="3"/>
    <s v="Cuenta Ahorros"/>
    <s v="Transferencia"/>
    <s v="Pagado"/>
  </r>
  <r>
    <x v="177"/>
    <x v="8"/>
    <s v="TX-103027"/>
    <x v="18"/>
    <x v="1"/>
    <x v="1"/>
    <n v="13824.23"/>
    <n v="1797.15"/>
    <x v="3024"/>
    <x v="1"/>
    <s v="Cuenta Corriente"/>
    <s v="Transferencia"/>
    <s v="Pendiente"/>
  </r>
  <r>
    <x v="278"/>
    <x v="9"/>
    <s v="TX-103028"/>
    <x v="12"/>
    <x v="0"/>
    <x v="6"/>
    <n v="8633.1200000000008"/>
    <n v="0"/>
    <x v="3025"/>
    <x v="0"/>
    <s v="Cuenta Corriente"/>
    <s v="Tarjeta Débito"/>
    <s v="Pagado"/>
  </r>
  <r>
    <x v="245"/>
    <x v="0"/>
    <s v="TX-103029"/>
    <x v="4"/>
    <x v="1"/>
    <x v="2"/>
    <n v="13977.08"/>
    <n v="1817.02"/>
    <x v="3026"/>
    <x v="1"/>
    <s v="Cuenta Corriente"/>
    <s v="Efectivo"/>
    <s v="Pagado"/>
  </r>
  <r>
    <x v="184"/>
    <x v="4"/>
    <s v="TX-103030"/>
    <x v="9"/>
    <x v="1"/>
    <x v="5"/>
    <n v="13832.61"/>
    <n v="1798.24"/>
    <x v="3027"/>
    <x v="2"/>
    <s v="Cuenta Ahorros"/>
    <s v="Transferencia"/>
    <s v="Pendiente"/>
  </r>
  <r>
    <x v="181"/>
    <x v="7"/>
    <s v="TX-103031"/>
    <x v="2"/>
    <x v="0"/>
    <x v="7"/>
    <n v="4225.78"/>
    <n v="0"/>
    <x v="3028"/>
    <x v="4"/>
    <s v="Tarjeta Crédito Empresarial"/>
    <s v="Tarjeta Crédito"/>
    <s v="Pendiente"/>
  </r>
  <r>
    <x v="98"/>
    <x v="0"/>
    <s v="TX-103032"/>
    <x v="8"/>
    <x v="1"/>
    <x v="0"/>
    <n v="8534.83"/>
    <n v="1109.53"/>
    <x v="3029"/>
    <x v="1"/>
    <s v="Tarjeta Crédito Empresarial"/>
    <s v="Transferencia"/>
    <s v="Pagado"/>
  </r>
  <r>
    <x v="168"/>
    <x v="1"/>
    <s v="TX-103033"/>
    <x v="3"/>
    <x v="1"/>
    <x v="1"/>
    <n v="13152.69"/>
    <n v="1709.85"/>
    <x v="3030"/>
    <x v="2"/>
    <s v="Tarjeta Crédito Empresarial"/>
    <s v="Tarjeta Débito"/>
    <s v="Pendiente"/>
  </r>
  <r>
    <x v="97"/>
    <x v="6"/>
    <s v="TX-103034"/>
    <x v="8"/>
    <x v="1"/>
    <x v="3"/>
    <n v="10778.61"/>
    <n v="1401.22"/>
    <x v="3031"/>
    <x v="1"/>
    <s v="Tarjeta Crédito Empresarial"/>
    <s v="Efectivo"/>
    <s v="Pagado"/>
  </r>
  <r>
    <x v="285"/>
    <x v="5"/>
    <s v="TX-103035"/>
    <x v="6"/>
    <x v="1"/>
    <x v="4"/>
    <n v="11462.06"/>
    <n v="1490.07"/>
    <x v="3032"/>
    <x v="4"/>
    <s v="Cuenta Ahorros"/>
    <s v="Efectivo"/>
    <s v="Pagado"/>
  </r>
  <r>
    <x v="105"/>
    <x v="5"/>
    <s v="TX-103036"/>
    <x v="11"/>
    <x v="0"/>
    <x v="3"/>
    <n v="12874.45"/>
    <n v="0"/>
    <x v="3033"/>
    <x v="4"/>
    <s v="Tarjeta Crédito Empresarial"/>
    <s v="Tarjeta Débito"/>
    <s v="Pendiente"/>
  </r>
  <r>
    <x v="154"/>
    <x v="0"/>
    <s v="TX-103037"/>
    <x v="4"/>
    <x v="0"/>
    <x v="2"/>
    <n v="3948.58"/>
    <n v="0"/>
    <x v="3034"/>
    <x v="4"/>
    <s v="Cuenta Ahorros"/>
    <s v="Tarjeta Débito"/>
    <s v="Pagado"/>
  </r>
  <r>
    <x v="42"/>
    <x v="8"/>
    <s v="TX-103038"/>
    <x v="2"/>
    <x v="0"/>
    <x v="7"/>
    <n v="14061.52"/>
    <n v="0"/>
    <x v="3035"/>
    <x v="3"/>
    <s v="Cuenta Ahorros"/>
    <s v="Tarjeta Crédito"/>
    <s v="Pagado"/>
  </r>
  <r>
    <x v="172"/>
    <x v="2"/>
    <s v="TX-103039"/>
    <x v="12"/>
    <x v="0"/>
    <x v="7"/>
    <n v="9132.5"/>
    <n v="0"/>
    <x v="3036"/>
    <x v="3"/>
    <s v="Cuenta Ahorros"/>
    <s v="Tarjeta Débito"/>
    <s v="Pendiente"/>
  </r>
  <r>
    <x v="215"/>
    <x v="3"/>
    <s v="TX-103040"/>
    <x v="15"/>
    <x v="1"/>
    <x v="6"/>
    <n v="11264.22"/>
    <n v="1464.35"/>
    <x v="3037"/>
    <x v="2"/>
    <s v="Cuenta Ahorros"/>
    <s v="Tarjeta Débito"/>
    <s v="Pendiente"/>
  </r>
  <r>
    <x v="122"/>
    <x v="1"/>
    <s v="TX-103041"/>
    <x v="1"/>
    <x v="0"/>
    <x v="6"/>
    <n v="5441.26"/>
    <n v="0"/>
    <x v="3038"/>
    <x v="4"/>
    <s v="Tarjeta Crédito Empresarial"/>
    <s v="Tarjeta Débito"/>
    <s v="Pendiente"/>
  </r>
  <r>
    <x v="163"/>
    <x v="10"/>
    <s v="TX-103042"/>
    <x v="6"/>
    <x v="1"/>
    <x v="3"/>
    <n v="5993.11"/>
    <n v="779.1"/>
    <x v="3039"/>
    <x v="4"/>
    <s v="Cuenta Ahorros"/>
    <s v="Tarjeta Crédito"/>
    <s v="Pagado"/>
  </r>
  <r>
    <x v="20"/>
    <x v="1"/>
    <s v="TX-103043"/>
    <x v="3"/>
    <x v="1"/>
    <x v="5"/>
    <n v="5871.98"/>
    <n v="763.36"/>
    <x v="3040"/>
    <x v="3"/>
    <s v="Cuenta Corriente"/>
    <s v="Transferencia"/>
    <s v="Pagado"/>
  </r>
  <r>
    <x v="270"/>
    <x v="0"/>
    <s v="TX-103044"/>
    <x v="1"/>
    <x v="0"/>
    <x v="3"/>
    <n v="1153.3"/>
    <n v="0"/>
    <x v="3041"/>
    <x v="0"/>
    <s v="Cuenta Ahorros"/>
    <s v="Tarjeta Débito"/>
    <s v="Pendiente"/>
  </r>
  <r>
    <x v="181"/>
    <x v="7"/>
    <s v="TX-103045"/>
    <x v="2"/>
    <x v="1"/>
    <x v="5"/>
    <n v="14216"/>
    <n v="1848.08"/>
    <x v="3042"/>
    <x v="3"/>
    <s v="Cuenta Corriente"/>
    <s v="Tarjeta Débito"/>
    <s v="Pagado"/>
  </r>
  <r>
    <x v="327"/>
    <x v="7"/>
    <s v="TX-103046"/>
    <x v="7"/>
    <x v="1"/>
    <x v="3"/>
    <n v="7197.17"/>
    <n v="935.63"/>
    <x v="3043"/>
    <x v="4"/>
    <s v="Cuenta Corriente"/>
    <s v="Transferencia"/>
    <s v="Pendiente"/>
  </r>
  <r>
    <x v="212"/>
    <x v="8"/>
    <s v="TX-103047"/>
    <x v="4"/>
    <x v="1"/>
    <x v="7"/>
    <n v="10160.219999999999"/>
    <n v="1320.83"/>
    <x v="3044"/>
    <x v="4"/>
    <s v="Tarjeta Crédito Empresarial"/>
    <s v="Efectivo"/>
    <s v="Pendiente"/>
  </r>
  <r>
    <x v="270"/>
    <x v="0"/>
    <s v="TX-103048"/>
    <x v="7"/>
    <x v="1"/>
    <x v="5"/>
    <n v="1940.36"/>
    <n v="252.25"/>
    <x v="3045"/>
    <x v="0"/>
    <s v="Tarjeta Crédito Empresarial"/>
    <s v="Tarjeta Débito"/>
    <s v="Pagado"/>
  </r>
  <r>
    <x v="279"/>
    <x v="3"/>
    <s v="TX-103049"/>
    <x v="15"/>
    <x v="1"/>
    <x v="2"/>
    <n v="7917.73"/>
    <n v="1029.3"/>
    <x v="3046"/>
    <x v="2"/>
    <s v="Cuenta Corriente"/>
    <s v="Efectivo"/>
    <s v="Pendiente"/>
  </r>
  <r>
    <x v="225"/>
    <x v="4"/>
    <s v="TX-103050"/>
    <x v="5"/>
    <x v="1"/>
    <x v="5"/>
    <n v="2884.27"/>
    <n v="374.96"/>
    <x v="3047"/>
    <x v="3"/>
    <s v="Tarjeta Crédito Empresarial"/>
    <s v="Efectivo"/>
    <s v="Pagado"/>
  </r>
  <r>
    <x v="316"/>
    <x v="6"/>
    <s v="TX-103051"/>
    <x v="4"/>
    <x v="1"/>
    <x v="6"/>
    <n v="13700.26"/>
    <n v="1781.03"/>
    <x v="3048"/>
    <x v="0"/>
    <s v="Cuenta Corriente"/>
    <s v="Efectivo"/>
    <s v="Pendiente"/>
  </r>
  <r>
    <x v="275"/>
    <x v="10"/>
    <s v="TX-103052"/>
    <x v="17"/>
    <x v="1"/>
    <x v="0"/>
    <n v="2252.7600000000002"/>
    <n v="292.86"/>
    <x v="3049"/>
    <x v="3"/>
    <s v="Tarjeta Crédito Empresarial"/>
    <s v="Tarjeta Débito"/>
    <s v="Pagado"/>
  </r>
  <r>
    <x v="0"/>
    <x v="0"/>
    <s v="TX-103053"/>
    <x v="16"/>
    <x v="1"/>
    <x v="3"/>
    <n v="12085.4"/>
    <n v="1571.1"/>
    <x v="3050"/>
    <x v="4"/>
    <s v="Cuenta Ahorros"/>
    <s v="Tarjeta Débito"/>
    <s v="Pendiente"/>
  </r>
  <r>
    <x v="27"/>
    <x v="9"/>
    <s v="TX-103054"/>
    <x v="2"/>
    <x v="0"/>
    <x v="5"/>
    <n v="14047.42"/>
    <n v="0"/>
    <x v="3051"/>
    <x v="4"/>
    <s v="Tarjeta Crédito Empresarial"/>
    <s v="Efectivo"/>
    <s v="Pendiente"/>
  </r>
  <r>
    <x v="263"/>
    <x v="6"/>
    <s v="TX-103055"/>
    <x v="17"/>
    <x v="0"/>
    <x v="0"/>
    <n v="12031.45"/>
    <n v="0"/>
    <x v="3052"/>
    <x v="1"/>
    <s v="Tarjeta Crédito Empresarial"/>
    <s v="Efectivo"/>
    <s v="Pagado"/>
  </r>
  <r>
    <x v="302"/>
    <x v="8"/>
    <s v="TX-103056"/>
    <x v="1"/>
    <x v="0"/>
    <x v="0"/>
    <n v="3350.76"/>
    <n v="0"/>
    <x v="3053"/>
    <x v="2"/>
    <s v="Cuenta Corriente"/>
    <s v="Transferencia"/>
    <s v="Pendiente"/>
  </r>
  <r>
    <x v="165"/>
    <x v="9"/>
    <s v="TX-103057"/>
    <x v="13"/>
    <x v="1"/>
    <x v="6"/>
    <n v="4793.1000000000004"/>
    <n v="623.1"/>
    <x v="3054"/>
    <x v="0"/>
    <s v="Tarjeta Crédito Empresarial"/>
    <s v="Transferencia"/>
    <s v="Pendiente"/>
  </r>
  <r>
    <x v="312"/>
    <x v="3"/>
    <s v="TX-103058"/>
    <x v="6"/>
    <x v="0"/>
    <x v="1"/>
    <n v="2617.37"/>
    <n v="0"/>
    <x v="3055"/>
    <x v="0"/>
    <s v="Cuenta Corriente"/>
    <s v="Tarjeta Débito"/>
    <s v="Pagado"/>
  </r>
  <r>
    <x v="222"/>
    <x v="3"/>
    <s v="TX-103059"/>
    <x v="7"/>
    <x v="1"/>
    <x v="7"/>
    <n v="2566.0700000000002"/>
    <n v="333.59"/>
    <x v="3056"/>
    <x v="4"/>
    <s v="Tarjeta Crédito Empresarial"/>
    <s v="Efectivo"/>
    <s v="Pendiente"/>
  </r>
  <r>
    <x v="152"/>
    <x v="9"/>
    <s v="TX-103060"/>
    <x v="5"/>
    <x v="1"/>
    <x v="0"/>
    <n v="4893.8100000000004"/>
    <n v="636.20000000000005"/>
    <x v="3057"/>
    <x v="3"/>
    <s v="Tarjeta Crédito Empresarial"/>
    <s v="Transferencia"/>
    <s v="Pagado"/>
  </r>
  <r>
    <x v="177"/>
    <x v="8"/>
    <s v="TX-103061"/>
    <x v="8"/>
    <x v="0"/>
    <x v="7"/>
    <n v="11554.95"/>
    <n v="0"/>
    <x v="3058"/>
    <x v="0"/>
    <s v="Cuenta Corriente"/>
    <s v="Tarjeta Crédito"/>
    <s v="Pendiente"/>
  </r>
  <r>
    <x v="358"/>
    <x v="8"/>
    <s v="TX-103062"/>
    <x v="8"/>
    <x v="1"/>
    <x v="5"/>
    <n v="3860.1"/>
    <n v="501.81"/>
    <x v="3059"/>
    <x v="2"/>
    <s v="Tarjeta Crédito Empresarial"/>
    <s v="Transferencia"/>
    <s v="Pagado"/>
  </r>
  <r>
    <x v="177"/>
    <x v="8"/>
    <s v="TX-103063"/>
    <x v="6"/>
    <x v="1"/>
    <x v="3"/>
    <n v="14449.47"/>
    <n v="1878.43"/>
    <x v="3060"/>
    <x v="3"/>
    <s v="Cuenta Corriente"/>
    <s v="Efectivo"/>
    <s v="Pagado"/>
  </r>
  <r>
    <x v="13"/>
    <x v="2"/>
    <s v="TX-103064"/>
    <x v="7"/>
    <x v="0"/>
    <x v="3"/>
    <n v="1605.89"/>
    <n v="0"/>
    <x v="3061"/>
    <x v="2"/>
    <s v="Tarjeta Crédito Empresarial"/>
    <s v="Tarjeta Crédito"/>
    <s v="Pagado"/>
  </r>
  <r>
    <x v="336"/>
    <x v="3"/>
    <s v="TX-103065"/>
    <x v="5"/>
    <x v="1"/>
    <x v="1"/>
    <n v="8168.45"/>
    <n v="1061.9000000000001"/>
    <x v="3062"/>
    <x v="1"/>
    <s v="Cuenta Corriente"/>
    <s v="Transferencia"/>
    <s v="Pagado"/>
  </r>
  <r>
    <x v="150"/>
    <x v="2"/>
    <s v="TX-103066"/>
    <x v="9"/>
    <x v="1"/>
    <x v="7"/>
    <n v="3386.42"/>
    <n v="440.23"/>
    <x v="3063"/>
    <x v="3"/>
    <s v="Cuenta Corriente"/>
    <s v="Efectivo"/>
    <s v="Pagado"/>
  </r>
  <r>
    <x v="129"/>
    <x v="9"/>
    <s v="TX-103067"/>
    <x v="14"/>
    <x v="0"/>
    <x v="0"/>
    <n v="10758.22"/>
    <n v="0"/>
    <x v="3064"/>
    <x v="2"/>
    <s v="Tarjeta Crédito Empresarial"/>
    <s v="Tarjeta Crédito"/>
    <s v="Pagado"/>
  </r>
  <r>
    <x v="155"/>
    <x v="6"/>
    <s v="TX-103068"/>
    <x v="0"/>
    <x v="0"/>
    <x v="5"/>
    <n v="148.41999999999999"/>
    <n v="0"/>
    <x v="3065"/>
    <x v="1"/>
    <s v="Cuenta Corriente"/>
    <s v="Tarjeta Crédito"/>
    <s v="Pagado"/>
  </r>
  <r>
    <x v="13"/>
    <x v="2"/>
    <s v="TX-103069"/>
    <x v="17"/>
    <x v="1"/>
    <x v="3"/>
    <n v="10244.08"/>
    <n v="1331.73"/>
    <x v="3066"/>
    <x v="1"/>
    <s v="Tarjeta Crédito Empresarial"/>
    <s v="Efectivo"/>
    <s v="Pagado"/>
  </r>
  <r>
    <x v="351"/>
    <x v="9"/>
    <s v="TX-103070"/>
    <x v="8"/>
    <x v="1"/>
    <x v="5"/>
    <n v="9389.35"/>
    <n v="1220.6199999999999"/>
    <x v="3067"/>
    <x v="2"/>
    <s v="Cuenta Ahorros"/>
    <s v="Transferencia"/>
    <s v="Pagado"/>
  </r>
  <r>
    <x v="119"/>
    <x v="6"/>
    <s v="TX-103071"/>
    <x v="3"/>
    <x v="1"/>
    <x v="1"/>
    <n v="7723.35"/>
    <n v="1004.04"/>
    <x v="3068"/>
    <x v="2"/>
    <s v="Tarjeta Crédito Empresarial"/>
    <s v="Tarjeta Crédito"/>
    <s v="Pagado"/>
  </r>
  <r>
    <x v="183"/>
    <x v="1"/>
    <s v="TX-103072"/>
    <x v="15"/>
    <x v="1"/>
    <x v="0"/>
    <n v="10366.719999999999"/>
    <n v="1347.67"/>
    <x v="3069"/>
    <x v="4"/>
    <s v="Cuenta Ahorros"/>
    <s v="Transferencia"/>
    <s v="Pendiente"/>
  </r>
  <r>
    <x v="146"/>
    <x v="6"/>
    <s v="TX-103073"/>
    <x v="14"/>
    <x v="1"/>
    <x v="6"/>
    <n v="622.38"/>
    <n v="80.91"/>
    <x v="3070"/>
    <x v="0"/>
    <s v="Cuenta Corriente"/>
    <s v="Transferencia"/>
    <s v="Pagado"/>
  </r>
  <r>
    <x v="18"/>
    <x v="9"/>
    <s v="TX-103074"/>
    <x v="16"/>
    <x v="0"/>
    <x v="0"/>
    <n v="14936.68"/>
    <n v="0"/>
    <x v="3071"/>
    <x v="4"/>
    <s v="Tarjeta Crédito Empresarial"/>
    <s v="Transferencia"/>
    <s v="Pendiente"/>
  </r>
  <r>
    <x v="229"/>
    <x v="5"/>
    <s v="TX-103075"/>
    <x v="11"/>
    <x v="1"/>
    <x v="2"/>
    <n v="13074.44"/>
    <n v="1699.68"/>
    <x v="3072"/>
    <x v="1"/>
    <s v="Cuenta Corriente"/>
    <s v="Transferencia"/>
    <s v="Pendiente"/>
  </r>
  <r>
    <x v="128"/>
    <x v="9"/>
    <s v="TX-103076"/>
    <x v="2"/>
    <x v="0"/>
    <x v="7"/>
    <n v="10916.9"/>
    <n v="0"/>
    <x v="3073"/>
    <x v="3"/>
    <s v="Cuenta Corriente"/>
    <s v="Tarjeta Débito"/>
    <s v="Pagado"/>
  </r>
  <r>
    <x v="293"/>
    <x v="1"/>
    <s v="TX-103077"/>
    <x v="8"/>
    <x v="0"/>
    <x v="4"/>
    <n v="1010.95"/>
    <n v="0"/>
    <x v="3074"/>
    <x v="1"/>
    <s v="Cuenta Corriente"/>
    <s v="Efectivo"/>
    <s v="Pendiente"/>
  </r>
  <r>
    <x v="246"/>
    <x v="10"/>
    <s v="TX-103078"/>
    <x v="2"/>
    <x v="0"/>
    <x v="1"/>
    <n v="507.88"/>
    <n v="0"/>
    <x v="3075"/>
    <x v="2"/>
    <s v="Cuenta Ahorros"/>
    <s v="Tarjeta Crédito"/>
    <s v="Pagado"/>
  </r>
  <r>
    <x v="130"/>
    <x v="2"/>
    <s v="TX-103079"/>
    <x v="3"/>
    <x v="1"/>
    <x v="7"/>
    <n v="6137.89"/>
    <n v="797.93"/>
    <x v="3076"/>
    <x v="0"/>
    <s v="Cuenta Ahorros"/>
    <s v="Tarjeta Débito"/>
    <s v="Pagado"/>
  </r>
  <r>
    <x v="206"/>
    <x v="9"/>
    <s v="TX-103080"/>
    <x v="9"/>
    <x v="1"/>
    <x v="2"/>
    <n v="5412.04"/>
    <n v="703.57"/>
    <x v="3077"/>
    <x v="3"/>
    <s v="Tarjeta Crédito Empresarial"/>
    <s v="Efectivo"/>
    <s v="Pendiente"/>
  </r>
  <r>
    <x v="271"/>
    <x v="5"/>
    <s v="TX-103081"/>
    <x v="5"/>
    <x v="1"/>
    <x v="6"/>
    <n v="12555.04"/>
    <n v="1632.16"/>
    <x v="3078"/>
    <x v="2"/>
    <s v="Cuenta Ahorros"/>
    <s v="Tarjeta Débito"/>
    <s v="Pagado"/>
  </r>
  <r>
    <x v="335"/>
    <x v="10"/>
    <s v="TX-103082"/>
    <x v="14"/>
    <x v="1"/>
    <x v="6"/>
    <n v="7573.05"/>
    <n v="984.5"/>
    <x v="3079"/>
    <x v="4"/>
    <s v="Cuenta Ahorros"/>
    <s v="Efectivo"/>
    <s v="Pendiente"/>
  </r>
  <r>
    <x v="319"/>
    <x v="5"/>
    <s v="TX-103083"/>
    <x v="3"/>
    <x v="0"/>
    <x v="1"/>
    <n v="14321.97"/>
    <n v="0"/>
    <x v="3080"/>
    <x v="2"/>
    <s v="Cuenta Ahorros"/>
    <s v="Efectivo"/>
    <s v="Pagado"/>
  </r>
  <r>
    <x v="223"/>
    <x v="0"/>
    <s v="TX-103084"/>
    <x v="12"/>
    <x v="0"/>
    <x v="1"/>
    <n v="11585.25"/>
    <n v="0"/>
    <x v="3081"/>
    <x v="3"/>
    <s v="Cuenta Ahorros"/>
    <s v="Tarjeta Débito"/>
    <s v="Pendiente"/>
  </r>
  <r>
    <x v="193"/>
    <x v="5"/>
    <s v="TX-103085"/>
    <x v="4"/>
    <x v="0"/>
    <x v="5"/>
    <n v="6971.95"/>
    <n v="0"/>
    <x v="3082"/>
    <x v="0"/>
    <s v="Tarjeta Crédito Empresarial"/>
    <s v="Tarjeta Débito"/>
    <s v="Pendiente"/>
  </r>
  <r>
    <x v="171"/>
    <x v="10"/>
    <s v="TX-103086"/>
    <x v="5"/>
    <x v="1"/>
    <x v="7"/>
    <n v="4181.59"/>
    <n v="543.61"/>
    <x v="3083"/>
    <x v="3"/>
    <s v="Cuenta Corriente"/>
    <s v="Transferencia"/>
    <s v="Pendiente"/>
  </r>
  <r>
    <x v="166"/>
    <x v="10"/>
    <s v="TX-103087"/>
    <x v="4"/>
    <x v="1"/>
    <x v="7"/>
    <n v="1810.11"/>
    <n v="235.31"/>
    <x v="3084"/>
    <x v="1"/>
    <s v="Cuenta Corriente"/>
    <s v="Tarjeta Crédito"/>
    <s v="Pagado"/>
  </r>
  <r>
    <x v="161"/>
    <x v="9"/>
    <s v="TX-103088"/>
    <x v="19"/>
    <x v="1"/>
    <x v="6"/>
    <n v="14361.31"/>
    <n v="1866.97"/>
    <x v="3085"/>
    <x v="2"/>
    <s v="Tarjeta Crédito Empresarial"/>
    <s v="Tarjeta Crédito"/>
    <s v="Pagado"/>
  </r>
  <r>
    <x v="298"/>
    <x v="8"/>
    <s v="TX-103089"/>
    <x v="3"/>
    <x v="0"/>
    <x v="3"/>
    <n v="6672.17"/>
    <n v="0"/>
    <x v="3086"/>
    <x v="1"/>
    <s v="Tarjeta Crédito Empresarial"/>
    <s v="Transferencia"/>
    <s v="Pagado"/>
  </r>
  <r>
    <x v="18"/>
    <x v="9"/>
    <s v="TX-103090"/>
    <x v="6"/>
    <x v="1"/>
    <x v="1"/>
    <n v="10644.19"/>
    <n v="1383.74"/>
    <x v="3087"/>
    <x v="1"/>
    <s v="Cuenta Ahorros"/>
    <s v="Tarjeta Débito"/>
    <s v="Pendiente"/>
  </r>
  <r>
    <x v="220"/>
    <x v="1"/>
    <s v="TX-103091"/>
    <x v="8"/>
    <x v="1"/>
    <x v="2"/>
    <n v="14959.94"/>
    <n v="1944.79"/>
    <x v="3088"/>
    <x v="0"/>
    <s v="Tarjeta Crédito Empresarial"/>
    <s v="Tarjeta Crédito"/>
    <s v="Pendiente"/>
  </r>
  <r>
    <x v="258"/>
    <x v="7"/>
    <s v="TX-103092"/>
    <x v="1"/>
    <x v="0"/>
    <x v="5"/>
    <n v="2763.93"/>
    <n v="0"/>
    <x v="3089"/>
    <x v="4"/>
    <s v="Cuenta Ahorros"/>
    <s v="Efectivo"/>
    <s v="Pagado"/>
  </r>
  <r>
    <x v="350"/>
    <x v="5"/>
    <s v="TX-103093"/>
    <x v="11"/>
    <x v="1"/>
    <x v="4"/>
    <n v="6904.67"/>
    <n v="897.61"/>
    <x v="3090"/>
    <x v="3"/>
    <s v="Cuenta Corriente"/>
    <s v="Tarjeta Débito"/>
    <s v="Pagado"/>
  </r>
  <r>
    <x v="9"/>
    <x v="4"/>
    <s v="TX-103094"/>
    <x v="17"/>
    <x v="0"/>
    <x v="2"/>
    <n v="11120.08"/>
    <n v="0"/>
    <x v="3091"/>
    <x v="0"/>
    <s v="Tarjeta Crédito Empresarial"/>
    <s v="Efectivo"/>
    <s v="Pagado"/>
  </r>
  <r>
    <x v="197"/>
    <x v="7"/>
    <s v="TX-103095"/>
    <x v="18"/>
    <x v="0"/>
    <x v="3"/>
    <n v="14028.87"/>
    <n v="0"/>
    <x v="3092"/>
    <x v="4"/>
    <s v="Tarjeta Crédito Empresarial"/>
    <s v="Efectivo"/>
    <s v="Pendiente"/>
  </r>
  <r>
    <x v="236"/>
    <x v="0"/>
    <s v="TX-103096"/>
    <x v="11"/>
    <x v="0"/>
    <x v="3"/>
    <n v="7712.32"/>
    <n v="0"/>
    <x v="3093"/>
    <x v="0"/>
    <s v="Cuenta Ahorros"/>
    <s v="Tarjeta Débito"/>
    <s v="Pendiente"/>
  </r>
  <r>
    <x v="121"/>
    <x v="8"/>
    <s v="TX-103097"/>
    <x v="12"/>
    <x v="1"/>
    <x v="1"/>
    <n v="9693.5"/>
    <n v="1260.1500000000001"/>
    <x v="3094"/>
    <x v="4"/>
    <s v="Cuenta Ahorros"/>
    <s v="Tarjeta Crédito"/>
    <s v="Pendiente"/>
  </r>
  <r>
    <x v="278"/>
    <x v="9"/>
    <s v="TX-103098"/>
    <x v="8"/>
    <x v="0"/>
    <x v="4"/>
    <n v="13049.75"/>
    <n v="0"/>
    <x v="3095"/>
    <x v="2"/>
    <s v="Cuenta Corriente"/>
    <s v="Transferencia"/>
    <s v="Pendiente"/>
  </r>
  <r>
    <x v="7"/>
    <x v="6"/>
    <s v="TX-103099"/>
    <x v="2"/>
    <x v="1"/>
    <x v="3"/>
    <n v="2074.79"/>
    <n v="269.72000000000003"/>
    <x v="3096"/>
    <x v="2"/>
    <s v="Cuenta Ahorros"/>
    <s v="Tarjeta Débito"/>
    <s v="Pendiente"/>
  </r>
  <r>
    <x v="260"/>
    <x v="4"/>
    <s v="TX-103100"/>
    <x v="8"/>
    <x v="1"/>
    <x v="3"/>
    <n v="513.34"/>
    <n v="66.73"/>
    <x v="3097"/>
    <x v="4"/>
    <s v="Cuenta Ahorros"/>
    <s v="Tarjeta Débito"/>
    <s v="Pendiente"/>
  </r>
  <r>
    <x v="27"/>
    <x v="9"/>
    <s v="TX-103101"/>
    <x v="6"/>
    <x v="0"/>
    <x v="6"/>
    <n v="7618.91"/>
    <n v="0"/>
    <x v="3098"/>
    <x v="1"/>
    <s v="Tarjeta Crédito Empresarial"/>
    <s v="Tarjeta Débito"/>
    <s v="Pendiente"/>
  </r>
  <r>
    <x v="278"/>
    <x v="9"/>
    <s v="TX-103102"/>
    <x v="7"/>
    <x v="1"/>
    <x v="3"/>
    <n v="7180.42"/>
    <n v="933.45"/>
    <x v="3099"/>
    <x v="4"/>
    <s v="Cuenta Ahorros"/>
    <s v="Transferencia"/>
    <s v="Pendiente"/>
  </r>
  <r>
    <x v="212"/>
    <x v="8"/>
    <s v="TX-103103"/>
    <x v="0"/>
    <x v="0"/>
    <x v="2"/>
    <n v="12105.24"/>
    <n v="0"/>
    <x v="3100"/>
    <x v="1"/>
    <s v="Cuenta Ahorros"/>
    <s v="Transferencia"/>
    <s v="Pagado"/>
  </r>
  <r>
    <x v="257"/>
    <x v="7"/>
    <s v="TX-103104"/>
    <x v="10"/>
    <x v="1"/>
    <x v="7"/>
    <n v="7642.52"/>
    <n v="993.53"/>
    <x v="3101"/>
    <x v="1"/>
    <s v="Tarjeta Crédito Empresarial"/>
    <s v="Tarjeta Débito"/>
    <s v="Pagado"/>
  </r>
  <r>
    <x v="235"/>
    <x v="7"/>
    <s v="TX-103105"/>
    <x v="5"/>
    <x v="0"/>
    <x v="4"/>
    <n v="254.13"/>
    <n v="0"/>
    <x v="3102"/>
    <x v="1"/>
    <s v="Tarjeta Crédito Empresarial"/>
    <s v="Tarjeta Crédito"/>
    <s v="Pagado"/>
  </r>
  <r>
    <x v="274"/>
    <x v="2"/>
    <s v="TX-103106"/>
    <x v="10"/>
    <x v="1"/>
    <x v="0"/>
    <n v="1350.63"/>
    <n v="175.58"/>
    <x v="3103"/>
    <x v="1"/>
    <s v="Cuenta Ahorros"/>
    <s v="Tarjeta Débito"/>
    <s v="Pagado"/>
  </r>
  <r>
    <x v="106"/>
    <x v="4"/>
    <s v="TX-103107"/>
    <x v="12"/>
    <x v="0"/>
    <x v="6"/>
    <n v="12142.49"/>
    <n v="0"/>
    <x v="3104"/>
    <x v="0"/>
    <s v="Cuenta Ahorros"/>
    <s v="Tarjeta Débito"/>
    <s v="Pendiente"/>
  </r>
  <r>
    <x v="230"/>
    <x v="11"/>
    <s v="TX-103108"/>
    <x v="5"/>
    <x v="1"/>
    <x v="5"/>
    <n v="3722.72"/>
    <n v="483.95"/>
    <x v="3105"/>
    <x v="1"/>
    <s v="Cuenta Corriente"/>
    <s v="Tarjeta Crédito"/>
    <s v="Pendiente"/>
  </r>
  <r>
    <x v="299"/>
    <x v="9"/>
    <s v="TX-103109"/>
    <x v="10"/>
    <x v="1"/>
    <x v="6"/>
    <n v="4743.75"/>
    <n v="616.69000000000005"/>
    <x v="3106"/>
    <x v="1"/>
    <s v="Cuenta Corriente"/>
    <s v="Tarjeta Débito"/>
    <s v="Pagado"/>
  </r>
  <r>
    <x v="281"/>
    <x v="7"/>
    <s v="TX-103110"/>
    <x v="15"/>
    <x v="1"/>
    <x v="7"/>
    <n v="3809.57"/>
    <n v="495.24"/>
    <x v="3107"/>
    <x v="1"/>
    <s v="Cuenta Ahorros"/>
    <s v="Tarjeta Crédito"/>
    <s v="Pendiente"/>
  </r>
  <r>
    <x v="98"/>
    <x v="0"/>
    <s v="TX-103111"/>
    <x v="13"/>
    <x v="0"/>
    <x v="2"/>
    <n v="11501.27"/>
    <n v="0"/>
    <x v="3108"/>
    <x v="0"/>
    <s v="Tarjeta Crédito Empresarial"/>
    <s v="Tarjeta Débito"/>
    <s v="Pagado"/>
  </r>
  <r>
    <x v="77"/>
    <x v="8"/>
    <s v="TX-103112"/>
    <x v="6"/>
    <x v="1"/>
    <x v="3"/>
    <n v="4907.67"/>
    <n v="638"/>
    <x v="3109"/>
    <x v="1"/>
    <s v="Cuenta Corriente"/>
    <s v="Tarjeta Débito"/>
    <s v="Pagado"/>
  </r>
  <r>
    <x v="92"/>
    <x v="4"/>
    <s v="TX-103113"/>
    <x v="11"/>
    <x v="1"/>
    <x v="1"/>
    <n v="5501.93"/>
    <n v="715.25"/>
    <x v="3110"/>
    <x v="2"/>
    <s v="Cuenta Ahorros"/>
    <s v="Tarjeta Crédito"/>
    <s v="Pagado"/>
  </r>
  <r>
    <x v="277"/>
    <x v="9"/>
    <s v="TX-103114"/>
    <x v="9"/>
    <x v="0"/>
    <x v="6"/>
    <n v="4891.4399999999996"/>
    <n v="0"/>
    <x v="3111"/>
    <x v="0"/>
    <s v="Cuenta Ahorros"/>
    <s v="Transferencia"/>
    <s v="Pagado"/>
  </r>
  <r>
    <x v="123"/>
    <x v="11"/>
    <s v="TX-103115"/>
    <x v="12"/>
    <x v="0"/>
    <x v="3"/>
    <n v="148.91999999999999"/>
    <n v="0"/>
    <x v="3112"/>
    <x v="1"/>
    <s v="Tarjeta Crédito Empresarial"/>
    <s v="Tarjeta Crédito"/>
    <s v="Pagado"/>
  </r>
  <r>
    <x v="160"/>
    <x v="7"/>
    <s v="TX-103116"/>
    <x v="14"/>
    <x v="0"/>
    <x v="3"/>
    <n v="12874.49"/>
    <n v="0"/>
    <x v="3113"/>
    <x v="0"/>
    <s v="Tarjeta Crédito Empresarial"/>
    <s v="Transferencia"/>
    <s v="Pendiente"/>
  </r>
  <r>
    <x v="175"/>
    <x v="4"/>
    <s v="TX-103117"/>
    <x v="10"/>
    <x v="1"/>
    <x v="5"/>
    <n v="10429.5"/>
    <n v="1355.84"/>
    <x v="3114"/>
    <x v="1"/>
    <s v="Tarjeta Crédito Empresarial"/>
    <s v="Efectivo"/>
    <s v="Pagado"/>
  </r>
  <r>
    <x v="341"/>
    <x v="7"/>
    <s v="TX-103118"/>
    <x v="2"/>
    <x v="1"/>
    <x v="5"/>
    <n v="14206.84"/>
    <n v="1846.89"/>
    <x v="3115"/>
    <x v="4"/>
    <s v="Cuenta Corriente"/>
    <s v="Efectivo"/>
    <s v="Pendiente"/>
  </r>
  <r>
    <x v="253"/>
    <x v="6"/>
    <s v="TX-103119"/>
    <x v="10"/>
    <x v="0"/>
    <x v="2"/>
    <n v="6895.78"/>
    <n v="0"/>
    <x v="3116"/>
    <x v="3"/>
    <s v="Cuenta Ahorros"/>
    <s v="Efectivo"/>
    <s v="Pagado"/>
  </r>
  <r>
    <x v="353"/>
    <x v="7"/>
    <s v="TX-103120"/>
    <x v="3"/>
    <x v="1"/>
    <x v="5"/>
    <n v="628.16"/>
    <n v="81.66"/>
    <x v="3117"/>
    <x v="0"/>
    <s v="Cuenta Corriente"/>
    <s v="Tarjeta Crédito"/>
    <s v="Pendiente"/>
  </r>
  <r>
    <x v="78"/>
    <x v="0"/>
    <s v="TX-103121"/>
    <x v="6"/>
    <x v="0"/>
    <x v="7"/>
    <n v="13416"/>
    <n v="0"/>
    <x v="3118"/>
    <x v="1"/>
    <s v="Cuenta Corriente"/>
    <s v="Transferencia"/>
    <s v="Pagado"/>
  </r>
  <r>
    <x v="186"/>
    <x v="3"/>
    <s v="TX-103122"/>
    <x v="5"/>
    <x v="1"/>
    <x v="5"/>
    <n v="8690.9699999999993"/>
    <n v="1129.83"/>
    <x v="3119"/>
    <x v="0"/>
    <s v="Cuenta Corriente"/>
    <s v="Transferencia"/>
    <s v="Pagado"/>
  </r>
  <r>
    <x v="340"/>
    <x v="2"/>
    <s v="TX-103123"/>
    <x v="12"/>
    <x v="1"/>
    <x v="7"/>
    <n v="1321.34"/>
    <n v="171.77"/>
    <x v="3120"/>
    <x v="1"/>
    <s v="Cuenta Corriente"/>
    <s v="Transferencia"/>
    <s v="Pagado"/>
  </r>
  <r>
    <x v="354"/>
    <x v="4"/>
    <s v="TX-103124"/>
    <x v="11"/>
    <x v="1"/>
    <x v="7"/>
    <n v="6694.85"/>
    <n v="870.33"/>
    <x v="3121"/>
    <x v="4"/>
    <s v="Cuenta Ahorros"/>
    <s v="Transferencia"/>
    <s v="Pendiente"/>
  </r>
  <r>
    <x v="187"/>
    <x v="10"/>
    <s v="TX-103125"/>
    <x v="2"/>
    <x v="0"/>
    <x v="7"/>
    <n v="11043.31"/>
    <n v="0"/>
    <x v="3122"/>
    <x v="1"/>
    <s v="Cuenta Corriente"/>
    <s v="Tarjeta Débito"/>
    <s v="Pagado"/>
  </r>
  <r>
    <x v="76"/>
    <x v="11"/>
    <s v="TX-103126"/>
    <x v="12"/>
    <x v="1"/>
    <x v="5"/>
    <n v="10409.89"/>
    <n v="1353.29"/>
    <x v="3123"/>
    <x v="3"/>
    <s v="Cuenta Corriente"/>
    <s v="Tarjeta Débito"/>
    <s v="Pendiente"/>
  </r>
  <r>
    <x v="147"/>
    <x v="3"/>
    <s v="TX-103127"/>
    <x v="9"/>
    <x v="0"/>
    <x v="3"/>
    <n v="10570.14"/>
    <n v="0"/>
    <x v="3124"/>
    <x v="0"/>
    <s v="Tarjeta Crédito Empresarial"/>
    <s v="Tarjeta Crédito"/>
    <s v="Pagado"/>
  </r>
  <r>
    <x v="141"/>
    <x v="8"/>
    <s v="TX-103128"/>
    <x v="13"/>
    <x v="0"/>
    <x v="1"/>
    <n v="12677.41"/>
    <n v="0"/>
    <x v="3125"/>
    <x v="3"/>
    <s v="Tarjeta Crédito Empresarial"/>
    <s v="Efectivo"/>
    <s v="Pendiente"/>
  </r>
  <r>
    <x v="344"/>
    <x v="8"/>
    <s v="TX-103129"/>
    <x v="16"/>
    <x v="0"/>
    <x v="6"/>
    <n v="2694.42"/>
    <n v="0"/>
    <x v="3126"/>
    <x v="4"/>
    <s v="Cuenta Ahorros"/>
    <s v="Efectivo"/>
    <s v="Pendiente"/>
  </r>
  <r>
    <x v="241"/>
    <x v="5"/>
    <s v="TX-103130"/>
    <x v="13"/>
    <x v="0"/>
    <x v="1"/>
    <n v="6650.71"/>
    <n v="0"/>
    <x v="3127"/>
    <x v="0"/>
    <s v="Cuenta Ahorros"/>
    <s v="Efectivo"/>
    <s v="Pendiente"/>
  </r>
  <r>
    <x v="223"/>
    <x v="0"/>
    <s v="TX-103131"/>
    <x v="13"/>
    <x v="0"/>
    <x v="1"/>
    <n v="14910.41"/>
    <n v="0"/>
    <x v="3128"/>
    <x v="4"/>
    <s v="Tarjeta Crédito Empresarial"/>
    <s v="Efectivo"/>
    <s v="Pagado"/>
  </r>
  <r>
    <x v="134"/>
    <x v="2"/>
    <s v="TX-103132"/>
    <x v="16"/>
    <x v="0"/>
    <x v="1"/>
    <n v="11943.7"/>
    <n v="0"/>
    <x v="3129"/>
    <x v="0"/>
    <s v="Cuenta Corriente"/>
    <s v="Efectivo"/>
    <s v="Pagado"/>
  </r>
  <r>
    <x v="277"/>
    <x v="9"/>
    <s v="TX-103133"/>
    <x v="17"/>
    <x v="1"/>
    <x v="7"/>
    <n v="451.34"/>
    <n v="58.67"/>
    <x v="3130"/>
    <x v="4"/>
    <s v="Cuenta Ahorros"/>
    <s v="Transferencia"/>
    <s v="Pendiente"/>
  </r>
  <r>
    <x v="251"/>
    <x v="1"/>
    <s v="TX-103134"/>
    <x v="3"/>
    <x v="0"/>
    <x v="3"/>
    <n v="8164.09"/>
    <n v="0"/>
    <x v="1231"/>
    <x v="4"/>
    <s v="Cuenta Corriente"/>
    <s v="Efectivo"/>
    <s v="Pendiente"/>
  </r>
  <r>
    <x v="163"/>
    <x v="10"/>
    <s v="TX-103135"/>
    <x v="13"/>
    <x v="0"/>
    <x v="2"/>
    <n v="2207.96"/>
    <n v="0"/>
    <x v="3131"/>
    <x v="0"/>
    <s v="Cuenta Corriente"/>
    <s v="Transferencia"/>
    <s v="Pagado"/>
  </r>
  <r>
    <x v="315"/>
    <x v="5"/>
    <s v="TX-103136"/>
    <x v="16"/>
    <x v="0"/>
    <x v="0"/>
    <n v="14745.58"/>
    <n v="0"/>
    <x v="3132"/>
    <x v="2"/>
    <s v="Cuenta Corriente"/>
    <s v="Efectivo"/>
    <s v="Pagado"/>
  </r>
  <r>
    <x v="304"/>
    <x v="11"/>
    <s v="TX-103137"/>
    <x v="19"/>
    <x v="1"/>
    <x v="4"/>
    <n v="8364.66"/>
    <n v="1087.4100000000001"/>
    <x v="3133"/>
    <x v="1"/>
    <s v="Cuenta Corriente"/>
    <s v="Transferencia"/>
    <s v="Pendiente"/>
  </r>
  <r>
    <x v="0"/>
    <x v="0"/>
    <s v="TX-103138"/>
    <x v="11"/>
    <x v="0"/>
    <x v="7"/>
    <n v="13089.73"/>
    <n v="0"/>
    <x v="3134"/>
    <x v="2"/>
    <s v="Cuenta Corriente"/>
    <s v="Transferencia"/>
    <s v="Pendiente"/>
  </r>
  <r>
    <x v="233"/>
    <x v="1"/>
    <s v="TX-103139"/>
    <x v="18"/>
    <x v="1"/>
    <x v="7"/>
    <n v="12413.8"/>
    <n v="1613.79"/>
    <x v="3135"/>
    <x v="2"/>
    <s v="Cuenta Corriente"/>
    <s v="Tarjeta Débito"/>
    <s v="Pendiente"/>
  </r>
  <r>
    <x v="127"/>
    <x v="6"/>
    <s v="TX-103140"/>
    <x v="13"/>
    <x v="0"/>
    <x v="7"/>
    <n v="10505.85"/>
    <n v="0"/>
    <x v="3136"/>
    <x v="2"/>
    <s v="Cuenta Ahorros"/>
    <s v="Transferencia"/>
    <s v="Pagado"/>
  </r>
  <r>
    <x v="112"/>
    <x v="10"/>
    <s v="TX-103141"/>
    <x v="18"/>
    <x v="1"/>
    <x v="1"/>
    <n v="13899.27"/>
    <n v="1806.91"/>
    <x v="3137"/>
    <x v="3"/>
    <s v="Cuenta Corriente"/>
    <s v="Efectivo"/>
    <s v="Pagado"/>
  </r>
  <r>
    <x v="183"/>
    <x v="1"/>
    <s v="TX-103142"/>
    <x v="6"/>
    <x v="0"/>
    <x v="1"/>
    <n v="10911.37"/>
    <n v="0"/>
    <x v="3138"/>
    <x v="2"/>
    <s v="Cuenta Corriente"/>
    <s v="Tarjeta Débito"/>
    <s v="Pendiente"/>
  </r>
  <r>
    <x v="84"/>
    <x v="6"/>
    <s v="TX-103143"/>
    <x v="2"/>
    <x v="0"/>
    <x v="5"/>
    <n v="10306.86"/>
    <n v="0"/>
    <x v="3139"/>
    <x v="4"/>
    <s v="Tarjeta Crédito Empresarial"/>
    <s v="Tarjeta Débito"/>
    <s v="Pagado"/>
  </r>
  <r>
    <x v="99"/>
    <x v="6"/>
    <s v="TX-103144"/>
    <x v="0"/>
    <x v="1"/>
    <x v="7"/>
    <n v="5498.89"/>
    <n v="714.86"/>
    <x v="3140"/>
    <x v="0"/>
    <s v="Cuenta Ahorros"/>
    <s v="Tarjeta Crédito"/>
    <s v="Pendiente"/>
  </r>
  <r>
    <x v="358"/>
    <x v="8"/>
    <s v="TX-103145"/>
    <x v="12"/>
    <x v="0"/>
    <x v="6"/>
    <n v="8945.2999999999993"/>
    <n v="0"/>
    <x v="3141"/>
    <x v="2"/>
    <s v="Cuenta Ahorros"/>
    <s v="Tarjeta Débito"/>
    <s v="Pendiente"/>
  </r>
  <r>
    <x v="182"/>
    <x v="0"/>
    <s v="TX-103146"/>
    <x v="15"/>
    <x v="0"/>
    <x v="5"/>
    <n v="889.54"/>
    <n v="0"/>
    <x v="3142"/>
    <x v="1"/>
    <s v="Cuenta Ahorros"/>
    <s v="Transferencia"/>
    <s v="Pendiente"/>
  </r>
  <r>
    <x v="350"/>
    <x v="5"/>
    <s v="TX-103147"/>
    <x v="6"/>
    <x v="0"/>
    <x v="1"/>
    <n v="14120.31"/>
    <n v="0"/>
    <x v="3143"/>
    <x v="2"/>
    <s v="Cuenta Corriente"/>
    <s v="Tarjeta Débito"/>
    <s v="Pagado"/>
  </r>
  <r>
    <x v="93"/>
    <x v="3"/>
    <s v="TX-103148"/>
    <x v="2"/>
    <x v="1"/>
    <x v="7"/>
    <n v="11851.75"/>
    <n v="1540.73"/>
    <x v="3144"/>
    <x v="0"/>
    <s v="Tarjeta Crédito Empresarial"/>
    <s v="Efectivo"/>
    <s v="Pendiente"/>
  </r>
  <r>
    <x v="234"/>
    <x v="0"/>
    <s v="TX-103149"/>
    <x v="15"/>
    <x v="1"/>
    <x v="6"/>
    <n v="5185.3999999999996"/>
    <n v="674.1"/>
    <x v="3145"/>
    <x v="1"/>
    <s v="Cuenta Ahorros"/>
    <s v="Transferencia"/>
    <s v="Pendiente"/>
  </r>
  <r>
    <x v="226"/>
    <x v="10"/>
    <s v="TX-103150"/>
    <x v="2"/>
    <x v="0"/>
    <x v="2"/>
    <n v="4161.74"/>
    <n v="0"/>
    <x v="3146"/>
    <x v="0"/>
    <s v="Cuenta Corriente"/>
    <s v="Transferencia"/>
    <s v="Pagado"/>
  </r>
  <r>
    <x v="44"/>
    <x v="1"/>
    <s v="TX-103151"/>
    <x v="4"/>
    <x v="0"/>
    <x v="5"/>
    <n v="4284.46"/>
    <n v="0"/>
    <x v="3147"/>
    <x v="2"/>
    <s v="Cuenta Ahorros"/>
    <s v="Tarjeta Crédito"/>
    <s v="Pendiente"/>
  </r>
  <r>
    <x v="86"/>
    <x v="3"/>
    <s v="TX-103152"/>
    <x v="10"/>
    <x v="0"/>
    <x v="0"/>
    <n v="2780.73"/>
    <n v="0"/>
    <x v="3148"/>
    <x v="4"/>
    <s v="Cuenta Ahorros"/>
    <s v="Tarjeta Débito"/>
    <s v="Pendiente"/>
  </r>
  <r>
    <x v="233"/>
    <x v="1"/>
    <s v="TX-103153"/>
    <x v="1"/>
    <x v="1"/>
    <x v="2"/>
    <n v="10387.540000000001"/>
    <n v="1350.38"/>
    <x v="3149"/>
    <x v="0"/>
    <s v="Cuenta Ahorros"/>
    <s v="Transferencia"/>
    <s v="Pendiente"/>
  </r>
  <r>
    <x v="108"/>
    <x v="0"/>
    <s v="TX-103154"/>
    <x v="7"/>
    <x v="0"/>
    <x v="0"/>
    <n v="12286.67"/>
    <n v="0"/>
    <x v="3150"/>
    <x v="4"/>
    <s v="Cuenta Ahorros"/>
    <s v="Efectivo"/>
    <s v="Pagado"/>
  </r>
  <r>
    <x v="325"/>
    <x v="5"/>
    <s v="TX-103155"/>
    <x v="0"/>
    <x v="0"/>
    <x v="0"/>
    <n v="9779.9699999999993"/>
    <n v="0"/>
    <x v="3151"/>
    <x v="0"/>
    <s v="Cuenta Corriente"/>
    <s v="Transferencia"/>
    <s v="Pagado"/>
  </r>
  <r>
    <x v="328"/>
    <x v="11"/>
    <s v="TX-103156"/>
    <x v="15"/>
    <x v="0"/>
    <x v="5"/>
    <n v="5225.17"/>
    <n v="0"/>
    <x v="3152"/>
    <x v="4"/>
    <s v="Cuenta Corriente"/>
    <s v="Tarjeta Crédito"/>
    <s v="Pendiente"/>
  </r>
  <r>
    <x v="335"/>
    <x v="10"/>
    <s v="TX-103157"/>
    <x v="4"/>
    <x v="1"/>
    <x v="7"/>
    <n v="13824.76"/>
    <n v="1797.22"/>
    <x v="3153"/>
    <x v="3"/>
    <s v="Tarjeta Crédito Empresarial"/>
    <s v="Tarjeta Débito"/>
    <s v="Pagado"/>
  </r>
  <r>
    <x v="115"/>
    <x v="3"/>
    <s v="TX-103158"/>
    <x v="13"/>
    <x v="0"/>
    <x v="4"/>
    <n v="6730.5"/>
    <n v="0"/>
    <x v="3154"/>
    <x v="3"/>
    <s v="Cuenta Ahorros"/>
    <s v="Tarjeta Débito"/>
    <s v="Pagado"/>
  </r>
  <r>
    <x v="338"/>
    <x v="7"/>
    <s v="TX-103159"/>
    <x v="18"/>
    <x v="0"/>
    <x v="4"/>
    <n v="10248.780000000001"/>
    <n v="0"/>
    <x v="3155"/>
    <x v="3"/>
    <s v="Cuenta Ahorros"/>
    <s v="Efectivo"/>
    <s v="Pagado"/>
  </r>
  <r>
    <x v="61"/>
    <x v="4"/>
    <s v="TX-103160"/>
    <x v="16"/>
    <x v="0"/>
    <x v="6"/>
    <n v="8053.26"/>
    <n v="0"/>
    <x v="3156"/>
    <x v="2"/>
    <s v="Cuenta Corriente"/>
    <s v="Tarjeta Débito"/>
    <s v="Pendiente"/>
  </r>
  <r>
    <x v="18"/>
    <x v="9"/>
    <s v="TX-103161"/>
    <x v="7"/>
    <x v="0"/>
    <x v="7"/>
    <n v="14113.59"/>
    <n v="0"/>
    <x v="3157"/>
    <x v="2"/>
    <s v="Cuenta Ahorros"/>
    <s v="Tarjeta Crédito"/>
    <s v="Pendiente"/>
  </r>
  <r>
    <x v="300"/>
    <x v="0"/>
    <s v="TX-103162"/>
    <x v="17"/>
    <x v="1"/>
    <x v="0"/>
    <n v="4200.6400000000003"/>
    <n v="546.08000000000004"/>
    <x v="3158"/>
    <x v="0"/>
    <s v="Cuenta Corriente"/>
    <s v="Tarjeta Débito"/>
    <s v="Pendiente"/>
  </r>
  <r>
    <x v="32"/>
    <x v="9"/>
    <s v="TX-103163"/>
    <x v="3"/>
    <x v="0"/>
    <x v="5"/>
    <n v="10445.92"/>
    <n v="0"/>
    <x v="3159"/>
    <x v="3"/>
    <s v="Tarjeta Crédito Empresarial"/>
    <s v="Tarjeta Débito"/>
    <s v="Pendiente"/>
  </r>
  <r>
    <x v="287"/>
    <x v="4"/>
    <s v="TX-103164"/>
    <x v="12"/>
    <x v="1"/>
    <x v="2"/>
    <n v="2340.21"/>
    <n v="304.23"/>
    <x v="3160"/>
    <x v="0"/>
    <s v="Cuenta Ahorros"/>
    <s v="Tarjeta Crédito"/>
    <s v="Pendiente"/>
  </r>
  <r>
    <x v="185"/>
    <x v="0"/>
    <s v="TX-103165"/>
    <x v="15"/>
    <x v="0"/>
    <x v="3"/>
    <n v="1826.49"/>
    <n v="0"/>
    <x v="3161"/>
    <x v="2"/>
    <s v="Cuenta Ahorros"/>
    <s v="Efectivo"/>
    <s v="Pagado"/>
  </r>
  <r>
    <x v="50"/>
    <x v="8"/>
    <s v="TX-103166"/>
    <x v="5"/>
    <x v="1"/>
    <x v="7"/>
    <n v="471.93"/>
    <n v="61.35"/>
    <x v="3162"/>
    <x v="2"/>
    <s v="Tarjeta Crédito Empresarial"/>
    <s v="Tarjeta Crédito"/>
    <s v="Pagado"/>
  </r>
  <r>
    <x v="334"/>
    <x v="5"/>
    <s v="TX-103167"/>
    <x v="12"/>
    <x v="1"/>
    <x v="3"/>
    <n v="575.09"/>
    <n v="74.760000000000005"/>
    <x v="3163"/>
    <x v="4"/>
    <s v="Cuenta Ahorros"/>
    <s v="Tarjeta Crédito"/>
    <s v="Pagado"/>
  </r>
  <r>
    <x v="157"/>
    <x v="2"/>
    <s v="TX-103168"/>
    <x v="0"/>
    <x v="1"/>
    <x v="7"/>
    <n v="14405.32"/>
    <n v="1872.69"/>
    <x v="3164"/>
    <x v="1"/>
    <s v="Cuenta Corriente"/>
    <s v="Efectivo"/>
    <s v="Pagado"/>
  </r>
  <r>
    <x v="266"/>
    <x v="0"/>
    <s v="TX-103169"/>
    <x v="17"/>
    <x v="0"/>
    <x v="6"/>
    <n v="6304.63"/>
    <n v="0"/>
    <x v="3165"/>
    <x v="3"/>
    <s v="Cuenta Corriente"/>
    <s v="Transferencia"/>
    <s v="Pagado"/>
  </r>
  <r>
    <x v="169"/>
    <x v="1"/>
    <s v="TX-103170"/>
    <x v="6"/>
    <x v="1"/>
    <x v="7"/>
    <n v="8116.81"/>
    <n v="1055.19"/>
    <x v="3166"/>
    <x v="1"/>
    <s v="Cuenta Ahorros"/>
    <s v="Transferencia"/>
    <s v="Pendiente"/>
  </r>
  <r>
    <x v="58"/>
    <x v="9"/>
    <s v="TX-103171"/>
    <x v="8"/>
    <x v="0"/>
    <x v="3"/>
    <n v="5681.8"/>
    <n v="0"/>
    <x v="3167"/>
    <x v="1"/>
    <s v="Cuenta Ahorros"/>
    <s v="Tarjeta Crédito"/>
    <s v="Pagado"/>
  </r>
  <r>
    <x v="150"/>
    <x v="2"/>
    <s v="TX-103172"/>
    <x v="14"/>
    <x v="1"/>
    <x v="6"/>
    <n v="2135.67"/>
    <n v="277.64"/>
    <x v="3168"/>
    <x v="0"/>
    <s v="Tarjeta Crédito Empresarial"/>
    <s v="Efectivo"/>
    <s v="Pendiente"/>
  </r>
  <r>
    <x v="319"/>
    <x v="5"/>
    <s v="TX-103173"/>
    <x v="3"/>
    <x v="0"/>
    <x v="3"/>
    <n v="8860.51"/>
    <n v="0"/>
    <x v="3169"/>
    <x v="0"/>
    <s v="Tarjeta Crédito Empresarial"/>
    <s v="Tarjeta Crédito"/>
    <s v="Pagado"/>
  </r>
  <r>
    <x v="161"/>
    <x v="9"/>
    <s v="TX-103174"/>
    <x v="11"/>
    <x v="0"/>
    <x v="7"/>
    <n v="13257.25"/>
    <n v="0"/>
    <x v="3170"/>
    <x v="4"/>
    <s v="Cuenta Corriente"/>
    <s v="Tarjeta Débito"/>
    <s v="Pagado"/>
  </r>
  <r>
    <x v="289"/>
    <x v="2"/>
    <s v="TX-103175"/>
    <x v="14"/>
    <x v="0"/>
    <x v="2"/>
    <n v="11900.41"/>
    <n v="0"/>
    <x v="3171"/>
    <x v="4"/>
    <s v="Tarjeta Crédito Empresarial"/>
    <s v="Tarjeta Débito"/>
    <s v="Pagado"/>
  </r>
  <r>
    <x v="320"/>
    <x v="2"/>
    <s v="TX-103176"/>
    <x v="15"/>
    <x v="0"/>
    <x v="3"/>
    <n v="14703.43"/>
    <n v="0"/>
    <x v="3172"/>
    <x v="1"/>
    <s v="Tarjeta Crédito Empresarial"/>
    <s v="Efectivo"/>
    <s v="Pendiente"/>
  </r>
  <r>
    <x v="314"/>
    <x v="11"/>
    <s v="TX-103177"/>
    <x v="15"/>
    <x v="0"/>
    <x v="5"/>
    <n v="7094.41"/>
    <n v="0"/>
    <x v="3173"/>
    <x v="1"/>
    <s v="Tarjeta Crédito Empresarial"/>
    <s v="Efectivo"/>
    <s v="Pagado"/>
  </r>
  <r>
    <x v="345"/>
    <x v="7"/>
    <s v="TX-103178"/>
    <x v="14"/>
    <x v="1"/>
    <x v="7"/>
    <n v="6760.1"/>
    <n v="878.81"/>
    <x v="3174"/>
    <x v="2"/>
    <s v="Cuenta Ahorros"/>
    <s v="Transferencia"/>
    <s v="Pagado"/>
  </r>
  <r>
    <x v="31"/>
    <x v="6"/>
    <s v="TX-103179"/>
    <x v="16"/>
    <x v="1"/>
    <x v="0"/>
    <n v="4026.1"/>
    <n v="523.39"/>
    <x v="3175"/>
    <x v="2"/>
    <s v="Tarjeta Crédito Empresarial"/>
    <s v="Tarjeta Crédito"/>
    <s v="Pendiente"/>
  </r>
  <r>
    <x v="203"/>
    <x v="6"/>
    <s v="TX-103180"/>
    <x v="3"/>
    <x v="0"/>
    <x v="5"/>
    <n v="2933.52"/>
    <n v="0"/>
    <x v="3176"/>
    <x v="4"/>
    <s v="Cuenta Ahorros"/>
    <s v="Efectivo"/>
    <s v="Pagado"/>
  </r>
  <r>
    <x v="312"/>
    <x v="3"/>
    <s v="TX-103181"/>
    <x v="9"/>
    <x v="0"/>
    <x v="0"/>
    <n v="5127.87"/>
    <n v="0"/>
    <x v="3177"/>
    <x v="0"/>
    <s v="Cuenta Ahorros"/>
    <s v="Tarjeta Débito"/>
    <s v="Pagado"/>
  </r>
  <r>
    <x v="299"/>
    <x v="9"/>
    <s v="TX-103182"/>
    <x v="6"/>
    <x v="1"/>
    <x v="5"/>
    <n v="2594.7199999999998"/>
    <n v="337.31"/>
    <x v="3178"/>
    <x v="1"/>
    <s v="Cuenta Corriente"/>
    <s v="Tarjeta Crédito"/>
    <s v="Pagado"/>
  </r>
  <r>
    <x v="135"/>
    <x v="4"/>
    <s v="TX-103183"/>
    <x v="10"/>
    <x v="1"/>
    <x v="6"/>
    <n v="5165.6400000000003"/>
    <n v="671.53"/>
    <x v="3179"/>
    <x v="1"/>
    <s v="Tarjeta Crédito Empresarial"/>
    <s v="Tarjeta Débito"/>
    <s v="Pendiente"/>
  </r>
  <r>
    <x v="162"/>
    <x v="11"/>
    <s v="TX-103184"/>
    <x v="10"/>
    <x v="0"/>
    <x v="2"/>
    <n v="1604.78"/>
    <n v="0"/>
    <x v="3180"/>
    <x v="0"/>
    <s v="Tarjeta Crédito Empresarial"/>
    <s v="Transferencia"/>
    <s v="Pendiente"/>
  </r>
  <r>
    <x v="291"/>
    <x v="3"/>
    <s v="TX-103185"/>
    <x v="17"/>
    <x v="0"/>
    <x v="7"/>
    <n v="3531.06"/>
    <n v="0"/>
    <x v="3181"/>
    <x v="2"/>
    <s v="Cuenta Ahorros"/>
    <s v="Transferencia"/>
    <s v="Pendiente"/>
  </r>
  <r>
    <x v="36"/>
    <x v="7"/>
    <s v="TX-103186"/>
    <x v="4"/>
    <x v="0"/>
    <x v="3"/>
    <n v="7516.94"/>
    <n v="0"/>
    <x v="3182"/>
    <x v="4"/>
    <s v="Cuenta Corriente"/>
    <s v="Tarjeta Débito"/>
    <s v="Pagado"/>
  </r>
  <r>
    <x v="33"/>
    <x v="5"/>
    <s v="TX-103187"/>
    <x v="9"/>
    <x v="0"/>
    <x v="6"/>
    <n v="8043.15"/>
    <n v="0"/>
    <x v="3183"/>
    <x v="1"/>
    <s v="Cuenta Corriente"/>
    <s v="Transferencia"/>
    <s v="Pendiente"/>
  </r>
  <r>
    <x v="333"/>
    <x v="10"/>
    <s v="TX-103188"/>
    <x v="5"/>
    <x v="0"/>
    <x v="6"/>
    <n v="8761.1200000000008"/>
    <n v="0"/>
    <x v="3184"/>
    <x v="2"/>
    <s v="Cuenta Corriente"/>
    <s v="Efectivo"/>
    <s v="Pendiente"/>
  </r>
  <r>
    <x v="69"/>
    <x v="10"/>
    <s v="TX-103189"/>
    <x v="6"/>
    <x v="0"/>
    <x v="1"/>
    <n v="9560.89"/>
    <n v="0"/>
    <x v="3185"/>
    <x v="2"/>
    <s v="Cuenta Corriente"/>
    <s v="Transferencia"/>
    <s v="Pagado"/>
  </r>
  <r>
    <x v="284"/>
    <x v="1"/>
    <s v="TX-103190"/>
    <x v="0"/>
    <x v="1"/>
    <x v="0"/>
    <n v="8660.01"/>
    <n v="1125.8"/>
    <x v="3186"/>
    <x v="3"/>
    <s v="Cuenta Corriente"/>
    <s v="Efectivo"/>
    <s v="Pagado"/>
  </r>
  <r>
    <x v="255"/>
    <x v="10"/>
    <s v="TX-103191"/>
    <x v="16"/>
    <x v="1"/>
    <x v="0"/>
    <n v="5370.01"/>
    <n v="698.1"/>
    <x v="3187"/>
    <x v="0"/>
    <s v="Cuenta Corriente"/>
    <s v="Tarjeta Crédito"/>
    <s v="Pagado"/>
  </r>
  <r>
    <x v="257"/>
    <x v="7"/>
    <s v="TX-103192"/>
    <x v="11"/>
    <x v="1"/>
    <x v="2"/>
    <n v="5521.33"/>
    <n v="717.77"/>
    <x v="3188"/>
    <x v="4"/>
    <s v="Cuenta Ahorros"/>
    <s v="Tarjeta Crédito"/>
    <s v="Pagado"/>
  </r>
  <r>
    <x v="116"/>
    <x v="5"/>
    <s v="TX-103193"/>
    <x v="7"/>
    <x v="0"/>
    <x v="1"/>
    <n v="1983.04"/>
    <n v="0"/>
    <x v="3189"/>
    <x v="1"/>
    <s v="Cuenta Ahorros"/>
    <s v="Tarjeta Débito"/>
    <s v="Pendiente"/>
  </r>
  <r>
    <x v="254"/>
    <x v="5"/>
    <s v="TX-103194"/>
    <x v="3"/>
    <x v="0"/>
    <x v="6"/>
    <n v="9141.89"/>
    <n v="0"/>
    <x v="3190"/>
    <x v="0"/>
    <s v="Cuenta Ahorros"/>
    <s v="Efectivo"/>
    <s v="Pendiente"/>
  </r>
  <r>
    <x v="29"/>
    <x v="3"/>
    <s v="TX-103195"/>
    <x v="13"/>
    <x v="0"/>
    <x v="6"/>
    <n v="9193.5"/>
    <n v="0"/>
    <x v="3191"/>
    <x v="2"/>
    <s v="Cuenta Corriente"/>
    <s v="Tarjeta Crédito"/>
    <s v="Pendiente"/>
  </r>
  <r>
    <x v="190"/>
    <x v="9"/>
    <s v="TX-103196"/>
    <x v="15"/>
    <x v="1"/>
    <x v="2"/>
    <n v="6674.5"/>
    <n v="867.69"/>
    <x v="3192"/>
    <x v="0"/>
    <s v="Cuenta Ahorros"/>
    <s v="Tarjeta Crédito"/>
    <s v="Pagado"/>
  </r>
  <r>
    <x v="202"/>
    <x v="2"/>
    <s v="TX-103197"/>
    <x v="19"/>
    <x v="0"/>
    <x v="5"/>
    <n v="10360.700000000001"/>
    <n v="0"/>
    <x v="3193"/>
    <x v="2"/>
    <s v="Cuenta Corriente"/>
    <s v="Transferencia"/>
    <s v="Pendiente"/>
  </r>
  <r>
    <x v="221"/>
    <x v="0"/>
    <s v="TX-103198"/>
    <x v="1"/>
    <x v="0"/>
    <x v="6"/>
    <n v="1489.4"/>
    <n v="0"/>
    <x v="3194"/>
    <x v="0"/>
    <s v="Tarjeta Crédito Empresarial"/>
    <s v="Tarjeta Débito"/>
    <s v="Pagado"/>
  </r>
  <r>
    <x v="174"/>
    <x v="9"/>
    <s v="TX-103199"/>
    <x v="8"/>
    <x v="0"/>
    <x v="4"/>
    <n v="10672.46"/>
    <n v="0"/>
    <x v="3195"/>
    <x v="4"/>
    <s v="Cuenta Corriente"/>
    <s v="Tarjeta Débito"/>
    <s v="Pagado"/>
  </r>
  <r>
    <x v="1"/>
    <x v="1"/>
    <s v="TX-103200"/>
    <x v="6"/>
    <x v="0"/>
    <x v="4"/>
    <n v="6975.28"/>
    <n v="0"/>
    <x v="3196"/>
    <x v="0"/>
    <s v="Tarjeta Crédito Empresarial"/>
    <s v="Tarjeta Débito"/>
    <s v="Pendiente"/>
  </r>
  <r>
    <x v="10"/>
    <x v="0"/>
    <s v="TX-103201"/>
    <x v="5"/>
    <x v="0"/>
    <x v="0"/>
    <n v="2625.93"/>
    <n v="0"/>
    <x v="3197"/>
    <x v="4"/>
    <s v="Tarjeta Crédito Empresarial"/>
    <s v="Tarjeta Crédito"/>
    <s v="Pendiente"/>
  </r>
  <r>
    <x v="310"/>
    <x v="6"/>
    <s v="TX-103202"/>
    <x v="14"/>
    <x v="1"/>
    <x v="3"/>
    <n v="3541.6"/>
    <n v="460.41"/>
    <x v="3198"/>
    <x v="3"/>
    <s v="Tarjeta Crédito Empresarial"/>
    <s v="Tarjeta Crédito"/>
    <s v="Pagado"/>
  </r>
  <r>
    <x v="254"/>
    <x v="5"/>
    <s v="TX-103203"/>
    <x v="1"/>
    <x v="1"/>
    <x v="6"/>
    <n v="10790.53"/>
    <n v="1402.77"/>
    <x v="3199"/>
    <x v="4"/>
    <s v="Cuenta Ahorros"/>
    <s v="Efectivo"/>
    <s v="Pendiente"/>
  </r>
  <r>
    <x v="65"/>
    <x v="4"/>
    <s v="TX-103204"/>
    <x v="0"/>
    <x v="0"/>
    <x v="7"/>
    <n v="9136.34"/>
    <n v="0"/>
    <x v="3200"/>
    <x v="3"/>
    <s v="Cuenta Corriente"/>
    <s v="Tarjeta Débito"/>
    <s v="Pagado"/>
  </r>
  <r>
    <x v="69"/>
    <x v="10"/>
    <s v="TX-103205"/>
    <x v="17"/>
    <x v="0"/>
    <x v="1"/>
    <n v="1340.84"/>
    <n v="0"/>
    <x v="3201"/>
    <x v="3"/>
    <s v="Cuenta Corriente"/>
    <s v="Tarjeta Débito"/>
    <s v="Pendiente"/>
  </r>
  <r>
    <x v="204"/>
    <x v="7"/>
    <s v="TX-103206"/>
    <x v="9"/>
    <x v="0"/>
    <x v="7"/>
    <n v="1076.43"/>
    <n v="0"/>
    <x v="3202"/>
    <x v="0"/>
    <s v="Tarjeta Crédito Empresarial"/>
    <s v="Efectivo"/>
    <s v="Pagado"/>
  </r>
  <r>
    <x v="352"/>
    <x v="4"/>
    <s v="TX-103207"/>
    <x v="7"/>
    <x v="0"/>
    <x v="2"/>
    <n v="2825.31"/>
    <n v="0"/>
    <x v="3203"/>
    <x v="2"/>
    <s v="Cuenta Corriente"/>
    <s v="Transferencia"/>
    <s v="Pagado"/>
  </r>
  <r>
    <x v="271"/>
    <x v="5"/>
    <s v="TX-103208"/>
    <x v="0"/>
    <x v="1"/>
    <x v="2"/>
    <n v="13248.62"/>
    <n v="1722.32"/>
    <x v="3204"/>
    <x v="4"/>
    <s v="Tarjeta Crédito Empresarial"/>
    <s v="Transferencia"/>
    <s v="Pagado"/>
  </r>
  <r>
    <x v="208"/>
    <x v="2"/>
    <s v="TX-103209"/>
    <x v="1"/>
    <x v="0"/>
    <x v="4"/>
    <n v="8429.23"/>
    <n v="0"/>
    <x v="3205"/>
    <x v="0"/>
    <s v="Tarjeta Crédito Empresarial"/>
    <s v="Transferencia"/>
    <s v="Pagado"/>
  </r>
  <r>
    <x v="300"/>
    <x v="0"/>
    <s v="TX-103210"/>
    <x v="7"/>
    <x v="0"/>
    <x v="6"/>
    <n v="2408.86"/>
    <n v="0"/>
    <x v="3206"/>
    <x v="0"/>
    <s v="Cuenta Corriente"/>
    <s v="Transferencia"/>
    <s v="Pagado"/>
  </r>
  <r>
    <x v="262"/>
    <x v="10"/>
    <s v="TX-103211"/>
    <x v="5"/>
    <x v="1"/>
    <x v="6"/>
    <n v="5918.7"/>
    <n v="769.43"/>
    <x v="3207"/>
    <x v="4"/>
    <s v="Cuenta Corriente"/>
    <s v="Efectivo"/>
    <s v="Pagado"/>
  </r>
  <r>
    <x v="190"/>
    <x v="9"/>
    <s v="TX-103212"/>
    <x v="15"/>
    <x v="0"/>
    <x v="7"/>
    <n v="854.83"/>
    <n v="0"/>
    <x v="3208"/>
    <x v="3"/>
    <s v="Cuenta Ahorros"/>
    <s v="Transferencia"/>
    <s v="Pagado"/>
  </r>
  <r>
    <x v="137"/>
    <x v="11"/>
    <s v="TX-103213"/>
    <x v="11"/>
    <x v="1"/>
    <x v="2"/>
    <n v="13323.46"/>
    <n v="1732.05"/>
    <x v="3209"/>
    <x v="2"/>
    <s v="Cuenta Corriente"/>
    <s v="Tarjeta Crédito"/>
    <s v="Pagado"/>
  </r>
  <r>
    <x v="46"/>
    <x v="4"/>
    <s v="TX-103214"/>
    <x v="5"/>
    <x v="1"/>
    <x v="5"/>
    <n v="392.75"/>
    <n v="51.06"/>
    <x v="3210"/>
    <x v="2"/>
    <s v="Cuenta Ahorros"/>
    <s v="Tarjeta Crédito"/>
    <s v="Pendiente"/>
  </r>
  <r>
    <x v="15"/>
    <x v="8"/>
    <s v="TX-103215"/>
    <x v="6"/>
    <x v="1"/>
    <x v="4"/>
    <n v="13420.77"/>
    <n v="1744.7"/>
    <x v="3211"/>
    <x v="1"/>
    <s v="Cuenta Ahorros"/>
    <s v="Transferencia"/>
    <s v="Pendiente"/>
  </r>
  <r>
    <x v="146"/>
    <x v="6"/>
    <s v="TX-103216"/>
    <x v="8"/>
    <x v="1"/>
    <x v="6"/>
    <n v="10626.92"/>
    <n v="1381.5"/>
    <x v="3212"/>
    <x v="1"/>
    <s v="Cuenta Corriente"/>
    <s v="Tarjeta Débito"/>
    <s v="Pagado"/>
  </r>
  <r>
    <x v="327"/>
    <x v="7"/>
    <s v="TX-103217"/>
    <x v="12"/>
    <x v="1"/>
    <x v="3"/>
    <n v="440.16"/>
    <n v="57.22"/>
    <x v="3213"/>
    <x v="1"/>
    <s v="Tarjeta Crédito Empresarial"/>
    <s v="Transferencia"/>
    <s v="Pagado"/>
  </r>
  <r>
    <x v="153"/>
    <x v="10"/>
    <s v="TX-103218"/>
    <x v="3"/>
    <x v="0"/>
    <x v="1"/>
    <n v="14313.89"/>
    <n v="0"/>
    <x v="3214"/>
    <x v="0"/>
    <s v="Cuenta Ahorros"/>
    <s v="Tarjeta Débito"/>
    <s v="Pagado"/>
  </r>
  <r>
    <x v="69"/>
    <x v="10"/>
    <s v="TX-103219"/>
    <x v="7"/>
    <x v="0"/>
    <x v="1"/>
    <n v="254.28"/>
    <n v="0"/>
    <x v="3215"/>
    <x v="0"/>
    <s v="Cuenta Ahorros"/>
    <s v="Efectivo"/>
    <s v="Pendiente"/>
  </r>
  <r>
    <x v="9"/>
    <x v="4"/>
    <s v="TX-103220"/>
    <x v="2"/>
    <x v="1"/>
    <x v="5"/>
    <n v="14802.88"/>
    <n v="1924.37"/>
    <x v="3216"/>
    <x v="4"/>
    <s v="Tarjeta Crédito Empresarial"/>
    <s v="Efectivo"/>
    <s v="Pagado"/>
  </r>
  <r>
    <x v="331"/>
    <x v="1"/>
    <s v="TX-103221"/>
    <x v="6"/>
    <x v="1"/>
    <x v="6"/>
    <n v="7867.58"/>
    <n v="1022.79"/>
    <x v="3217"/>
    <x v="3"/>
    <s v="Tarjeta Crédito Empresarial"/>
    <s v="Efectivo"/>
    <s v="Pagado"/>
  </r>
  <r>
    <x v="355"/>
    <x v="7"/>
    <s v="TX-103222"/>
    <x v="10"/>
    <x v="0"/>
    <x v="0"/>
    <n v="3782.23"/>
    <n v="0"/>
    <x v="3218"/>
    <x v="2"/>
    <s v="Cuenta Corriente"/>
    <s v="Transferencia"/>
    <s v="Pendiente"/>
  </r>
  <r>
    <x v="241"/>
    <x v="5"/>
    <s v="TX-103223"/>
    <x v="4"/>
    <x v="0"/>
    <x v="4"/>
    <n v="4315.45"/>
    <n v="0"/>
    <x v="3219"/>
    <x v="0"/>
    <s v="Tarjeta Crédito Empresarial"/>
    <s v="Tarjeta Débito"/>
    <s v="Pagado"/>
  </r>
  <r>
    <x v="136"/>
    <x v="11"/>
    <s v="TX-103224"/>
    <x v="6"/>
    <x v="0"/>
    <x v="1"/>
    <n v="12618.91"/>
    <n v="0"/>
    <x v="3220"/>
    <x v="4"/>
    <s v="Cuenta Corriente"/>
    <s v="Tarjeta Crédito"/>
    <s v="Pagado"/>
  </r>
  <r>
    <x v="159"/>
    <x v="0"/>
    <s v="TX-103225"/>
    <x v="4"/>
    <x v="0"/>
    <x v="4"/>
    <n v="5373.26"/>
    <n v="0"/>
    <x v="3221"/>
    <x v="4"/>
    <s v="Tarjeta Crédito Empresarial"/>
    <s v="Transferencia"/>
    <s v="Pendiente"/>
  </r>
  <r>
    <x v="26"/>
    <x v="7"/>
    <s v="TX-103226"/>
    <x v="5"/>
    <x v="0"/>
    <x v="5"/>
    <n v="11685.37"/>
    <n v="0"/>
    <x v="3222"/>
    <x v="1"/>
    <s v="Cuenta Ahorros"/>
    <s v="Tarjeta Débito"/>
    <s v="Pendiente"/>
  </r>
  <r>
    <x v="322"/>
    <x v="11"/>
    <s v="TX-103227"/>
    <x v="15"/>
    <x v="1"/>
    <x v="5"/>
    <n v="14295.07"/>
    <n v="1858.36"/>
    <x v="3223"/>
    <x v="3"/>
    <s v="Cuenta Corriente"/>
    <s v="Tarjeta Crédito"/>
    <s v="Pagado"/>
  </r>
  <r>
    <x v="222"/>
    <x v="3"/>
    <s v="TX-103228"/>
    <x v="17"/>
    <x v="0"/>
    <x v="6"/>
    <n v="7807.28"/>
    <n v="0"/>
    <x v="3224"/>
    <x v="1"/>
    <s v="Cuenta Ahorros"/>
    <s v="Efectivo"/>
    <s v="Pendiente"/>
  </r>
  <r>
    <x v="234"/>
    <x v="0"/>
    <s v="TX-103229"/>
    <x v="18"/>
    <x v="0"/>
    <x v="0"/>
    <n v="7391.85"/>
    <n v="0"/>
    <x v="3225"/>
    <x v="4"/>
    <s v="Cuenta Corriente"/>
    <s v="Efectivo"/>
    <s v="Pagado"/>
  </r>
  <r>
    <x v="259"/>
    <x v="10"/>
    <s v="TX-103230"/>
    <x v="6"/>
    <x v="0"/>
    <x v="6"/>
    <n v="13359.41"/>
    <n v="0"/>
    <x v="3226"/>
    <x v="1"/>
    <s v="Cuenta Ahorros"/>
    <s v="Efectivo"/>
    <s v="Pagado"/>
  </r>
  <r>
    <x v="0"/>
    <x v="0"/>
    <s v="TX-103231"/>
    <x v="9"/>
    <x v="0"/>
    <x v="4"/>
    <n v="122.82"/>
    <n v="0"/>
    <x v="3227"/>
    <x v="3"/>
    <s v="Tarjeta Crédito Empresarial"/>
    <s v="Tarjeta Crédito"/>
    <s v="Pendiente"/>
  </r>
  <r>
    <x v="334"/>
    <x v="5"/>
    <s v="TX-103232"/>
    <x v="3"/>
    <x v="0"/>
    <x v="5"/>
    <n v="8183.55"/>
    <n v="0"/>
    <x v="3228"/>
    <x v="2"/>
    <s v="Tarjeta Crédito Empresarial"/>
    <s v="Tarjeta Débito"/>
    <s v="Pendiente"/>
  </r>
  <r>
    <x v="14"/>
    <x v="9"/>
    <s v="TX-103233"/>
    <x v="1"/>
    <x v="0"/>
    <x v="3"/>
    <n v="1818.03"/>
    <n v="0"/>
    <x v="3229"/>
    <x v="1"/>
    <s v="Cuenta Corriente"/>
    <s v="Tarjeta Débito"/>
    <s v="Pendiente"/>
  </r>
  <r>
    <x v="265"/>
    <x v="1"/>
    <s v="TX-103234"/>
    <x v="1"/>
    <x v="1"/>
    <x v="3"/>
    <n v="11240.31"/>
    <n v="1461.24"/>
    <x v="3230"/>
    <x v="2"/>
    <s v="Cuenta Ahorros"/>
    <s v="Tarjeta Crédito"/>
    <s v="Pendiente"/>
  </r>
  <r>
    <x v="307"/>
    <x v="11"/>
    <s v="TX-103235"/>
    <x v="8"/>
    <x v="0"/>
    <x v="5"/>
    <n v="11135.7"/>
    <n v="0"/>
    <x v="3231"/>
    <x v="4"/>
    <s v="Cuenta Ahorros"/>
    <s v="Tarjeta Crédito"/>
    <s v="Pagado"/>
  </r>
  <r>
    <x v="110"/>
    <x v="7"/>
    <s v="TX-103236"/>
    <x v="13"/>
    <x v="1"/>
    <x v="4"/>
    <n v="12113.97"/>
    <n v="1574.82"/>
    <x v="3232"/>
    <x v="2"/>
    <s v="Tarjeta Crédito Empresarial"/>
    <s v="Tarjeta Crédito"/>
    <s v="Pendiente"/>
  </r>
  <r>
    <x v="284"/>
    <x v="1"/>
    <s v="TX-103237"/>
    <x v="8"/>
    <x v="0"/>
    <x v="3"/>
    <n v="11829.54"/>
    <n v="0"/>
    <x v="3233"/>
    <x v="3"/>
    <s v="Cuenta Corriente"/>
    <s v="Transferencia"/>
    <s v="Pagado"/>
  </r>
  <r>
    <x v="261"/>
    <x v="2"/>
    <s v="TX-103238"/>
    <x v="19"/>
    <x v="0"/>
    <x v="5"/>
    <n v="2325.21"/>
    <n v="0"/>
    <x v="3234"/>
    <x v="4"/>
    <s v="Tarjeta Crédito Empresarial"/>
    <s v="Efectivo"/>
    <s v="Pendiente"/>
  </r>
  <r>
    <x v="353"/>
    <x v="7"/>
    <s v="TX-103239"/>
    <x v="16"/>
    <x v="1"/>
    <x v="7"/>
    <n v="11168.98"/>
    <n v="1451.97"/>
    <x v="3235"/>
    <x v="1"/>
    <s v="Tarjeta Crédito Empresarial"/>
    <s v="Tarjeta Débito"/>
    <s v="Pendiente"/>
  </r>
  <r>
    <x v="25"/>
    <x v="10"/>
    <s v="TX-103240"/>
    <x v="19"/>
    <x v="0"/>
    <x v="7"/>
    <n v="371.07"/>
    <n v="0"/>
    <x v="3236"/>
    <x v="4"/>
    <s v="Cuenta Ahorros"/>
    <s v="Transferencia"/>
    <s v="Pagado"/>
  </r>
  <r>
    <x v="81"/>
    <x v="3"/>
    <s v="TX-103241"/>
    <x v="8"/>
    <x v="1"/>
    <x v="2"/>
    <n v="1091.02"/>
    <n v="141.83000000000001"/>
    <x v="3237"/>
    <x v="2"/>
    <s v="Cuenta Corriente"/>
    <s v="Tarjeta Débito"/>
    <s v="Pendiente"/>
  </r>
  <r>
    <x v="19"/>
    <x v="8"/>
    <s v="TX-103242"/>
    <x v="4"/>
    <x v="0"/>
    <x v="0"/>
    <n v="13080.5"/>
    <n v="0"/>
    <x v="3238"/>
    <x v="1"/>
    <s v="Cuenta Corriente"/>
    <s v="Transferencia"/>
    <s v="Pendiente"/>
  </r>
  <r>
    <x v="40"/>
    <x v="2"/>
    <s v="TX-103243"/>
    <x v="6"/>
    <x v="0"/>
    <x v="6"/>
    <n v="13150.28"/>
    <n v="0"/>
    <x v="3239"/>
    <x v="2"/>
    <s v="Cuenta Corriente"/>
    <s v="Tarjeta Crédito"/>
    <s v="Pendiente"/>
  </r>
  <r>
    <x v="4"/>
    <x v="4"/>
    <s v="TX-103244"/>
    <x v="2"/>
    <x v="0"/>
    <x v="3"/>
    <n v="8662.36"/>
    <n v="0"/>
    <x v="3240"/>
    <x v="4"/>
    <s v="Cuenta Corriente"/>
    <s v="Efectivo"/>
    <s v="Pendiente"/>
  </r>
  <r>
    <x v="332"/>
    <x v="1"/>
    <s v="TX-103245"/>
    <x v="16"/>
    <x v="0"/>
    <x v="6"/>
    <n v="2569.91"/>
    <n v="0"/>
    <x v="3241"/>
    <x v="3"/>
    <s v="Cuenta Corriente"/>
    <s v="Efectivo"/>
    <s v="Pagado"/>
  </r>
  <r>
    <x v="52"/>
    <x v="5"/>
    <s v="TX-103246"/>
    <x v="12"/>
    <x v="0"/>
    <x v="4"/>
    <n v="6941.31"/>
    <n v="0"/>
    <x v="3242"/>
    <x v="2"/>
    <s v="Tarjeta Crédito Empresarial"/>
    <s v="Tarjeta Crédito"/>
    <s v="Pagado"/>
  </r>
  <r>
    <x v="191"/>
    <x v="10"/>
    <s v="TX-103247"/>
    <x v="3"/>
    <x v="1"/>
    <x v="3"/>
    <n v="10688.4"/>
    <n v="1389.49"/>
    <x v="3243"/>
    <x v="4"/>
    <s v="Cuenta Corriente"/>
    <s v="Efectivo"/>
    <s v="Pendiente"/>
  </r>
  <r>
    <x v="183"/>
    <x v="1"/>
    <s v="TX-103248"/>
    <x v="18"/>
    <x v="1"/>
    <x v="1"/>
    <n v="1402.94"/>
    <n v="182.38"/>
    <x v="3244"/>
    <x v="1"/>
    <s v="Tarjeta Crédito Empresarial"/>
    <s v="Transferencia"/>
    <s v="Pagado"/>
  </r>
  <r>
    <x v="352"/>
    <x v="4"/>
    <s v="TX-103249"/>
    <x v="8"/>
    <x v="0"/>
    <x v="3"/>
    <n v="14282.98"/>
    <n v="0"/>
    <x v="3245"/>
    <x v="3"/>
    <s v="Cuenta Ahorros"/>
    <s v="Tarjeta Crédito"/>
    <s v="Pendiente"/>
  </r>
  <r>
    <x v="280"/>
    <x v="9"/>
    <s v="TX-103250"/>
    <x v="9"/>
    <x v="1"/>
    <x v="0"/>
    <n v="4735.0200000000004"/>
    <n v="615.54999999999995"/>
    <x v="3246"/>
    <x v="4"/>
    <s v="Tarjeta Crédito Empresarial"/>
    <s v="Tarjeta Débito"/>
    <s v="Pagado"/>
  </r>
  <r>
    <x v="254"/>
    <x v="5"/>
    <s v="TX-103251"/>
    <x v="16"/>
    <x v="0"/>
    <x v="6"/>
    <n v="12898.71"/>
    <n v="0"/>
    <x v="3247"/>
    <x v="1"/>
    <s v="Tarjeta Crédito Empresarial"/>
    <s v="Transferencia"/>
    <s v="Pagado"/>
  </r>
  <r>
    <x v="290"/>
    <x v="6"/>
    <s v="TX-103252"/>
    <x v="14"/>
    <x v="0"/>
    <x v="6"/>
    <n v="5706.44"/>
    <n v="0"/>
    <x v="3248"/>
    <x v="1"/>
    <s v="Tarjeta Crédito Empresarial"/>
    <s v="Efectivo"/>
    <s v="Pagado"/>
  </r>
  <r>
    <x v="11"/>
    <x v="8"/>
    <s v="TX-103253"/>
    <x v="3"/>
    <x v="1"/>
    <x v="2"/>
    <n v="12545.09"/>
    <n v="1630.86"/>
    <x v="3249"/>
    <x v="3"/>
    <s v="Tarjeta Crédito Empresarial"/>
    <s v="Tarjeta Crédito"/>
    <s v="Pagado"/>
  </r>
  <r>
    <x v="323"/>
    <x v="2"/>
    <s v="TX-103254"/>
    <x v="6"/>
    <x v="1"/>
    <x v="2"/>
    <n v="14833.24"/>
    <n v="1928.32"/>
    <x v="3250"/>
    <x v="3"/>
    <s v="Cuenta Ahorros"/>
    <s v="Efectivo"/>
    <s v="Pendiente"/>
  </r>
  <r>
    <x v="145"/>
    <x v="11"/>
    <s v="TX-103255"/>
    <x v="7"/>
    <x v="1"/>
    <x v="2"/>
    <n v="14990.41"/>
    <n v="1948.75"/>
    <x v="3251"/>
    <x v="4"/>
    <s v="Cuenta Corriente"/>
    <s v="Efectivo"/>
    <s v="Pendiente"/>
  </r>
  <r>
    <x v="16"/>
    <x v="5"/>
    <s v="TX-103256"/>
    <x v="16"/>
    <x v="0"/>
    <x v="7"/>
    <n v="3232.64"/>
    <n v="0"/>
    <x v="3252"/>
    <x v="0"/>
    <s v="Tarjeta Crédito Empresarial"/>
    <s v="Tarjeta Crédito"/>
    <s v="Pagado"/>
  </r>
  <r>
    <x v="328"/>
    <x v="11"/>
    <s v="TX-103257"/>
    <x v="6"/>
    <x v="0"/>
    <x v="4"/>
    <n v="8415.5400000000009"/>
    <n v="0"/>
    <x v="3253"/>
    <x v="1"/>
    <s v="Cuenta Corriente"/>
    <s v="Transferencia"/>
    <s v="Pendiente"/>
  </r>
  <r>
    <x v="269"/>
    <x v="0"/>
    <s v="TX-103258"/>
    <x v="14"/>
    <x v="0"/>
    <x v="0"/>
    <n v="2630.1"/>
    <n v="0"/>
    <x v="3254"/>
    <x v="4"/>
    <s v="Cuenta Corriente"/>
    <s v="Transferencia"/>
    <s v="Pagado"/>
  </r>
  <r>
    <x v="41"/>
    <x v="5"/>
    <s v="TX-103259"/>
    <x v="15"/>
    <x v="0"/>
    <x v="1"/>
    <n v="9236.85"/>
    <n v="0"/>
    <x v="3255"/>
    <x v="1"/>
    <s v="Cuenta Ahorros"/>
    <s v="Transferencia"/>
    <s v="Pagado"/>
  </r>
  <r>
    <x v="127"/>
    <x v="6"/>
    <s v="TX-103260"/>
    <x v="8"/>
    <x v="1"/>
    <x v="0"/>
    <n v="12442.72"/>
    <n v="1617.55"/>
    <x v="3256"/>
    <x v="2"/>
    <s v="Cuenta Ahorros"/>
    <s v="Transferencia"/>
    <s v="Pendiente"/>
  </r>
  <r>
    <x v="220"/>
    <x v="1"/>
    <s v="TX-103261"/>
    <x v="7"/>
    <x v="1"/>
    <x v="2"/>
    <n v="11539.61"/>
    <n v="1500.15"/>
    <x v="3257"/>
    <x v="3"/>
    <s v="Cuenta Corriente"/>
    <s v="Efectivo"/>
    <s v="Pagado"/>
  </r>
  <r>
    <x v="361"/>
    <x v="0"/>
    <s v="TX-103262"/>
    <x v="6"/>
    <x v="1"/>
    <x v="0"/>
    <n v="7336.9"/>
    <n v="953.8"/>
    <x v="3258"/>
    <x v="0"/>
    <s v="Tarjeta Crédito Empresarial"/>
    <s v="Efectivo"/>
    <s v="Pendiente"/>
  </r>
  <r>
    <x v="334"/>
    <x v="5"/>
    <s v="TX-103263"/>
    <x v="14"/>
    <x v="1"/>
    <x v="7"/>
    <n v="12018.2"/>
    <n v="1562.37"/>
    <x v="3259"/>
    <x v="3"/>
    <s v="Tarjeta Crédito Empresarial"/>
    <s v="Tarjeta Débito"/>
    <s v="Pendiente"/>
  </r>
  <r>
    <x v="139"/>
    <x v="9"/>
    <s v="TX-103264"/>
    <x v="2"/>
    <x v="1"/>
    <x v="3"/>
    <n v="7401.03"/>
    <n v="962.13"/>
    <x v="3260"/>
    <x v="0"/>
    <s v="Cuenta Ahorros"/>
    <s v="Efectivo"/>
    <s v="Pagado"/>
  </r>
  <r>
    <x v="315"/>
    <x v="5"/>
    <s v="TX-103265"/>
    <x v="8"/>
    <x v="1"/>
    <x v="7"/>
    <n v="11986.73"/>
    <n v="1558.27"/>
    <x v="3261"/>
    <x v="2"/>
    <s v="Cuenta Ahorros"/>
    <s v="Efectivo"/>
    <s v="Pendiente"/>
  </r>
  <r>
    <x v="359"/>
    <x v="5"/>
    <s v="TX-103266"/>
    <x v="16"/>
    <x v="0"/>
    <x v="7"/>
    <n v="5957.75"/>
    <n v="0"/>
    <x v="3262"/>
    <x v="2"/>
    <s v="Cuenta Corriente"/>
    <s v="Tarjeta Débito"/>
    <s v="Pagado"/>
  </r>
  <r>
    <x v="280"/>
    <x v="9"/>
    <s v="TX-103267"/>
    <x v="2"/>
    <x v="0"/>
    <x v="7"/>
    <n v="7175.6"/>
    <n v="0"/>
    <x v="3263"/>
    <x v="3"/>
    <s v="Cuenta Corriente"/>
    <s v="Tarjeta Débito"/>
    <s v="Pendiente"/>
  </r>
  <r>
    <x v="211"/>
    <x v="7"/>
    <s v="TX-103268"/>
    <x v="16"/>
    <x v="1"/>
    <x v="1"/>
    <n v="2829.24"/>
    <n v="367.8"/>
    <x v="3264"/>
    <x v="1"/>
    <s v="Tarjeta Crédito Empresarial"/>
    <s v="Tarjeta Débito"/>
    <s v="Pagado"/>
  </r>
  <r>
    <x v="318"/>
    <x v="3"/>
    <s v="TX-103269"/>
    <x v="14"/>
    <x v="0"/>
    <x v="4"/>
    <n v="5212.43"/>
    <n v="0"/>
    <x v="3265"/>
    <x v="1"/>
    <s v="Cuenta Corriente"/>
    <s v="Tarjeta Débito"/>
    <s v="Pagado"/>
  </r>
  <r>
    <x v="36"/>
    <x v="7"/>
    <s v="TX-103270"/>
    <x v="6"/>
    <x v="0"/>
    <x v="1"/>
    <n v="10999.99"/>
    <n v="0"/>
    <x v="3266"/>
    <x v="2"/>
    <s v="Cuenta Corriente"/>
    <s v="Efectivo"/>
    <s v="Pendiente"/>
  </r>
  <r>
    <x v="137"/>
    <x v="11"/>
    <s v="TX-103271"/>
    <x v="14"/>
    <x v="0"/>
    <x v="7"/>
    <n v="6025.7"/>
    <n v="0"/>
    <x v="3267"/>
    <x v="2"/>
    <s v="Cuenta Corriente"/>
    <s v="Tarjeta Débito"/>
    <s v="Pendiente"/>
  </r>
  <r>
    <x v="3"/>
    <x v="3"/>
    <s v="TX-103272"/>
    <x v="6"/>
    <x v="1"/>
    <x v="1"/>
    <n v="10815.82"/>
    <n v="1406.06"/>
    <x v="3268"/>
    <x v="4"/>
    <s v="Cuenta Ahorros"/>
    <s v="Efectivo"/>
    <s v="Pagado"/>
  </r>
  <r>
    <x v="260"/>
    <x v="4"/>
    <s v="TX-103273"/>
    <x v="14"/>
    <x v="0"/>
    <x v="3"/>
    <n v="3496.69"/>
    <n v="0"/>
    <x v="3269"/>
    <x v="4"/>
    <s v="Cuenta Corriente"/>
    <s v="Tarjeta Crédito"/>
    <s v="Pendiente"/>
  </r>
  <r>
    <x v="197"/>
    <x v="7"/>
    <s v="TX-103274"/>
    <x v="11"/>
    <x v="1"/>
    <x v="7"/>
    <n v="2140.1999999999998"/>
    <n v="278.23"/>
    <x v="3270"/>
    <x v="1"/>
    <s v="Tarjeta Crédito Empresarial"/>
    <s v="Tarjeta Débito"/>
    <s v="Pagado"/>
  </r>
  <r>
    <x v="347"/>
    <x v="7"/>
    <s v="TX-103275"/>
    <x v="2"/>
    <x v="1"/>
    <x v="2"/>
    <n v="578.41"/>
    <n v="75.19"/>
    <x v="3271"/>
    <x v="1"/>
    <s v="Tarjeta Crédito Empresarial"/>
    <s v="Transferencia"/>
    <s v="Pagado"/>
  </r>
  <r>
    <x v="217"/>
    <x v="1"/>
    <s v="TX-103276"/>
    <x v="16"/>
    <x v="1"/>
    <x v="4"/>
    <n v="14037.3"/>
    <n v="1824.85"/>
    <x v="3272"/>
    <x v="4"/>
    <s v="Tarjeta Crédito Empresarial"/>
    <s v="Efectivo"/>
    <s v="Pagado"/>
  </r>
  <r>
    <x v="327"/>
    <x v="7"/>
    <s v="TX-103277"/>
    <x v="12"/>
    <x v="1"/>
    <x v="0"/>
    <n v="13308.99"/>
    <n v="1730.17"/>
    <x v="3273"/>
    <x v="3"/>
    <s v="Tarjeta Crédito Empresarial"/>
    <s v="Tarjeta Débito"/>
    <s v="Pendiente"/>
  </r>
  <r>
    <x v="196"/>
    <x v="11"/>
    <s v="TX-103278"/>
    <x v="7"/>
    <x v="1"/>
    <x v="5"/>
    <n v="5432.71"/>
    <n v="706.25"/>
    <x v="3274"/>
    <x v="0"/>
    <s v="Tarjeta Crédito Empresarial"/>
    <s v="Transferencia"/>
    <s v="Pendiente"/>
  </r>
  <r>
    <x v="229"/>
    <x v="5"/>
    <s v="TX-103279"/>
    <x v="12"/>
    <x v="0"/>
    <x v="2"/>
    <n v="8907"/>
    <n v="0"/>
    <x v="3275"/>
    <x v="2"/>
    <s v="Tarjeta Crédito Empresarial"/>
    <s v="Transferencia"/>
    <s v="Pendiente"/>
  </r>
  <r>
    <x v="146"/>
    <x v="6"/>
    <s v="TX-103280"/>
    <x v="2"/>
    <x v="0"/>
    <x v="1"/>
    <n v="13410"/>
    <n v="0"/>
    <x v="3276"/>
    <x v="1"/>
    <s v="Cuenta Ahorros"/>
    <s v="Tarjeta Crédito"/>
    <s v="Pendiente"/>
  </r>
  <r>
    <x v="41"/>
    <x v="5"/>
    <s v="TX-103281"/>
    <x v="17"/>
    <x v="1"/>
    <x v="2"/>
    <n v="5546.35"/>
    <n v="721.03"/>
    <x v="3277"/>
    <x v="0"/>
    <s v="Cuenta Corriente"/>
    <s v="Efectivo"/>
    <s v="Pagado"/>
  </r>
  <r>
    <x v="268"/>
    <x v="2"/>
    <s v="TX-103282"/>
    <x v="17"/>
    <x v="1"/>
    <x v="6"/>
    <n v="3133.57"/>
    <n v="407.36"/>
    <x v="3278"/>
    <x v="1"/>
    <s v="Cuenta Corriente"/>
    <s v="Efectivo"/>
    <s v="Pendiente"/>
  </r>
  <r>
    <x v="112"/>
    <x v="10"/>
    <s v="TX-103283"/>
    <x v="9"/>
    <x v="1"/>
    <x v="0"/>
    <n v="9553.11"/>
    <n v="1241.9000000000001"/>
    <x v="3279"/>
    <x v="3"/>
    <s v="Cuenta Corriente"/>
    <s v="Efectivo"/>
    <s v="Pendiente"/>
  </r>
  <r>
    <x v="282"/>
    <x v="2"/>
    <s v="TX-103284"/>
    <x v="5"/>
    <x v="1"/>
    <x v="6"/>
    <n v="391.72"/>
    <n v="50.92"/>
    <x v="3280"/>
    <x v="3"/>
    <s v="Tarjeta Crédito Empresarial"/>
    <s v="Tarjeta Crédito"/>
    <s v="Pendiente"/>
  </r>
  <r>
    <x v="251"/>
    <x v="1"/>
    <s v="TX-103285"/>
    <x v="8"/>
    <x v="1"/>
    <x v="1"/>
    <n v="1960.11"/>
    <n v="254.81"/>
    <x v="3281"/>
    <x v="1"/>
    <s v="Cuenta Ahorros"/>
    <s v="Efectivo"/>
    <s v="Pendiente"/>
  </r>
  <r>
    <x v="328"/>
    <x v="11"/>
    <s v="TX-103286"/>
    <x v="15"/>
    <x v="0"/>
    <x v="0"/>
    <n v="14857.48"/>
    <n v="0"/>
    <x v="3282"/>
    <x v="1"/>
    <s v="Cuenta Ahorros"/>
    <s v="Transferencia"/>
    <s v="Pendiente"/>
  </r>
  <r>
    <x v="234"/>
    <x v="0"/>
    <s v="TX-103287"/>
    <x v="12"/>
    <x v="1"/>
    <x v="6"/>
    <n v="10876.18"/>
    <n v="1413.9"/>
    <x v="3283"/>
    <x v="3"/>
    <s v="Cuenta Corriente"/>
    <s v="Tarjeta Crédito"/>
    <s v="Pagado"/>
  </r>
  <r>
    <x v="0"/>
    <x v="0"/>
    <s v="TX-103288"/>
    <x v="16"/>
    <x v="0"/>
    <x v="3"/>
    <n v="2575"/>
    <n v="0"/>
    <x v="3284"/>
    <x v="2"/>
    <s v="Cuenta Ahorros"/>
    <s v="Efectivo"/>
    <s v="Pagado"/>
  </r>
  <r>
    <x v="72"/>
    <x v="6"/>
    <s v="TX-103289"/>
    <x v="17"/>
    <x v="1"/>
    <x v="3"/>
    <n v="3456.39"/>
    <n v="449.33"/>
    <x v="3285"/>
    <x v="2"/>
    <s v="Tarjeta Crédito Empresarial"/>
    <s v="Tarjeta Crédito"/>
    <s v="Pendiente"/>
  </r>
  <r>
    <x v="47"/>
    <x v="4"/>
    <s v="TX-103290"/>
    <x v="5"/>
    <x v="0"/>
    <x v="6"/>
    <n v="11828.73"/>
    <n v="0"/>
    <x v="3286"/>
    <x v="1"/>
    <s v="Cuenta Ahorros"/>
    <s v="Efectivo"/>
    <s v="Pendiente"/>
  </r>
  <r>
    <x v="257"/>
    <x v="7"/>
    <s v="TX-103291"/>
    <x v="1"/>
    <x v="0"/>
    <x v="1"/>
    <n v="7727.54"/>
    <n v="0"/>
    <x v="3287"/>
    <x v="3"/>
    <s v="Cuenta Corriente"/>
    <s v="Tarjeta Débito"/>
    <s v="Pagado"/>
  </r>
  <r>
    <x v="54"/>
    <x v="3"/>
    <s v="TX-103292"/>
    <x v="14"/>
    <x v="0"/>
    <x v="0"/>
    <n v="5733.53"/>
    <n v="0"/>
    <x v="3288"/>
    <x v="4"/>
    <s v="Tarjeta Crédito Empresarial"/>
    <s v="Tarjeta Débito"/>
    <s v="Pendiente"/>
  </r>
  <r>
    <x v="142"/>
    <x v="7"/>
    <s v="TX-103293"/>
    <x v="13"/>
    <x v="1"/>
    <x v="5"/>
    <n v="2591.6799999999998"/>
    <n v="336.92"/>
    <x v="3289"/>
    <x v="2"/>
    <s v="Tarjeta Crédito Empresarial"/>
    <s v="Efectivo"/>
    <s v="Pendiente"/>
  </r>
  <r>
    <x v="122"/>
    <x v="1"/>
    <s v="TX-103294"/>
    <x v="19"/>
    <x v="1"/>
    <x v="3"/>
    <n v="10029.6"/>
    <n v="1303.8499999999999"/>
    <x v="3290"/>
    <x v="3"/>
    <s v="Tarjeta Crédito Empresarial"/>
    <s v="Transferencia"/>
    <s v="Pagado"/>
  </r>
  <r>
    <x v="265"/>
    <x v="1"/>
    <s v="TX-103295"/>
    <x v="9"/>
    <x v="0"/>
    <x v="3"/>
    <n v="10813.96"/>
    <n v="0"/>
    <x v="3291"/>
    <x v="1"/>
    <s v="Cuenta Corriente"/>
    <s v="Tarjeta Débito"/>
    <s v="Pendiente"/>
  </r>
  <r>
    <x v="143"/>
    <x v="11"/>
    <s v="TX-103296"/>
    <x v="17"/>
    <x v="0"/>
    <x v="0"/>
    <n v="9983.8799999999992"/>
    <n v="0"/>
    <x v="3292"/>
    <x v="2"/>
    <s v="Tarjeta Crédito Empresarial"/>
    <s v="Tarjeta Crédito"/>
    <s v="Pendiente"/>
  </r>
  <r>
    <x v="155"/>
    <x v="6"/>
    <s v="TX-103297"/>
    <x v="6"/>
    <x v="0"/>
    <x v="1"/>
    <n v="11814.04"/>
    <n v="0"/>
    <x v="3293"/>
    <x v="3"/>
    <s v="Tarjeta Crédito Empresarial"/>
    <s v="Tarjeta Débito"/>
    <s v="Pendiente"/>
  </r>
  <r>
    <x v="164"/>
    <x v="10"/>
    <s v="TX-103298"/>
    <x v="15"/>
    <x v="0"/>
    <x v="6"/>
    <n v="9595.58"/>
    <n v="0"/>
    <x v="3294"/>
    <x v="3"/>
    <s v="Cuenta Corriente"/>
    <s v="Tarjeta Crédito"/>
    <s v="Pendiente"/>
  </r>
  <r>
    <x v="259"/>
    <x v="10"/>
    <s v="TX-103299"/>
    <x v="12"/>
    <x v="0"/>
    <x v="3"/>
    <n v="6558.17"/>
    <n v="0"/>
    <x v="3295"/>
    <x v="2"/>
    <s v="Cuenta Ahorros"/>
    <s v="Efectivo"/>
    <s v="Pagado"/>
  </r>
  <r>
    <x v="337"/>
    <x v="5"/>
    <s v="TX-103300"/>
    <x v="11"/>
    <x v="0"/>
    <x v="1"/>
    <n v="11175.79"/>
    <n v="0"/>
    <x v="3296"/>
    <x v="2"/>
    <s v="Cuenta Corriente"/>
    <s v="Transferencia"/>
    <s v="Pendiente"/>
  </r>
  <r>
    <x v="67"/>
    <x v="8"/>
    <s v="TX-103301"/>
    <x v="7"/>
    <x v="0"/>
    <x v="2"/>
    <n v="8319.23"/>
    <n v="0"/>
    <x v="3297"/>
    <x v="0"/>
    <s v="Cuenta Ahorros"/>
    <s v="Efectivo"/>
    <s v="Pendiente"/>
  </r>
  <r>
    <x v="68"/>
    <x v="4"/>
    <s v="TX-103302"/>
    <x v="19"/>
    <x v="1"/>
    <x v="7"/>
    <n v="4137.91"/>
    <n v="537.92999999999995"/>
    <x v="3298"/>
    <x v="2"/>
    <s v="Cuenta Corriente"/>
    <s v="Efectivo"/>
    <s v="Pendiente"/>
  </r>
  <r>
    <x v="200"/>
    <x v="9"/>
    <s v="TX-103303"/>
    <x v="11"/>
    <x v="1"/>
    <x v="3"/>
    <n v="2408.25"/>
    <n v="313.07"/>
    <x v="3299"/>
    <x v="3"/>
    <s v="Cuenta Corriente"/>
    <s v="Tarjeta Débito"/>
    <s v="Pagado"/>
  </r>
  <r>
    <x v="273"/>
    <x v="7"/>
    <s v="TX-103304"/>
    <x v="17"/>
    <x v="0"/>
    <x v="5"/>
    <n v="4015"/>
    <n v="0"/>
    <x v="3300"/>
    <x v="2"/>
    <s v="Cuenta Corriente"/>
    <s v="Tarjeta Crédito"/>
    <s v="Pendiente"/>
  </r>
  <r>
    <x v="252"/>
    <x v="7"/>
    <s v="TX-103305"/>
    <x v="2"/>
    <x v="0"/>
    <x v="5"/>
    <n v="14951.35"/>
    <n v="0"/>
    <x v="3301"/>
    <x v="3"/>
    <s v="Tarjeta Crédito Empresarial"/>
    <s v="Tarjeta Crédito"/>
    <s v="Pendiente"/>
  </r>
  <r>
    <x v="246"/>
    <x v="10"/>
    <s v="TX-103306"/>
    <x v="5"/>
    <x v="0"/>
    <x v="2"/>
    <n v="126.38"/>
    <n v="0"/>
    <x v="3302"/>
    <x v="3"/>
    <s v="Cuenta Corriente"/>
    <s v="Tarjeta Crédito"/>
    <s v="Pendiente"/>
  </r>
  <r>
    <x v="190"/>
    <x v="9"/>
    <s v="TX-103307"/>
    <x v="2"/>
    <x v="0"/>
    <x v="3"/>
    <n v="6436.14"/>
    <n v="0"/>
    <x v="3303"/>
    <x v="0"/>
    <s v="Cuenta Corriente"/>
    <s v="Tarjeta Débito"/>
    <s v="Pendiente"/>
  </r>
  <r>
    <x v="163"/>
    <x v="10"/>
    <s v="TX-103308"/>
    <x v="17"/>
    <x v="0"/>
    <x v="4"/>
    <n v="6920.36"/>
    <n v="0"/>
    <x v="3304"/>
    <x v="3"/>
    <s v="Tarjeta Crédito Empresarial"/>
    <s v="Transferencia"/>
    <s v="Pendiente"/>
  </r>
  <r>
    <x v="125"/>
    <x v="1"/>
    <s v="TX-103309"/>
    <x v="14"/>
    <x v="1"/>
    <x v="2"/>
    <n v="12196.72"/>
    <n v="1585.57"/>
    <x v="3305"/>
    <x v="4"/>
    <s v="Tarjeta Crédito Empresarial"/>
    <s v="Efectivo"/>
    <s v="Pendiente"/>
  </r>
  <r>
    <x v="7"/>
    <x v="6"/>
    <s v="TX-103310"/>
    <x v="4"/>
    <x v="0"/>
    <x v="2"/>
    <n v="9595.18"/>
    <n v="0"/>
    <x v="3306"/>
    <x v="3"/>
    <s v="Cuenta Corriente"/>
    <s v="Tarjeta Crédito"/>
    <s v="Pagado"/>
  </r>
  <r>
    <x v="202"/>
    <x v="2"/>
    <s v="TX-103311"/>
    <x v="4"/>
    <x v="1"/>
    <x v="0"/>
    <n v="3289.29"/>
    <n v="427.61"/>
    <x v="3307"/>
    <x v="0"/>
    <s v="Cuenta Ahorros"/>
    <s v="Efectivo"/>
    <s v="Pagado"/>
  </r>
  <r>
    <x v="1"/>
    <x v="1"/>
    <s v="TX-103312"/>
    <x v="5"/>
    <x v="0"/>
    <x v="6"/>
    <n v="11250.66"/>
    <n v="0"/>
    <x v="3308"/>
    <x v="4"/>
    <s v="Tarjeta Crédito Empresarial"/>
    <s v="Tarjeta Crédito"/>
    <s v="Pendiente"/>
  </r>
  <r>
    <x v="209"/>
    <x v="1"/>
    <s v="TX-103313"/>
    <x v="11"/>
    <x v="1"/>
    <x v="2"/>
    <n v="14873.2"/>
    <n v="1933.52"/>
    <x v="3309"/>
    <x v="3"/>
    <s v="Cuenta Corriente"/>
    <s v="Tarjeta Crédito"/>
    <s v="Pendiente"/>
  </r>
  <r>
    <x v="115"/>
    <x v="3"/>
    <s v="TX-103314"/>
    <x v="18"/>
    <x v="1"/>
    <x v="6"/>
    <n v="8406.1"/>
    <n v="1092.79"/>
    <x v="3310"/>
    <x v="3"/>
    <s v="Tarjeta Crédito Empresarial"/>
    <s v="Tarjeta Crédito"/>
    <s v="Pagado"/>
  </r>
  <r>
    <x v="51"/>
    <x v="9"/>
    <s v="TX-103315"/>
    <x v="15"/>
    <x v="0"/>
    <x v="1"/>
    <n v="13162.45"/>
    <n v="0"/>
    <x v="3311"/>
    <x v="3"/>
    <s v="Tarjeta Crédito Empresarial"/>
    <s v="Transferencia"/>
    <s v="Pagado"/>
  </r>
  <r>
    <x v="105"/>
    <x v="5"/>
    <s v="TX-103316"/>
    <x v="4"/>
    <x v="0"/>
    <x v="2"/>
    <n v="7549.91"/>
    <n v="0"/>
    <x v="3312"/>
    <x v="1"/>
    <s v="Cuenta Corriente"/>
    <s v="Efectivo"/>
    <s v="Pagado"/>
  </r>
  <r>
    <x v="170"/>
    <x v="10"/>
    <s v="TX-103317"/>
    <x v="9"/>
    <x v="1"/>
    <x v="0"/>
    <n v="10621.67"/>
    <n v="1380.82"/>
    <x v="3313"/>
    <x v="2"/>
    <s v="Cuenta Corriente"/>
    <s v="Efectivo"/>
    <s v="Pagado"/>
  </r>
  <r>
    <x v="21"/>
    <x v="2"/>
    <s v="TX-103318"/>
    <x v="18"/>
    <x v="1"/>
    <x v="0"/>
    <n v="3152.66"/>
    <n v="409.85"/>
    <x v="3314"/>
    <x v="3"/>
    <s v="Cuenta Corriente"/>
    <s v="Tarjeta Crédito"/>
    <s v="Pendiente"/>
  </r>
  <r>
    <x v="311"/>
    <x v="1"/>
    <s v="TX-103319"/>
    <x v="14"/>
    <x v="1"/>
    <x v="4"/>
    <n v="668.16"/>
    <n v="86.86"/>
    <x v="3315"/>
    <x v="4"/>
    <s v="Cuenta Ahorros"/>
    <s v="Transferencia"/>
    <s v="Pendiente"/>
  </r>
  <r>
    <x v="272"/>
    <x v="8"/>
    <s v="TX-103320"/>
    <x v="8"/>
    <x v="0"/>
    <x v="3"/>
    <n v="2359.77"/>
    <n v="0"/>
    <x v="3316"/>
    <x v="2"/>
    <s v="Tarjeta Crédito Empresarial"/>
    <s v="Transferencia"/>
    <s v="Pendiente"/>
  </r>
  <r>
    <x v="202"/>
    <x v="2"/>
    <s v="TX-103321"/>
    <x v="18"/>
    <x v="1"/>
    <x v="5"/>
    <n v="13581.48"/>
    <n v="1765.59"/>
    <x v="3317"/>
    <x v="3"/>
    <s v="Tarjeta Crédito Empresarial"/>
    <s v="Tarjeta Débito"/>
    <s v="Pagado"/>
  </r>
  <r>
    <x v="64"/>
    <x v="11"/>
    <s v="TX-103322"/>
    <x v="2"/>
    <x v="0"/>
    <x v="2"/>
    <n v="6468.43"/>
    <n v="0"/>
    <x v="3318"/>
    <x v="3"/>
    <s v="Cuenta Corriente"/>
    <s v="Transferencia"/>
    <s v="Pagado"/>
  </r>
  <r>
    <x v="88"/>
    <x v="5"/>
    <s v="TX-103323"/>
    <x v="10"/>
    <x v="1"/>
    <x v="2"/>
    <n v="13493.3"/>
    <n v="1754.13"/>
    <x v="3319"/>
    <x v="4"/>
    <s v="Tarjeta Crédito Empresarial"/>
    <s v="Tarjeta Débito"/>
    <s v="Pagado"/>
  </r>
  <r>
    <x v="37"/>
    <x v="11"/>
    <s v="TX-103324"/>
    <x v="0"/>
    <x v="1"/>
    <x v="6"/>
    <n v="5389.8"/>
    <n v="700.67"/>
    <x v="3320"/>
    <x v="1"/>
    <s v="Tarjeta Crédito Empresarial"/>
    <s v="Tarjeta Débito"/>
    <s v="Pagado"/>
  </r>
  <r>
    <x v="52"/>
    <x v="5"/>
    <s v="TX-103325"/>
    <x v="16"/>
    <x v="1"/>
    <x v="2"/>
    <n v="11871.16"/>
    <n v="1543.25"/>
    <x v="3321"/>
    <x v="2"/>
    <s v="Tarjeta Crédito Empresarial"/>
    <s v="Efectivo"/>
    <s v="Pagado"/>
  </r>
  <r>
    <x v="60"/>
    <x v="3"/>
    <s v="TX-103326"/>
    <x v="19"/>
    <x v="0"/>
    <x v="2"/>
    <n v="8582.27"/>
    <n v="0"/>
    <x v="3322"/>
    <x v="0"/>
    <s v="Cuenta Corriente"/>
    <s v="Tarjeta Crédito"/>
    <s v="Pendiente"/>
  </r>
  <r>
    <x v="216"/>
    <x v="1"/>
    <s v="TX-103327"/>
    <x v="3"/>
    <x v="1"/>
    <x v="2"/>
    <n v="1023.28"/>
    <n v="133.03"/>
    <x v="3323"/>
    <x v="4"/>
    <s v="Cuenta Ahorros"/>
    <s v="Transferencia"/>
    <s v="Pagado"/>
  </r>
  <r>
    <x v="59"/>
    <x v="3"/>
    <s v="TX-103328"/>
    <x v="17"/>
    <x v="1"/>
    <x v="1"/>
    <n v="3834.93"/>
    <n v="498.54"/>
    <x v="3324"/>
    <x v="3"/>
    <s v="Tarjeta Crédito Empresarial"/>
    <s v="Transferencia"/>
    <s v="Pendiente"/>
  </r>
  <r>
    <x v="66"/>
    <x v="10"/>
    <s v="TX-103329"/>
    <x v="9"/>
    <x v="1"/>
    <x v="0"/>
    <n v="4133.97"/>
    <n v="537.41999999999996"/>
    <x v="3325"/>
    <x v="2"/>
    <s v="Cuenta Ahorros"/>
    <s v="Tarjeta Crédito"/>
    <s v="Pendiente"/>
  </r>
  <r>
    <x v="307"/>
    <x v="11"/>
    <s v="TX-103330"/>
    <x v="15"/>
    <x v="1"/>
    <x v="6"/>
    <n v="12438.08"/>
    <n v="1616.95"/>
    <x v="3326"/>
    <x v="3"/>
    <s v="Cuenta Ahorros"/>
    <s v="Tarjeta Débito"/>
    <s v="Pendiente"/>
  </r>
  <r>
    <x v="197"/>
    <x v="7"/>
    <s v="TX-103331"/>
    <x v="8"/>
    <x v="0"/>
    <x v="3"/>
    <n v="8932.11"/>
    <n v="0"/>
    <x v="3327"/>
    <x v="0"/>
    <s v="Tarjeta Crédito Empresarial"/>
    <s v="Tarjeta Crédito"/>
    <s v="Pagado"/>
  </r>
  <r>
    <x v="130"/>
    <x v="2"/>
    <s v="TX-103332"/>
    <x v="17"/>
    <x v="1"/>
    <x v="4"/>
    <n v="1218.7"/>
    <n v="158.43"/>
    <x v="3328"/>
    <x v="0"/>
    <s v="Tarjeta Crédito Empresarial"/>
    <s v="Transferencia"/>
    <s v="Pendiente"/>
  </r>
  <r>
    <x v="239"/>
    <x v="7"/>
    <s v="TX-103333"/>
    <x v="13"/>
    <x v="0"/>
    <x v="3"/>
    <n v="2728.17"/>
    <n v="0"/>
    <x v="3329"/>
    <x v="0"/>
    <s v="Cuenta Ahorros"/>
    <s v="Efectivo"/>
    <s v="Pendiente"/>
  </r>
  <r>
    <x v="144"/>
    <x v="0"/>
    <s v="TX-103334"/>
    <x v="2"/>
    <x v="1"/>
    <x v="6"/>
    <n v="2969"/>
    <n v="385.97"/>
    <x v="3330"/>
    <x v="1"/>
    <s v="Cuenta Ahorros"/>
    <s v="Efectivo"/>
    <s v="Pagado"/>
  </r>
  <r>
    <x v="54"/>
    <x v="3"/>
    <s v="TX-103335"/>
    <x v="18"/>
    <x v="0"/>
    <x v="4"/>
    <n v="10100.83"/>
    <n v="0"/>
    <x v="3331"/>
    <x v="0"/>
    <s v="Cuenta Ahorros"/>
    <s v="Transferencia"/>
    <s v="Pagado"/>
  </r>
  <r>
    <x v="180"/>
    <x v="3"/>
    <s v="TX-103336"/>
    <x v="16"/>
    <x v="0"/>
    <x v="3"/>
    <n v="1317.8"/>
    <n v="0"/>
    <x v="3332"/>
    <x v="1"/>
    <s v="Cuenta Corriente"/>
    <s v="Efectivo"/>
    <s v="Pendiente"/>
  </r>
  <r>
    <x v="100"/>
    <x v="3"/>
    <s v="TX-103337"/>
    <x v="5"/>
    <x v="0"/>
    <x v="5"/>
    <n v="4087.52"/>
    <n v="0"/>
    <x v="3333"/>
    <x v="0"/>
    <s v="Tarjeta Crédito Empresarial"/>
    <s v="Efectivo"/>
    <s v="Pendiente"/>
  </r>
  <r>
    <x v="90"/>
    <x v="11"/>
    <s v="TX-103338"/>
    <x v="1"/>
    <x v="0"/>
    <x v="6"/>
    <n v="5708.26"/>
    <n v="0"/>
    <x v="3334"/>
    <x v="1"/>
    <s v="Tarjeta Crédito Empresarial"/>
    <s v="Tarjeta Crédito"/>
    <s v="Pagado"/>
  </r>
  <r>
    <x v="258"/>
    <x v="7"/>
    <s v="TX-103339"/>
    <x v="1"/>
    <x v="0"/>
    <x v="7"/>
    <n v="14280.09"/>
    <n v="0"/>
    <x v="3335"/>
    <x v="3"/>
    <s v="Tarjeta Crédito Empresarial"/>
    <s v="Tarjeta Débito"/>
    <s v="Pendiente"/>
  </r>
  <r>
    <x v="277"/>
    <x v="9"/>
    <s v="TX-103340"/>
    <x v="9"/>
    <x v="1"/>
    <x v="0"/>
    <n v="5136.03"/>
    <n v="667.68"/>
    <x v="3336"/>
    <x v="1"/>
    <s v="Cuenta Corriente"/>
    <s v="Transferencia"/>
    <s v="Pendiente"/>
  </r>
  <r>
    <x v="98"/>
    <x v="0"/>
    <s v="TX-103341"/>
    <x v="2"/>
    <x v="0"/>
    <x v="2"/>
    <n v="6816.61"/>
    <n v="0"/>
    <x v="3337"/>
    <x v="2"/>
    <s v="Cuenta Corriente"/>
    <s v="Tarjeta Crédito"/>
    <s v="Pagado"/>
  </r>
  <r>
    <x v="223"/>
    <x v="0"/>
    <s v="TX-103342"/>
    <x v="3"/>
    <x v="1"/>
    <x v="6"/>
    <n v="3028.31"/>
    <n v="393.68"/>
    <x v="3338"/>
    <x v="4"/>
    <s v="Tarjeta Crédito Empresarial"/>
    <s v="Transferencia"/>
    <s v="Pendiente"/>
  </r>
  <r>
    <x v="99"/>
    <x v="6"/>
    <s v="TX-103343"/>
    <x v="7"/>
    <x v="1"/>
    <x v="6"/>
    <n v="9208.66"/>
    <n v="1197.1300000000001"/>
    <x v="3339"/>
    <x v="4"/>
    <s v="Cuenta Ahorros"/>
    <s v="Tarjeta Débito"/>
    <s v="Pagado"/>
  </r>
  <r>
    <x v="96"/>
    <x v="2"/>
    <s v="TX-103344"/>
    <x v="14"/>
    <x v="1"/>
    <x v="1"/>
    <n v="9087.75"/>
    <n v="1181.4100000000001"/>
    <x v="3340"/>
    <x v="0"/>
    <s v="Cuenta Ahorros"/>
    <s v="Tarjeta Crédito"/>
    <s v="Pagado"/>
  </r>
  <r>
    <x v="57"/>
    <x v="10"/>
    <s v="TX-103345"/>
    <x v="9"/>
    <x v="1"/>
    <x v="4"/>
    <n v="12938.69"/>
    <n v="1682.03"/>
    <x v="3341"/>
    <x v="1"/>
    <s v="Tarjeta Crédito Empresarial"/>
    <s v="Tarjeta Débito"/>
    <s v="Pendiente"/>
  </r>
  <r>
    <x v="139"/>
    <x v="9"/>
    <s v="TX-103346"/>
    <x v="6"/>
    <x v="0"/>
    <x v="5"/>
    <n v="10353.16"/>
    <n v="0"/>
    <x v="3342"/>
    <x v="3"/>
    <s v="Cuenta Corriente"/>
    <s v="Transferencia"/>
    <s v="Pagado"/>
  </r>
  <r>
    <x v="64"/>
    <x v="11"/>
    <s v="TX-103347"/>
    <x v="4"/>
    <x v="1"/>
    <x v="0"/>
    <n v="1436.31"/>
    <n v="186.72"/>
    <x v="3343"/>
    <x v="0"/>
    <s v="Tarjeta Crédito Empresarial"/>
    <s v="Transferencia"/>
    <s v="Pagado"/>
  </r>
  <r>
    <x v="208"/>
    <x v="2"/>
    <s v="TX-103348"/>
    <x v="0"/>
    <x v="0"/>
    <x v="5"/>
    <n v="12929.65"/>
    <n v="0"/>
    <x v="3344"/>
    <x v="1"/>
    <s v="Cuenta Ahorros"/>
    <s v="Efectivo"/>
    <s v="Pendiente"/>
  </r>
  <r>
    <x v="114"/>
    <x v="4"/>
    <s v="TX-103349"/>
    <x v="3"/>
    <x v="0"/>
    <x v="7"/>
    <n v="6802.29"/>
    <n v="0"/>
    <x v="3345"/>
    <x v="2"/>
    <s v="Cuenta Corriente"/>
    <s v="Efectivo"/>
    <s v="Pagado"/>
  </r>
  <r>
    <x v="136"/>
    <x v="11"/>
    <s v="TX-103350"/>
    <x v="4"/>
    <x v="1"/>
    <x v="0"/>
    <n v="11247.33"/>
    <n v="1462.15"/>
    <x v="3346"/>
    <x v="4"/>
    <s v="Cuenta Ahorros"/>
    <s v="Tarjeta Crédito"/>
    <s v="Pendiente"/>
  </r>
  <r>
    <x v="221"/>
    <x v="0"/>
    <s v="TX-103351"/>
    <x v="14"/>
    <x v="0"/>
    <x v="0"/>
    <n v="4937.6899999999996"/>
    <n v="0"/>
    <x v="3347"/>
    <x v="1"/>
    <s v="Tarjeta Crédito Empresarial"/>
    <s v="Tarjeta Débito"/>
    <s v="Pagado"/>
  </r>
  <r>
    <x v="347"/>
    <x v="7"/>
    <s v="TX-103352"/>
    <x v="10"/>
    <x v="1"/>
    <x v="4"/>
    <n v="5079.32"/>
    <n v="660.31"/>
    <x v="3348"/>
    <x v="0"/>
    <s v="Tarjeta Crédito Empresarial"/>
    <s v="Tarjeta Débito"/>
    <s v="Pendiente"/>
  </r>
  <r>
    <x v="207"/>
    <x v="8"/>
    <s v="TX-103353"/>
    <x v="0"/>
    <x v="0"/>
    <x v="7"/>
    <n v="5980.82"/>
    <n v="0"/>
    <x v="3349"/>
    <x v="1"/>
    <s v="Cuenta Ahorros"/>
    <s v="Transferencia"/>
    <s v="Pagado"/>
  </r>
  <r>
    <x v="41"/>
    <x v="5"/>
    <s v="TX-103354"/>
    <x v="17"/>
    <x v="0"/>
    <x v="7"/>
    <n v="1231.5"/>
    <n v="0"/>
    <x v="3350"/>
    <x v="4"/>
    <s v="Cuenta Corriente"/>
    <s v="Efectivo"/>
    <s v="Pendiente"/>
  </r>
  <r>
    <x v="72"/>
    <x v="6"/>
    <s v="TX-103355"/>
    <x v="1"/>
    <x v="1"/>
    <x v="3"/>
    <n v="8353.91"/>
    <n v="1086.01"/>
    <x v="3351"/>
    <x v="4"/>
    <s v="Cuenta Corriente"/>
    <s v="Tarjeta Crédito"/>
    <s v="Pagado"/>
  </r>
  <r>
    <x v="92"/>
    <x v="4"/>
    <s v="TX-103356"/>
    <x v="16"/>
    <x v="1"/>
    <x v="1"/>
    <n v="7237.43"/>
    <n v="940.87"/>
    <x v="3352"/>
    <x v="3"/>
    <s v="Cuenta Ahorros"/>
    <s v="Tarjeta Crédito"/>
    <s v="Pagado"/>
  </r>
  <r>
    <x v="47"/>
    <x v="4"/>
    <s v="TX-103357"/>
    <x v="1"/>
    <x v="1"/>
    <x v="3"/>
    <n v="1270.21"/>
    <n v="165.13"/>
    <x v="3353"/>
    <x v="2"/>
    <s v="Cuenta Corriente"/>
    <s v="Efectivo"/>
    <s v="Pendiente"/>
  </r>
  <r>
    <x v="204"/>
    <x v="7"/>
    <s v="TX-103358"/>
    <x v="13"/>
    <x v="0"/>
    <x v="4"/>
    <n v="13977.02"/>
    <n v="0"/>
    <x v="3354"/>
    <x v="3"/>
    <s v="Tarjeta Crédito Empresarial"/>
    <s v="Efectivo"/>
    <s v="Pagado"/>
  </r>
  <r>
    <x v="95"/>
    <x v="4"/>
    <s v="TX-103359"/>
    <x v="3"/>
    <x v="1"/>
    <x v="0"/>
    <n v="12289.38"/>
    <n v="1597.62"/>
    <x v="3355"/>
    <x v="0"/>
    <s v="Cuenta Ahorros"/>
    <s v="Tarjeta Débito"/>
    <s v="Pendiente"/>
  </r>
  <r>
    <x v="258"/>
    <x v="7"/>
    <s v="TX-103360"/>
    <x v="10"/>
    <x v="1"/>
    <x v="1"/>
    <n v="11262.58"/>
    <n v="1464.14"/>
    <x v="3356"/>
    <x v="2"/>
    <s v="Cuenta Corriente"/>
    <s v="Tarjeta Crédito"/>
    <s v="Pendiente"/>
  </r>
  <r>
    <x v="132"/>
    <x v="11"/>
    <s v="TX-103361"/>
    <x v="8"/>
    <x v="0"/>
    <x v="3"/>
    <n v="9422.14"/>
    <n v="0"/>
    <x v="3357"/>
    <x v="0"/>
    <s v="Tarjeta Crédito Empresarial"/>
    <s v="Transferencia"/>
    <s v="Pendiente"/>
  </r>
  <r>
    <x v="82"/>
    <x v="10"/>
    <s v="TX-103362"/>
    <x v="10"/>
    <x v="1"/>
    <x v="2"/>
    <n v="5527.02"/>
    <n v="718.51"/>
    <x v="3358"/>
    <x v="4"/>
    <s v="Cuenta Ahorros"/>
    <s v="Tarjeta Crédito"/>
    <s v="Pagado"/>
  </r>
  <r>
    <x v="156"/>
    <x v="4"/>
    <s v="TX-103363"/>
    <x v="7"/>
    <x v="1"/>
    <x v="5"/>
    <n v="7391.11"/>
    <n v="960.84"/>
    <x v="3359"/>
    <x v="0"/>
    <s v="Cuenta Corriente"/>
    <s v="Tarjeta Débito"/>
    <s v="Pagado"/>
  </r>
  <r>
    <x v="313"/>
    <x v="6"/>
    <s v="TX-103364"/>
    <x v="14"/>
    <x v="1"/>
    <x v="5"/>
    <n v="3475.22"/>
    <n v="451.78"/>
    <x v="3360"/>
    <x v="2"/>
    <s v="Cuenta Ahorros"/>
    <s v="Transferencia"/>
    <s v="Pendiente"/>
  </r>
  <r>
    <x v="356"/>
    <x v="9"/>
    <s v="TX-103365"/>
    <x v="9"/>
    <x v="0"/>
    <x v="0"/>
    <n v="10302.15"/>
    <n v="0"/>
    <x v="3361"/>
    <x v="0"/>
    <s v="Cuenta Corriente"/>
    <s v="Efectivo"/>
    <s v="Pendiente"/>
  </r>
  <r>
    <x v="201"/>
    <x v="8"/>
    <s v="TX-103366"/>
    <x v="13"/>
    <x v="0"/>
    <x v="7"/>
    <n v="3874.78"/>
    <n v="0"/>
    <x v="3362"/>
    <x v="3"/>
    <s v="Cuenta Corriente"/>
    <s v="Efectivo"/>
    <s v="Pendiente"/>
  </r>
  <r>
    <x v="148"/>
    <x v="8"/>
    <s v="TX-103367"/>
    <x v="8"/>
    <x v="0"/>
    <x v="1"/>
    <n v="105.79"/>
    <n v="0"/>
    <x v="3363"/>
    <x v="1"/>
    <s v="Tarjeta Crédito Empresarial"/>
    <s v="Tarjeta Débito"/>
    <s v="Pagado"/>
  </r>
  <r>
    <x v="8"/>
    <x v="7"/>
    <s v="TX-103368"/>
    <x v="1"/>
    <x v="1"/>
    <x v="5"/>
    <n v="1857.79"/>
    <n v="241.51"/>
    <x v="3364"/>
    <x v="0"/>
    <s v="Cuenta Ahorros"/>
    <s v="Tarjeta Débito"/>
    <s v="Pendiente"/>
  </r>
  <r>
    <x v="355"/>
    <x v="7"/>
    <s v="TX-103369"/>
    <x v="13"/>
    <x v="1"/>
    <x v="3"/>
    <n v="3958.35"/>
    <n v="514.59"/>
    <x v="3365"/>
    <x v="0"/>
    <s v="Cuenta Corriente"/>
    <s v="Tarjeta Débito"/>
    <s v="Pagado"/>
  </r>
  <r>
    <x v="346"/>
    <x v="1"/>
    <s v="TX-103370"/>
    <x v="8"/>
    <x v="0"/>
    <x v="5"/>
    <n v="9950.75"/>
    <n v="0"/>
    <x v="3366"/>
    <x v="1"/>
    <s v="Cuenta Ahorros"/>
    <s v="Efectivo"/>
    <s v="Pagado"/>
  </r>
  <r>
    <x v="294"/>
    <x v="7"/>
    <s v="TX-103371"/>
    <x v="4"/>
    <x v="0"/>
    <x v="0"/>
    <n v="1462.79"/>
    <n v="0"/>
    <x v="3367"/>
    <x v="2"/>
    <s v="Tarjeta Crédito Empresarial"/>
    <s v="Tarjeta Crédito"/>
    <s v="Pagado"/>
  </r>
  <r>
    <x v="214"/>
    <x v="11"/>
    <s v="TX-103372"/>
    <x v="4"/>
    <x v="0"/>
    <x v="2"/>
    <n v="1731.35"/>
    <n v="0"/>
    <x v="3368"/>
    <x v="2"/>
    <s v="Cuenta Ahorros"/>
    <s v="Tarjeta Crédito"/>
    <s v="Pagado"/>
  </r>
  <r>
    <x v="180"/>
    <x v="3"/>
    <s v="TX-103373"/>
    <x v="9"/>
    <x v="1"/>
    <x v="2"/>
    <n v="484.88"/>
    <n v="63.03"/>
    <x v="3369"/>
    <x v="4"/>
    <s v="Cuenta Ahorros"/>
    <s v="Transferencia"/>
    <s v="Pendiente"/>
  </r>
  <r>
    <x v="314"/>
    <x v="11"/>
    <s v="TX-103374"/>
    <x v="9"/>
    <x v="1"/>
    <x v="3"/>
    <n v="3823.68"/>
    <n v="497.08"/>
    <x v="3370"/>
    <x v="3"/>
    <s v="Cuenta Corriente"/>
    <s v="Efectivo"/>
    <s v="Pendiente"/>
  </r>
  <r>
    <x v="28"/>
    <x v="6"/>
    <s v="TX-103375"/>
    <x v="8"/>
    <x v="0"/>
    <x v="4"/>
    <n v="2545.4499999999998"/>
    <n v="0"/>
    <x v="3371"/>
    <x v="4"/>
    <s v="Cuenta Ahorros"/>
    <s v="Tarjeta Débito"/>
    <s v="Pagado"/>
  </r>
  <r>
    <x v="90"/>
    <x v="11"/>
    <s v="TX-103376"/>
    <x v="15"/>
    <x v="1"/>
    <x v="3"/>
    <n v="5079.99"/>
    <n v="660.4"/>
    <x v="3372"/>
    <x v="4"/>
    <s v="Cuenta Ahorros"/>
    <s v="Efectivo"/>
    <s v="Pendiente"/>
  </r>
  <r>
    <x v="131"/>
    <x v="10"/>
    <s v="TX-103377"/>
    <x v="4"/>
    <x v="0"/>
    <x v="7"/>
    <n v="7347.33"/>
    <n v="0"/>
    <x v="3373"/>
    <x v="4"/>
    <s v="Cuenta Ahorros"/>
    <s v="Efectivo"/>
    <s v="Pagado"/>
  </r>
  <r>
    <x v="69"/>
    <x v="10"/>
    <s v="TX-103378"/>
    <x v="9"/>
    <x v="1"/>
    <x v="7"/>
    <n v="3889.74"/>
    <n v="505.67"/>
    <x v="3374"/>
    <x v="3"/>
    <s v="Tarjeta Crédito Empresarial"/>
    <s v="Tarjeta Crédito"/>
    <s v="Pagado"/>
  </r>
  <r>
    <x v="64"/>
    <x v="11"/>
    <s v="TX-103379"/>
    <x v="11"/>
    <x v="0"/>
    <x v="5"/>
    <n v="6513.68"/>
    <n v="0"/>
    <x v="3375"/>
    <x v="4"/>
    <s v="Cuenta Corriente"/>
    <s v="Tarjeta Débito"/>
    <s v="Pagado"/>
  </r>
  <r>
    <x v="321"/>
    <x v="1"/>
    <s v="TX-103380"/>
    <x v="7"/>
    <x v="1"/>
    <x v="6"/>
    <n v="12995"/>
    <n v="1689.35"/>
    <x v="3376"/>
    <x v="3"/>
    <s v="Cuenta Corriente"/>
    <s v="Transferencia"/>
    <s v="Pagado"/>
  </r>
  <r>
    <x v="195"/>
    <x v="7"/>
    <s v="TX-103381"/>
    <x v="3"/>
    <x v="0"/>
    <x v="1"/>
    <n v="4651.87"/>
    <n v="0"/>
    <x v="3377"/>
    <x v="4"/>
    <s v="Cuenta Ahorros"/>
    <s v="Tarjeta Crédito"/>
    <s v="Pendiente"/>
  </r>
  <r>
    <x v="227"/>
    <x v="11"/>
    <s v="TX-103382"/>
    <x v="1"/>
    <x v="0"/>
    <x v="1"/>
    <n v="1351.11"/>
    <n v="0"/>
    <x v="3378"/>
    <x v="1"/>
    <s v="Cuenta Corriente"/>
    <s v="Efectivo"/>
    <s v="Pendiente"/>
  </r>
  <r>
    <x v="254"/>
    <x v="5"/>
    <s v="TX-103383"/>
    <x v="2"/>
    <x v="1"/>
    <x v="4"/>
    <n v="12596.72"/>
    <n v="1637.57"/>
    <x v="3379"/>
    <x v="0"/>
    <s v="Tarjeta Crédito Empresarial"/>
    <s v="Transferencia"/>
    <s v="Pendiente"/>
  </r>
  <r>
    <x v="153"/>
    <x v="10"/>
    <s v="TX-103384"/>
    <x v="12"/>
    <x v="1"/>
    <x v="3"/>
    <n v="6840.13"/>
    <n v="889.22"/>
    <x v="3380"/>
    <x v="1"/>
    <s v="Cuenta Ahorros"/>
    <s v="Tarjeta Débito"/>
    <s v="Pendiente"/>
  </r>
  <r>
    <x v="338"/>
    <x v="7"/>
    <s v="TX-103385"/>
    <x v="16"/>
    <x v="1"/>
    <x v="3"/>
    <n v="1816.66"/>
    <n v="236.17"/>
    <x v="3381"/>
    <x v="4"/>
    <s v="Cuenta Ahorros"/>
    <s v="Tarjeta Débito"/>
    <s v="Pendiente"/>
  </r>
  <r>
    <x v="133"/>
    <x v="3"/>
    <s v="TX-103386"/>
    <x v="12"/>
    <x v="1"/>
    <x v="1"/>
    <n v="5489.31"/>
    <n v="713.61"/>
    <x v="3382"/>
    <x v="0"/>
    <s v="Tarjeta Crédito Empresarial"/>
    <s v="Efectivo"/>
    <s v="Pagado"/>
  </r>
  <r>
    <x v="188"/>
    <x v="6"/>
    <s v="TX-103387"/>
    <x v="8"/>
    <x v="0"/>
    <x v="2"/>
    <n v="9985.3700000000008"/>
    <n v="0"/>
    <x v="3383"/>
    <x v="2"/>
    <s v="Cuenta Ahorros"/>
    <s v="Efectivo"/>
    <s v="Pagado"/>
  </r>
  <r>
    <x v="350"/>
    <x v="5"/>
    <s v="TX-103388"/>
    <x v="6"/>
    <x v="0"/>
    <x v="1"/>
    <n v="1822.25"/>
    <n v="0"/>
    <x v="3384"/>
    <x v="2"/>
    <s v="Cuenta Ahorros"/>
    <s v="Transferencia"/>
    <s v="Pendiente"/>
  </r>
  <r>
    <x v="171"/>
    <x v="10"/>
    <s v="TX-103389"/>
    <x v="12"/>
    <x v="1"/>
    <x v="3"/>
    <n v="118.81"/>
    <n v="15.45"/>
    <x v="3385"/>
    <x v="1"/>
    <s v="Tarjeta Crédito Empresarial"/>
    <s v="Tarjeta Crédito"/>
    <s v="Pendiente"/>
  </r>
  <r>
    <x v="19"/>
    <x v="8"/>
    <s v="TX-103390"/>
    <x v="18"/>
    <x v="1"/>
    <x v="6"/>
    <n v="10119.58"/>
    <n v="1315.55"/>
    <x v="3386"/>
    <x v="4"/>
    <s v="Cuenta Ahorros"/>
    <s v="Efectivo"/>
    <s v="Pendiente"/>
  </r>
  <r>
    <x v="90"/>
    <x v="11"/>
    <s v="TX-103391"/>
    <x v="12"/>
    <x v="1"/>
    <x v="3"/>
    <n v="4143.41"/>
    <n v="538.64"/>
    <x v="3387"/>
    <x v="3"/>
    <s v="Cuenta Corriente"/>
    <s v="Efectivo"/>
    <s v="Pagado"/>
  </r>
  <r>
    <x v="280"/>
    <x v="9"/>
    <s v="TX-103392"/>
    <x v="6"/>
    <x v="0"/>
    <x v="7"/>
    <n v="9884.9"/>
    <n v="0"/>
    <x v="3388"/>
    <x v="0"/>
    <s v="Cuenta Ahorros"/>
    <s v="Tarjeta Crédito"/>
    <s v="Pendiente"/>
  </r>
  <r>
    <x v="31"/>
    <x v="6"/>
    <s v="TX-103393"/>
    <x v="7"/>
    <x v="0"/>
    <x v="4"/>
    <n v="12298.01"/>
    <n v="0"/>
    <x v="3389"/>
    <x v="2"/>
    <s v="Cuenta Ahorros"/>
    <s v="Transferencia"/>
    <s v="Pendiente"/>
  </r>
  <r>
    <x v="174"/>
    <x v="9"/>
    <s v="TX-103394"/>
    <x v="12"/>
    <x v="0"/>
    <x v="7"/>
    <n v="13611.51"/>
    <n v="0"/>
    <x v="3390"/>
    <x v="3"/>
    <s v="Tarjeta Crédito Empresarial"/>
    <s v="Tarjeta Débito"/>
    <s v="Pendiente"/>
  </r>
  <r>
    <x v="102"/>
    <x v="6"/>
    <s v="TX-103395"/>
    <x v="3"/>
    <x v="1"/>
    <x v="7"/>
    <n v="7452.57"/>
    <n v="968.83"/>
    <x v="3391"/>
    <x v="3"/>
    <s v="Tarjeta Crédito Empresarial"/>
    <s v="Tarjeta Crédito"/>
    <s v="Pendiente"/>
  </r>
  <r>
    <x v="35"/>
    <x v="4"/>
    <s v="TX-103396"/>
    <x v="12"/>
    <x v="0"/>
    <x v="6"/>
    <n v="13169.06"/>
    <n v="0"/>
    <x v="3392"/>
    <x v="1"/>
    <s v="Cuenta Ahorros"/>
    <s v="Tarjeta Crédito"/>
    <s v="Pagado"/>
  </r>
  <r>
    <x v="355"/>
    <x v="7"/>
    <s v="TX-103397"/>
    <x v="4"/>
    <x v="1"/>
    <x v="6"/>
    <n v="3482.1"/>
    <n v="452.67"/>
    <x v="3393"/>
    <x v="4"/>
    <s v="Tarjeta Crédito Empresarial"/>
    <s v="Tarjeta Crédito"/>
    <s v="Pendiente"/>
  </r>
  <r>
    <x v="107"/>
    <x v="3"/>
    <s v="TX-103398"/>
    <x v="14"/>
    <x v="1"/>
    <x v="0"/>
    <n v="6135.87"/>
    <n v="797.66"/>
    <x v="3394"/>
    <x v="2"/>
    <s v="Tarjeta Crédito Empresarial"/>
    <s v="Transferencia"/>
    <s v="Pendiente"/>
  </r>
  <r>
    <x v="111"/>
    <x v="4"/>
    <s v="TX-103399"/>
    <x v="6"/>
    <x v="1"/>
    <x v="7"/>
    <n v="3175.03"/>
    <n v="412.75"/>
    <x v="3395"/>
    <x v="3"/>
    <s v="Cuenta Ahorros"/>
    <s v="Transferencia"/>
    <s v="Pendiente"/>
  </r>
  <r>
    <x v="44"/>
    <x v="1"/>
    <s v="TX-103400"/>
    <x v="14"/>
    <x v="0"/>
    <x v="1"/>
    <n v="4747.68"/>
    <n v="0"/>
    <x v="3396"/>
    <x v="4"/>
    <s v="Cuenta Ahorros"/>
    <s v="Tarjeta Crédito"/>
    <s v="Pagado"/>
  </r>
  <r>
    <x v="317"/>
    <x v="4"/>
    <s v="TX-103401"/>
    <x v="2"/>
    <x v="0"/>
    <x v="0"/>
    <n v="3071.26"/>
    <n v="0"/>
    <x v="3397"/>
    <x v="1"/>
    <s v="Cuenta Ahorros"/>
    <s v="Tarjeta Crédito"/>
    <s v="Pendiente"/>
  </r>
  <r>
    <x v="134"/>
    <x v="2"/>
    <s v="TX-103402"/>
    <x v="7"/>
    <x v="0"/>
    <x v="1"/>
    <n v="3752.22"/>
    <n v="0"/>
    <x v="3398"/>
    <x v="1"/>
    <s v="Cuenta Corriente"/>
    <s v="Efectivo"/>
    <s v="Pendiente"/>
  </r>
  <r>
    <x v="259"/>
    <x v="10"/>
    <s v="TX-103403"/>
    <x v="3"/>
    <x v="1"/>
    <x v="1"/>
    <n v="10645.25"/>
    <n v="1383.88"/>
    <x v="3399"/>
    <x v="2"/>
    <s v="Cuenta Corriente"/>
    <s v="Transferencia"/>
    <s v="Pagado"/>
  </r>
  <r>
    <x v="173"/>
    <x v="11"/>
    <s v="TX-103404"/>
    <x v="14"/>
    <x v="0"/>
    <x v="3"/>
    <n v="721.56"/>
    <n v="0"/>
    <x v="3400"/>
    <x v="3"/>
    <s v="Tarjeta Crédito Empresarial"/>
    <s v="Tarjeta Crédito"/>
    <s v="Pagado"/>
  </r>
  <r>
    <x v="31"/>
    <x v="6"/>
    <s v="TX-103405"/>
    <x v="17"/>
    <x v="0"/>
    <x v="7"/>
    <n v="7162.86"/>
    <n v="0"/>
    <x v="3401"/>
    <x v="1"/>
    <s v="Cuenta Corriente"/>
    <s v="Tarjeta Débito"/>
    <s v="Pagado"/>
  </r>
  <r>
    <x v="74"/>
    <x v="9"/>
    <s v="TX-103406"/>
    <x v="15"/>
    <x v="1"/>
    <x v="4"/>
    <n v="3811.59"/>
    <n v="495.51"/>
    <x v="3402"/>
    <x v="1"/>
    <s v="Tarjeta Crédito Empresarial"/>
    <s v="Tarjeta Crédito"/>
    <s v="Pendiente"/>
  </r>
  <r>
    <x v="299"/>
    <x v="9"/>
    <s v="TX-103407"/>
    <x v="4"/>
    <x v="1"/>
    <x v="6"/>
    <n v="392.76"/>
    <n v="51.06"/>
    <x v="3403"/>
    <x v="4"/>
    <s v="Cuenta Ahorros"/>
    <s v="Transferencia"/>
    <s v="Pagado"/>
  </r>
  <r>
    <x v="121"/>
    <x v="8"/>
    <s v="TX-103408"/>
    <x v="10"/>
    <x v="0"/>
    <x v="7"/>
    <n v="5045.1000000000004"/>
    <n v="0"/>
    <x v="3404"/>
    <x v="3"/>
    <s v="Cuenta Ahorros"/>
    <s v="Transferencia"/>
    <s v="Pagado"/>
  </r>
  <r>
    <x v="100"/>
    <x v="3"/>
    <s v="TX-103409"/>
    <x v="19"/>
    <x v="1"/>
    <x v="0"/>
    <n v="13251.54"/>
    <n v="1722.7"/>
    <x v="3405"/>
    <x v="3"/>
    <s v="Cuenta Corriente"/>
    <s v="Transferencia"/>
    <s v="Pagado"/>
  </r>
  <r>
    <x v="188"/>
    <x v="6"/>
    <s v="TX-103410"/>
    <x v="6"/>
    <x v="0"/>
    <x v="4"/>
    <n v="5490.54"/>
    <n v="0"/>
    <x v="3406"/>
    <x v="0"/>
    <s v="Tarjeta Crédito Empresarial"/>
    <s v="Tarjeta Crédito"/>
    <s v="Pagado"/>
  </r>
  <r>
    <x v="167"/>
    <x v="8"/>
    <s v="TX-103411"/>
    <x v="5"/>
    <x v="0"/>
    <x v="3"/>
    <n v="14030.85"/>
    <n v="0"/>
    <x v="3407"/>
    <x v="3"/>
    <s v="Cuenta Ahorros"/>
    <s v="Transferencia"/>
    <s v="Pendiente"/>
  </r>
  <r>
    <x v="209"/>
    <x v="1"/>
    <s v="TX-103412"/>
    <x v="0"/>
    <x v="0"/>
    <x v="6"/>
    <n v="1830.63"/>
    <n v="0"/>
    <x v="3408"/>
    <x v="1"/>
    <s v="Cuenta Ahorros"/>
    <s v="Transferencia"/>
    <s v="Pendiente"/>
  </r>
  <r>
    <x v="184"/>
    <x v="4"/>
    <s v="TX-103413"/>
    <x v="6"/>
    <x v="1"/>
    <x v="4"/>
    <n v="6648.44"/>
    <n v="864.3"/>
    <x v="3409"/>
    <x v="0"/>
    <s v="Cuenta Corriente"/>
    <s v="Transferencia"/>
    <s v="Pagado"/>
  </r>
  <r>
    <x v="161"/>
    <x v="9"/>
    <s v="TX-103414"/>
    <x v="4"/>
    <x v="0"/>
    <x v="7"/>
    <n v="3235.35"/>
    <n v="0"/>
    <x v="3410"/>
    <x v="2"/>
    <s v="Tarjeta Crédito Empresarial"/>
    <s v="Transferencia"/>
    <s v="Pendiente"/>
  </r>
  <r>
    <x v="233"/>
    <x v="1"/>
    <s v="TX-103415"/>
    <x v="2"/>
    <x v="1"/>
    <x v="7"/>
    <n v="2811.31"/>
    <n v="365.47"/>
    <x v="3411"/>
    <x v="0"/>
    <s v="Cuenta Corriente"/>
    <s v="Tarjeta Débito"/>
    <s v="Pagado"/>
  </r>
  <r>
    <x v="365"/>
    <x v="4"/>
    <s v="TX-103416"/>
    <x v="4"/>
    <x v="1"/>
    <x v="3"/>
    <n v="12063.65"/>
    <n v="1568.27"/>
    <x v="3412"/>
    <x v="4"/>
    <s v="Tarjeta Crédito Empresarial"/>
    <s v="Transferencia"/>
    <s v="Pendiente"/>
  </r>
  <r>
    <x v="218"/>
    <x v="4"/>
    <s v="TX-103417"/>
    <x v="4"/>
    <x v="0"/>
    <x v="4"/>
    <n v="14225.07"/>
    <n v="0"/>
    <x v="3413"/>
    <x v="3"/>
    <s v="Tarjeta Crédito Empresarial"/>
    <s v="Tarjeta Crédito"/>
    <s v="Pagado"/>
  </r>
  <r>
    <x v="318"/>
    <x v="3"/>
    <s v="TX-103418"/>
    <x v="5"/>
    <x v="1"/>
    <x v="1"/>
    <n v="6944.46"/>
    <n v="902.78"/>
    <x v="3414"/>
    <x v="1"/>
    <s v="Cuenta Corriente"/>
    <s v="Tarjeta Crédito"/>
    <s v="Pagado"/>
  </r>
  <r>
    <x v="2"/>
    <x v="2"/>
    <s v="TX-103419"/>
    <x v="2"/>
    <x v="1"/>
    <x v="2"/>
    <n v="11161.1"/>
    <n v="1450.94"/>
    <x v="3415"/>
    <x v="4"/>
    <s v="Tarjeta Crédito Empresarial"/>
    <s v="Transferencia"/>
    <s v="Pagado"/>
  </r>
  <r>
    <x v="102"/>
    <x v="6"/>
    <s v="TX-103420"/>
    <x v="7"/>
    <x v="1"/>
    <x v="0"/>
    <n v="368.9"/>
    <n v="47.96"/>
    <x v="3416"/>
    <x v="4"/>
    <s v="Cuenta Corriente"/>
    <s v="Tarjeta Crédito"/>
    <s v="Pendiente"/>
  </r>
  <r>
    <x v="38"/>
    <x v="6"/>
    <s v="TX-103421"/>
    <x v="17"/>
    <x v="1"/>
    <x v="0"/>
    <n v="488.81"/>
    <n v="63.55"/>
    <x v="3417"/>
    <x v="0"/>
    <s v="Cuenta Corriente"/>
    <s v="Tarjeta Crédito"/>
    <s v="Pendiente"/>
  </r>
  <r>
    <x v="1"/>
    <x v="1"/>
    <s v="TX-103422"/>
    <x v="14"/>
    <x v="0"/>
    <x v="0"/>
    <n v="13869.65"/>
    <n v="0"/>
    <x v="3418"/>
    <x v="3"/>
    <s v="Cuenta Corriente"/>
    <s v="Tarjeta Crédito"/>
    <s v="Pagado"/>
  </r>
  <r>
    <x v="240"/>
    <x v="2"/>
    <s v="TX-103423"/>
    <x v="11"/>
    <x v="0"/>
    <x v="1"/>
    <n v="378.78"/>
    <n v="0"/>
    <x v="3419"/>
    <x v="4"/>
    <s v="Cuenta Corriente"/>
    <s v="Tarjeta Débito"/>
    <s v="Pagado"/>
  </r>
  <r>
    <x v="40"/>
    <x v="2"/>
    <s v="TX-103424"/>
    <x v="4"/>
    <x v="1"/>
    <x v="1"/>
    <n v="4549.3"/>
    <n v="591.41"/>
    <x v="3420"/>
    <x v="3"/>
    <s v="Tarjeta Crédito Empresarial"/>
    <s v="Tarjeta Débito"/>
    <s v="Pagado"/>
  </r>
  <r>
    <x v="138"/>
    <x v="11"/>
    <s v="TX-103425"/>
    <x v="17"/>
    <x v="0"/>
    <x v="7"/>
    <n v="3301.84"/>
    <n v="0"/>
    <x v="3421"/>
    <x v="2"/>
    <s v="Cuenta Ahorros"/>
    <s v="Efectivo"/>
    <s v="Pendiente"/>
  </r>
  <r>
    <x v="161"/>
    <x v="9"/>
    <s v="TX-103426"/>
    <x v="19"/>
    <x v="1"/>
    <x v="4"/>
    <n v="12473.86"/>
    <n v="1621.6"/>
    <x v="3422"/>
    <x v="2"/>
    <s v="Cuenta Corriente"/>
    <s v="Transferencia"/>
    <s v="Pendiente"/>
  </r>
  <r>
    <x v="238"/>
    <x v="5"/>
    <s v="TX-103427"/>
    <x v="11"/>
    <x v="1"/>
    <x v="7"/>
    <n v="2222.83"/>
    <n v="288.97000000000003"/>
    <x v="3423"/>
    <x v="4"/>
    <s v="Tarjeta Crédito Empresarial"/>
    <s v="Tarjeta Débito"/>
    <s v="Pendiente"/>
  </r>
  <r>
    <x v="341"/>
    <x v="7"/>
    <s v="TX-103428"/>
    <x v="16"/>
    <x v="0"/>
    <x v="2"/>
    <n v="7591.43"/>
    <n v="0"/>
    <x v="3424"/>
    <x v="2"/>
    <s v="Cuenta Ahorros"/>
    <s v="Efectivo"/>
    <s v="Pendiente"/>
  </r>
  <r>
    <x v="247"/>
    <x v="11"/>
    <s v="TX-103429"/>
    <x v="3"/>
    <x v="0"/>
    <x v="1"/>
    <n v="3692.99"/>
    <n v="0"/>
    <x v="3425"/>
    <x v="3"/>
    <s v="Tarjeta Crédito Empresarial"/>
    <s v="Efectivo"/>
    <s v="Pendiente"/>
  </r>
  <r>
    <x v="364"/>
    <x v="9"/>
    <s v="TX-103430"/>
    <x v="17"/>
    <x v="0"/>
    <x v="3"/>
    <n v="1594.55"/>
    <n v="0"/>
    <x v="3426"/>
    <x v="3"/>
    <s v="Tarjeta Crédito Empresarial"/>
    <s v="Tarjeta Crédito"/>
    <s v="Pendiente"/>
  </r>
  <r>
    <x v="156"/>
    <x v="4"/>
    <s v="TX-103431"/>
    <x v="3"/>
    <x v="1"/>
    <x v="5"/>
    <n v="9833.39"/>
    <n v="1278.3399999999999"/>
    <x v="3427"/>
    <x v="1"/>
    <s v="Tarjeta Crédito Empresarial"/>
    <s v="Tarjeta Crédito"/>
    <s v="Pagado"/>
  </r>
  <r>
    <x v="222"/>
    <x v="3"/>
    <s v="TX-103432"/>
    <x v="3"/>
    <x v="1"/>
    <x v="7"/>
    <n v="13995.01"/>
    <n v="1819.35"/>
    <x v="3428"/>
    <x v="0"/>
    <s v="Cuenta Ahorros"/>
    <s v="Tarjeta Crédito"/>
    <s v="Pendiente"/>
  </r>
  <r>
    <x v="149"/>
    <x v="11"/>
    <s v="TX-103433"/>
    <x v="3"/>
    <x v="0"/>
    <x v="2"/>
    <n v="12889.1"/>
    <n v="0"/>
    <x v="3429"/>
    <x v="4"/>
    <s v="Tarjeta Crédito Empresarial"/>
    <s v="Tarjeta Débito"/>
    <s v="Pendiente"/>
  </r>
  <r>
    <x v="358"/>
    <x v="8"/>
    <s v="TX-103434"/>
    <x v="8"/>
    <x v="0"/>
    <x v="7"/>
    <n v="11526.21"/>
    <n v="0"/>
    <x v="3430"/>
    <x v="1"/>
    <s v="Cuenta Ahorros"/>
    <s v="Tarjeta Crédito"/>
    <s v="Pendiente"/>
  </r>
  <r>
    <x v="143"/>
    <x v="11"/>
    <s v="TX-103435"/>
    <x v="3"/>
    <x v="0"/>
    <x v="2"/>
    <n v="1936.56"/>
    <n v="0"/>
    <x v="3431"/>
    <x v="1"/>
    <s v="Cuenta Corriente"/>
    <s v="Tarjeta Crédito"/>
    <s v="Pagado"/>
  </r>
  <r>
    <x v="361"/>
    <x v="0"/>
    <s v="TX-103436"/>
    <x v="2"/>
    <x v="0"/>
    <x v="1"/>
    <n v="304.55"/>
    <n v="0"/>
    <x v="3432"/>
    <x v="2"/>
    <s v="Cuenta Ahorros"/>
    <s v="Tarjeta Crédito"/>
    <s v="Pendiente"/>
  </r>
  <r>
    <x v="158"/>
    <x v="0"/>
    <s v="TX-103437"/>
    <x v="2"/>
    <x v="0"/>
    <x v="7"/>
    <n v="13451"/>
    <n v="0"/>
    <x v="3433"/>
    <x v="1"/>
    <s v="Cuenta Ahorros"/>
    <s v="Tarjeta Débito"/>
    <s v="Pagado"/>
  </r>
  <r>
    <x v="120"/>
    <x v="3"/>
    <s v="TX-103438"/>
    <x v="7"/>
    <x v="0"/>
    <x v="2"/>
    <n v="2352.87"/>
    <n v="0"/>
    <x v="3434"/>
    <x v="0"/>
    <s v="Cuenta Corriente"/>
    <s v="Tarjeta Crédito"/>
    <s v="Pagado"/>
  </r>
  <r>
    <x v="308"/>
    <x v="1"/>
    <s v="TX-103439"/>
    <x v="6"/>
    <x v="0"/>
    <x v="7"/>
    <n v="3989.44"/>
    <n v="0"/>
    <x v="3435"/>
    <x v="1"/>
    <s v="Cuenta Ahorros"/>
    <s v="Transferencia"/>
    <s v="Pagado"/>
  </r>
  <r>
    <x v="110"/>
    <x v="7"/>
    <s v="TX-103440"/>
    <x v="6"/>
    <x v="1"/>
    <x v="7"/>
    <n v="5989.65"/>
    <n v="778.65"/>
    <x v="3436"/>
    <x v="3"/>
    <s v="Cuenta Ahorros"/>
    <s v="Tarjeta Crédito"/>
    <s v="Pagado"/>
  </r>
  <r>
    <x v="290"/>
    <x v="6"/>
    <s v="TX-103441"/>
    <x v="9"/>
    <x v="1"/>
    <x v="7"/>
    <n v="13600.71"/>
    <n v="1768.09"/>
    <x v="3437"/>
    <x v="3"/>
    <s v="Cuenta Corriente"/>
    <s v="Tarjeta Crédito"/>
    <s v="Pendiente"/>
  </r>
  <r>
    <x v="28"/>
    <x v="6"/>
    <s v="TX-103442"/>
    <x v="8"/>
    <x v="1"/>
    <x v="4"/>
    <n v="5330.22"/>
    <n v="692.93"/>
    <x v="3438"/>
    <x v="2"/>
    <s v="Cuenta Ahorros"/>
    <s v="Efectivo"/>
    <s v="Pagado"/>
  </r>
  <r>
    <x v="256"/>
    <x v="5"/>
    <s v="TX-103443"/>
    <x v="15"/>
    <x v="1"/>
    <x v="0"/>
    <n v="5626.53"/>
    <n v="731.45"/>
    <x v="3439"/>
    <x v="1"/>
    <s v="Tarjeta Crédito Empresarial"/>
    <s v="Efectivo"/>
    <s v="Pendiente"/>
  </r>
  <r>
    <x v="248"/>
    <x v="10"/>
    <s v="TX-103444"/>
    <x v="11"/>
    <x v="0"/>
    <x v="1"/>
    <n v="4557.76"/>
    <n v="0"/>
    <x v="3440"/>
    <x v="3"/>
    <s v="Cuenta Corriente"/>
    <s v="Efectivo"/>
    <s v="Pagado"/>
  </r>
  <r>
    <x v="161"/>
    <x v="9"/>
    <s v="TX-103445"/>
    <x v="12"/>
    <x v="1"/>
    <x v="7"/>
    <n v="1377.48"/>
    <n v="179.07"/>
    <x v="3441"/>
    <x v="1"/>
    <s v="Tarjeta Crédito Empresarial"/>
    <s v="Tarjeta Crédito"/>
    <s v="Pagado"/>
  </r>
  <r>
    <x v="24"/>
    <x v="10"/>
    <s v="TX-103446"/>
    <x v="19"/>
    <x v="0"/>
    <x v="0"/>
    <n v="3384.86"/>
    <n v="0"/>
    <x v="3442"/>
    <x v="1"/>
    <s v="Cuenta Corriente"/>
    <s v="Tarjeta Débito"/>
    <s v="Pagado"/>
  </r>
  <r>
    <x v="217"/>
    <x v="1"/>
    <s v="TX-103447"/>
    <x v="10"/>
    <x v="0"/>
    <x v="1"/>
    <n v="14693.81"/>
    <n v="0"/>
    <x v="3443"/>
    <x v="2"/>
    <s v="Cuenta Ahorros"/>
    <s v="Tarjeta Débito"/>
    <s v="Pagado"/>
  </r>
  <r>
    <x v="13"/>
    <x v="2"/>
    <s v="TX-103448"/>
    <x v="1"/>
    <x v="0"/>
    <x v="0"/>
    <n v="2639.51"/>
    <n v="0"/>
    <x v="3444"/>
    <x v="1"/>
    <s v="Cuenta Ahorros"/>
    <s v="Transferencia"/>
    <s v="Pagado"/>
  </r>
  <r>
    <x v="171"/>
    <x v="10"/>
    <s v="TX-103449"/>
    <x v="5"/>
    <x v="1"/>
    <x v="3"/>
    <n v="3682.76"/>
    <n v="478.76"/>
    <x v="3445"/>
    <x v="3"/>
    <s v="Cuenta Corriente"/>
    <s v="Transferencia"/>
    <s v="Pagado"/>
  </r>
  <r>
    <x v="97"/>
    <x v="6"/>
    <s v="TX-103450"/>
    <x v="4"/>
    <x v="1"/>
    <x v="2"/>
    <n v="8415.99"/>
    <n v="1094.08"/>
    <x v="3446"/>
    <x v="4"/>
    <s v="Tarjeta Crédito Empresarial"/>
    <s v="Tarjeta Crédito"/>
    <s v="Pendiente"/>
  </r>
  <r>
    <x v="192"/>
    <x v="8"/>
    <s v="TX-103451"/>
    <x v="4"/>
    <x v="1"/>
    <x v="3"/>
    <n v="11605.23"/>
    <n v="1508.68"/>
    <x v="3447"/>
    <x v="1"/>
    <s v="Cuenta Corriente"/>
    <s v="Tarjeta Crédito"/>
    <s v="Pagado"/>
  </r>
  <r>
    <x v="199"/>
    <x v="0"/>
    <s v="TX-103452"/>
    <x v="11"/>
    <x v="1"/>
    <x v="4"/>
    <n v="7711.93"/>
    <n v="1002.55"/>
    <x v="3448"/>
    <x v="4"/>
    <s v="Cuenta Ahorros"/>
    <s v="Tarjeta Débito"/>
    <s v="Pendiente"/>
  </r>
  <r>
    <x v="222"/>
    <x v="3"/>
    <s v="TX-103453"/>
    <x v="17"/>
    <x v="0"/>
    <x v="4"/>
    <n v="2276.04"/>
    <n v="0"/>
    <x v="3449"/>
    <x v="2"/>
    <s v="Cuenta Ahorros"/>
    <s v="Transferencia"/>
    <s v="Pendiente"/>
  </r>
  <r>
    <x v="360"/>
    <x v="6"/>
    <s v="TX-103454"/>
    <x v="4"/>
    <x v="1"/>
    <x v="5"/>
    <n v="11436.3"/>
    <n v="1486.72"/>
    <x v="3450"/>
    <x v="1"/>
    <s v="Cuenta Ahorros"/>
    <s v="Tarjeta Débito"/>
    <s v="Pendiente"/>
  </r>
  <r>
    <x v="276"/>
    <x v="9"/>
    <s v="TX-103455"/>
    <x v="4"/>
    <x v="1"/>
    <x v="7"/>
    <n v="6682.22"/>
    <n v="868.69"/>
    <x v="3451"/>
    <x v="2"/>
    <s v="Tarjeta Crédito Empresarial"/>
    <s v="Tarjeta Débito"/>
    <s v="Pendiente"/>
  </r>
  <r>
    <x v="365"/>
    <x v="4"/>
    <s v="TX-103456"/>
    <x v="4"/>
    <x v="0"/>
    <x v="2"/>
    <n v="4624.03"/>
    <n v="0"/>
    <x v="3452"/>
    <x v="1"/>
    <s v="Tarjeta Crédito Empresarial"/>
    <s v="Tarjeta Débito"/>
    <s v="Pendiente"/>
  </r>
  <r>
    <x v="329"/>
    <x v="3"/>
    <s v="TX-103457"/>
    <x v="1"/>
    <x v="0"/>
    <x v="6"/>
    <n v="12130.89"/>
    <n v="0"/>
    <x v="3453"/>
    <x v="2"/>
    <s v="Tarjeta Crédito Empresarial"/>
    <s v="Tarjeta Débito"/>
    <s v="Pagado"/>
  </r>
  <r>
    <x v="163"/>
    <x v="10"/>
    <s v="TX-103458"/>
    <x v="10"/>
    <x v="1"/>
    <x v="3"/>
    <n v="11893.97"/>
    <n v="1546.22"/>
    <x v="3454"/>
    <x v="3"/>
    <s v="Tarjeta Crédito Empresarial"/>
    <s v="Efectivo"/>
    <s v="Pendiente"/>
  </r>
  <r>
    <x v="264"/>
    <x v="2"/>
    <s v="TX-103459"/>
    <x v="7"/>
    <x v="0"/>
    <x v="2"/>
    <n v="14383.12"/>
    <n v="0"/>
    <x v="3455"/>
    <x v="0"/>
    <s v="Cuenta Corriente"/>
    <s v="Tarjeta Débito"/>
    <s v="Pagado"/>
  </r>
  <r>
    <x v="274"/>
    <x v="2"/>
    <s v="TX-103460"/>
    <x v="14"/>
    <x v="0"/>
    <x v="3"/>
    <n v="8424.76"/>
    <n v="0"/>
    <x v="3456"/>
    <x v="4"/>
    <s v="Cuenta Corriente"/>
    <s v="Tarjeta Débito"/>
    <s v="Pendiente"/>
  </r>
  <r>
    <x v="133"/>
    <x v="3"/>
    <s v="TX-103461"/>
    <x v="5"/>
    <x v="0"/>
    <x v="4"/>
    <n v="845.84"/>
    <n v="0"/>
    <x v="3457"/>
    <x v="3"/>
    <s v="Cuenta Corriente"/>
    <s v="Efectivo"/>
    <s v="Pendiente"/>
  </r>
  <r>
    <x v="311"/>
    <x v="1"/>
    <s v="TX-103462"/>
    <x v="4"/>
    <x v="0"/>
    <x v="7"/>
    <n v="7546.57"/>
    <n v="0"/>
    <x v="3458"/>
    <x v="2"/>
    <s v="Cuenta Ahorros"/>
    <s v="Tarjeta Crédito"/>
    <s v="Pendiente"/>
  </r>
  <r>
    <x v="201"/>
    <x v="8"/>
    <s v="TX-103463"/>
    <x v="13"/>
    <x v="0"/>
    <x v="6"/>
    <n v="12393.84"/>
    <n v="0"/>
    <x v="3459"/>
    <x v="0"/>
    <s v="Cuenta Ahorros"/>
    <s v="Transferencia"/>
    <s v="Pagado"/>
  </r>
  <r>
    <x v="290"/>
    <x v="6"/>
    <s v="TX-103464"/>
    <x v="8"/>
    <x v="1"/>
    <x v="5"/>
    <n v="13752.63"/>
    <n v="1787.84"/>
    <x v="3460"/>
    <x v="1"/>
    <s v="Tarjeta Crédito Empresarial"/>
    <s v="Efectivo"/>
    <s v="Pendiente"/>
  </r>
  <r>
    <x v="250"/>
    <x v="7"/>
    <s v="TX-103465"/>
    <x v="2"/>
    <x v="0"/>
    <x v="0"/>
    <n v="14523.32"/>
    <n v="0"/>
    <x v="3461"/>
    <x v="4"/>
    <s v="Cuenta Ahorros"/>
    <s v="Transferencia"/>
    <s v="Pendiente"/>
  </r>
  <r>
    <x v="242"/>
    <x v="4"/>
    <s v="TX-103466"/>
    <x v="18"/>
    <x v="0"/>
    <x v="3"/>
    <n v="5359.22"/>
    <n v="0"/>
    <x v="3462"/>
    <x v="2"/>
    <s v="Cuenta Corriente"/>
    <s v="Transferencia"/>
    <s v="Pagado"/>
  </r>
  <r>
    <x v="177"/>
    <x v="8"/>
    <s v="TX-103467"/>
    <x v="16"/>
    <x v="1"/>
    <x v="3"/>
    <n v="6674"/>
    <n v="867.62"/>
    <x v="3463"/>
    <x v="3"/>
    <s v="Cuenta Ahorros"/>
    <s v="Tarjeta Débito"/>
    <s v="Pagado"/>
  </r>
  <r>
    <x v="314"/>
    <x v="11"/>
    <s v="TX-103468"/>
    <x v="3"/>
    <x v="1"/>
    <x v="2"/>
    <n v="8596.15"/>
    <n v="1117.5"/>
    <x v="3464"/>
    <x v="2"/>
    <s v="Tarjeta Crédito Empresarial"/>
    <s v="Transferencia"/>
    <s v="Pendiente"/>
  </r>
  <r>
    <x v="335"/>
    <x v="10"/>
    <s v="TX-103469"/>
    <x v="8"/>
    <x v="1"/>
    <x v="0"/>
    <n v="3395.78"/>
    <n v="441.45"/>
    <x v="3465"/>
    <x v="2"/>
    <s v="Cuenta Corriente"/>
    <s v="Transferencia"/>
    <s v="Pendiente"/>
  </r>
  <r>
    <x v="81"/>
    <x v="3"/>
    <s v="TX-103470"/>
    <x v="14"/>
    <x v="1"/>
    <x v="7"/>
    <n v="13490.69"/>
    <n v="1753.79"/>
    <x v="3466"/>
    <x v="4"/>
    <s v="Cuenta Corriente"/>
    <s v="Efectivo"/>
    <s v="Pagado"/>
  </r>
  <r>
    <x v="220"/>
    <x v="1"/>
    <s v="TX-103471"/>
    <x v="16"/>
    <x v="1"/>
    <x v="0"/>
    <n v="8242.11"/>
    <n v="1071.47"/>
    <x v="3467"/>
    <x v="1"/>
    <s v="Cuenta Corriente"/>
    <s v="Transferencia"/>
    <s v="Pendiente"/>
  </r>
  <r>
    <x v="224"/>
    <x v="0"/>
    <s v="TX-103472"/>
    <x v="0"/>
    <x v="0"/>
    <x v="5"/>
    <n v="1947.3"/>
    <n v="0"/>
    <x v="3468"/>
    <x v="0"/>
    <s v="Cuenta Ahorros"/>
    <s v="Tarjeta Crédito"/>
    <s v="Pendiente"/>
  </r>
  <r>
    <x v="308"/>
    <x v="1"/>
    <s v="TX-103473"/>
    <x v="2"/>
    <x v="0"/>
    <x v="6"/>
    <n v="9291.11"/>
    <n v="0"/>
    <x v="3469"/>
    <x v="2"/>
    <s v="Cuenta Corriente"/>
    <s v="Efectivo"/>
    <s v="Pagado"/>
  </r>
  <r>
    <x v="135"/>
    <x v="4"/>
    <s v="TX-103474"/>
    <x v="3"/>
    <x v="0"/>
    <x v="2"/>
    <n v="14364.3"/>
    <n v="0"/>
    <x v="3470"/>
    <x v="4"/>
    <s v="Cuenta Ahorros"/>
    <s v="Tarjeta Débito"/>
    <s v="Pagado"/>
  </r>
  <r>
    <x v="147"/>
    <x v="3"/>
    <s v="TX-103475"/>
    <x v="10"/>
    <x v="0"/>
    <x v="7"/>
    <n v="10987.02"/>
    <n v="0"/>
    <x v="3471"/>
    <x v="3"/>
    <s v="Cuenta Corriente"/>
    <s v="Transferencia"/>
    <s v="Pendiente"/>
  </r>
  <r>
    <x v="255"/>
    <x v="10"/>
    <s v="TX-103476"/>
    <x v="0"/>
    <x v="1"/>
    <x v="5"/>
    <n v="1675.59"/>
    <n v="217.83"/>
    <x v="3472"/>
    <x v="0"/>
    <s v="Cuenta Ahorros"/>
    <s v="Tarjeta Crédito"/>
    <s v="Pendiente"/>
  </r>
  <r>
    <x v="352"/>
    <x v="4"/>
    <s v="TX-103477"/>
    <x v="6"/>
    <x v="1"/>
    <x v="4"/>
    <n v="14975.22"/>
    <n v="1946.78"/>
    <x v="3473"/>
    <x v="4"/>
    <s v="Cuenta Corriente"/>
    <s v="Tarjeta Crédito"/>
    <s v="Pagado"/>
  </r>
  <r>
    <x v="223"/>
    <x v="0"/>
    <s v="TX-103478"/>
    <x v="19"/>
    <x v="1"/>
    <x v="7"/>
    <n v="4265.96"/>
    <n v="554.57000000000005"/>
    <x v="3474"/>
    <x v="4"/>
    <s v="Cuenta Ahorros"/>
    <s v="Efectivo"/>
    <s v="Pendiente"/>
  </r>
  <r>
    <x v="109"/>
    <x v="3"/>
    <s v="TX-103479"/>
    <x v="7"/>
    <x v="1"/>
    <x v="5"/>
    <n v="3363.87"/>
    <n v="437.3"/>
    <x v="3475"/>
    <x v="3"/>
    <s v="Cuenta Ahorros"/>
    <s v="Tarjeta Crédito"/>
    <s v="Pendiente"/>
  </r>
  <r>
    <x v="18"/>
    <x v="9"/>
    <s v="TX-103480"/>
    <x v="15"/>
    <x v="1"/>
    <x v="4"/>
    <n v="6832.65"/>
    <n v="888.24"/>
    <x v="3476"/>
    <x v="2"/>
    <s v="Cuenta Corriente"/>
    <s v="Efectivo"/>
    <s v="Pendiente"/>
  </r>
  <r>
    <x v="19"/>
    <x v="8"/>
    <s v="TX-103481"/>
    <x v="0"/>
    <x v="1"/>
    <x v="3"/>
    <n v="9454.4"/>
    <n v="1229.07"/>
    <x v="3477"/>
    <x v="3"/>
    <s v="Cuenta Corriente"/>
    <s v="Efectivo"/>
    <s v="Pendiente"/>
  </r>
  <r>
    <x v="126"/>
    <x v="5"/>
    <s v="TX-103482"/>
    <x v="0"/>
    <x v="1"/>
    <x v="6"/>
    <n v="13556.14"/>
    <n v="1762.3"/>
    <x v="3478"/>
    <x v="1"/>
    <s v="Tarjeta Crédito Empresarial"/>
    <s v="Efectivo"/>
    <s v="Pagado"/>
  </r>
  <r>
    <x v="198"/>
    <x v="0"/>
    <s v="TX-103483"/>
    <x v="2"/>
    <x v="1"/>
    <x v="6"/>
    <n v="6962.29"/>
    <n v="905.1"/>
    <x v="3479"/>
    <x v="3"/>
    <s v="Cuenta Corriente"/>
    <s v="Transferencia"/>
    <s v="Pagado"/>
  </r>
  <r>
    <x v="120"/>
    <x v="3"/>
    <s v="TX-103484"/>
    <x v="13"/>
    <x v="1"/>
    <x v="5"/>
    <n v="14578.99"/>
    <n v="1895.27"/>
    <x v="3480"/>
    <x v="4"/>
    <s v="Tarjeta Crédito Empresarial"/>
    <s v="Tarjeta Débito"/>
    <s v="Pagado"/>
  </r>
  <r>
    <x v="71"/>
    <x v="5"/>
    <s v="TX-103485"/>
    <x v="3"/>
    <x v="0"/>
    <x v="4"/>
    <n v="11024.44"/>
    <n v="0"/>
    <x v="3481"/>
    <x v="2"/>
    <s v="Cuenta Corriente"/>
    <s v="Efectivo"/>
    <s v="Pendiente"/>
  </r>
  <r>
    <x v="98"/>
    <x v="0"/>
    <s v="TX-103486"/>
    <x v="10"/>
    <x v="0"/>
    <x v="4"/>
    <n v="2865.76"/>
    <n v="0"/>
    <x v="3482"/>
    <x v="0"/>
    <s v="Cuenta Corriente"/>
    <s v="Transferencia"/>
    <s v="Pagado"/>
  </r>
  <r>
    <x v="314"/>
    <x v="11"/>
    <s v="TX-103487"/>
    <x v="16"/>
    <x v="0"/>
    <x v="4"/>
    <n v="6213.36"/>
    <n v="0"/>
    <x v="3483"/>
    <x v="2"/>
    <s v="Tarjeta Crédito Empresarial"/>
    <s v="Tarjeta Crédito"/>
    <s v="Pagado"/>
  </r>
  <r>
    <x v="146"/>
    <x v="6"/>
    <s v="TX-103488"/>
    <x v="14"/>
    <x v="1"/>
    <x v="4"/>
    <n v="1078.92"/>
    <n v="140.26"/>
    <x v="3484"/>
    <x v="3"/>
    <s v="Cuenta Ahorros"/>
    <s v="Tarjeta Crédito"/>
    <s v="Pagado"/>
  </r>
  <r>
    <x v="291"/>
    <x v="3"/>
    <s v="TX-103489"/>
    <x v="18"/>
    <x v="1"/>
    <x v="0"/>
    <n v="2895.9"/>
    <n v="376.47"/>
    <x v="3485"/>
    <x v="2"/>
    <s v="Tarjeta Crédito Empresarial"/>
    <s v="Tarjeta Débito"/>
    <s v="Pagado"/>
  </r>
  <r>
    <x v="271"/>
    <x v="5"/>
    <s v="TX-103490"/>
    <x v="12"/>
    <x v="1"/>
    <x v="1"/>
    <n v="4769.8500000000004"/>
    <n v="620.08000000000004"/>
    <x v="3486"/>
    <x v="2"/>
    <s v="Tarjeta Crédito Empresarial"/>
    <s v="Tarjeta Crédito"/>
    <s v="Pagado"/>
  </r>
  <r>
    <x v="225"/>
    <x v="4"/>
    <s v="TX-103491"/>
    <x v="10"/>
    <x v="1"/>
    <x v="4"/>
    <n v="1836.79"/>
    <n v="238.78"/>
    <x v="3487"/>
    <x v="4"/>
    <s v="Cuenta Ahorros"/>
    <s v="Efectivo"/>
    <s v="Pagado"/>
  </r>
  <r>
    <x v="61"/>
    <x v="4"/>
    <s v="TX-103492"/>
    <x v="1"/>
    <x v="0"/>
    <x v="1"/>
    <n v="12435.39"/>
    <n v="0"/>
    <x v="3488"/>
    <x v="1"/>
    <s v="Cuenta Corriente"/>
    <s v="Transferencia"/>
    <s v="Pagado"/>
  </r>
  <r>
    <x v="91"/>
    <x v="6"/>
    <s v="TX-103493"/>
    <x v="2"/>
    <x v="1"/>
    <x v="0"/>
    <n v="12946"/>
    <n v="1682.98"/>
    <x v="3489"/>
    <x v="0"/>
    <s v="Tarjeta Crédito Empresarial"/>
    <s v="Efectivo"/>
    <s v="Pagado"/>
  </r>
  <r>
    <x v="12"/>
    <x v="8"/>
    <s v="TX-103494"/>
    <x v="4"/>
    <x v="0"/>
    <x v="3"/>
    <n v="7961.33"/>
    <n v="0"/>
    <x v="3490"/>
    <x v="1"/>
    <s v="Tarjeta Crédito Empresarial"/>
    <s v="Efectivo"/>
    <s v="Pendiente"/>
  </r>
  <r>
    <x v="35"/>
    <x v="4"/>
    <s v="TX-103495"/>
    <x v="3"/>
    <x v="1"/>
    <x v="7"/>
    <n v="14280"/>
    <n v="1856.4"/>
    <x v="3491"/>
    <x v="0"/>
    <s v="Cuenta Corriente"/>
    <s v="Transferencia"/>
    <s v="Pagado"/>
  </r>
  <r>
    <x v="253"/>
    <x v="6"/>
    <s v="TX-103496"/>
    <x v="3"/>
    <x v="0"/>
    <x v="2"/>
    <n v="11628.06"/>
    <n v="0"/>
    <x v="3492"/>
    <x v="0"/>
    <s v="Cuenta Corriente"/>
    <s v="Tarjeta Débito"/>
    <s v="Pagado"/>
  </r>
  <r>
    <x v="123"/>
    <x v="11"/>
    <s v="TX-103497"/>
    <x v="2"/>
    <x v="1"/>
    <x v="3"/>
    <n v="4348.46"/>
    <n v="565.29999999999995"/>
    <x v="3493"/>
    <x v="3"/>
    <s v="Tarjeta Crédito Empresarial"/>
    <s v="Tarjeta Crédito"/>
    <s v="Pendiente"/>
  </r>
  <r>
    <x v="58"/>
    <x v="9"/>
    <s v="TX-103498"/>
    <x v="15"/>
    <x v="0"/>
    <x v="4"/>
    <n v="13924.74"/>
    <n v="0"/>
    <x v="3494"/>
    <x v="4"/>
    <s v="Tarjeta Crédito Empresarial"/>
    <s v="Tarjeta Crédito"/>
    <s v="Pagado"/>
  </r>
  <r>
    <x v="87"/>
    <x v="3"/>
    <s v="TX-103499"/>
    <x v="13"/>
    <x v="1"/>
    <x v="7"/>
    <n v="12794.75"/>
    <n v="1663.32"/>
    <x v="3495"/>
    <x v="2"/>
    <s v="Cuenta Corriente"/>
    <s v="Tarjeta Crédito"/>
    <s v="Pendiente"/>
  </r>
  <r>
    <x v="146"/>
    <x v="6"/>
    <s v="TX-103500"/>
    <x v="0"/>
    <x v="0"/>
    <x v="6"/>
    <n v="6409.41"/>
    <n v="0"/>
    <x v="3496"/>
    <x v="4"/>
    <s v="Cuenta Ahorros"/>
    <s v="Transferencia"/>
    <s v="Pagado"/>
  </r>
  <r>
    <x v="357"/>
    <x v="0"/>
    <s v="TX-103501"/>
    <x v="10"/>
    <x v="1"/>
    <x v="3"/>
    <n v="11825.16"/>
    <n v="1537.27"/>
    <x v="3497"/>
    <x v="3"/>
    <s v="Tarjeta Crédito Empresarial"/>
    <s v="Efectivo"/>
    <s v="Pagado"/>
  </r>
  <r>
    <x v="171"/>
    <x v="10"/>
    <s v="TX-103502"/>
    <x v="0"/>
    <x v="1"/>
    <x v="3"/>
    <n v="12584.64"/>
    <n v="1636"/>
    <x v="3498"/>
    <x v="3"/>
    <s v="Tarjeta Crédito Empresarial"/>
    <s v="Tarjeta Crédito"/>
    <s v="Pagado"/>
  </r>
  <r>
    <x v="134"/>
    <x v="2"/>
    <s v="TX-103503"/>
    <x v="6"/>
    <x v="1"/>
    <x v="1"/>
    <n v="13091.74"/>
    <n v="1701.93"/>
    <x v="3499"/>
    <x v="1"/>
    <s v="Tarjeta Crédito Empresarial"/>
    <s v="Efectivo"/>
    <s v="Pagado"/>
  </r>
  <r>
    <x v="328"/>
    <x v="11"/>
    <s v="TX-103504"/>
    <x v="3"/>
    <x v="0"/>
    <x v="7"/>
    <n v="12358.05"/>
    <n v="0"/>
    <x v="3500"/>
    <x v="3"/>
    <s v="Cuenta Corriente"/>
    <s v="Tarjeta Crédito"/>
    <s v="Pendiente"/>
  </r>
  <r>
    <x v="231"/>
    <x v="9"/>
    <s v="TX-103505"/>
    <x v="15"/>
    <x v="1"/>
    <x v="2"/>
    <n v="1622.46"/>
    <n v="210.92"/>
    <x v="3501"/>
    <x v="1"/>
    <s v="Tarjeta Crédito Empresarial"/>
    <s v="Efectivo"/>
    <s v="Pendiente"/>
  </r>
  <r>
    <x v="206"/>
    <x v="9"/>
    <s v="TX-103506"/>
    <x v="10"/>
    <x v="0"/>
    <x v="7"/>
    <n v="3074.09"/>
    <n v="0"/>
    <x v="3502"/>
    <x v="0"/>
    <s v="Cuenta Ahorros"/>
    <s v="Efectivo"/>
    <s v="Pagado"/>
  </r>
  <r>
    <x v="323"/>
    <x v="2"/>
    <s v="TX-103507"/>
    <x v="14"/>
    <x v="1"/>
    <x v="6"/>
    <n v="12986.54"/>
    <n v="1688.25"/>
    <x v="3503"/>
    <x v="4"/>
    <s v="Cuenta Ahorros"/>
    <s v="Efectivo"/>
    <s v="Pagado"/>
  </r>
  <r>
    <x v="328"/>
    <x v="11"/>
    <s v="TX-103508"/>
    <x v="17"/>
    <x v="1"/>
    <x v="6"/>
    <n v="721.01"/>
    <n v="93.73"/>
    <x v="3504"/>
    <x v="2"/>
    <s v="Cuenta Corriente"/>
    <s v="Efectivo"/>
    <s v="Pendiente"/>
  </r>
  <r>
    <x v="305"/>
    <x v="10"/>
    <s v="TX-103509"/>
    <x v="4"/>
    <x v="0"/>
    <x v="7"/>
    <n v="2877.59"/>
    <n v="0"/>
    <x v="3505"/>
    <x v="3"/>
    <s v="Tarjeta Crédito Empresarial"/>
    <s v="Tarjeta Débito"/>
    <s v="Pagado"/>
  </r>
  <r>
    <x v="114"/>
    <x v="4"/>
    <s v="TX-103510"/>
    <x v="13"/>
    <x v="0"/>
    <x v="7"/>
    <n v="14160.89"/>
    <n v="0"/>
    <x v="3506"/>
    <x v="1"/>
    <s v="Cuenta Ahorros"/>
    <s v="Tarjeta Débito"/>
    <s v="Pendiente"/>
  </r>
  <r>
    <x v="318"/>
    <x v="3"/>
    <s v="TX-103511"/>
    <x v="4"/>
    <x v="0"/>
    <x v="0"/>
    <n v="8078.85"/>
    <n v="0"/>
    <x v="3507"/>
    <x v="1"/>
    <s v="Tarjeta Crédito Empresarial"/>
    <s v="Efectivo"/>
    <s v="Pagado"/>
  </r>
  <r>
    <x v="349"/>
    <x v="6"/>
    <s v="TX-103512"/>
    <x v="3"/>
    <x v="1"/>
    <x v="1"/>
    <n v="12643.18"/>
    <n v="1643.61"/>
    <x v="3508"/>
    <x v="4"/>
    <s v="Cuenta Corriente"/>
    <s v="Efectivo"/>
    <s v="Pendiente"/>
  </r>
  <r>
    <x v="64"/>
    <x v="11"/>
    <s v="TX-103513"/>
    <x v="2"/>
    <x v="1"/>
    <x v="5"/>
    <n v="5753.78"/>
    <n v="747.99"/>
    <x v="3509"/>
    <x v="3"/>
    <s v="Tarjeta Crédito Empresarial"/>
    <s v="Transferencia"/>
    <s v="Pendiente"/>
  </r>
  <r>
    <x v="8"/>
    <x v="7"/>
    <s v="TX-103514"/>
    <x v="5"/>
    <x v="0"/>
    <x v="0"/>
    <n v="10189.75"/>
    <n v="0"/>
    <x v="3510"/>
    <x v="3"/>
    <s v="Cuenta Corriente"/>
    <s v="Efectivo"/>
    <s v="Pagado"/>
  </r>
  <r>
    <x v="162"/>
    <x v="11"/>
    <s v="TX-103515"/>
    <x v="3"/>
    <x v="0"/>
    <x v="5"/>
    <n v="7758.21"/>
    <n v="0"/>
    <x v="3511"/>
    <x v="2"/>
    <s v="Cuenta Corriente"/>
    <s v="Tarjeta Débito"/>
    <s v="Pendiente"/>
  </r>
  <r>
    <x v="360"/>
    <x v="6"/>
    <s v="TX-103516"/>
    <x v="16"/>
    <x v="0"/>
    <x v="5"/>
    <n v="846.29"/>
    <n v="0"/>
    <x v="3512"/>
    <x v="2"/>
    <s v="Tarjeta Crédito Empresarial"/>
    <s v="Efectivo"/>
    <s v="Pendiente"/>
  </r>
  <r>
    <x v="306"/>
    <x v="2"/>
    <s v="TX-103517"/>
    <x v="4"/>
    <x v="1"/>
    <x v="2"/>
    <n v="2835.13"/>
    <n v="368.57"/>
    <x v="3513"/>
    <x v="1"/>
    <s v="Tarjeta Crédito Empresarial"/>
    <s v="Tarjeta Débito"/>
    <s v="Pendiente"/>
  </r>
  <r>
    <x v="282"/>
    <x v="2"/>
    <s v="TX-103518"/>
    <x v="18"/>
    <x v="0"/>
    <x v="0"/>
    <n v="8580.25"/>
    <n v="0"/>
    <x v="3514"/>
    <x v="4"/>
    <s v="Cuenta Corriente"/>
    <s v="Tarjeta Débito"/>
    <s v="Pagado"/>
  </r>
  <r>
    <x v="331"/>
    <x v="1"/>
    <s v="TX-103519"/>
    <x v="13"/>
    <x v="0"/>
    <x v="6"/>
    <n v="13589.7"/>
    <n v="0"/>
    <x v="3515"/>
    <x v="4"/>
    <s v="Tarjeta Crédito Empresarial"/>
    <s v="Tarjeta Crédito"/>
    <s v="Pendiente"/>
  </r>
  <r>
    <x v="325"/>
    <x v="5"/>
    <s v="TX-103520"/>
    <x v="10"/>
    <x v="0"/>
    <x v="6"/>
    <n v="14483.27"/>
    <n v="0"/>
    <x v="3516"/>
    <x v="1"/>
    <s v="Tarjeta Crédito Empresarial"/>
    <s v="Efectivo"/>
    <s v="Pagado"/>
  </r>
  <r>
    <x v="176"/>
    <x v="5"/>
    <s v="TX-103521"/>
    <x v="17"/>
    <x v="1"/>
    <x v="2"/>
    <n v="13723.69"/>
    <n v="1784.08"/>
    <x v="3517"/>
    <x v="2"/>
    <s v="Cuenta Corriente"/>
    <s v="Tarjeta Crédito"/>
    <s v="Pendiente"/>
  </r>
  <r>
    <x v="18"/>
    <x v="9"/>
    <s v="TX-103522"/>
    <x v="3"/>
    <x v="1"/>
    <x v="2"/>
    <n v="1077.21"/>
    <n v="140.04"/>
    <x v="3518"/>
    <x v="1"/>
    <s v="Cuenta Ahorros"/>
    <s v="Transferencia"/>
    <s v="Pagado"/>
  </r>
  <r>
    <x v="235"/>
    <x v="7"/>
    <s v="TX-103523"/>
    <x v="16"/>
    <x v="1"/>
    <x v="4"/>
    <n v="7757.76"/>
    <n v="1008.51"/>
    <x v="3519"/>
    <x v="1"/>
    <s v="Tarjeta Crédito Empresarial"/>
    <s v="Tarjeta Crédito"/>
    <s v="Pendiente"/>
  </r>
  <r>
    <x v="275"/>
    <x v="10"/>
    <s v="TX-103524"/>
    <x v="7"/>
    <x v="1"/>
    <x v="4"/>
    <n v="2996.33"/>
    <n v="389.52"/>
    <x v="3520"/>
    <x v="3"/>
    <s v="Cuenta Ahorros"/>
    <s v="Efectivo"/>
    <s v="Pendiente"/>
  </r>
  <r>
    <x v="153"/>
    <x v="10"/>
    <s v="TX-103525"/>
    <x v="11"/>
    <x v="0"/>
    <x v="6"/>
    <n v="297.76"/>
    <n v="0"/>
    <x v="3521"/>
    <x v="2"/>
    <s v="Cuenta Corriente"/>
    <s v="Tarjeta Crédito"/>
    <s v="Pendiente"/>
  </r>
  <r>
    <x v="196"/>
    <x v="11"/>
    <s v="TX-103526"/>
    <x v="0"/>
    <x v="1"/>
    <x v="1"/>
    <n v="4532.6400000000003"/>
    <n v="589.24"/>
    <x v="3522"/>
    <x v="0"/>
    <s v="Cuenta Ahorros"/>
    <s v="Tarjeta Crédito"/>
    <s v="Pagado"/>
  </r>
  <r>
    <x v="220"/>
    <x v="1"/>
    <s v="TX-103527"/>
    <x v="17"/>
    <x v="1"/>
    <x v="2"/>
    <n v="13816.3"/>
    <n v="1796.12"/>
    <x v="3523"/>
    <x v="3"/>
    <s v="Tarjeta Crédito Empresarial"/>
    <s v="Transferencia"/>
    <s v="Pendiente"/>
  </r>
  <r>
    <x v="74"/>
    <x v="9"/>
    <s v="TX-103528"/>
    <x v="5"/>
    <x v="1"/>
    <x v="0"/>
    <n v="5577.18"/>
    <n v="725.03"/>
    <x v="3524"/>
    <x v="4"/>
    <s v="Tarjeta Crédito Empresarial"/>
    <s v="Tarjeta Crédito"/>
    <s v="Pagado"/>
  </r>
  <r>
    <x v="235"/>
    <x v="7"/>
    <s v="TX-103529"/>
    <x v="1"/>
    <x v="0"/>
    <x v="7"/>
    <n v="611.88"/>
    <n v="0"/>
    <x v="3525"/>
    <x v="2"/>
    <s v="Cuenta Ahorros"/>
    <s v="Tarjeta Crédito"/>
    <s v="Pendiente"/>
  </r>
  <r>
    <x v="101"/>
    <x v="5"/>
    <s v="TX-103530"/>
    <x v="1"/>
    <x v="0"/>
    <x v="4"/>
    <n v="12631.36"/>
    <n v="0"/>
    <x v="3526"/>
    <x v="4"/>
    <s v="Cuenta Ahorros"/>
    <s v="Tarjeta Débito"/>
    <s v="Pendiente"/>
  </r>
  <r>
    <x v="342"/>
    <x v="1"/>
    <s v="TX-103531"/>
    <x v="8"/>
    <x v="0"/>
    <x v="3"/>
    <n v="14837.68"/>
    <n v="0"/>
    <x v="3527"/>
    <x v="4"/>
    <s v="Cuenta Corriente"/>
    <s v="Tarjeta Débito"/>
    <s v="Pendiente"/>
  </r>
  <r>
    <x v="232"/>
    <x v="10"/>
    <s v="TX-103532"/>
    <x v="7"/>
    <x v="1"/>
    <x v="5"/>
    <n v="9970.99"/>
    <n v="1296.23"/>
    <x v="3528"/>
    <x v="2"/>
    <s v="Cuenta Corriente"/>
    <s v="Efectivo"/>
    <s v="Pagado"/>
  </r>
  <r>
    <x v="205"/>
    <x v="3"/>
    <s v="TX-103533"/>
    <x v="12"/>
    <x v="0"/>
    <x v="0"/>
    <n v="4179.1099999999997"/>
    <n v="0"/>
    <x v="3529"/>
    <x v="3"/>
    <s v="Tarjeta Crédito Empresarial"/>
    <s v="Tarjeta Crédito"/>
    <s v="Pendiente"/>
  </r>
  <r>
    <x v="46"/>
    <x v="4"/>
    <s v="TX-103534"/>
    <x v="10"/>
    <x v="1"/>
    <x v="3"/>
    <n v="808.32"/>
    <n v="105.08"/>
    <x v="3530"/>
    <x v="0"/>
    <s v="Tarjeta Crédito Empresarial"/>
    <s v="Transferencia"/>
    <s v="Pagado"/>
  </r>
  <r>
    <x v="51"/>
    <x v="9"/>
    <s v="TX-103535"/>
    <x v="2"/>
    <x v="0"/>
    <x v="2"/>
    <n v="5898.18"/>
    <n v="0"/>
    <x v="3531"/>
    <x v="4"/>
    <s v="Cuenta Corriente"/>
    <s v="Tarjeta Crédito"/>
    <s v="Pagado"/>
  </r>
  <r>
    <x v="158"/>
    <x v="0"/>
    <s v="TX-103536"/>
    <x v="0"/>
    <x v="1"/>
    <x v="5"/>
    <n v="4401.42"/>
    <n v="572.17999999999995"/>
    <x v="3532"/>
    <x v="1"/>
    <s v="Cuenta Ahorros"/>
    <s v="Efectivo"/>
    <s v="Pagado"/>
  </r>
  <r>
    <x v="41"/>
    <x v="5"/>
    <s v="TX-103537"/>
    <x v="4"/>
    <x v="1"/>
    <x v="6"/>
    <n v="6570.03"/>
    <n v="854.1"/>
    <x v="3533"/>
    <x v="3"/>
    <s v="Tarjeta Crédito Empresarial"/>
    <s v="Tarjeta Crédito"/>
    <s v="Pendiente"/>
  </r>
  <r>
    <x v="210"/>
    <x v="3"/>
    <s v="TX-103538"/>
    <x v="5"/>
    <x v="1"/>
    <x v="0"/>
    <n v="6549.52"/>
    <n v="851.44"/>
    <x v="3534"/>
    <x v="3"/>
    <s v="Cuenta Corriente"/>
    <s v="Tarjeta Crédito"/>
    <s v="Pagado"/>
  </r>
  <r>
    <x v="349"/>
    <x v="6"/>
    <s v="TX-103539"/>
    <x v="7"/>
    <x v="0"/>
    <x v="2"/>
    <n v="6616.71"/>
    <n v="0"/>
    <x v="3535"/>
    <x v="3"/>
    <s v="Tarjeta Crédito Empresarial"/>
    <s v="Tarjeta Crédito"/>
    <s v="Pendiente"/>
  </r>
  <r>
    <x v="139"/>
    <x v="9"/>
    <s v="TX-103540"/>
    <x v="19"/>
    <x v="1"/>
    <x v="6"/>
    <n v="2706.3"/>
    <n v="351.82"/>
    <x v="3536"/>
    <x v="0"/>
    <s v="Cuenta Corriente"/>
    <s v="Tarjeta Débito"/>
    <s v="Pagado"/>
  </r>
  <r>
    <x v="362"/>
    <x v="6"/>
    <s v="TX-103541"/>
    <x v="1"/>
    <x v="0"/>
    <x v="5"/>
    <n v="8577.91"/>
    <n v="0"/>
    <x v="3537"/>
    <x v="2"/>
    <s v="Tarjeta Crédito Empresarial"/>
    <s v="Transferencia"/>
    <s v="Pendiente"/>
  </r>
  <r>
    <x v="247"/>
    <x v="11"/>
    <s v="TX-103542"/>
    <x v="9"/>
    <x v="1"/>
    <x v="2"/>
    <n v="3285.17"/>
    <n v="427.07"/>
    <x v="3538"/>
    <x v="2"/>
    <s v="Tarjeta Crédito Empresarial"/>
    <s v="Efectivo"/>
    <s v="Pagado"/>
  </r>
  <r>
    <x v="122"/>
    <x v="1"/>
    <s v="TX-103543"/>
    <x v="9"/>
    <x v="1"/>
    <x v="3"/>
    <n v="4855.6400000000003"/>
    <n v="631.23"/>
    <x v="3539"/>
    <x v="3"/>
    <s v="Cuenta Corriente"/>
    <s v="Transferencia"/>
    <s v="Pagado"/>
  </r>
  <r>
    <x v="149"/>
    <x v="11"/>
    <s v="TX-103544"/>
    <x v="17"/>
    <x v="1"/>
    <x v="5"/>
    <n v="822.03"/>
    <n v="106.86"/>
    <x v="3540"/>
    <x v="2"/>
    <s v="Tarjeta Crédito Empresarial"/>
    <s v="Tarjeta Crédito"/>
    <s v="Pendiente"/>
  </r>
  <r>
    <x v="33"/>
    <x v="5"/>
    <s v="TX-103545"/>
    <x v="7"/>
    <x v="0"/>
    <x v="4"/>
    <n v="8179.2"/>
    <n v="0"/>
    <x v="3541"/>
    <x v="0"/>
    <s v="Cuenta Corriente"/>
    <s v="Efectivo"/>
    <s v="Pagado"/>
  </r>
  <r>
    <x v="351"/>
    <x v="9"/>
    <s v="TX-103546"/>
    <x v="5"/>
    <x v="0"/>
    <x v="7"/>
    <n v="13309.38"/>
    <n v="0"/>
    <x v="3542"/>
    <x v="0"/>
    <s v="Cuenta Corriente"/>
    <s v="Efectivo"/>
    <s v="Pendiente"/>
  </r>
  <r>
    <x v="261"/>
    <x v="2"/>
    <s v="TX-103547"/>
    <x v="2"/>
    <x v="1"/>
    <x v="6"/>
    <n v="2911.26"/>
    <n v="378.46"/>
    <x v="3543"/>
    <x v="3"/>
    <s v="Tarjeta Crédito Empresarial"/>
    <s v="Transferencia"/>
    <s v="Pagado"/>
  </r>
  <r>
    <x v="257"/>
    <x v="7"/>
    <s v="TX-103548"/>
    <x v="5"/>
    <x v="1"/>
    <x v="6"/>
    <n v="13245.9"/>
    <n v="1721.97"/>
    <x v="3544"/>
    <x v="3"/>
    <s v="Cuenta Ahorros"/>
    <s v="Efectivo"/>
    <s v="Pagado"/>
  </r>
  <r>
    <x v="183"/>
    <x v="1"/>
    <s v="TX-103549"/>
    <x v="9"/>
    <x v="1"/>
    <x v="4"/>
    <n v="14014.59"/>
    <n v="1821.9"/>
    <x v="3545"/>
    <x v="4"/>
    <s v="Cuenta Corriente"/>
    <s v="Tarjeta Crédito"/>
    <s v="Pendiente"/>
  </r>
  <r>
    <x v="306"/>
    <x v="2"/>
    <s v="TX-103550"/>
    <x v="15"/>
    <x v="0"/>
    <x v="2"/>
    <n v="9464.49"/>
    <n v="0"/>
    <x v="3546"/>
    <x v="3"/>
    <s v="Cuenta Corriente"/>
    <s v="Tarjeta Crédito"/>
    <s v="Pagado"/>
  </r>
  <r>
    <x v="34"/>
    <x v="1"/>
    <s v="TX-103551"/>
    <x v="16"/>
    <x v="1"/>
    <x v="3"/>
    <n v="6643.12"/>
    <n v="863.61"/>
    <x v="3547"/>
    <x v="1"/>
    <s v="Cuenta Ahorros"/>
    <s v="Efectivo"/>
    <s v="Pagado"/>
  </r>
  <r>
    <x v="302"/>
    <x v="8"/>
    <s v="TX-103552"/>
    <x v="16"/>
    <x v="1"/>
    <x v="7"/>
    <n v="9614.89"/>
    <n v="1249.94"/>
    <x v="3548"/>
    <x v="1"/>
    <s v="Cuenta Ahorros"/>
    <s v="Tarjeta Crédito"/>
    <s v="Pagado"/>
  </r>
  <r>
    <x v="203"/>
    <x v="6"/>
    <s v="TX-103553"/>
    <x v="13"/>
    <x v="1"/>
    <x v="2"/>
    <n v="643.77"/>
    <n v="83.69"/>
    <x v="3549"/>
    <x v="2"/>
    <s v="Cuenta Corriente"/>
    <s v="Tarjeta Crédito"/>
    <s v="Pagado"/>
  </r>
  <r>
    <x v="29"/>
    <x v="3"/>
    <s v="TX-103554"/>
    <x v="5"/>
    <x v="1"/>
    <x v="1"/>
    <n v="13242.92"/>
    <n v="1721.58"/>
    <x v="3550"/>
    <x v="3"/>
    <s v="Cuenta Corriente"/>
    <s v="Efectivo"/>
    <s v="Pagado"/>
  </r>
  <r>
    <x v="192"/>
    <x v="8"/>
    <s v="TX-103555"/>
    <x v="13"/>
    <x v="1"/>
    <x v="6"/>
    <n v="4183.8100000000004"/>
    <n v="543.9"/>
    <x v="3551"/>
    <x v="2"/>
    <s v="Cuenta Ahorros"/>
    <s v="Transferencia"/>
    <s v="Pendiente"/>
  </r>
  <r>
    <x v="207"/>
    <x v="8"/>
    <s v="TX-103556"/>
    <x v="19"/>
    <x v="1"/>
    <x v="7"/>
    <n v="14971.43"/>
    <n v="1946.29"/>
    <x v="3552"/>
    <x v="4"/>
    <s v="Tarjeta Crédito Empresarial"/>
    <s v="Tarjeta Crédito"/>
    <s v="Pagado"/>
  </r>
  <r>
    <x v="363"/>
    <x v="11"/>
    <s v="TX-103557"/>
    <x v="11"/>
    <x v="1"/>
    <x v="5"/>
    <n v="11935.78"/>
    <n v="1551.65"/>
    <x v="3553"/>
    <x v="0"/>
    <s v="Cuenta Corriente"/>
    <s v="Efectivo"/>
    <s v="Pagado"/>
  </r>
  <r>
    <x v="34"/>
    <x v="1"/>
    <s v="TX-103558"/>
    <x v="6"/>
    <x v="0"/>
    <x v="1"/>
    <n v="7197.66"/>
    <n v="0"/>
    <x v="3554"/>
    <x v="2"/>
    <s v="Cuenta Corriente"/>
    <s v="Tarjeta Débito"/>
    <s v="Pendiente"/>
  </r>
  <r>
    <x v="270"/>
    <x v="0"/>
    <s v="TX-103559"/>
    <x v="12"/>
    <x v="1"/>
    <x v="6"/>
    <n v="8703.26"/>
    <n v="1131.42"/>
    <x v="3555"/>
    <x v="3"/>
    <s v="Tarjeta Crédito Empresarial"/>
    <s v="Efectivo"/>
    <s v="Pagado"/>
  </r>
  <r>
    <x v="11"/>
    <x v="8"/>
    <s v="TX-103560"/>
    <x v="5"/>
    <x v="0"/>
    <x v="0"/>
    <n v="4721.3"/>
    <n v="0"/>
    <x v="3556"/>
    <x v="3"/>
    <s v="Cuenta Ahorros"/>
    <s v="Transferencia"/>
    <s v="Pendiente"/>
  </r>
  <r>
    <x v="170"/>
    <x v="10"/>
    <s v="TX-103561"/>
    <x v="6"/>
    <x v="0"/>
    <x v="6"/>
    <n v="141.63999999999999"/>
    <n v="0"/>
    <x v="3557"/>
    <x v="0"/>
    <s v="Cuenta Ahorros"/>
    <s v="Tarjeta Crédito"/>
    <s v="Pendiente"/>
  </r>
  <r>
    <x v="193"/>
    <x v="5"/>
    <s v="TX-103562"/>
    <x v="3"/>
    <x v="0"/>
    <x v="3"/>
    <n v="7593.3"/>
    <n v="0"/>
    <x v="3558"/>
    <x v="1"/>
    <s v="Cuenta Corriente"/>
    <s v="Transferencia"/>
    <s v="Pagado"/>
  </r>
  <r>
    <x v="365"/>
    <x v="4"/>
    <s v="TX-103563"/>
    <x v="3"/>
    <x v="0"/>
    <x v="2"/>
    <n v="9182.77"/>
    <n v="0"/>
    <x v="3559"/>
    <x v="0"/>
    <s v="Cuenta Ahorros"/>
    <s v="Tarjeta Crédito"/>
    <s v="Pendiente"/>
  </r>
  <r>
    <x v="327"/>
    <x v="7"/>
    <s v="TX-103564"/>
    <x v="14"/>
    <x v="0"/>
    <x v="6"/>
    <n v="5082.87"/>
    <n v="0"/>
    <x v="3560"/>
    <x v="4"/>
    <s v="Tarjeta Crédito Empresarial"/>
    <s v="Transferencia"/>
    <s v="Pendiente"/>
  </r>
  <r>
    <x v="353"/>
    <x v="7"/>
    <s v="TX-103565"/>
    <x v="3"/>
    <x v="0"/>
    <x v="2"/>
    <n v="8748.43"/>
    <n v="0"/>
    <x v="3561"/>
    <x v="2"/>
    <s v="Cuenta Corriente"/>
    <s v="Transferencia"/>
    <s v="Pagado"/>
  </r>
  <r>
    <x v="347"/>
    <x v="7"/>
    <s v="TX-103566"/>
    <x v="13"/>
    <x v="0"/>
    <x v="6"/>
    <n v="1653.46"/>
    <n v="0"/>
    <x v="3562"/>
    <x v="1"/>
    <s v="Cuenta Corriente"/>
    <s v="Efectivo"/>
    <s v="Pendiente"/>
  </r>
  <r>
    <x v="35"/>
    <x v="4"/>
    <s v="TX-103567"/>
    <x v="3"/>
    <x v="1"/>
    <x v="4"/>
    <n v="1020.04"/>
    <n v="132.61000000000001"/>
    <x v="3563"/>
    <x v="1"/>
    <s v="Cuenta Corriente"/>
    <s v="Tarjeta Débito"/>
    <s v="Pagado"/>
  </r>
  <r>
    <x v="212"/>
    <x v="8"/>
    <s v="TX-103568"/>
    <x v="16"/>
    <x v="0"/>
    <x v="7"/>
    <n v="12657.01"/>
    <n v="0"/>
    <x v="3564"/>
    <x v="3"/>
    <s v="Tarjeta Crédito Empresarial"/>
    <s v="Tarjeta Débito"/>
    <s v="Pagado"/>
  </r>
  <r>
    <x v="348"/>
    <x v="8"/>
    <s v="TX-103569"/>
    <x v="11"/>
    <x v="1"/>
    <x v="5"/>
    <n v="7763.52"/>
    <n v="1009.26"/>
    <x v="3565"/>
    <x v="3"/>
    <s v="Tarjeta Crédito Empresarial"/>
    <s v="Tarjeta Débito"/>
    <s v="Pendiente"/>
  </r>
  <r>
    <x v="323"/>
    <x v="2"/>
    <s v="TX-103570"/>
    <x v="13"/>
    <x v="0"/>
    <x v="5"/>
    <n v="14315.56"/>
    <n v="0"/>
    <x v="3566"/>
    <x v="3"/>
    <s v="Cuenta Corriente"/>
    <s v="Efectivo"/>
    <s v="Pendiente"/>
  </r>
  <r>
    <x v="128"/>
    <x v="9"/>
    <s v="TX-103571"/>
    <x v="12"/>
    <x v="0"/>
    <x v="0"/>
    <n v="1101.44"/>
    <n v="0"/>
    <x v="3567"/>
    <x v="0"/>
    <s v="Cuenta Corriente"/>
    <s v="Tarjeta Débito"/>
    <s v="Pagado"/>
  </r>
  <r>
    <x v="20"/>
    <x v="1"/>
    <s v="TX-103572"/>
    <x v="11"/>
    <x v="0"/>
    <x v="5"/>
    <n v="14611.14"/>
    <n v="0"/>
    <x v="3568"/>
    <x v="1"/>
    <s v="Tarjeta Crédito Empresarial"/>
    <s v="Tarjeta Crédito"/>
    <s v="Pendiente"/>
  </r>
  <r>
    <x v="293"/>
    <x v="1"/>
    <s v="TX-103573"/>
    <x v="0"/>
    <x v="1"/>
    <x v="2"/>
    <n v="7666"/>
    <n v="996.58"/>
    <x v="3569"/>
    <x v="4"/>
    <s v="Tarjeta Crédito Empresarial"/>
    <s v="Efectivo"/>
    <s v="Pendiente"/>
  </r>
  <r>
    <x v="307"/>
    <x v="11"/>
    <s v="TX-103574"/>
    <x v="18"/>
    <x v="1"/>
    <x v="1"/>
    <n v="1978.39"/>
    <n v="257.19"/>
    <x v="3570"/>
    <x v="4"/>
    <s v="Cuenta Ahorros"/>
    <s v="Transferencia"/>
    <s v="Pendiente"/>
  </r>
  <r>
    <x v="76"/>
    <x v="11"/>
    <s v="TX-103575"/>
    <x v="11"/>
    <x v="1"/>
    <x v="7"/>
    <n v="730.84"/>
    <n v="95.01"/>
    <x v="3571"/>
    <x v="2"/>
    <s v="Cuenta Ahorros"/>
    <s v="Transferencia"/>
    <s v="Pendiente"/>
  </r>
  <r>
    <x v="266"/>
    <x v="0"/>
    <s v="TX-103576"/>
    <x v="4"/>
    <x v="0"/>
    <x v="0"/>
    <n v="2796.57"/>
    <n v="0"/>
    <x v="3572"/>
    <x v="2"/>
    <s v="Tarjeta Crédito Empresarial"/>
    <s v="Efectivo"/>
    <s v="Pagado"/>
  </r>
  <r>
    <x v="356"/>
    <x v="9"/>
    <s v="TX-103577"/>
    <x v="14"/>
    <x v="1"/>
    <x v="4"/>
    <n v="2856.23"/>
    <n v="371.31"/>
    <x v="3573"/>
    <x v="1"/>
    <s v="Cuenta Ahorros"/>
    <s v="Tarjeta Débito"/>
    <s v="Pagado"/>
  </r>
  <r>
    <x v="210"/>
    <x v="3"/>
    <s v="TX-103578"/>
    <x v="17"/>
    <x v="1"/>
    <x v="2"/>
    <n v="698.65"/>
    <n v="90.82"/>
    <x v="3574"/>
    <x v="3"/>
    <s v="Cuenta Corriente"/>
    <s v="Transferencia"/>
    <s v="Pendiente"/>
  </r>
  <r>
    <x v="339"/>
    <x v="0"/>
    <s v="TX-103579"/>
    <x v="10"/>
    <x v="1"/>
    <x v="1"/>
    <n v="9453.64"/>
    <n v="1228.97"/>
    <x v="3575"/>
    <x v="4"/>
    <s v="Cuenta Corriente"/>
    <s v="Tarjeta Débito"/>
    <s v="Pendiente"/>
  </r>
  <r>
    <x v="79"/>
    <x v="8"/>
    <s v="TX-103580"/>
    <x v="8"/>
    <x v="0"/>
    <x v="4"/>
    <n v="2040.71"/>
    <n v="0"/>
    <x v="3576"/>
    <x v="4"/>
    <s v="Tarjeta Crédito Empresarial"/>
    <s v="Tarjeta Débito"/>
    <s v="Pagado"/>
  </r>
  <r>
    <x v="56"/>
    <x v="11"/>
    <s v="TX-103581"/>
    <x v="7"/>
    <x v="0"/>
    <x v="5"/>
    <n v="9871.2000000000007"/>
    <n v="0"/>
    <x v="3577"/>
    <x v="1"/>
    <s v="Cuenta Corriente"/>
    <s v="Efectivo"/>
    <s v="Pendiente"/>
  </r>
  <r>
    <x v="266"/>
    <x v="0"/>
    <s v="TX-103582"/>
    <x v="7"/>
    <x v="0"/>
    <x v="7"/>
    <n v="13771.48"/>
    <n v="0"/>
    <x v="3578"/>
    <x v="4"/>
    <s v="Tarjeta Crédito Empresarial"/>
    <s v="Efectivo"/>
    <s v="Pendiente"/>
  </r>
  <r>
    <x v="153"/>
    <x v="10"/>
    <s v="TX-103583"/>
    <x v="14"/>
    <x v="1"/>
    <x v="2"/>
    <n v="8018.81"/>
    <n v="1042.45"/>
    <x v="3579"/>
    <x v="4"/>
    <s v="Tarjeta Crédito Empresarial"/>
    <s v="Efectivo"/>
    <s v="Pagado"/>
  </r>
  <r>
    <x v="210"/>
    <x v="3"/>
    <s v="TX-103584"/>
    <x v="9"/>
    <x v="0"/>
    <x v="0"/>
    <n v="630.58000000000004"/>
    <n v="0"/>
    <x v="3580"/>
    <x v="3"/>
    <s v="Tarjeta Crédito Empresarial"/>
    <s v="Tarjeta Crédito"/>
    <s v="Pendiente"/>
  </r>
  <r>
    <x v="177"/>
    <x v="8"/>
    <s v="TX-103585"/>
    <x v="4"/>
    <x v="0"/>
    <x v="2"/>
    <n v="9695.75"/>
    <n v="0"/>
    <x v="3581"/>
    <x v="4"/>
    <s v="Cuenta Ahorros"/>
    <s v="Transferencia"/>
    <s v="Pagado"/>
  </r>
  <r>
    <x v="34"/>
    <x v="1"/>
    <s v="TX-103586"/>
    <x v="2"/>
    <x v="0"/>
    <x v="4"/>
    <n v="10932.32"/>
    <n v="0"/>
    <x v="3582"/>
    <x v="4"/>
    <s v="Tarjeta Crédito Empresarial"/>
    <s v="Transferencia"/>
    <s v="Pendiente"/>
  </r>
  <r>
    <x v="158"/>
    <x v="0"/>
    <s v="TX-103587"/>
    <x v="8"/>
    <x v="0"/>
    <x v="0"/>
    <n v="13612.23"/>
    <n v="0"/>
    <x v="3583"/>
    <x v="0"/>
    <s v="Tarjeta Crédito Empresarial"/>
    <s v="Tarjeta Crédito"/>
    <s v="Pagado"/>
  </r>
  <r>
    <x v="128"/>
    <x v="9"/>
    <s v="TX-103588"/>
    <x v="16"/>
    <x v="1"/>
    <x v="6"/>
    <n v="13512.89"/>
    <n v="1756.68"/>
    <x v="3584"/>
    <x v="0"/>
    <s v="Cuenta Corriente"/>
    <s v="Tarjeta Débito"/>
    <s v="Pagado"/>
  </r>
  <r>
    <x v="81"/>
    <x v="3"/>
    <s v="TX-103589"/>
    <x v="18"/>
    <x v="0"/>
    <x v="4"/>
    <n v="514.9"/>
    <n v="0"/>
    <x v="3585"/>
    <x v="4"/>
    <s v="Tarjeta Crédito Empresarial"/>
    <s v="Tarjeta Crédito"/>
    <s v="Pendiente"/>
  </r>
  <r>
    <x v="140"/>
    <x v="6"/>
    <s v="TX-103590"/>
    <x v="10"/>
    <x v="1"/>
    <x v="1"/>
    <n v="11096.28"/>
    <n v="1442.52"/>
    <x v="3586"/>
    <x v="3"/>
    <s v="Cuenta Ahorros"/>
    <s v="Tarjeta Débito"/>
    <s v="Pendiente"/>
  </r>
  <r>
    <x v="203"/>
    <x v="6"/>
    <s v="TX-103591"/>
    <x v="16"/>
    <x v="1"/>
    <x v="6"/>
    <n v="5417.67"/>
    <n v="704.3"/>
    <x v="3587"/>
    <x v="2"/>
    <s v="Tarjeta Crédito Empresarial"/>
    <s v="Tarjeta Crédito"/>
    <s v="Pagado"/>
  </r>
  <r>
    <x v="138"/>
    <x v="11"/>
    <s v="TX-103592"/>
    <x v="17"/>
    <x v="0"/>
    <x v="1"/>
    <n v="6780.13"/>
    <n v="0"/>
    <x v="3588"/>
    <x v="0"/>
    <s v="Tarjeta Crédito Empresarial"/>
    <s v="Efectivo"/>
    <s v="Pendiente"/>
  </r>
  <r>
    <x v="158"/>
    <x v="0"/>
    <s v="TX-103593"/>
    <x v="4"/>
    <x v="1"/>
    <x v="5"/>
    <n v="14625.57"/>
    <n v="1901.32"/>
    <x v="3589"/>
    <x v="3"/>
    <s v="Tarjeta Crédito Empresarial"/>
    <s v="Transferencia"/>
    <s v="Pendiente"/>
  </r>
  <r>
    <x v="119"/>
    <x v="6"/>
    <s v="TX-103594"/>
    <x v="0"/>
    <x v="0"/>
    <x v="1"/>
    <n v="11546.98"/>
    <n v="0"/>
    <x v="3590"/>
    <x v="2"/>
    <s v="Cuenta Ahorros"/>
    <s v="Transferencia"/>
    <s v="Pagado"/>
  </r>
  <r>
    <x v="147"/>
    <x v="3"/>
    <s v="TX-103595"/>
    <x v="9"/>
    <x v="0"/>
    <x v="2"/>
    <n v="10336.84"/>
    <n v="0"/>
    <x v="3591"/>
    <x v="1"/>
    <s v="Tarjeta Crédito Empresarial"/>
    <s v="Transferencia"/>
    <s v="Pendiente"/>
  </r>
  <r>
    <x v="224"/>
    <x v="0"/>
    <s v="TX-103596"/>
    <x v="0"/>
    <x v="0"/>
    <x v="3"/>
    <n v="6162.38"/>
    <n v="0"/>
    <x v="3592"/>
    <x v="0"/>
    <s v="Cuenta Ahorros"/>
    <s v="Tarjeta Crédito"/>
    <s v="Pendiente"/>
  </r>
  <r>
    <x v="90"/>
    <x v="11"/>
    <s v="TX-103597"/>
    <x v="15"/>
    <x v="1"/>
    <x v="4"/>
    <n v="4544.25"/>
    <n v="590.75"/>
    <x v="3593"/>
    <x v="3"/>
    <s v="Tarjeta Crédito Empresarial"/>
    <s v="Tarjeta Crédito"/>
    <s v="Pendiente"/>
  </r>
  <r>
    <x v="297"/>
    <x v="11"/>
    <s v="TX-103598"/>
    <x v="18"/>
    <x v="1"/>
    <x v="1"/>
    <n v="14695.95"/>
    <n v="1910.47"/>
    <x v="3594"/>
    <x v="1"/>
    <s v="Cuenta Ahorros"/>
    <s v="Transferencia"/>
    <s v="Pagado"/>
  </r>
  <r>
    <x v="325"/>
    <x v="5"/>
    <s v="TX-103599"/>
    <x v="14"/>
    <x v="0"/>
    <x v="7"/>
    <n v="11659.54"/>
    <n v="0"/>
    <x v="3595"/>
    <x v="2"/>
    <s v="Tarjeta Crédito Empresarial"/>
    <s v="Tarjeta Crédito"/>
    <s v="Pagado"/>
  </r>
  <r>
    <x v="54"/>
    <x v="3"/>
    <s v="TX-103600"/>
    <x v="6"/>
    <x v="1"/>
    <x v="5"/>
    <n v="4653.97"/>
    <n v="605.02"/>
    <x v="3596"/>
    <x v="1"/>
    <s v="Tarjeta Crédito Empresarial"/>
    <s v="Efectivo"/>
    <s v="Pendiente"/>
  </r>
  <r>
    <x v="36"/>
    <x v="7"/>
    <s v="TX-103601"/>
    <x v="5"/>
    <x v="1"/>
    <x v="4"/>
    <n v="11981.52"/>
    <n v="1557.6"/>
    <x v="3597"/>
    <x v="0"/>
    <s v="Cuenta Corriente"/>
    <s v="Efectivo"/>
    <s v="Pendiente"/>
  </r>
  <r>
    <x v="265"/>
    <x v="1"/>
    <s v="TX-103602"/>
    <x v="9"/>
    <x v="0"/>
    <x v="5"/>
    <n v="4290.2700000000004"/>
    <n v="0"/>
    <x v="3598"/>
    <x v="2"/>
    <s v="Tarjeta Crédito Empresarial"/>
    <s v="Transferencia"/>
    <s v="Pagado"/>
  </r>
  <r>
    <x v="156"/>
    <x v="4"/>
    <s v="TX-103603"/>
    <x v="0"/>
    <x v="1"/>
    <x v="3"/>
    <n v="11528.67"/>
    <n v="1498.73"/>
    <x v="3599"/>
    <x v="4"/>
    <s v="Cuenta Corriente"/>
    <s v="Tarjeta Débito"/>
    <s v="Pagado"/>
  </r>
  <r>
    <x v="40"/>
    <x v="2"/>
    <s v="TX-103604"/>
    <x v="8"/>
    <x v="0"/>
    <x v="6"/>
    <n v="1498.62"/>
    <n v="0"/>
    <x v="3600"/>
    <x v="4"/>
    <s v="Cuenta Ahorros"/>
    <s v="Tarjeta Crédito"/>
    <s v="Pagado"/>
  </r>
  <r>
    <x v="201"/>
    <x v="8"/>
    <s v="TX-103605"/>
    <x v="10"/>
    <x v="1"/>
    <x v="0"/>
    <n v="4104.8500000000004"/>
    <n v="533.63"/>
    <x v="3601"/>
    <x v="2"/>
    <s v="Cuenta Corriente"/>
    <s v="Tarjeta Débito"/>
    <s v="Pendiente"/>
  </r>
  <r>
    <x v="237"/>
    <x v="5"/>
    <s v="TX-103606"/>
    <x v="13"/>
    <x v="0"/>
    <x v="1"/>
    <n v="14588.95"/>
    <n v="0"/>
    <x v="3602"/>
    <x v="2"/>
    <s v="Cuenta Corriente"/>
    <s v="Efectivo"/>
    <s v="Pagado"/>
  </r>
  <r>
    <x v="51"/>
    <x v="9"/>
    <s v="TX-103607"/>
    <x v="18"/>
    <x v="1"/>
    <x v="0"/>
    <n v="1895.91"/>
    <n v="246.47"/>
    <x v="3603"/>
    <x v="2"/>
    <s v="Cuenta Corriente"/>
    <s v="Transferencia"/>
    <s v="Pagado"/>
  </r>
  <r>
    <x v="0"/>
    <x v="0"/>
    <s v="TX-103608"/>
    <x v="14"/>
    <x v="1"/>
    <x v="3"/>
    <n v="223.13"/>
    <n v="29.01"/>
    <x v="3604"/>
    <x v="4"/>
    <s v="Tarjeta Crédito Empresarial"/>
    <s v="Efectivo"/>
    <s v="Pagado"/>
  </r>
  <r>
    <x v="326"/>
    <x v="5"/>
    <s v="TX-103609"/>
    <x v="0"/>
    <x v="0"/>
    <x v="5"/>
    <n v="2689.22"/>
    <n v="0"/>
    <x v="3605"/>
    <x v="2"/>
    <s v="Cuenta Ahorros"/>
    <s v="Tarjeta Débito"/>
    <s v="Pendiente"/>
  </r>
  <r>
    <x v="176"/>
    <x v="5"/>
    <s v="TX-103610"/>
    <x v="12"/>
    <x v="0"/>
    <x v="0"/>
    <n v="8430.0499999999993"/>
    <n v="0"/>
    <x v="3606"/>
    <x v="4"/>
    <s v="Cuenta Ahorros"/>
    <s v="Efectivo"/>
    <s v="Pagado"/>
  </r>
  <r>
    <x v="28"/>
    <x v="6"/>
    <s v="TX-103611"/>
    <x v="15"/>
    <x v="1"/>
    <x v="6"/>
    <n v="10037.73"/>
    <n v="1304.9000000000001"/>
    <x v="3607"/>
    <x v="0"/>
    <s v="Tarjeta Crédito Empresarial"/>
    <s v="Tarjeta Crédito"/>
    <s v="Pendiente"/>
  </r>
  <r>
    <x v="161"/>
    <x v="9"/>
    <s v="TX-103612"/>
    <x v="15"/>
    <x v="1"/>
    <x v="4"/>
    <n v="12772.73"/>
    <n v="1660.45"/>
    <x v="3608"/>
    <x v="2"/>
    <s v="Cuenta Corriente"/>
    <s v="Efectivo"/>
    <s v="Pendiente"/>
  </r>
  <r>
    <x v="158"/>
    <x v="0"/>
    <s v="TX-103613"/>
    <x v="15"/>
    <x v="1"/>
    <x v="6"/>
    <n v="947.39"/>
    <n v="123.16"/>
    <x v="3609"/>
    <x v="2"/>
    <s v="Tarjeta Crédito Empresarial"/>
    <s v="Tarjeta Crédito"/>
    <s v="Pagado"/>
  </r>
  <r>
    <x v="29"/>
    <x v="3"/>
    <s v="TX-103614"/>
    <x v="5"/>
    <x v="1"/>
    <x v="0"/>
    <n v="5242.6899999999996"/>
    <n v="681.55"/>
    <x v="3610"/>
    <x v="0"/>
    <s v="Cuenta Corriente"/>
    <s v="Tarjeta Crédito"/>
    <s v="Pagado"/>
  </r>
  <r>
    <x v="328"/>
    <x v="11"/>
    <s v="TX-103615"/>
    <x v="3"/>
    <x v="1"/>
    <x v="1"/>
    <n v="5074.1499999999996"/>
    <n v="659.64"/>
    <x v="3611"/>
    <x v="2"/>
    <s v="Cuenta Corriente"/>
    <s v="Efectivo"/>
    <s v="Pagado"/>
  </r>
  <r>
    <x v="4"/>
    <x v="4"/>
    <s v="TX-103616"/>
    <x v="12"/>
    <x v="0"/>
    <x v="4"/>
    <n v="11836.02"/>
    <n v="0"/>
    <x v="3612"/>
    <x v="4"/>
    <s v="Cuenta Ahorros"/>
    <s v="Tarjeta Débito"/>
    <s v="Pendiente"/>
  </r>
  <r>
    <x v="111"/>
    <x v="4"/>
    <s v="TX-103617"/>
    <x v="13"/>
    <x v="0"/>
    <x v="7"/>
    <n v="3834.02"/>
    <n v="0"/>
    <x v="3613"/>
    <x v="0"/>
    <s v="Cuenta Ahorros"/>
    <s v="Tarjeta Crédito"/>
    <s v="Pagado"/>
  </r>
  <r>
    <x v="169"/>
    <x v="1"/>
    <s v="TX-103618"/>
    <x v="9"/>
    <x v="0"/>
    <x v="4"/>
    <n v="12110.65"/>
    <n v="0"/>
    <x v="3614"/>
    <x v="1"/>
    <s v="Cuenta Corriente"/>
    <s v="Efectivo"/>
    <s v="Pagado"/>
  </r>
  <r>
    <x v="16"/>
    <x v="5"/>
    <s v="TX-103619"/>
    <x v="17"/>
    <x v="0"/>
    <x v="5"/>
    <n v="14406.22"/>
    <n v="0"/>
    <x v="3615"/>
    <x v="1"/>
    <s v="Cuenta Ahorros"/>
    <s v="Tarjeta Crédito"/>
    <s v="Pagado"/>
  </r>
  <r>
    <x v="135"/>
    <x v="4"/>
    <s v="TX-103620"/>
    <x v="13"/>
    <x v="1"/>
    <x v="6"/>
    <n v="13553.02"/>
    <n v="1761.89"/>
    <x v="3616"/>
    <x v="1"/>
    <s v="Cuenta Corriente"/>
    <s v="Transferencia"/>
    <s v="Pagado"/>
  </r>
  <r>
    <x v="210"/>
    <x v="3"/>
    <s v="TX-103621"/>
    <x v="0"/>
    <x v="0"/>
    <x v="1"/>
    <n v="7043.44"/>
    <n v="0"/>
    <x v="3617"/>
    <x v="2"/>
    <s v="Cuenta Ahorros"/>
    <s v="Tarjeta Débito"/>
    <s v="Pendiente"/>
  </r>
  <r>
    <x v="97"/>
    <x v="6"/>
    <s v="TX-103622"/>
    <x v="1"/>
    <x v="0"/>
    <x v="1"/>
    <n v="8623.89"/>
    <n v="0"/>
    <x v="3618"/>
    <x v="4"/>
    <s v="Cuenta Corriente"/>
    <s v="Tarjeta Crédito"/>
    <s v="Pendiente"/>
  </r>
  <r>
    <x v="210"/>
    <x v="3"/>
    <s v="TX-103623"/>
    <x v="6"/>
    <x v="1"/>
    <x v="3"/>
    <n v="14285.38"/>
    <n v="1857.1"/>
    <x v="3619"/>
    <x v="3"/>
    <s v="Tarjeta Crédito Empresarial"/>
    <s v="Efectivo"/>
    <s v="Pendiente"/>
  </r>
  <r>
    <x v="318"/>
    <x v="3"/>
    <s v="TX-103624"/>
    <x v="1"/>
    <x v="0"/>
    <x v="1"/>
    <n v="3303.22"/>
    <n v="0"/>
    <x v="3620"/>
    <x v="3"/>
    <s v="Tarjeta Crédito Empresarial"/>
    <s v="Tarjeta Débito"/>
    <s v="Pendiente"/>
  </r>
  <r>
    <x v="201"/>
    <x v="8"/>
    <s v="TX-103625"/>
    <x v="19"/>
    <x v="0"/>
    <x v="4"/>
    <n v="14070.57"/>
    <n v="0"/>
    <x v="3621"/>
    <x v="0"/>
    <s v="Tarjeta Crédito Empresarial"/>
    <s v="Tarjeta Crédito"/>
    <s v="Pagado"/>
  </r>
  <r>
    <x v="68"/>
    <x v="4"/>
    <s v="TX-103626"/>
    <x v="15"/>
    <x v="1"/>
    <x v="7"/>
    <n v="8893.3799999999992"/>
    <n v="1156.1400000000001"/>
    <x v="3622"/>
    <x v="0"/>
    <s v="Cuenta Ahorros"/>
    <s v="Tarjeta Crédito"/>
    <s v="Pendiente"/>
  </r>
  <r>
    <x v="149"/>
    <x v="11"/>
    <s v="TX-103627"/>
    <x v="2"/>
    <x v="0"/>
    <x v="6"/>
    <n v="12648.72"/>
    <n v="0"/>
    <x v="3623"/>
    <x v="3"/>
    <s v="Cuenta Corriente"/>
    <s v="Efectivo"/>
    <s v="Pagado"/>
  </r>
  <r>
    <x v="158"/>
    <x v="0"/>
    <s v="TX-103628"/>
    <x v="6"/>
    <x v="0"/>
    <x v="5"/>
    <n v="6619.76"/>
    <n v="0"/>
    <x v="3624"/>
    <x v="0"/>
    <s v="Cuenta Corriente"/>
    <s v="Tarjeta Débito"/>
    <s v="Pagado"/>
  </r>
  <r>
    <x v="353"/>
    <x v="7"/>
    <s v="TX-103629"/>
    <x v="10"/>
    <x v="1"/>
    <x v="0"/>
    <n v="9015.5300000000007"/>
    <n v="1172.02"/>
    <x v="3625"/>
    <x v="1"/>
    <s v="Tarjeta Crédito Empresarial"/>
    <s v="Tarjeta Débito"/>
    <s v="Pendiente"/>
  </r>
  <r>
    <x v="61"/>
    <x v="4"/>
    <s v="TX-103630"/>
    <x v="18"/>
    <x v="0"/>
    <x v="3"/>
    <n v="13775.92"/>
    <n v="0"/>
    <x v="3626"/>
    <x v="3"/>
    <s v="Tarjeta Crédito Empresarial"/>
    <s v="Tarjeta Crédito"/>
    <s v="Pagado"/>
  </r>
  <r>
    <x v="208"/>
    <x v="2"/>
    <s v="TX-103631"/>
    <x v="7"/>
    <x v="0"/>
    <x v="6"/>
    <n v="1534.52"/>
    <n v="0"/>
    <x v="3627"/>
    <x v="0"/>
    <s v="Cuenta Ahorros"/>
    <s v="Tarjeta Débito"/>
    <s v="Pagado"/>
  </r>
  <r>
    <x v="271"/>
    <x v="5"/>
    <s v="TX-103632"/>
    <x v="0"/>
    <x v="0"/>
    <x v="1"/>
    <n v="14068.96"/>
    <n v="0"/>
    <x v="3628"/>
    <x v="4"/>
    <s v="Tarjeta Crédito Empresarial"/>
    <s v="Tarjeta Débito"/>
    <s v="Pagado"/>
  </r>
  <r>
    <x v="286"/>
    <x v="11"/>
    <s v="TX-103633"/>
    <x v="17"/>
    <x v="0"/>
    <x v="6"/>
    <n v="2587.14"/>
    <n v="0"/>
    <x v="3629"/>
    <x v="4"/>
    <s v="Cuenta Ahorros"/>
    <s v="Efectivo"/>
    <s v="Pendiente"/>
  </r>
  <r>
    <x v="206"/>
    <x v="9"/>
    <s v="TX-103634"/>
    <x v="17"/>
    <x v="1"/>
    <x v="0"/>
    <n v="9393.01"/>
    <n v="1221.0899999999999"/>
    <x v="3630"/>
    <x v="2"/>
    <s v="Cuenta Corriente"/>
    <s v="Tarjeta Débito"/>
    <s v="Pendiente"/>
  </r>
  <r>
    <x v="249"/>
    <x v="10"/>
    <s v="TX-103635"/>
    <x v="14"/>
    <x v="0"/>
    <x v="0"/>
    <n v="9138.27"/>
    <n v="0"/>
    <x v="3631"/>
    <x v="4"/>
    <s v="Cuenta Corriente"/>
    <s v="Tarjeta Crédito"/>
    <s v="Pagado"/>
  </r>
  <r>
    <x v="348"/>
    <x v="8"/>
    <s v="TX-103636"/>
    <x v="0"/>
    <x v="1"/>
    <x v="3"/>
    <n v="71.16"/>
    <n v="9.25"/>
    <x v="3632"/>
    <x v="4"/>
    <s v="Cuenta Corriente"/>
    <s v="Tarjeta Crédito"/>
    <s v="Pagado"/>
  </r>
  <r>
    <x v="151"/>
    <x v="9"/>
    <s v="TX-103637"/>
    <x v="4"/>
    <x v="0"/>
    <x v="3"/>
    <n v="14570.2"/>
    <n v="0"/>
    <x v="3633"/>
    <x v="4"/>
    <s v="Cuenta Ahorros"/>
    <s v="Transferencia"/>
    <s v="Pendiente"/>
  </r>
  <r>
    <x v="312"/>
    <x v="3"/>
    <s v="TX-103638"/>
    <x v="13"/>
    <x v="1"/>
    <x v="2"/>
    <n v="14545.4"/>
    <n v="1890.9"/>
    <x v="3634"/>
    <x v="4"/>
    <s v="Cuenta Corriente"/>
    <s v="Tarjeta Débito"/>
    <s v="Pagado"/>
  </r>
  <r>
    <x v="28"/>
    <x v="6"/>
    <s v="TX-103639"/>
    <x v="12"/>
    <x v="1"/>
    <x v="6"/>
    <n v="823.51"/>
    <n v="107.06"/>
    <x v="3635"/>
    <x v="4"/>
    <s v="Cuenta Corriente"/>
    <s v="Efectivo"/>
    <s v="Pendiente"/>
  </r>
  <r>
    <x v="111"/>
    <x v="4"/>
    <s v="TX-103640"/>
    <x v="1"/>
    <x v="1"/>
    <x v="7"/>
    <n v="14834.12"/>
    <n v="1928.44"/>
    <x v="3636"/>
    <x v="3"/>
    <s v="Tarjeta Crédito Empresarial"/>
    <s v="Tarjeta Crédito"/>
    <s v="Pendiente"/>
  </r>
  <r>
    <x v="241"/>
    <x v="5"/>
    <s v="TX-103641"/>
    <x v="14"/>
    <x v="0"/>
    <x v="6"/>
    <n v="9117.73"/>
    <n v="0"/>
    <x v="3637"/>
    <x v="3"/>
    <s v="Tarjeta Crédito Empresarial"/>
    <s v="Tarjeta Débito"/>
    <s v="Pendiente"/>
  </r>
  <r>
    <x v="284"/>
    <x v="1"/>
    <s v="TX-103642"/>
    <x v="0"/>
    <x v="1"/>
    <x v="7"/>
    <n v="2303.61"/>
    <n v="299.47000000000003"/>
    <x v="3638"/>
    <x v="0"/>
    <s v="Tarjeta Crédito Empresarial"/>
    <s v="Efectivo"/>
    <s v="Pagado"/>
  </r>
  <r>
    <x v="38"/>
    <x v="6"/>
    <s v="TX-103643"/>
    <x v="1"/>
    <x v="0"/>
    <x v="6"/>
    <n v="2740.82"/>
    <n v="0"/>
    <x v="3639"/>
    <x v="2"/>
    <s v="Tarjeta Crédito Empresarial"/>
    <s v="Efectivo"/>
    <s v="Pagado"/>
  </r>
  <r>
    <x v="178"/>
    <x v="6"/>
    <s v="TX-103644"/>
    <x v="5"/>
    <x v="1"/>
    <x v="2"/>
    <n v="12202.25"/>
    <n v="1586.29"/>
    <x v="3640"/>
    <x v="0"/>
    <s v="Tarjeta Crédito Empresarial"/>
    <s v="Efectivo"/>
    <s v="Pendiente"/>
  </r>
  <r>
    <x v="209"/>
    <x v="1"/>
    <s v="TX-103645"/>
    <x v="6"/>
    <x v="0"/>
    <x v="7"/>
    <n v="11853.92"/>
    <n v="0"/>
    <x v="3641"/>
    <x v="4"/>
    <s v="Cuenta Corriente"/>
    <s v="Tarjeta Débito"/>
    <s v="Pagado"/>
  </r>
  <r>
    <x v="212"/>
    <x v="8"/>
    <s v="TX-103646"/>
    <x v="15"/>
    <x v="1"/>
    <x v="4"/>
    <n v="14087.44"/>
    <n v="1831.37"/>
    <x v="3642"/>
    <x v="2"/>
    <s v="Cuenta Corriente"/>
    <s v="Tarjeta Débito"/>
    <s v="Pendiente"/>
  </r>
  <r>
    <x v="84"/>
    <x v="6"/>
    <s v="TX-103647"/>
    <x v="5"/>
    <x v="1"/>
    <x v="1"/>
    <n v="6683.34"/>
    <n v="868.83"/>
    <x v="3643"/>
    <x v="0"/>
    <s v="Cuenta Ahorros"/>
    <s v="Efectivo"/>
    <s v="Pendiente"/>
  </r>
  <r>
    <x v="122"/>
    <x v="1"/>
    <s v="TX-103648"/>
    <x v="8"/>
    <x v="0"/>
    <x v="6"/>
    <n v="14244.92"/>
    <n v="0"/>
    <x v="3644"/>
    <x v="0"/>
    <s v="Cuenta Ahorros"/>
    <s v="Transferencia"/>
    <s v="Pendiente"/>
  </r>
  <r>
    <x v="46"/>
    <x v="4"/>
    <s v="TX-103649"/>
    <x v="10"/>
    <x v="0"/>
    <x v="7"/>
    <n v="2680.83"/>
    <n v="0"/>
    <x v="3645"/>
    <x v="1"/>
    <s v="Cuenta Ahorros"/>
    <s v="Tarjeta Crédito"/>
    <s v="Pendiente"/>
  </r>
  <r>
    <x v="236"/>
    <x v="0"/>
    <s v="TX-103650"/>
    <x v="6"/>
    <x v="1"/>
    <x v="3"/>
    <n v="14333.75"/>
    <n v="1863.39"/>
    <x v="3646"/>
    <x v="0"/>
    <s v="Cuenta Corriente"/>
    <s v="Tarjeta Crédito"/>
    <s v="Pagado"/>
  </r>
  <r>
    <x v="200"/>
    <x v="9"/>
    <s v="TX-103651"/>
    <x v="9"/>
    <x v="1"/>
    <x v="4"/>
    <n v="11493.22"/>
    <n v="1494.12"/>
    <x v="3647"/>
    <x v="3"/>
    <s v="Tarjeta Crédito Empresarial"/>
    <s v="Tarjeta Crédito"/>
    <s v="Pendiente"/>
  </r>
  <r>
    <x v="281"/>
    <x v="7"/>
    <s v="TX-103652"/>
    <x v="1"/>
    <x v="0"/>
    <x v="3"/>
    <n v="3948.82"/>
    <n v="0"/>
    <x v="3648"/>
    <x v="2"/>
    <s v="Tarjeta Crédito Empresarial"/>
    <s v="Tarjeta Débito"/>
    <s v="Pendiente"/>
  </r>
  <r>
    <x v="217"/>
    <x v="1"/>
    <s v="TX-103653"/>
    <x v="15"/>
    <x v="0"/>
    <x v="7"/>
    <n v="3883.32"/>
    <n v="0"/>
    <x v="3649"/>
    <x v="1"/>
    <s v="Tarjeta Crédito Empresarial"/>
    <s v="Efectivo"/>
    <s v="Pendiente"/>
  </r>
  <r>
    <x v="223"/>
    <x v="0"/>
    <s v="TX-103654"/>
    <x v="13"/>
    <x v="0"/>
    <x v="2"/>
    <n v="14368.15"/>
    <n v="0"/>
    <x v="3650"/>
    <x v="3"/>
    <s v="Cuenta Ahorros"/>
    <s v="Efectivo"/>
    <s v="Pendiente"/>
  </r>
  <r>
    <x v="99"/>
    <x v="6"/>
    <s v="TX-103655"/>
    <x v="15"/>
    <x v="0"/>
    <x v="2"/>
    <n v="7584.86"/>
    <n v="0"/>
    <x v="3651"/>
    <x v="4"/>
    <s v="Tarjeta Crédito Empresarial"/>
    <s v="Efectivo"/>
    <s v="Pendiente"/>
  </r>
  <r>
    <x v="2"/>
    <x v="2"/>
    <s v="TX-103656"/>
    <x v="6"/>
    <x v="0"/>
    <x v="1"/>
    <n v="1133.57"/>
    <n v="0"/>
    <x v="3652"/>
    <x v="2"/>
    <s v="Tarjeta Crédito Empresarial"/>
    <s v="Tarjeta Débito"/>
    <s v="Pagado"/>
  </r>
  <r>
    <x v="260"/>
    <x v="4"/>
    <s v="TX-103657"/>
    <x v="17"/>
    <x v="0"/>
    <x v="5"/>
    <n v="13898.22"/>
    <n v="0"/>
    <x v="3653"/>
    <x v="4"/>
    <s v="Cuenta Ahorros"/>
    <s v="Transferencia"/>
    <s v="Pendiente"/>
  </r>
  <r>
    <x v="226"/>
    <x v="10"/>
    <s v="TX-103658"/>
    <x v="10"/>
    <x v="0"/>
    <x v="1"/>
    <n v="7262.97"/>
    <n v="0"/>
    <x v="3654"/>
    <x v="4"/>
    <s v="Cuenta Ahorros"/>
    <s v="Tarjeta Crédito"/>
    <s v="Pagado"/>
  </r>
  <r>
    <x v="241"/>
    <x v="5"/>
    <s v="TX-103659"/>
    <x v="8"/>
    <x v="0"/>
    <x v="5"/>
    <n v="14786.97"/>
    <n v="0"/>
    <x v="3655"/>
    <x v="0"/>
    <s v="Cuenta Corriente"/>
    <s v="Transferencia"/>
    <s v="Pagado"/>
  </r>
  <r>
    <x v="172"/>
    <x v="2"/>
    <s v="TX-103660"/>
    <x v="6"/>
    <x v="1"/>
    <x v="6"/>
    <n v="11655.9"/>
    <n v="1515.27"/>
    <x v="3656"/>
    <x v="4"/>
    <s v="Cuenta Ahorros"/>
    <s v="Efectivo"/>
    <s v="Pendiente"/>
  </r>
  <r>
    <x v="191"/>
    <x v="10"/>
    <s v="TX-103661"/>
    <x v="1"/>
    <x v="1"/>
    <x v="0"/>
    <n v="122.65"/>
    <n v="15.94"/>
    <x v="3657"/>
    <x v="2"/>
    <s v="Cuenta Ahorros"/>
    <s v="Tarjeta Crédito"/>
    <s v="Pagado"/>
  </r>
  <r>
    <x v="133"/>
    <x v="3"/>
    <s v="TX-103662"/>
    <x v="12"/>
    <x v="1"/>
    <x v="4"/>
    <n v="2765.35"/>
    <n v="359.5"/>
    <x v="3658"/>
    <x v="1"/>
    <s v="Cuenta Corriente"/>
    <s v="Transferencia"/>
    <s v="Pagado"/>
  </r>
  <r>
    <x v="44"/>
    <x v="1"/>
    <s v="TX-103663"/>
    <x v="13"/>
    <x v="1"/>
    <x v="3"/>
    <n v="9817.7800000000007"/>
    <n v="1276.31"/>
    <x v="3659"/>
    <x v="4"/>
    <s v="Cuenta Corriente"/>
    <s v="Tarjeta Débito"/>
    <s v="Pendiente"/>
  </r>
  <r>
    <x v="320"/>
    <x v="2"/>
    <s v="TX-103664"/>
    <x v="5"/>
    <x v="0"/>
    <x v="6"/>
    <n v="9830.83"/>
    <n v="0"/>
    <x v="3660"/>
    <x v="0"/>
    <s v="Tarjeta Crédito Empresarial"/>
    <s v="Tarjeta Crédito"/>
    <s v="Pendiente"/>
  </r>
  <r>
    <x v="284"/>
    <x v="1"/>
    <s v="TX-103665"/>
    <x v="2"/>
    <x v="0"/>
    <x v="7"/>
    <n v="12254.69"/>
    <n v="0"/>
    <x v="3661"/>
    <x v="1"/>
    <s v="Cuenta Corriente"/>
    <s v="Efectivo"/>
    <s v="Pagado"/>
  </r>
  <r>
    <x v="287"/>
    <x v="4"/>
    <s v="TX-103666"/>
    <x v="6"/>
    <x v="0"/>
    <x v="3"/>
    <n v="1534.73"/>
    <n v="0"/>
    <x v="3662"/>
    <x v="4"/>
    <s v="Cuenta Corriente"/>
    <s v="Efectivo"/>
    <s v="Pagado"/>
  </r>
  <r>
    <x v="106"/>
    <x v="4"/>
    <s v="TX-103667"/>
    <x v="9"/>
    <x v="1"/>
    <x v="7"/>
    <n v="14877.9"/>
    <n v="1934.13"/>
    <x v="3663"/>
    <x v="4"/>
    <s v="Cuenta Ahorros"/>
    <s v="Efectivo"/>
    <s v="Pagado"/>
  </r>
  <r>
    <x v="154"/>
    <x v="0"/>
    <s v="TX-103668"/>
    <x v="12"/>
    <x v="0"/>
    <x v="3"/>
    <n v="2837.56"/>
    <n v="0"/>
    <x v="3664"/>
    <x v="2"/>
    <s v="Cuenta Ahorros"/>
    <s v="Efectivo"/>
    <s v="Pendiente"/>
  </r>
  <r>
    <x v="39"/>
    <x v="8"/>
    <s v="TX-103669"/>
    <x v="3"/>
    <x v="0"/>
    <x v="6"/>
    <n v="12508.43"/>
    <n v="0"/>
    <x v="3665"/>
    <x v="1"/>
    <s v="Cuenta Corriente"/>
    <s v="Tarjeta Débito"/>
    <s v="Pendiente"/>
  </r>
  <r>
    <x v="149"/>
    <x v="11"/>
    <s v="TX-103670"/>
    <x v="17"/>
    <x v="1"/>
    <x v="4"/>
    <n v="2596.58"/>
    <n v="337.56"/>
    <x v="3666"/>
    <x v="2"/>
    <s v="Cuenta Corriente"/>
    <s v="Transferencia"/>
    <s v="Pendiente"/>
  </r>
  <r>
    <x v="271"/>
    <x v="5"/>
    <s v="TX-103671"/>
    <x v="19"/>
    <x v="0"/>
    <x v="5"/>
    <n v="6303.06"/>
    <n v="0"/>
    <x v="3667"/>
    <x v="2"/>
    <s v="Tarjeta Crédito Empresarial"/>
    <s v="Tarjeta Débito"/>
    <s v="Pagado"/>
  </r>
  <r>
    <x v="25"/>
    <x v="10"/>
    <s v="TX-103672"/>
    <x v="14"/>
    <x v="1"/>
    <x v="0"/>
    <n v="8664.82"/>
    <n v="1126.43"/>
    <x v="3668"/>
    <x v="0"/>
    <s v="Cuenta Corriente"/>
    <s v="Transferencia"/>
    <s v="Pendiente"/>
  </r>
  <r>
    <x v="274"/>
    <x v="2"/>
    <s v="TX-103673"/>
    <x v="0"/>
    <x v="0"/>
    <x v="2"/>
    <n v="3213.75"/>
    <n v="0"/>
    <x v="3669"/>
    <x v="3"/>
    <s v="Cuenta Ahorros"/>
    <s v="Tarjeta Crédito"/>
    <s v="Pendiente"/>
  </r>
  <r>
    <x v="88"/>
    <x v="5"/>
    <s v="TX-103674"/>
    <x v="7"/>
    <x v="0"/>
    <x v="7"/>
    <n v="1112.51"/>
    <n v="0"/>
    <x v="3670"/>
    <x v="2"/>
    <s v="Cuenta Corriente"/>
    <s v="Efectivo"/>
    <s v="Pendiente"/>
  </r>
  <r>
    <x v="226"/>
    <x v="10"/>
    <s v="TX-103675"/>
    <x v="10"/>
    <x v="0"/>
    <x v="6"/>
    <n v="6294.46"/>
    <n v="0"/>
    <x v="3671"/>
    <x v="4"/>
    <s v="Tarjeta Crédito Empresarial"/>
    <s v="Transferencia"/>
    <s v="Pagado"/>
  </r>
  <r>
    <x v="64"/>
    <x v="11"/>
    <s v="TX-103676"/>
    <x v="17"/>
    <x v="0"/>
    <x v="7"/>
    <n v="9810.9699999999993"/>
    <n v="0"/>
    <x v="3672"/>
    <x v="1"/>
    <s v="Cuenta Ahorros"/>
    <s v="Tarjeta Crédito"/>
    <s v="Pendiente"/>
  </r>
  <r>
    <x v="215"/>
    <x v="3"/>
    <s v="TX-103677"/>
    <x v="7"/>
    <x v="0"/>
    <x v="4"/>
    <n v="7235.84"/>
    <n v="0"/>
    <x v="3673"/>
    <x v="3"/>
    <s v="Tarjeta Crédito Empresarial"/>
    <s v="Tarjeta Crédito"/>
    <s v="Pagado"/>
  </r>
  <r>
    <x v="356"/>
    <x v="9"/>
    <s v="TX-103678"/>
    <x v="11"/>
    <x v="0"/>
    <x v="5"/>
    <n v="8812.43"/>
    <n v="0"/>
    <x v="3674"/>
    <x v="2"/>
    <s v="Cuenta Ahorros"/>
    <s v="Tarjeta Débito"/>
    <s v="Pagado"/>
  </r>
  <r>
    <x v="57"/>
    <x v="10"/>
    <s v="TX-103679"/>
    <x v="8"/>
    <x v="1"/>
    <x v="4"/>
    <n v="8619.73"/>
    <n v="1120.56"/>
    <x v="3675"/>
    <x v="0"/>
    <s v="Cuenta Ahorros"/>
    <s v="Tarjeta Débito"/>
    <s v="Pendiente"/>
  </r>
  <r>
    <x v="70"/>
    <x v="2"/>
    <s v="TX-103680"/>
    <x v="6"/>
    <x v="0"/>
    <x v="4"/>
    <n v="11118.99"/>
    <n v="0"/>
    <x v="3676"/>
    <x v="4"/>
    <s v="Cuenta Corriente"/>
    <s v="Efectivo"/>
    <s v="Pagado"/>
  </r>
  <r>
    <x v="187"/>
    <x v="10"/>
    <s v="TX-103681"/>
    <x v="10"/>
    <x v="0"/>
    <x v="5"/>
    <n v="8943.93"/>
    <n v="0"/>
    <x v="3677"/>
    <x v="1"/>
    <s v="Tarjeta Crédito Empresarial"/>
    <s v="Tarjeta Débito"/>
    <s v="Pendiente"/>
  </r>
  <r>
    <x v="21"/>
    <x v="2"/>
    <s v="TX-103682"/>
    <x v="10"/>
    <x v="1"/>
    <x v="3"/>
    <n v="12016.08"/>
    <n v="1562.09"/>
    <x v="3678"/>
    <x v="2"/>
    <s v="Cuenta Ahorros"/>
    <s v="Efectivo"/>
    <s v="Pagado"/>
  </r>
  <r>
    <x v="168"/>
    <x v="1"/>
    <s v="TX-103683"/>
    <x v="5"/>
    <x v="1"/>
    <x v="2"/>
    <n v="3891.3"/>
    <n v="505.87"/>
    <x v="3679"/>
    <x v="4"/>
    <s v="Cuenta Corriente"/>
    <s v="Tarjeta Débito"/>
    <s v="Pagado"/>
  </r>
  <r>
    <x v="37"/>
    <x v="11"/>
    <s v="TX-103684"/>
    <x v="0"/>
    <x v="1"/>
    <x v="2"/>
    <n v="13830.61"/>
    <n v="1797.98"/>
    <x v="3680"/>
    <x v="2"/>
    <s v="Tarjeta Crédito Empresarial"/>
    <s v="Transferencia"/>
    <s v="Pendiente"/>
  </r>
  <r>
    <x v="174"/>
    <x v="9"/>
    <s v="TX-103685"/>
    <x v="17"/>
    <x v="0"/>
    <x v="6"/>
    <n v="7869.9"/>
    <n v="0"/>
    <x v="3681"/>
    <x v="2"/>
    <s v="Cuenta Corriente"/>
    <s v="Tarjeta Crédito"/>
    <s v="Pendiente"/>
  </r>
  <r>
    <x v="95"/>
    <x v="4"/>
    <s v="TX-103686"/>
    <x v="19"/>
    <x v="0"/>
    <x v="2"/>
    <n v="5186.8599999999997"/>
    <n v="0"/>
    <x v="3682"/>
    <x v="4"/>
    <s v="Cuenta Ahorros"/>
    <s v="Efectivo"/>
    <s v="Pendiente"/>
  </r>
  <r>
    <x v="358"/>
    <x v="8"/>
    <s v="TX-103687"/>
    <x v="13"/>
    <x v="1"/>
    <x v="6"/>
    <n v="1139.23"/>
    <n v="148.1"/>
    <x v="3683"/>
    <x v="0"/>
    <s v="Tarjeta Crédito Empresarial"/>
    <s v="Tarjeta Débito"/>
    <s v="Pendiente"/>
  </r>
  <r>
    <x v="89"/>
    <x v="8"/>
    <s v="TX-103688"/>
    <x v="5"/>
    <x v="0"/>
    <x v="6"/>
    <n v="14534.75"/>
    <n v="0"/>
    <x v="3684"/>
    <x v="0"/>
    <s v="Cuenta Ahorros"/>
    <s v="Tarjeta Débito"/>
    <s v="Pagado"/>
  </r>
  <r>
    <x v="146"/>
    <x v="6"/>
    <s v="TX-103689"/>
    <x v="4"/>
    <x v="0"/>
    <x v="4"/>
    <n v="1070.96"/>
    <n v="0"/>
    <x v="3685"/>
    <x v="0"/>
    <s v="Cuenta Corriente"/>
    <s v="Tarjeta Crédito"/>
    <s v="Pendiente"/>
  </r>
  <r>
    <x v="89"/>
    <x v="8"/>
    <s v="TX-103690"/>
    <x v="1"/>
    <x v="1"/>
    <x v="3"/>
    <n v="1977.19"/>
    <n v="257.02999999999997"/>
    <x v="3686"/>
    <x v="0"/>
    <s v="Cuenta Ahorros"/>
    <s v="Efectivo"/>
    <s v="Pendiente"/>
  </r>
  <r>
    <x v="126"/>
    <x v="5"/>
    <s v="TX-103691"/>
    <x v="19"/>
    <x v="1"/>
    <x v="3"/>
    <n v="12035.53"/>
    <n v="1564.62"/>
    <x v="3687"/>
    <x v="0"/>
    <s v="Cuenta Ahorros"/>
    <s v="Tarjeta Débito"/>
    <s v="Pendiente"/>
  </r>
  <r>
    <x v="230"/>
    <x v="11"/>
    <s v="TX-103692"/>
    <x v="18"/>
    <x v="0"/>
    <x v="7"/>
    <n v="2909.03"/>
    <n v="0"/>
    <x v="3688"/>
    <x v="0"/>
    <s v="Tarjeta Crédito Empresarial"/>
    <s v="Transferencia"/>
    <s v="Pagado"/>
  </r>
  <r>
    <x v="233"/>
    <x v="1"/>
    <s v="TX-103693"/>
    <x v="14"/>
    <x v="0"/>
    <x v="2"/>
    <n v="9120.43"/>
    <n v="0"/>
    <x v="3689"/>
    <x v="0"/>
    <s v="Cuenta Ahorros"/>
    <s v="Tarjeta Débito"/>
    <s v="Pagado"/>
  </r>
  <r>
    <x v="240"/>
    <x v="2"/>
    <s v="TX-103694"/>
    <x v="11"/>
    <x v="0"/>
    <x v="5"/>
    <n v="1557.85"/>
    <n v="0"/>
    <x v="3690"/>
    <x v="3"/>
    <s v="Cuenta Ahorros"/>
    <s v="Transferencia"/>
    <s v="Pagado"/>
  </r>
  <r>
    <x v="61"/>
    <x v="4"/>
    <s v="TX-103695"/>
    <x v="8"/>
    <x v="0"/>
    <x v="5"/>
    <n v="12402.58"/>
    <n v="0"/>
    <x v="3691"/>
    <x v="1"/>
    <s v="Tarjeta Crédito Empresarial"/>
    <s v="Tarjeta Débito"/>
    <s v="Pagado"/>
  </r>
  <r>
    <x v="257"/>
    <x v="7"/>
    <s v="TX-103696"/>
    <x v="1"/>
    <x v="0"/>
    <x v="6"/>
    <n v="6404.09"/>
    <n v="0"/>
    <x v="3692"/>
    <x v="4"/>
    <s v="Tarjeta Crédito Empresarial"/>
    <s v="Tarjeta Débito"/>
    <s v="Pendiente"/>
  </r>
  <r>
    <x v="202"/>
    <x v="2"/>
    <s v="TX-103697"/>
    <x v="11"/>
    <x v="1"/>
    <x v="4"/>
    <n v="2869.73"/>
    <n v="373.06"/>
    <x v="3693"/>
    <x v="1"/>
    <s v="Cuenta Corriente"/>
    <s v="Tarjeta Crédito"/>
    <s v="Pagado"/>
  </r>
  <r>
    <x v="328"/>
    <x v="11"/>
    <s v="TX-103698"/>
    <x v="9"/>
    <x v="1"/>
    <x v="0"/>
    <n v="852.13"/>
    <n v="110.78"/>
    <x v="3694"/>
    <x v="2"/>
    <s v="Cuenta Ahorros"/>
    <s v="Tarjeta Crédito"/>
    <s v="Pagado"/>
  </r>
  <r>
    <x v="314"/>
    <x v="11"/>
    <s v="TX-103699"/>
    <x v="16"/>
    <x v="1"/>
    <x v="5"/>
    <n v="13267.97"/>
    <n v="1724.84"/>
    <x v="3695"/>
    <x v="2"/>
    <s v="Cuenta Corriente"/>
    <s v="Tarjeta Crédito"/>
    <s v="Pagado"/>
  </r>
  <r>
    <x v="102"/>
    <x v="6"/>
    <s v="TX-103700"/>
    <x v="17"/>
    <x v="0"/>
    <x v="1"/>
    <n v="11411.5"/>
    <n v="0"/>
    <x v="3696"/>
    <x v="4"/>
    <s v="Tarjeta Crédito Empresarial"/>
    <s v="Tarjeta Débito"/>
    <s v="Pagado"/>
  </r>
  <r>
    <x v="61"/>
    <x v="4"/>
    <s v="TX-103701"/>
    <x v="19"/>
    <x v="0"/>
    <x v="1"/>
    <n v="2138.7199999999998"/>
    <n v="0"/>
    <x v="3697"/>
    <x v="3"/>
    <s v="Cuenta Ahorros"/>
    <s v="Tarjeta Débito"/>
    <s v="Pagado"/>
  </r>
  <r>
    <x v="176"/>
    <x v="5"/>
    <s v="TX-103702"/>
    <x v="19"/>
    <x v="1"/>
    <x v="7"/>
    <n v="7289.04"/>
    <n v="947.58"/>
    <x v="3698"/>
    <x v="0"/>
    <s v="Cuenta Corriente"/>
    <s v="Tarjeta Débito"/>
    <s v="Pendiente"/>
  </r>
  <r>
    <x v="197"/>
    <x v="7"/>
    <s v="TX-103703"/>
    <x v="14"/>
    <x v="0"/>
    <x v="7"/>
    <n v="9462.52"/>
    <n v="0"/>
    <x v="3699"/>
    <x v="1"/>
    <s v="Cuenta Ahorros"/>
    <s v="Tarjeta Crédito"/>
    <s v="Pendiente"/>
  </r>
  <r>
    <x v="298"/>
    <x v="8"/>
    <s v="TX-103704"/>
    <x v="13"/>
    <x v="0"/>
    <x v="2"/>
    <n v="6591.69"/>
    <n v="0"/>
    <x v="3700"/>
    <x v="2"/>
    <s v="Cuenta Ahorros"/>
    <s v="Tarjeta Débito"/>
    <s v="Pendiente"/>
  </r>
  <r>
    <x v="144"/>
    <x v="0"/>
    <s v="TX-103705"/>
    <x v="17"/>
    <x v="1"/>
    <x v="4"/>
    <n v="7048.88"/>
    <n v="916.35"/>
    <x v="3701"/>
    <x v="4"/>
    <s v="Cuenta Ahorros"/>
    <s v="Efectivo"/>
    <s v="Pendiente"/>
  </r>
  <r>
    <x v="275"/>
    <x v="10"/>
    <s v="TX-103706"/>
    <x v="3"/>
    <x v="1"/>
    <x v="0"/>
    <n v="11989.63"/>
    <n v="1558.65"/>
    <x v="3702"/>
    <x v="4"/>
    <s v="Tarjeta Crédito Empresarial"/>
    <s v="Tarjeta Crédito"/>
    <s v="Pagado"/>
  </r>
  <r>
    <x v="301"/>
    <x v="6"/>
    <s v="TX-103707"/>
    <x v="10"/>
    <x v="1"/>
    <x v="2"/>
    <n v="5218.8999999999996"/>
    <n v="678.46"/>
    <x v="3703"/>
    <x v="3"/>
    <s v="Cuenta Corriente"/>
    <s v="Tarjeta Crédito"/>
    <s v="Pagado"/>
  </r>
  <r>
    <x v="119"/>
    <x v="6"/>
    <s v="TX-103708"/>
    <x v="19"/>
    <x v="1"/>
    <x v="3"/>
    <n v="2406.08"/>
    <n v="312.79000000000002"/>
    <x v="3704"/>
    <x v="0"/>
    <s v="Tarjeta Crédito Empresarial"/>
    <s v="Tarjeta Crédito"/>
    <s v="Pagado"/>
  </r>
  <r>
    <x v="55"/>
    <x v="10"/>
    <s v="TX-103709"/>
    <x v="13"/>
    <x v="0"/>
    <x v="0"/>
    <n v="3267.51"/>
    <n v="0"/>
    <x v="3705"/>
    <x v="3"/>
    <s v="Cuenta Corriente"/>
    <s v="Transferencia"/>
    <s v="Pagado"/>
  </r>
  <r>
    <x v="244"/>
    <x v="9"/>
    <s v="TX-103710"/>
    <x v="18"/>
    <x v="1"/>
    <x v="5"/>
    <n v="14796.63"/>
    <n v="1923.56"/>
    <x v="3706"/>
    <x v="0"/>
    <s v="Cuenta Corriente"/>
    <s v="Tarjeta Crédito"/>
    <s v="Pendiente"/>
  </r>
  <r>
    <x v="234"/>
    <x v="0"/>
    <s v="TX-103711"/>
    <x v="18"/>
    <x v="0"/>
    <x v="5"/>
    <n v="1309.92"/>
    <n v="0"/>
    <x v="3707"/>
    <x v="1"/>
    <s v="Tarjeta Crédito Empresarial"/>
    <s v="Tarjeta Débito"/>
    <s v="Pagado"/>
  </r>
  <r>
    <x v="95"/>
    <x v="4"/>
    <s v="TX-103712"/>
    <x v="15"/>
    <x v="0"/>
    <x v="2"/>
    <n v="735.58"/>
    <n v="0"/>
    <x v="3708"/>
    <x v="2"/>
    <s v="Cuenta Corriente"/>
    <s v="Efectivo"/>
    <s v="Pendiente"/>
  </r>
  <r>
    <x v="13"/>
    <x v="2"/>
    <s v="TX-103713"/>
    <x v="15"/>
    <x v="0"/>
    <x v="4"/>
    <n v="3802.15"/>
    <n v="0"/>
    <x v="3709"/>
    <x v="0"/>
    <s v="Cuenta Ahorros"/>
    <s v="Transferencia"/>
    <s v="Pendiente"/>
  </r>
  <r>
    <x v="261"/>
    <x v="2"/>
    <s v="TX-103714"/>
    <x v="14"/>
    <x v="1"/>
    <x v="1"/>
    <n v="6977.66"/>
    <n v="907.1"/>
    <x v="3710"/>
    <x v="4"/>
    <s v="Cuenta Ahorros"/>
    <s v="Efectivo"/>
    <s v="Pagado"/>
  </r>
  <r>
    <x v="149"/>
    <x v="11"/>
    <s v="TX-103715"/>
    <x v="16"/>
    <x v="0"/>
    <x v="1"/>
    <n v="12715.32"/>
    <n v="0"/>
    <x v="3711"/>
    <x v="1"/>
    <s v="Tarjeta Crédito Empresarial"/>
    <s v="Tarjeta Crédito"/>
    <s v="Pendiente"/>
  </r>
  <r>
    <x v="318"/>
    <x v="3"/>
    <s v="TX-103716"/>
    <x v="0"/>
    <x v="1"/>
    <x v="0"/>
    <n v="8129.08"/>
    <n v="1056.78"/>
    <x v="3712"/>
    <x v="4"/>
    <s v="Cuenta Corriente"/>
    <s v="Transferencia"/>
    <s v="Pagado"/>
  </r>
  <r>
    <x v="21"/>
    <x v="2"/>
    <s v="TX-103717"/>
    <x v="0"/>
    <x v="0"/>
    <x v="0"/>
    <n v="9530.34"/>
    <n v="0"/>
    <x v="3713"/>
    <x v="2"/>
    <s v="Tarjeta Crédito Empresarial"/>
    <s v="Efectivo"/>
    <s v="Pendiente"/>
  </r>
  <r>
    <x v="222"/>
    <x v="3"/>
    <s v="TX-103718"/>
    <x v="8"/>
    <x v="0"/>
    <x v="3"/>
    <n v="5576.66"/>
    <n v="0"/>
    <x v="3714"/>
    <x v="3"/>
    <s v="Cuenta Ahorros"/>
    <s v="Tarjeta Débito"/>
    <s v="Pendiente"/>
  </r>
  <r>
    <x v="49"/>
    <x v="8"/>
    <s v="TX-103719"/>
    <x v="10"/>
    <x v="1"/>
    <x v="4"/>
    <n v="4149.55"/>
    <n v="539.44000000000005"/>
    <x v="3715"/>
    <x v="4"/>
    <s v="Cuenta Corriente"/>
    <s v="Tarjeta Débito"/>
    <s v="Pendiente"/>
  </r>
  <r>
    <x v="357"/>
    <x v="0"/>
    <s v="TX-103720"/>
    <x v="8"/>
    <x v="0"/>
    <x v="4"/>
    <n v="14077.2"/>
    <n v="0"/>
    <x v="3716"/>
    <x v="2"/>
    <s v="Cuenta Ahorros"/>
    <s v="Efectivo"/>
    <s v="Pagado"/>
  </r>
  <r>
    <x v="27"/>
    <x v="9"/>
    <s v="TX-103721"/>
    <x v="18"/>
    <x v="0"/>
    <x v="6"/>
    <n v="7451.45"/>
    <n v="0"/>
    <x v="3717"/>
    <x v="3"/>
    <s v="Tarjeta Crédito Empresarial"/>
    <s v="Tarjeta Crédito"/>
    <s v="Pagado"/>
  </r>
  <r>
    <x v="55"/>
    <x v="10"/>
    <s v="TX-103722"/>
    <x v="7"/>
    <x v="0"/>
    <x v="6"/>
    <n v="10569.35"/>
    <n v="0"/>
    <x v="3718"/>
    <x v="2"/>
    <s v="Tarjeta Crédito Empresarial"/>
    <s v="Efectivo"/>
    <s v="Pendiente"/>
  </r>
  <r>
    <x v="272"/>
    <x v="8"/>
    <s v="TX-103723"/>
    <x v="10"/>
    <x v="1"/>
    <x v="0"/>
    <n v="10594.82"/>
    <n v="1377.33"/>
    <x v="3719"/>
    <x v="2"/>
    <s v="Cuenta Corriente"/>
    <s v="Tarjeta Débito"/>
    <s v="Pendiente"/>
  </r>
  <r>
    <x v="66"/>
    <x v="10"/>
    <s v="TX-103724"/>
    <x v="4"/>
    <x v="0"/>
    <x v="5"/>
    <n v="1369.72"/>
    <n v="0"/>
    <x v="3720"/>
    <x v="4"/>
    <s v="Cuenta Corriente"/>
    <s v="Tarjeta Débito"/>
    <s v="Pendiente"/>
  </r>
  <r>
    <x v="171"/>
    <x v="10"/>
    <s v="TX-103725"/>
    <x v="9"/>
    <x v="0"/>
    <x v="6"/>
    <n v="7225.36"/>
    <n v="0"/>
    <x v="3721"/>
    <x v="2"/>
    <s v="Tarjeta Crédito Empresarial"/>
    <s v="Tarjeta Débito"/>
    <s v="Pendiente"/>
  </r>
  <r>
    <x v="103"/>
    <x v="4"/>
    <s v="TX-103726"/>
    <x v="5"/>
    <x v="0"/>
    <x v="3"/>
    <n v="6227.53"/>
    <n v="0"/>
    <x v="3722"/>
    <x v="3"/>
    <s v="Cuenta Ahorros"/>
    <s v="Tarjeta Débito"/>
    <s v="Pendiente"/>
  </r>
  <r>
    <x v="79"/>
    <x v="8"/>
    <s v="TX-103727"/>
    <x v="12"/>
    <x v="1"/>
    <x v="5"/>
    <n v="9301.4699999999993"/>
    <n v="1209.19"/>
    <x v="3723"/>
    <x v="3"/>
    <s v="Tarjeta Crédito Empresarial"/>
    <s v="Transferencia"/>
    <s v="Pagado"/>
  </r>
  <r>
    <x v="178"/>
    <x v="6"/>
    <s v="TX-103728"/>
    <x v="16"/>
    <x v="1"/>
    <x v="5"/>
    <n v="1871.8"/>
    <n v="243.33"/>
    <x v="3724"/>
    <x v="4"/>
    <s v="Cuenta Ahorros"/>
    <s v="Tarjeta Débito"/>
    <s v="Pendiente"/>
  </r>
  <r>
    <x v="29"/>
    <x v="3"/>
    <s v="TX-103729"/>
    <x v="19"/>
    <x v="1"/>
    <x v="5"/>
    <n v="9129.9699999999993"/>
    <n v="1186.9000000000001"/>
    <x v="3725"/>
    <x v="3"/>
    <s v="Cuenta Corriente"/>
    <s v="Tarjeta Crédito"/>
    <s v="Pendiente"/>
  </r>
  <r>
    <x v="192"/>
    <x v="8"/>
    <s v="TX-103730"/>
    <x v="11"/>
    <x v="0"/>
    <x v="1"/>
    <n v="6939.94"/>
    <n v="0"/>
    <x v="3726"/>
    <x v="0"/>
    <s v="Cuenta Ahorros"/>
    <s v="Tarjeta Débito"/>
    <s v="Pagado"/>
  </r>
  <r>
    <x v="329"/>
    <x v="3"/>
    <s v="TX-103731"/>
    <x v="4"/>
    <x v="1"/>
    <x v="4"/>
    <n v="11285.29"/>
    <n v="1467.09"/>
    <x v="3727"/>
    <x v="1"/>
    <s v="Tarjeta Crédito Empresarial"/>
    <s v="Transferencia"/>
    <s v="Pagado"/>
  </r>
  <r>
    <x v="42"/>
    <x v="8"/>
    <s v="TX-103732"/>
    <x v="4"/>
    <x v="1"/>
    <x v="4"/>
    <n v="4586.55"/>
    <n v="596.25"/>
    <x v="3728"/>
    <x v="1"/>
    <s v="Cuenta Ahorros"/>
    <s v="Tarjeta Crédito"/>
    <s v="Pagado"/>
  </r>
  <r>
    <x v="145"/>
    <x v="11"/>
    <s v="TX-103733"/>
    <x v="10"/>
    <x v="0"/>
    <x v="0"/>
    <n v="7794.71"/>
    <n v="0"/>
    <x v="3729"/>
    <x v="4"/>
    <s v="Tarjeta Crédito Empresarial"/>
    <s v="Tarjeta Crédito"/>
    <s v="Pagado"/>
  </r>
  <r>
    <x v="302"/>
    <x v="8"/>
    <s v="TX-103734"/>
    <x v="8"/>
    <x v="1"/>
    <x v="6"/>
    <n v="11817.59"/>
    <n v="1536.29"/>
    <x v="3730"/>
    <x v="4"/>
    <s v="Tarjeta Crédito Empresarial"/>
    <s v="Efectivo"/>
    <s v="Pagado"/>
  </r>
  <r>
    <x v="130"/>
    <x v="2"/>
    <s v="TX-103735"/>
    <x v="7"/>
    <x v="1"/>
    <x v="0"/>
    <n v="12117.55"/>
    <n v="1575.28"/>
    <x v="3731"/>
    <x v="2"/>
    <s v="Cuenta Ahorros"/>
    <s v="Tarjeta Débito"/>
    <s v="Pendiente"/>
  </r>
  <r>
    <x v="168"/>
    <x v="1"/>
    <s v="TX-103736"/>
    <x v="9"/>
    <x v="0"/>
    <x v="5"/>
    <n v="7129.97"/>
    <n v="0"/>
    <x v="3732"/>
    <x v="2"/>
    <s v="Cuenta Ahorros"/>
    <s v="Tarjeta Débito"/>
    <s v="Pagado"/>
  </r>
  <r>
    <x v="236"/>
    <x v="0"/>
    <s v="TX-103737"/>
    <x v="9"/>
    <x v="0"/>
    <x v="3"/>
    <n v="6272"/>
    <n v="0"/>
    <x v="3733"/>
    <x v="3"/>
    <s v="Cuenta Ahorros"/>
    <s v="Transferencia"/>
    <s v="Pendiente"/>
  </r>
  <r>
    <x v="93"/>
    <x v="3"/>
    <s v="TX-103738"/>
    <x v="18"/>
    <x v="1"/>
    <x v="3"/>
    <n v="13057.83"/>
    <n v="1697.52"/>
    <x v="3734"/>
    <x v="4"/>
    <s v="Tarjeta Crédito Empresarial"/>
    <s v="Efectivo"/>
    <s v="Pendiente"/>
  </r>
  <r>
    <x v="175"/>
    <x v="4"/>
    <s v="TX-103739"/>
    <x v="9"/>
    <x v="0"/>
    <x v="4"/>
    <n v="13347.93"/>
    <n v="0"/>
    <x v="3735"/>
    <x v="0"/>
    <s v="Cuenta Ahorros"/>
    <s v="Transferencia"/>
    <s v="Pendiente"/>
  </r>
  <r>
    <x v="103"/>
    <x v="4"/>
    <s v="TX-103740"/>
    <x v="7"/>
    <x v="1"/>
    <x v="0"/>
    <n v="10024.950000000001"/>
    <n v="1303.24"/>
    <x v="3736"/>
    <x v="3"/>
    <s v="Tarjeta Crédito Empresarial"/>
    <s v="Tarjeta Débito"/>
    <s v="Pagado"/>
  </r>
  <r>
    <x v="249"/>
    <x v="10"/>
    <s v="TX-103741"/>
    <x v="11"/>
    <x v="1"/>
    <x v="1"/>
    <n v="1863.51"/>
    <n v="242.26"/>
    <x v="3737"/>
    <x v="4"/>
    <s v="Cuenta Ahorros"/>
    <s v="Efectivo"/>
    <s v="Pendiente"/>
  </r>
  <r>
    <x v="313"/>
    <x v="6"/>
    <s v="TX-103742"/>
    <x v="14"/>
    <x v="1"/>
    <x v="7"/>
    <n v="14485.06"/>
    <n v="1883.06"/>
    <x v="3738"/>
    <x v="4"/>
    <s v="Tarjeta Crédito Empresarial"/>
    <s v="Transferencia"/>
    <s v="Pagado"/>
  </r>
  <r>
    <x v="144"/>
    <x v="0"/>
    <s v="TX-103743"/>
    <x v="14"/>
    <x v="1"/>
    <x v="2"/>
    <n v="5814.06"/>
    <n v="755.83"/>
    <x v="3739"/>
    <x v="0"/>
    <s v="Cuenta Ahorros"/>
    <s v="Tarjeta Débito"/>
    <s v="Pagado"/>
  </r>
  <r>
    <x v="355"/>
    <x v="7"/>
    <s v="TX-103744"/>
    <x v="14"/>
    <x v="1"/>
    <x v="2"/>
    <n v="5489"/>
    <n v="713.57"/>
    <x v="3740"/>
    <x v="3"/>
    <s v="Cuenta Corriente"/>
    <s v="Tarjeta Débito"/>
    <s v="Pendiente"/>
  </r>
  <r>
    <x v="157"/>
    <x v="2"/>
    <s v="TX-103745"/>
    <x v="1"/>
    <x v="0"/>
    <x v="1"/>
    <n v="8925.02"/>
    <n v="0"/>
    <x v="3741"/>
    <x v="3"/>
    <s v="Cuenta Corriente"/>
    <s v="Efectivo"/>
    <s v="Pagado"/>
  </r>
  <r>
    <x v="217"/>
    <x v="1"/>
    <s v="TX-103746"/>
    <x v="5"/>
    <x v="1"/>
    <x v="3"/>
    <n v="7284.4"/>
    <n v="946.97"/>
    <x v="3742"/>
    <x v="3"/>
    <s v="Cuenta Corriente"/>
    <s v="Tarjeta Crédito"/>
    <s v="Pagado"/>
  </r>
  <r>
    <x v="100"/>
    <x v="3"/>
    <s v="TX-103747"/>
    <x v="1"/>
    <x v="0"/>
    <x v="7"/>
    <n v="9552.2800000000007"/>
    <n v="0"/>
    <x v="3743"/>
    <x v="0"/>
    <s v="Tarjeta Crédito Empresarial"/>
    <s v="Transferencia"/>
    <s v="Pagado"/>
  </r>
  <r>
    <x v="151"/>
    <x v="9"/>
    <s v="TX-103748"/>
    <x v="1"/>
    <x v="1"/>
    <x v="7"/>
    <n v="5674.46"/>
    <n v="737.68"/>
    <x v="3744"/>
    <x v="4"/>
    <s v="Cuenta Corriente"/>
    <s v="Tarjeta Crédito"/>
    <s v="Pendiente"/>
  </r>
  <r>
    <x v="245"/>
    <x v="0"/>
    <s v="TX-103749"/>
    <x v="9"/>
    <x v="1"/>
    <x v="7"/>
    <n v="1750.3"/>
    <n v="227.54"/>
    <x v="3745"/>
    <x v="2"/>
    <s v="Cuenta Ahorros"/>
    <s v="Efectivo"/>
    <s v="Pendiente"/>
  </r>
  <r>
    <x v="84"/>
    <x v="6"/>
    <s v="TX-103750"/>
    <x v="2"/>
    <x v="1"/>
    <x v="2"/>
    <n v="7004.68"/>
    <n v="910.61"/>
    <x v="3746"/>
    <x v="3"/>
    <s v="Tarjeta Crédito Empresarial"/>
    <s v="Efectivo"/>
    <s v="Pagado"/>
  </r>
  <r>
    <x v="309"/>
    <x v="4"/>
    <s v="TX-103751"/>
    <x v="6"/>
    <x v="1"/>
    <x v="5"/>
    <n v="13596.4"/>
    <n v="1767.53"/>
    <x v="3747"/>
    <x v="3"/>
    <s v="Cuenta Corriente"/>
    <s v="Tarjeta Débito"/>
    <s v="Pagado"/>
  </r>
  <r>
    <x v="289"/>
    <x v="2"/>
    <s v="TX-103752"/>
    <x v="9"/>
    <x v="1"/>
    <x v="5"/>
    <n v="12568.76"/>
    <n v="1633.94"/>
    <x v="3748"/>
    <x v="3"/>
    <s v="Cuenta Ahorros"/>
    <s v="Transferencia"/>
    <s v="Pagado"/>
  </r>
  <r>
    <x v="198"/>
    <x v="0"/>
    <s v="TX-103753"/>
    <x v="2"/>
    <x v="1"/>
    <x v="5"/>
    <n v="4016.21"/>
    <n v="522.11"/>
    <x v="3749"/>
    <x v="0"/>
    <s v="Cuenta Corriente"/>
    <s v="Tarjeta Débito"/>
    <s v="Pendiente"/>
  </r>
  <r>
    <x v="116"/>
    <x v="5"/>
    <s v="TX-103754"/>
    <x v="6"/>
    <x v="0"/>
    <x v="5"/>
    <n v="5446.14"/>
    <n v="0"/>
    <x v="3750"/>
    <x v="3"/>
    <s v="Cuenta Corriente"/>
    <s v="Transferencia"/>
    <s v="Pagado"/>
  </r>
  <r>
    <x v="135"/>
    <x v="4"/>
    <s v="TX-103755"/>
    <x v="1"/>
    <x v="0"/>
    <x v="7"/>
    <n v="8481.7900000000009"/>
    <n v="0"/>
    <x v="3751"/>
    <x v="4"/>
    <s v="Tarjeta Crédito Empresarial"/>
    <s v="Tarjeta Débito"/>
    <s v="Pagado"/>
  </r>
  <r>
    <x v="182"/>
    <x v="0"/>
    <s v="TX-103756"/>
    <x v="13"/>
    <x v="1"/>
    <x v="2"/>
    <n v="11252.03"/>
    <n v="1462.76"/>
    <x v="3752"/>
    <x v="1"/>
    <s v="Cuenta Ahorros"/>
    <s v="Transferencia"/>
    <s v="Pagado"/>
  </r>
  <r>
    <x v="332"/>
    <x v="1"/>
    <s v="TX-103757"/>
    <x v="13"/>
    <x v="0"/>
    <x v="5"/>
    <n v="14298.62"/>
    <n v="0"/>
    <x v="3753"/>
    <x v="4"/>
    <s v="Cuenta Ahorros"/>
    <s v="Transferencia"/>
    <s v="Pendiente"/>
  </r>
  <r>
    <x v="192"/>
    <x v="8"/>
    <s v="TX-103758"/>
    <x v="11"/>
    <x v="0"/>
    <x v="4"/>
    <n v="11322.49"/>
    <n v="0"/>
    <x v="3754"/>
    <x v="1"/>
    <s v="Cuenta Corriente"/>
    <s v="Transferencia"/>
    <s v="Pagado"/>
  </r>
  <r>
    <x v="364"/>
    <x v="9"/>
    <s v="TX-103759"/>
    <x v="0"/>
    <x v="0"/>
    <x v="2"/>
    <n v="7275.75"/>
    <n v="0"/>
    <x v="3755"/>
    <x v="4"/>
    <s v="Tarjeta Crédito Empresarial"/>
    <s v="Transferencia"/>
    <s v="Pendiente"/>
  </r>
  <r>
    <x v="354"/>
    <x v="4"/>
    <s v="TX-103760"/>
    <x v="3"/>
    <x v="1"/>
    <x v="2"/>
    <n v="9144.6"/>
    <n v="1188.8"/>
    <x v="3756"/>
    <x v="3"/>
    <s v="Cuenta Corriente"/>
    <s v="Tarjeta Crédito"/>
    <s v="Pagado"/>
  </r>
  <r>
    <x v="307"/>
    <x v="11"/>
    <s v="TX-103761"/>
    <x v="8"/>
    <x v="0"/>
    <x v="1"/>
    <n v="7937.89"/>
    <n v="0"/>
    <x v="3757"/>
    <x v="2"/>
    <s v="Cuenta Corriente"/>
    <s v="Tarjeta Crédito"/>
    <s v="Pendiente"/>
  </r>
  <r>
    <x v="145"/>
    <x v="11"/>
    <s v="TX-103762"/>
    <x v="13"/>
    <x v="1"/>
    <x v="0"/>
    <n v="11735.95"/>
    <n v="1525.67"/>
    <x v="3758"/>
    <x v="2"/>
    <s v="Cuenta Ahorros"/>
    <s v="Efectivo"/>
    <s v="Pendiente"/>
  </r>
  <r>
    <x v="215"/>
    <x v="3"/>
    <s v="TX-103763"/>
    <x v="0"/>
    <x v="1"/>
    <x v="1"/>
    <n v="9773.65"/>
    <n v="1270.57"/>
    <x v="3759"/>
    <x v="2"/>
    <s v="Tarjeta Crédito Empresarial"/>
    <s v="Tarjeta Crédito"/>
    <s v="Pagado"/>
  </r>
  <r>
    <x v="332"/>
    <x v="1"/>
    <s v="TX-103764"/>
    <x v="4"/>
    <x v="1"/>
    <x v="6"/>
    <n v="4948.71"/>
    <n v="643.33000000000004"/>
    <x v="3760"/>
    <x v="3"/>
    <s v="Cuenta Ahorros"/>
    <s v="Tarjeta Débito"/>
    <s v="Pendiente"/>
  </r>
  <r>
    <x v="274"/>
    <x v="2"/>
    <s v="TX-103765"/>
    <x v="6"/>
    <x v="0"/>
    <x v="0"/>
    <n v="13951.22"/>
    <n v="0"/>
    <x v="3761"/>
    <x v="0"/>
    <s v="Cuenta Corriente"/>
    <s v="Transferencia"/>
    <s v="Pagado"/>
  </r>
  <r>
    <x v="306"/>
    <x v="2"/>
    <s v="TX-103766"/>
    <x v="14"/>
    <x v="1"/>
    <x v="6"/>
    <n v="1663.7"/>
    <n v="216.28"/>
    <x v="3762"/>
    <x v="3"/>
    <s v="Cuenta Corriente"/>
    <s v="Tarjeta Crédito"/>
    <s v="Pagado"/>
  </r>
  <r>
    <x v="119"/>
    <x v="6"/>
    <s v="TX-103767"/>
    <x v="12"/>
    <x v="0"/>
    <x v="1"/>
    <n v="1141.29"/>
    <n v="0"/>
    <x v="3763"/>
    <x v="0"/>
    <s v="Cuenta Corriente"/>
    <s v="Tarjeta Crédito"/>
    <s v="Pagado"/>
  </r>
  <r>
    <x v="357"/>
    <x v="0"/>
    <s v="TX-103768"/>
    <x v="9"/>
    <x v="1"/>
    <x v="3"/>
    <n v="4756.2299999999996"/>
    <n v="618.30999999999995"/>
    <x v="3764"/>
    <x v="1"/>
    <s v="Tarjeta Crédito Empresarial"/>
    <s v="Tarjeta Crédito"/>
    <s v="Pendiente"/>
  </r>
  <r>
    <x v="103"/>
    <x v="4"/>
    <s v="TX-103769"/>
    <x v="1"/>
    <x v="0"/>
    <x v="1"/>
    <n v="10040.99"/>
    <n v="0"/>
    <x v="3765"/>
    <x v="0"/>
    <s v="Cuenta Ahorros"/>
    <s v="Efectivo"/>
    <s v="Pendiente"/>
  </r>
  <r>
    <x v="309"/>
    <x v="4"/>
    <s v="TX-103770"/>
    <x v="12"/>
    <x v="1"/>
    <x v="5"/>
    <n v="13418.8"/>
    <n v="1744.44"/>
    <x v="3766"/>
    <x v="3"/>
    <s v="Cuenta Ahorros"/>
    <s v="Transferencia"/>
    <s v="Pendiente"/>
  </r>
  <r>
    <x v="256"/>
    <x v="5"/>
    <s v="TX-103771"/>
    <x v="4"/>
    <x v="1"/>
    <x v="0"/>
    <n v="8159.01"/>
    <n v="1060.67"/>
    <x v="3767"/>
    <x v="0"/>
    <s v="Cuenta Corriente"/>
    <s v="Transferencia"/>
    <s v="Pagado"/>
  </r>
  <r>
    <x v="285"/>
    <x v="5"/>
    <s v="TX-103772"/>
    <x v="9"/>
    <x v="0"/>
    <x v="3"/>
    <n v="7522.72"/>
    <n v="0"/>
    <x v="3768"/>
    <x v="1"/>
    <s v="Cuenta Ahorros"/>
    <s v="Efectivo"/>
    <s v="Pendiente"/>
  </r>
  <r>
    <x v="100"/>
    <x v="3"/>
    <s v="TX-103773"/>
    <x v="19"/>
    <x v="0"/>
    <x v="5"/>
    <n v="4056.22"/>
    <n v="0"/>
    <x v="3769"/>
    <x v="3"/>
    <s v="Cuenta Corriente"/>
    <s v="Efectivo"/>
    <s v="Pagado"/>
  </r>
  <r>
    <x v="198"/>
    <x v="0"/>
    <s v="TX-103774"/>
    <x v="1"/>
    <x v="0"/>
    <x v="3"/>
    <n v="4631.03"/>
    <n v="0"/>
    <x v="3770"/>
    <x v="1"/>
    <s v="Cuenta Ahorros"/>
    <s v="Transferencia"/>
    <s v="Pagado"/>
  </r>
  <r>
    <x v="280"/>
    <x v="9"/>
    <s v="TX-103775"/>
    <x v="5"/>
    <x v="1"/>
    <x v="4"/>
    <n v="10574.33"/>
    <n v="1374.66"/>
    <x v="3771"/>
    <x v="4"/>
    <s v="Cuenta Ahorros"/>
    <s v="Efectivo"/>
    <s v="Pagado"/>
  </r>
  <r>
    <x v="261"/>
    <x v="2"/>
    <s v="TX-103776"/>
    <x v="13"/>
    <x v="1"/>
    <x v="6"/>
    <n v="12937.46"/>
    <n v="1681.87"/>
    <x v="3772"/>
    <x v="3"/>
    <s v="Tarjeta Crédito Empresarial"/>
    <s v="Tarjeta Crédito"/>
    <s v="Pagado"/>
  </r>
  <r>
    <x v="297"/>
    <x v="11"/>
    <s v="TX-103777"/>
    <x v="4"/>
    <x v="0"/>
    <x v="0"/>
    <n v="5443.38"/>
    <n v="0"/>
    <x v="3773"/>
    <x v="1"/>
    <s v="Cuenta Corriente"/>
    <s v="Efectivo"/>
    <s v="Pagado"/>
  </r>
  <r>
    <x v="91"/>
    <x v="6"/>
    <s v="TX-103778"/>
    <x v="5"/>
    <x v="0"/>
    <x v="7"/>
    <n v="13381.65"/>
    <n v="0"/>
    <x v="3774"/>
    <x v="3"/>
    <s v="Cuenta Corriente"/>
    <s v="Tarjeta Crédito"/>
    <s v="Pagado"/>
  </r>
  <r>
    <x v="253"/>
    <x v="6"/>
    <s v="TX-103779"/>
    <x v="19"/>
    <x v="0"/>
    <x v="3"/>
    <n v="2971.95"/>
    <n v="0"/>
    <x v="3775"/>
    <x v="0"/>
    <s v="Cuenta Ahorros"/>
    <s v="Efectivo"/>
    <s v="Pendiente"/>
  </r>
  <r>
    <x v="170"/>
    <x v="10"/>
    <s v="TX-103780"/>
    <x v="17"/>
    <x v="1"/>
    <x v="7"/>
    <n v="3764.51"/>
    <n v="489.39"/>
    <x v="3776"/>
    <x v="4"/>
    <s v="Cuenta Ahorros"/>
    <s v="Efectivo"/>
    <s v="Pendiente"/>
  </r>
  <r>
    <x v="60"/>
    <x v="3"/>
    <s v="TX-103781"/>
    <x v="5"/>
    <x v="1"/>
    <x v="3"/>
    <n v="9939.6299999999992"/>
    <n v="1292.1500000000001"/>
    <x v="3777"/>
    <x v="4"/>
    <s v="Cuenta Corriente"/>
    <s v="Efectivo"/>
    <s v="Pagado"/>
  </r>
  <r>
    <x v="180"/>
    <x v="3"/>
    <s v="TX-103782"/>
    <x v="12"/>
    <x v="1"/>
    <x v="4"/>
    <n v="13429.56"/>
    <n v="1745.84"/>
    <x v="3778"/>
    <x v="4"/>
    <s v="Cuenta Corriente"/>
    <s v="Transferencia"/>
    <s v="Pendiente"/>
  </r>
  <r>
    <x v="300"/>
    <x v="0"/>
    <s v="TX-103783"/>
    <x v="12"/>
    <x v="1"/>
    <x v="4"/>
    <n v="11704.19"/>
    <n v="1521.54"/>
    <x v="3779"/>
    <x v="2"/>
    <s v="Tarjeta Crédito Empresarial"/>
    <s v="Tarjeta Débito"/>
    <s v="Pagado"/>
  </r>
  <r>
    <x v="151"/>
    <x v="9"/>
    <s v="TX-103784"/>
    <x v="7"/>
    <x v="1"/>
    <x v="4"/>
    <n v="13239.47"/>
    <n v="1721.13"/>
    <x v="3780"/>
    <x v="4"/>
    <s v="Cuenta Ahorros"/>
    <s v="Tarjeta Débito"/>
    <s v="Pendiente"/>
  </r>
  <r>
    <x v="281"/>
    <x v="7"/>
    <s v="TX-103785"/>
    <x v="11"/>
    <x v="0"/>
    <x v="5"/>
    <n v="13309.07"/>
    <n v="0"/>
    <x v="3781"/>
    <x v="2"/>
    <s v="Cuenta Ahorros"/>
    <s v="Transferencia"/>
    <s v="Pendiente"/>
  </r>
  <r>
    <x v="172"/>
    <x v="2"/>
    <s v="TX-103786"/>
    <x v="17"/>
    <x v="0"/>
    <x v="6"/>
    <n v="11998.23"/>
    <n v="0"/>
    <x v="3782"/>
    <x v="2"/>
    <s v="Cuenta Corriente"/>
    <s v="Tarjeta Crédito"/>
    <s v="Pendiente"/>
  </r>
  <r>
    <x v="68"/>
    <x v="4"/>
    <s v="TX-103787"/>
    <x v="1"/>
    <x v="1"/>
    <x v="2"/>
    <n v="7034.47"/>
    <n v="914.48"/>
    <x v="3783"/>
    <x v="0"/>
    <s v="Cuenta Ahorros"/>
    <s v="Tarjeta Crédito"/>
    <s v="Pendiente"/>
  </r>
  <r>
    <x v="322"/>
    <x v="11"/>
    <s v="TX-103788"/>
    <x v="17"/>
    <x v="1"/>
    <x v="2"/>
    <n v="9495.06"/>
    <n v="1234.3599999999999"/>
    <x v="3784"/>
    <x v="2"/>
    <s v="Cuenta Corriente"/>
    <s v="Tarjeta Crédito"/>
    <s v="Pendiente"/>
  </r>
  <r>
    <x v="99"/>
    <x v="6"/>
    <s v="TX-103789"/>
    <x v="11"/>
    <x v="1"/>
    <x v="6"/>
    <n v="1165.19"/>
    <n v="151.47"/>
    <x v="3785"/>
    <x v="3"/>
    <s v="Cuenta Corriente"/>
    <s v="Efectivo"/>
    <s v="Pendiente"/>
  </r>
  <r>
    <x v="156"/>
    <x v="4"/>
    <s v="TX-103790"/>
    <x v="2"/>
    <x v="1"/>
    <x v="4"/>
    <n v="9926.3799999999992"/>
    <n v="1290.43"/>
    <x v="3786"/>
    <x v="4"/>
    <s v="Tarjeta Crédito Empresarial"/>
    <s v="Efectivo"/>
    <s v="Pagado"/>
  </r>
  <r>
    <x v="28"/>
    <x v="6"/>
    <s v="TX-103791"/>
    <x v="13"/>
    <x v="1"/>
    <x v="6"/>
    <n v="3255.39"/>
    <n v="423.2"/>
    <x v="3787"/>
    <x v="0"/>
    <s v="Tarjeta Crédito Empresarial"/>
    <s v="Efectivo"/>
    <s v="Pendiente"/>
  </r>
  <r>
    <x v="75"/>
    <x v="9"/>
    <s v="TX-103792"/>
    <x v="3"/>
    <x v="1"/>
    <x v="1"/>
    <n v="964.27"/>
    <n v="125.36"/>
    <x v="3788"/>
    <x v="3"/>
    <s v="Cuenta Ahorros"/>
    <s v="Tarjeta Crédito"/>
    <s v="Pagado"/>
  </r>
  <r>
    <x v="26"/>
    <x v="7"/>
    <s v="TX-103793"/>
    <x v="9"/>
    <x v="0"/>
    <x v="5"/>
    <n v="13765.15"/>
    <n v="0"/>
    <x v="3789"/>
    <x v="3"/>
    <s v="Cuenta Ahorros"/>
    <s v="Efectivo"/>
    <s v="Pagado"/>
  </r>
  <r>
    <x v="297"/>
    <x v="11"/>
    <s v="TX-103794"/>
    <x v="8"/>
    <x v="1"/>
    <x v="2"/>
    <n v="434.38"/>
    <n v="56.47"/>
    <x v="3790"/>
    <x v="3"/>
    <s v="Cuenta Corriente"/>
    <s v="Tarjeta Crédito"/>
    <s v="Pendiente"/>
  </r>
  <r>
    <x v="14"/>
    <x v="9"/>
    <s v="TX-103795"/>
    <x v="12"/>
    <x v="0"/>
    <x v="3"/>
    <n v="14099.56"/>
    <n v="0"/>
    <x v="3791"/>
    <x v="4"/>
    <s v="Tarjeta Crédito Empresarial"/>
    <s v="Transferencia"/>
    <s v="Pagado"/>
  </r>
  <r>
    <x v="82"/>
    <x v="10"/>
    <s v="TX-103796"/>
    <x v="7"/>
    <x v="1"/>
    <x v="3"/>
    <n v="6339.74"/>
    <n v="824.17"/>
    <x v="3792"/>
    <x v="1"/>
    <s v="Cuenta Corriente"/>
    <s v="Transferencia"/>
    <s v="Pendiente"/>
  </r>
  <r>
    <x v="96"/>
    <x v="2"/>
    <s v="TX-103797"/>
    <x v="12"/>
    <x v="0"/>
    <x v="4"/>
    <n v="9126.68"/>
    <n v="0"/>
    <x v="3793"/>
    <x v="3"/>
    <s v="Tarjeta Crédito Empresarial"/>
    <s v="Efectivo"/>
    <s v="Pagado"/>
  </r>
  <r>
    <x v="218"/>
    <x v="4"/>
    <s v="TX-103798"/>
    <x v="8"/>
    <x v="1"/>
    <x v="3"/>
    <n v="1209.02"/>
    <n v="157.16999999999999"/>
    <x v="3794"/>
    <x v="1"/>
    <s v="Cuenta Corriente"/>
    <s v="Tarjeta Crédito"/>
    <s v="Pagado"/>
  </r>
  <r>
    <x v="239"/>
    <x v="7"/>
    <s v="TX-103799"/>
    <x v="1"/>
    <x v="1"/>
    <x v="6"/>
    <n v="83.27"/>
    <n v="10.83"/>
    <x v="3795"/>
    <x v="3"/>
    <s v="Cuenta Ahorros"/>
    <s v="Transferencia"/>
    <s v="Pagado"/>
  </r>
  <r>
    <x v="178"/>
    <x v="6"/>
    <s v="TX-103800"/>
    <x v="10"/>
    <x v="1"/>
    <x v="7"/>
    <n v="2517.61"/>
    <n v="327.29000000000002"/>
    <x v="3796"/>
    <x v="0"/>
    <s v="Cuenta Ahorros"/>
    <s v="Tarjeta Débito"/>
    <s v="Pagado"/>
  </r>
  <r>
    <x v="68"/>
    <x v="4"/>
    <s v="TX-103801"/>
    <x v="14"/>
    <x v="1"/>
    <x v="3"/>
    <n v="13334.03"/>
    <n v="1733.42"/>
    <x v="3797"/>
    <x v="0"/>
    <s v="Tarjeta Crédito Empresarial"/>
    <s v="Tarjeta Crédito"/>
    <s v="Pagado"/>
  </r>
  <r>
    <x v="119"/>
    <x v="6"/>
    <s v="TX-103802"/>
    <x v="10"/>
    <x v="0"/>
    <x v="3"/>
    <n v="11454.76"/>
    <n v="0"/>
    <x v="3798"/>
    <x v="0"/>
    <s v="Tarjeta Crédito Empresarial"/>
    <s v="Efectivo"/>
    <s v="Pendiente"/>
  </r>
  <r>
    <x v="287"/>
    <x v="4"/>
    <s v="TX-103803"/>
    <x v="0"/>
    <x v="1"/>
    <x v="2"/>
    <n v="4324.47"/>
    <n v="562.17999999999995"/>
    <x v="3799"/>
    <x v="2"/>
    <s v="Cuenta Corriente"/>
    <s v="Tarjeta Crédito"/>
    <s v="Pendiente"/>
  </r>
  <r>
    <x v="334"/>
    <x v="5"/>
    <s v="TX-103804"/>
    <x v="6"/>
    <x v="1"/>
    <x v="7"/>
    <n v="2585.2199999999998"/>
    <n v="336.08"/>
    <x v="3800"/>
    <x v="0"/>
    <s v="Cuenta Ahorros"/>
    <s v="Transferencia"/>
    <s v="Pendiente"/>
  </r>
  <r>
    <x v="200"/>
    <x v="9"/>
    <s v="TX-103805"/>
    <x v="16"/>
    <x v="0"/>
    <x v="4"/>
    <n v="6881.51"/>
    <n v="0"/>
    <x v="3801"/>
    <x v="1"/>
    <s v="Tarjeta Crédito Empresarial"/>
    <s v="Efectivo"/>
    <s v="Pagado"/>
  </r>
  <r>
    <x v="27"/>
    <x v="9"/>
    <s v="TX-103806"/>
    <x v="2"/>
    <x v="1"/>
    <x v="0"/>
    <n v="479.29"/>
    <n v="62.31"/>
    <x v="3802"/>
    <x v="1"/>
    <s v="Cuenta Ahorros"/>
    <s v="Efectivo"/>
    <s v="Pagado"/>
  </r>
  <r>
    <x v="84"/>
    <x v="6"/>
    <s v="TX-103807"/>
    <x v="13"/>
    <x v="0"/>
    <x v="1"/>
    <n v="7062.24"/>
    <n v="0"/>
    <x v="3803"/>
    <x v="3"/>
    <s v="Cuenta Corriente"/>
    <s v="Tarjeta Crédito"/>
    <s v="Pagado"/>
  </r>
  <r>
    <x v="354"/>
    <x v="4"/>
    <s v="TX-103808"/>
    <x v="4"/>
    <x v="1"/>
    <x v="6"/>
    <n v="116.41"/>
    <n v="15.13"/>
    <x v="3804"/>
    <x v="4"/>
    <s v="Tarjeta Crédito Empresarial"/>
    <s v="Transferencia"/>
    <s v="Pagado"/>
  </r>
  <r>
    <x v="191"/>
    <x v="10"/>
    <s v="TX-103809"/>
    <x v="7"/>
    <x v="1"/>
    <x v="5"/>
    <n v="7984.55"/>
    <n v="1037.99"/>
    <x v="3805"/>
    <x v="1"/>
    <s v="Tarjeta Crédito Empresarial"/>
    <s v="Efectivo"/>
    <s v="Pendiente"/>
  </r>
  <r>
    <x v="359"/>
    <x v="5"/>
    <s v="TX-103810"/>
    <x v="19"/>
    <x v="0"/>
    <x v="0"/>
    <n v="5390.53"/>
    <n v="0"/>
    <x v="3806"/>
    <x v="1"/>
    <s v="Cuenta Ahorros"/>
    <s v="Transferencia"/>
    <s v="Pendiente"/>
  </r>
  <r>
    <x v="307"/>
    <x v="11"/>
    <s v="TX-103811"/>
    <x v="18"/>
    <x v="1"/>
    <x v="2"/>
    <n v="901.26"/>
    <n v="117.16"/>
    <x v="3807"/>
    <x v="2"/>
    <s v="Cuenta Corriente"/>
    <s v="Efectivo"/>
    <s v="Pagado"/>
  </r>
  <r>
    <x v="286"/>
    <x v="11"/>
    <s v="TX-103812"/>
    <x v="15"/>
    <x v="0"/>
    <x v="4"/>
    <n v="13727.4"/>
    <n v="0"/>
    <x v="3808"/>
    <x v="3"/>
    <s v="Cuenta Corriente"/>
    <s v="Tarjeta Crédito"/>
    <s v="Pendiente"/>
  </r>
  <r>
    <x v="86"/>
    <x v="3"/>
    <s v="TX-103813"/>
    <x v="10"/>
    <x v="0"/>
    <x v="0"/>
    <n v="4858.67"/>
    <n v="0"/>
    <x v="3809"/>
    <x v="4"/>
    <s v="Cuenta Ahorros"/>
    <s v="Tarjeta Débito"/>
    <s v="Pendiente"/>
  </r>
  <r>
    <x v="167"/>
    <x v="8"/>
    <s v="TX-103814"/>
    <x v="6"/>
    <x v="0"/>
    <x v="6"/>
    <n v="619.11"/>
    <n v="0"/>
    <x v="3810"/>
    <x v="1"/>
    <s v="Tarjeta Crédito Empresarial"/>
    <s v="Tarjeta Crédito"/>
    <s v="Pendiente"/>
  </r>
  <r>
    <x v="129"/>
    <x v="9"/>
    <s v="TX-103815"/>
    <x v="12"/>
    <x v="0"/>
    <x v="4"/>
    <n v="8423.9599999999991"/>
    <n v="0"/>
    <x v="3811"/>
    <x v="4"/>
    <s v="Cuenta Ahorros"/>
    <s v="Transferencia"/>
    <s v="Pagado"/>
  </r>
  <r>
    <x v="333"/>
    <x v="10"/>
    <s v="TX-103816"/>
    <x v="3"/>
    <x v="0"/>
    <x v="3"/>
    <n v="6896.58"/>
    <n v="0"/>
    <x v="3812"/>
    <x v="3"/>
    <s v="Cuenta Corriente"/>
    <s v="Efectivo"/>
    <s v="Pendiente"/>
  </r>
  <r>
    <x v="66"/>
    <x v="10"/>
    <s v="TX-103817"/>
    <x v="14"/>
    <x v="0"/>
    <x v="5"/>
    <n v="9336.43"/>
    <n v="0"/>
    <x v="3813"/>
    <x v="1"/>
    <s v="Cuenta Ahorros"/>
    <s v="Tarjeta Débito"/>
    <s v="Pagado"/>
  </r>
  <r>
    <x v="250"/>
    <x v="7"/>
    <s v="TX-103818"/>
    <x v="13"/>
    <x v="0"/>
    <x v="1"/>
    <n v="2176.0300000000002"/>
    <n v="0"/>
    <x v="3814"/>
    <x v="0"/>
    <s v="Cuenta Ahorros"/>
    <s v="Tarjeta Crédito"/>
    <s v="Pagado"/>
  </r>
  <r>
    <x v="151"/>
    <x v="9"/>
    <s v="TX-103819"/>
    <x v="10"/>
    <x v="1"/>
    <x v="4"/>
    <n v="11406.14"/>
    <n v="1482.8"/>
    <x v="3815"/>
    <x v="0"/>
    <s v="Tarjeta Crédito Empresarial"/>
    <s v="Transferencia"/>
    <s v="Pagado"/>
  </r>
  <r>
    <x v="174"/>
    <x v="9"/>
    <s v="TX-103820"/>
    <x v="16"/>
    <x v="0"/>
    <x v="6"/>
    <n v="7073.29"/>
    <n v="0"/>
    <x v="3816"/>
    <x v="4"/>
    <s v="Tarjeta Crédito Empresarial"/>
    <s v="Tarjeta Crédito"/>
    <s v="Pagado"/>
  </r>
  <r>
    <x v="32"/>
    <x v="9"/>
    <s v="TX-103821"/>
    <x v="19"/>
    <x v="0"/>
    <x v="3"/>
    <n v="10596.22"/>
    <n v="0"/>
    <x v="3817"/>
    <x v="4"/>
    <s v="Tarjeta Crédito Empresarial"/>
    <s v="Tarjeta Crédito"/>
    <s v="Pendiente"/>
  </r>
  <r>
    <x v="265"/>
    <x v="1"/>
    <s v="TX-103822"/>
    <x v="9"/>
    <x v="1"/>
    <x v="3"/>
    <n v="11230.16"/>
    <n v="1459.92"/>
    <x v="3818"/>
    <x v="2"/>
    <s v="Cuenta Corriente"/>
    <s v="Tarjeta Crédito"/>
    <s v="Pagado"/>
  </r>
  <r>
    <x v="59"/>
    <x v="3"/>
    <s v="TX-103823"/>
    <x v="15"/>
    <x v="1"/>
    <x v="0"/>
    <n v="3988.75"/>
    <n v="518.54"/>
    <x v="3819"/>
    <x v="3"/>
    <s v="Cuenta Corriente"/>
    <s v="Efectivo"/>
    <s v="Pendiente"/>
  </r>
  <r>
    <x v="165"/>
    <x v="9"/>
    <s v="TX-103824"/>
    <x v="6"/>
    <x v="1"/>
    <x v="5"/>
    <n v="9778.07"/>
    <n v="1271.1500000000001"/>
    <x v="3820"/>
    <x v="0"/>
    <s v="Cuenta Corriente"/>
    <s v="Tarjeta Débito"/>
    <s v="Pagado"/>
  </r>
  <r>
    <x v="205"/>
    <x v="3"/>
    <s v="TX-103825"/>
    <x v="18"/>
    <x v="1"/>
    <x v="7"/>
    <n v="1321.18"/>
    <n v="171.75"/>
    <x v="3821"/>
    <x v="3"/>
    <s v="Cuenta Corriente"/>
    <s v="Tarjeta Débito"/>
    <s v="Pagado"/>
  </r>
  <r>
    <x v="314"/>
    <x v="11"/>
    <s v="TX-103826"/>
    <x v="11"/>
    <x v="0"/>
    <x v="4"/>
    <n v="4256.5"/>
    <n v="0"/>
    <x v="3822"/>
    <x v="2"/>
    <s v="Cuenta Corriente"/>
    <s v="Efectivo"/>
    <s v="Pendiente"/>
  </r>
  <r>
    <x v="79"/>
    <x v="8"/>
    <s v="TX-103827"/>
    <x v="14"/>
    <x v="1"/>
    <x v="0"/>
    <n v="1353.07"/>
    <n v="175.9"/>
    <x v="3823"/>
    <x v="0"/>
    <s v="Tarjeta Crédito Empresarial"/>
    <s v="Transferencia"/>
    <s v="Pagado"/>
  </r>
  <r>
    <x v="222"/>
    <x v="3"/>
    <s v="TX-103828"/>
    <x v="0"/>
    <x v="1"/>
    <x v="3"/>
    <n v="7308.57"/>
    <n v="950.11"/>
    <x v="3824"/>
    <x v="1"/>
    <s v="Cuenta Ahorros"/>
    <s v="Efectivo"/>
    <s v="Pendiente"/>
  </r>
  <r>
    <x v="312"/>
    <x v="3"/>
    <s v="TX-103829"/>
    <x v="15"/>
    <x v="0"/>
    <x v="7"/>
    <n v="5693.25"/>
    <n v="0"/>
    <x v="3825"/>
    <x v="2"/>
    <s v="Cuenta Ahorros"/>
    <s v="Tarjeta Crédito"/>
    <s v="Pagado"/>
  </r>
  <r>
    <x v="241"/>
    <x v="5"/>
    <s v="TX-103830"/>
    <x v="9"/>
    <x v="1"/>
    <x v="6"/>
    <n v="12098.54"/>
    <n v="1572.81"/>
    <x v="3826"/>
    <x v="2"/>
    <s v="Cuenta Corriente"/>
    <s v="Tarjeta Crédito"/>
    <s v="Pagado"/>
  </r>
  <r>
    <x v="153"/>
    <x v="10"/>
    <s v="TX-103831"/>
    <x v="0"/>
    <x v="1"/>
    <x v="3"/>
    <n v="9382.7199999999993"/>
    <n v="1219.75"/>
    <x v="3827"/>
    <x v="2"/>
    <s v="Cuenta Ahorros"/>
    <s v="Tarjeta Débito"/>
    <s v="Pagado"/>
  </r>
  <r>
    <x v="235"/>
    <x v="7"/>
    <s v="TX-103832"/>
    <x v="11"/>
    <x v="1"/>
    <x v="0"/>
    <n v="10382.65"/>
    <n v="1349.74"/>
    <x v="1998"/>
    <x v="3"/>
    <s v="Cuenta Corriente"/>
    <s v="Tarjeta Crédito"/>
    <s v="Pagado"/>
  </r>
  <r>
    <x v="284"/>
    <x v="1"/>
    <s v="TX-103833"/>
    <x v="4"/>
    <x v="0"/>
    <x v="6"/>
    <n v="11213.34"/>
    <n v="0"/>
    <x v="3828"/>
    <x v="1"/>
    <s v="Cuenta Corriente"/>
    <s v="Tarjeta Débito"/>
    <s v="Pendiente"/>
  </r>
  <r>
    <x v="117"/>
    <x v="8"/>
    <s v="TX-103834"/>
    <x v="10"/>
    <x v="0"/>
    <x v="5"/>
    <n v="12014.2"/>
    <n v="0"/>
    <x v="3829"/>
    <x v="3"/>
    <s v="Cuenta Ahorros"/>
    <s v="Efectivo"/>
    <s v="Pendiente"/>
  </r>
  <r>
    <x v="149"/>
    <x v="11"/>
    <s v="TX-103835"/>
    <x v="3"/>
    <x v="1"/>
    <x v="4"/>
    <n v="4620.3599999999997"/>
    <n v="600.65"/>
    <x v="3830"/>
    <x v="1"/>
    <s v="Cuenta Ahorros"/>
    <s v="Tarjeta Débito"/>
    <s v="Pagado"/>
  </r>
  <r>
    <x v="12"/>
    <x v="8"/>
    <s v="TX-103836"/>
    <x v="17"/>
    <x v="1"/>
    <x v="4"/>
    <n v="9930.49"/>
    <n v="1290.96"/>
    <x v="3831"/>
    <x v="0"/>
    <s v="Cuenta Ahorros"/>
    <s v="Tarjeta Débito"/>
    <s v="Pagado"/>
  </r>
  <r>
    <x v="351"/>
    <x v="9"/>
    <s v="TX-103837"/>
    <x v="19"/>
    <x v="0"/>
    <x v="1"/>
    <n v="6579.89"/>
    <n v="0"/>
    <x v="3832"/>
    <x v="1"/>
    <s v="Cuenta Corriente"/>
    <s v="Tarjeta Crédito"/>
    <s v="Pagado"/>
  </r>
  <r>
    <x v="258"/>
    <x v="7"/>
    <s v="TX-103838"/>
    <x v="14"/>
    <x v="1"/>
    <x v="6"/>
    <n v="7633.35"/>
    <n v="992.34"/>
    <x v="3833"/>
    <x v="1"/>
    <s v="Cuenta Ahorros"/>
    <s v="Transferencia"/>
    <s v="Pagado"/>
  </r>
  <r>
    <x v="164"/>
    <x v="10"/>
    <s v="TX-103839"/>
    <x v="4"/>
    <x v="1"/>
    <x v="4"/>
    <n v="7984.29"/>
    <n v="1037.96"/>
    <x v="3834"/>
    <x v="0"/>
    <s v="Cuenta Corriente"/>
    <s v="Tarjeta Crédito"/>
    <s v="Pendiente"/>
  </r>
  <r>
    <x v="71"/>
    <x v="5"/>
    <s v="TX-103840"/>
    <x v="15"/>
    <x v="0"/>
    <x v="2"/>
    <n v="11249.64"/>
    <n v="0"/>
    <x v="3835"/>
    <x v="0"/>
    <s v="Cuenta Ahorros"/>
    <s v="Tarjeta Crédito"/>
    <s v="Pendiente"/>
  </r>
  <r>
    <x v="130"/>
    <x v="2"/>
    <s v="TX-103841"/>
    <x v="17"/>
    <x v="0"/>
    <x v="4"/>
    <n v="11523.46"/>
    <n v="0"/>
    <x v="3836"/>
    <x v="4"/>
    <s v="Tarjeta Crédito Empresarial"/>
    <s v="Transferencia"/>
    <s v="Pagado"/>
  </r>
  <r>
    <x v="83"/>
    <x v="2"/>
    <s v="TX-103842"/>
    <x v="18"/>
    <x v="0"/>
    <x v="5"/>
    <n v="4582.2299999999996"/>
    <n v="0"/>
    <x v="3837"/>
    <x v="0"/>
    <s v="Cuenta Ahorros"/>
    <s v="Efectivo"/>
    <s v="Pendiente"/>
  </r>
  <r>
    <x v="297"/>
    <x v="11"/>
    <s v="TX-103843"/>
    <x v="17"/>
    <x v="0"/>
    <x v="1"/>
    <n v="11822.57"/>
    <n v="0"/>
    <x v="3838"/>
    <x v="0"/>
    <s v="Cuenta Ahorros"/>
    <s v="Efectivo"/>
    <s v="Pendiente"/>
  </r>
  <r>
    <x v="125"/>
    <x v="1"/>
    <s v="TX-103844"/>
    <x v="1"/>
    <x v="0"/>
    <x v="3"/>
    <n v="6798.83"/>
    <n v="0"/>
    <x v="3839"/>
    <x v="0"/>
    <s v="Tarjeta Crédito Empresarial"/>
    <s v="Tarjeta Débito"/>
    <s v="Pendiente"/>
  </r>
  <r>
    <x v="297"/>
    <x v="11"/>
    <s v="TX-103845"/>
    <x v="16"/>
    <x v="0"/>
    <x v="1"/>
    <n v="11156.41"/>
    <n v="0"/>
    <x v="3840"/>
    <x v="3"/>
    <s v="Cuenta Corriente"/>
    <s v="Tarjeta Crédito"/>
    <s v="Pagado"/>
  </r>
  <r>
    <x v="71"/>
    <x v="5"/>
    <s v="TX-103846"/>
    <x v="13"/>
    <x v="1"/>
    <x v="7"/>
    <n v="3657.64"/>
    <n v="475.49"/>
    <x v="3841"/>
    <x v="1"/>
    <s v="Cuenta Corriente"/>
    <s v="Tarjeta Débito"/>
    <s v="Pagado"/>
  </r>
  <r>
    <x v="196"/>
    <x v="11"/>
    <s v="TX-103847"/>
    <x v="18"/>
    <x v="1"/>
    <x v="4"/>
    <n v="238.02"/>
    <n v="30.94"/>
    <x v="3842"/>
    <x v="0"/>
    <s v="Tarjeta Crédito Empresarial"/>
    <s v="Tarjeta Débito"/>
    <s v="Pagado"/>
  </r>
  <r>
    <x v="157"/>
    <x v="2"/>
    <s v="TX-103848"/>
    <x v="17"/>
    <x v="0"/>
    <x v="7"/>
    <n v="4888.0200000000004"/>
    <n v="0"/>
    <x v="3843"/>
    <x v="1"/>
    <s v="Cuenta Ahorros"/>
    <s v="Tarjeta Crédito"/>
    <s v="Pagado"/>
  </r>
  <r>
    <x v="297"/>
    <x v="11"/>
    <s v="TX-103849"/>
    <x v="14"/>
    <x v="0"/>
    <x v="7"/>
    <n v="10324.629999999999"/>
    <n v="0"/>
    <x v="3844"/>
    <x v="2"/>
    <s v="Cuenta Corriente"/>
    <s v="Tarjeta Crédito"/>
    <s v="Pagado"/>
  </r>
  <r>
    <x v="11"/>
    <x v="8"/>
    <s v="TX-103850"/>
    <x v="7"/>
    <x v="1"/>
    <x v="6"/>
    <n v="5410.68"/>
    <n v="703.39"/>
    <x v="3845"/>
    <x v="3"/>
    <s v="Tarjeta Crédito Empresarial"/>
    <s v="Tarjeta Crédito"/>
    <s v="Pendiente"/>
  </r>
  <r>
    <x v="163"/>
    <x v="10"/>
    <s v="TX-103851"/>
    <x v="7"/>
    <x v="1"/>
    <x v="3"/>
    <n v="6248.02"/>
    <n v="812.24"/>
    <x v="3846"/>
    <x v="2"/>
    <s v="Cuenta Corriente"/>
    <s v="Tarjeta Débito"/>
    <s v="Pendiente"/>
  </r>
  <r>
    <x v="277"/>
    <x v="9"/>
    <s v="TX-103852"/>
    <x v="15"/>
    <x v="0"/>
    <x v="3"/>
    <n v="9606.44"/>
    <n v="0"/>
    <x v="3847"/>
    <x v="0"/>
    <s v="Cuenta Ahorros"/>
    <s v="Tarjeta Crédito"/>
    <s v="Pagado"/>
  </r>
  <r>
    <x v="231"/>
    <x v="9"/>
    <s v="TX-103853"/>
    <x v="18"/>
    <x v="1"/>
    <x v="0"/>
    <n v="3145.4"/>
    <n v="408.9"/>
    <x v="3848"/>
    <x v="1"/>
    <s v="Cuenta Corriente"/>
    <s v="Tarjeta Débito"/>
    <s v="Pagado"/>
  </r>
  <r>
    <x v="253"/>
    <x v="6"/>
    <s v="TX-103854"/>
    <x v="8"/>
    <x v="1"/>
    <x v="5"/>
    <n v="5629.23"/>
    <n v="731.8"/>
    <x v="3849"/>
    <x v="1"/>
    <s v="Cuenta Corriente"/>
    <s v="Tarjeta Débito"/>
    <s v="Pagado"/>
  </r>
  <r>
    <x v="71"/>
    <x v="5"/>
    <s v="TX-103855"/>
    <x v="15"/>
    <x v="0"/>
    <x v="4"/>
    <n v="8392.74"/>
    <n v="0"/>
    <x v="3850"/>
    <x v="1"/>
    <s v="Tarjeta Crédito Empresarial"/>
    <s v="Efectivo"/>
    <s v="Pendiente"/>
  </r>
  <r>
    <x v="89"/>
    <x v="8"/>
    <s v="TX-103856"/>
    <x v="2"/>
    <x v="0"/>
    <x v="0"/>
    <n v="1324.86"/>
    <n v="0"/>
    <x v="3851"/>
    <x v="4"/>
    <s v="Cuenta Corriente"/>
    <s v="Tarjeta Crédito"/>
    <s v="Pagado"/>
  </r>
  <r>
    <x v="195"/>
    <x v="7"/>
    <s v="TX-103857"/>
    <x v="10"/>
    <x v="0"/>
    <x v="0"/>
    <n v="5860.78"/>
    <n v="0"/>
    <x v="3852"/>
    <x v="4"/>
    <s v="Cuenta Ahorros"/>
    <s v="Transferencia"/>
    <s v="Pendiente"/>
  </r>
  <r>
    <x v="30"/>
    <x v="2"/>
    <s v="TX-103858"/>
    <x v="16"/>
    <x v="1"/>
    <x v="1"/>
    <n v="14122.31"/>
    <n v="1835.9"/>
    <x v="3853"/>
    <x v="1"/>
    <s v="Cuenta Ahorros"/>
    <s v="Efectivo"/>
    <s v="Pagado"/>
  </r>
  <r>
    <x v="253"/>
    <x v="6"/>
    <s v="TX-103859"/>
    <x v="6"/>
    <x v="0"/>
    <x v="0"/>
    <n v="14596.75"/>
    <n v="0"/>
    <x v="3854"/>
    <x v="3"/>
    <s v="Tarjeta Crédito Empresarial"/>
    <s v="Efectivo"/>
    <s v="Pagado"/>
  </r>
  <r>
    <x v="133"/>
    <x v="3"/>
    <s v="TX-103860"/>
    <x v="10"/>
    <x v="0"/>
    <x v="6"/>
    <n v="3432.02"/>
    <n v="0"/>
    <x v="3855"/>
    <x v="3"/>
    <s v="Cuenta Ahorros"/>
    <s v="Tarjeta Débito"/>
    <s v="Pagado"/>
  </r>
  <r>
    <x v="121"/>
    <x v="8"/>
    <s v="TX-103861"/>
    <x v="0"/>
    <x v="0"/>
    <x v="0"/>
    <n v="5257.06"/>
    <n v="0"/>
    <x v="3856"/>
    <x v="4"/>
    <s v="Tarjeta Crédito Empresarial"/>
    <s v="Tarjeta Crédito"/>
    <s v="Pendiente"/>
  </r>
  <r>
    <x v="362"/>
    <x v="6"/>
    <s v="TX-103862"/>
    <x v="8"/>
    <x v="0"/>
    <x v="4"/>
    <n v="2534.71"/>
    <n v="0"/>
    <x v="3857"/>
    <x v="0"/>
    <s v="Cuenta Ahorros"/>
    <s v="Transferencia"/>
    <s v="Pagado"/>
  </r>
  <r>
    <x v="2"/>
    <x v="2"/>
    <s v="TX-103863"/>
    <x v="10"/>
    <x v="1"/>
    <x v="0"/>
    <n v="12834.42"/>
    <n v="1668.47"/>
    <x v="3858"/>
    <x v="1"/>
    <s v="Cuenta Corriente"/>
    <s v="Transferencia"/>
    <s v="Pagado"/>
  </r>
  <r>
    <x v="285"/>
    <x v="5"/>
    <s v="TX-103864"/>
    <x v="9"/>
    <x v="1"/>
    <x v="7"/>
    <n v="4603.8599999999997"/>
    <n v="598.5"/>
    <x v="3859"/>
    <x v="1"/>
    <s v="Cuenta Corriente"/>
    <s v="Tarjeta Crédito"/>
    <s v="Pagado"/>
  </r>
  <r>
    <x v="143"/>
    <x v="11"/>
    <s v="TX-103865"/>
    <x v="3"/>
    <x v="0"/>
    <x v="2"/>
    <n v="1783.24"/>
    <n v="0"/>
    <x v="3860"/>
    <x v="4"/>
    <s v="Cuenta Corriente"/>
    <s v="Tarjeta Débito"/>
    <s v="Pagado"/>
  </r>
  <r>
    <x v="105"/>
    <x v="5"/>
    <s v="TX-103866"/>
    <x v="2"/>
    <x v="0"/>
    <x v="3"/>
    <n v="14500.42"/>
    <n v="0"/>
    <x v="3861"/>
    <x v="3"/>
    <s v="Tarjeta Crédito Empresarial"/>
    <s v="Tarjeta Crédito"/>
    <s v="Pagado"/>
  </r>
  <r>
    <x v="154"/>
    <x v="0"/>
    <s v="TX-103867"/>
    <x v="1"/>
    <x v="1"/>
    <x v="5"/>
    <n v="7562.62"/>
    <n v="983.14"/>
    <x v="3862"/>
    <x v="1"/>
    <s v="Cuenta Ahorros"/>
    <s v="Transferencia"/>
    <s v="Pagado"/>
  </r>
  <r>
    <x v="73"/>
    <x v="6"/>
    <s v="TX-103868"/>
    <x v="7"/>
    <x v="0"/>
    <x v="3"/>
    <n v="3466.6"/>
    <n v="0"/>
    <x v="3863"/>
    <x v="0"/>
    <s v="Cuenta Ahorros"/>
    <s v="Efectivo"/>
    <s v="Pagado"/>
  </r>
  <r>
    <x v="351"/>
    <x v="9"/>
    <s v="TX-103869"/>
    <x v="5"/>
    <x v="1"/>
    <x v="3"/>
    <n v="14277.27"/>
    <n v="1856.05"/>
    <x v="3864"/>
    <x v="0"/>
    <s v="Tarjeta Crédito Empresarial"/>
    <s v="Tarjeta Crédito"/>
    <s v="Pendiente"/>
  </r>
  <r>
    <x v="340"/>
    <x v="2"/>
    <s v="TX-103870"/>
    <x v="5"/>
    <x v="1"/>
    <x v="7"/>
    <n v="9186.1"/>
    <n v="1194.19"/>
    <x v="3865"/>
    <x v="0"/>
    <s v="Cuenta Ahorros"/>
    <s v="Transferencia"/>
    <s v="Pagado"/>
  </r>
  <r>
    <x v="110"/>
    <x v="7"/>
    <s v="TX-103871"/>
    <x v="8"/>
    <x v="1"/>
    <x v="6"/>
    <n v="9512.48"/>
    <n v="1236.6199999999999"/>
    <x v="3866"/>
    <x v="3"/>
    <s v="Tarjeta Crédito Empresarial"/>
    <s v="Tarjeta Débito"/>
    <s v="Pagado"/>
  </r>
  <r>
    <x v="161"/>
    <x v="9"/>
    <s v="TX-103872"/>
    <x v="8"/>
    <x v="1"/>
    <x v="7"/>
    <n v="14295.17"/>
    <n v="1858.37"/>
    <x v="3867"/>
    <x v="1"/>
    <s v="Cuenta Ahorros"/>
    <s v="Transferencia"/>
    <s v="Pendiente"/>
  </r>
  <r>
    <x v="12"/>
    <x v="8"/>
    <s v="TX-103873"/>
    <x v="5"/>
    <x v="1"/>
    <x v="6"/>
    <n v="6071.98"/>
    <n v="789.36"/>
    <x v="3868"/>
    <x v="0"/>
    <s v="Cuenta Corriente"/>
    <s v="Efectivo"/>
    <s v="Pagado"/>
  </r>
  <r>
    <x v="28"/>
    <x v="6"/>
    <s v="TX-103874"/>
    <x v="15"/>
    <x v="0"/>
    <x v="5"/>
    <n v="4296.38"/>
    <n v="0"/>
    <x v="3869"/>
    <x v="2"/>
    <s v="Tarjeta Crédito Empresarial"/>
    <s v="Transferencia"/>
    <s v="Pendiente"/>
  </r>
  <r>
    <x v="319"/>
    <x v="5"/>
    <s v="TX-103875"/>
    <x v="19"/>
    <x v="1"/>
    <x v="5"/>
    <n v="13644.38"/>
    <n v="1773.77"/>
    <x v="3870"/>
    <x v="3"/>
    <s v="Cuenta Ahorros"/>
    <s v="Transferencia"/>
    <s v="Pendiente"/>
  </r>
  <r>
    <x v="234"/>
    <x v="0"/>
    <s v="TX-103876"/>
    <x v="13"/>
    <x v="0"/>
    <x v="3"/>
    <n v="4060.29"/>
    <n v="0"/>
    <x v="3871"/>
    <x v="4"/>
    <s v="Cuenta Ahorros"/>
    <s v="Transferencia"/>
    <s v="Pendiente"/>
  </r>
  <r>
    <x v="289"/>
    <x v="2"/>
    <s v="TX-103877"/>
    <x v="13"/>
    <x v="0"/>
    <x v="6"/>
    <n v="2108.11"/>
    <n v="0"/>
    <x v="3872"/>
    <x v="4"/>
    <s v="Tarjeta Crédito Empresarial"/>
    <s v="Efectivo"/>
    <s v="Pagado"/>
  </r>
  <r>
    <x v="262"/>
    <x v="10"/>
    <s v="TX-103878"/>
    <x v="17"/>
    <x v="1"/>
    <x v="5"/>
    <n v="8462.7099999999991"/>
    <n v="1100.1500000000001"/>
    <x v="3873"/>
    <x v="2"/>
    <s v="Tarjeta Crédito Empresarial"/>
    <s v="Tarjeta Crédito"/>
    <s v="Pagado"/>
  </r>
  <r>
    <x v="213"/>
    <x v="3"/>
    <s v="TX-103879"/>
    <x v="8"/>
    <x v="0"/>
    <x v="7"/>
    <n v="12513.15"/>
    <n v="0"/>
    <x v="3874"/>
    <x v="1"/>
    <s v="Cuenta Corriente"/>
    <s v="Tarjeta Débito"/>
    <s v="Pendiente"/>
  </r>
  <r>
    <x v="163"/>
    <x v="10"/>
    <s v="TX-103880"/>
    <x v="8"/>
    <x v="1"/>
    <x v="1"/>
    <n v="10620.16"/>
    <n v="1380.62"/>
    <x v="3875"/>
    <x v="3"/>
    <s v="Tarjeta Crédito Empresarial"/>
    <s v="Tarjeta Crédito"/>
    <s v="Pendiente"/>
  </r>
  <r>
    <x v="66"/>
    <x v="10"/>
    <s v="TX-103881"/>
    <x v="13"/>
    <x v="1"/>
    <x v="5"/>
    <n v="14194.04"/>
    <n v="1845.23"/>
    <x v="3876"/>
    <x v="2"/>
    <s v="Tarjeta Crédito Empresarial"/>
    <s v="Tarjeta Débito"/>
    <s v="Pendiente"/>
  </r>
  <r>
    <x v="201"/>
    <x v="8"/>
    <s v="TX-103882"/>
    <x v="1"/>
    <x v="0"/>
    <x v="2"/>
    <n v="2355.8000000000002"/>
    <n v="0"/>
    <x v="3877"/>
    <x v="3"/>
    <s v="Cuenta Ahorros"/>
    <s v="Efectivo"/>
    <s v="Pagado"/>
  </r>
  <r>
    <x v="136"/>
    <x v="11"/>
    <s v="TX-103883"/>
    <x v="12"/>
    <x v="0"/>
    <x v="1"/>
    <n v="10596.82"/>
    <n v="0"/>
    <x v="3878"/>
    <x v="0"/>
    <s v="Cuenta Corriente"/>
    <s v="Efectivo"/>
    <s v="Pagado"/>
  </r>
  <r>
    <x v="337"/>
    <x v="5"/>
    <s v="TX-103884"/>
    <x v="14"/>
    <x v="1"/>
    <x v="0"/>
    <n v="13899.92"/>
    <n v="1806.99"/>
    <x v="3879"/>
    <x v="4"/>
    <s v="Tarjeta Crédito Empresarial"/>
    <s v="Transferencia"/>
    <s v="Pagado"/>
  </r>
  <r>
    <x v="296"/>
    <x v="8"/>
    <s v="TX-103885"/>
    <x v="0"/>
    <x v="0"/>
    <x v="3"/>
    <n v="12793.79"/>
    <n v="0"/>
    <x v="3880"/>
    <x v="4"/>
    <s v="Cuenta Ahorros"/>
    <s v="Tarjeta Débito"/>
    <s v="Pagado"/>
  </r>
  <r>
    <x v="297"/>
    <x v="11"/>
    <s v="TX-103886"/>
    <x v="6"/>
    <x v="1"/>
    <x v="4"/>
    <n v="11626.45"/>
    <n v="1511.44"/>
    <x v="3881"/>
    <x v="4"/>
    <s v="Cuenta Ahorros"/>
    <s v="Tarjeta Crédito"/>
    <s v="Pendiente"/>
  </r>
  <r>
    <x v="241"/>
    <x v="5"/>
    <s v="TX-103887"/>
    <x v="10"/>
    <x v="0"/>
    <x v="2"/>
    <n v="8710.61"/>
    <n v="0"/>
    <x v="3882"/>
    <x v="3"/>
    <s v="Cuenta Ahorros"/>
    <s v="Efectivo"/>
    <s v="Pendiente"/>
  </r>
  <r>
    <x v="217"/>
    <x v="1"/>
    <s v="TX-103888"/>
    <x v="17"/>
    <x v="1"/>
    <x v="3"/>
    <n v="7362.32"/>
    <n v="957.1"/>
    <x v="3883"/>
    <x v="2"/>
    <s v="Cuenta Ahorros"/>
    <s v="Efectivo"/>
    <s v="Pendiente"/>
  </r>
  <r>
    <x v="38"/>
    <x v="6"/>
    <s v="TX-103889"/>
    <x v="19"/>
    <x v="1"/>
    <x v="2"/>
    <n v="5917.43"/>
    <n v="769.27"/>
    <x v="3884"/>
    <x v="3"/>
    <s v="Tarjeta Crédito Empresarial"/>
    <s v="Tarjeta Crédito"/>
    <s v="Pendiente"/>
  </r>
  <r>
    <x v="216"/>
    <x v="1"/>
    <s v="TX-103890"/>
    <x v="4"/>
    <x v="0"/>
    <x v="0"/>
    <n v="10794.29"/>
    <n v="0"/>
    <x v="3885"/>
    <x v="2"/>
    <s v="Tarjeta Crédito Empresarial"/>
    <s v="Efectivo"/>
    <s v="Pagado"/>
  </r>
  <r>
    <x v="134"/>
    <x v="2"/>
    <s v="TX-103891"/>
    <x v="14"/>
    <x v="0"/>
    <x v="0"/>
    <n v="14716.26"/>
    <n v="0"/>
    <x v="3886"/>
    <x v="0"/>
    <s v="Cuenta Corriente"/>
    <s v="Efectivo"/>
    <s v="Pendiente"/>
  </r>
  <r>
    <x v="169"/>
    <x v="1"/>
    <s v="TX-103892"/>
    <x v="3"/>
    <x v="0"/>
    <x v="7"/>
    <n v="11671.46"/>
    <n v="0"/>
    <x v="3887"/>
    <x v="3"/>
    <s v="Tarjeta Crédito Empresarial"/>
    <s v="Tarjeta Crédito"/>
    <s v="Pagado"/>
  </r>
  <r>
    <x v="75"/>
    <x v="9"/>
    <s v="TX-103893"/>
    <x v="10"/>
    <x v="1"/>
    <x v="4"/>
    <n v="5822.28"/>
    <n v="756.9"/>
    <x v="3888"/>
    <x v="0"/>
    <s v="Cuenta Ahorros"/>
    <s v="Transferencia"/>
    <s v="Pagado"/>
  </r>
  <r>
    <x v="76"/>
    <x v="11"/>
    <s v="TX-103894"/>
    <x v="1"/>
    <x v="1"/>
    <x v="1"/>
    <n v="6788.63"/>
    <n v="882.52"/>
    <x v="3889"/>
    <x v="0"/>
    <s v="Cuenta Ahorros"/>
    <s v="Tarjeta Crédito"/>
    <s v="Pendiente"/>
  </r>
  <r>
    <x v="109"/>
    <x v="3"/>
    <s v="TX-103895"/>
    <x v="12"/>
    <x v="0"/>
    <x v="7"/>
    <n v="4281.71"/>
    <n v="0"/>
    <x v="3890"/>
    <x v="0"/>
    <s v="Cuenta Corriente"/>
    <s v="Transferencia"/>
    <s v="Pendiente"/>
  </r>
  <r>
    <x v="186"/>
    <x v="3"/>
    <s v="TX-103896"/>
    <x v="5"/>
    <x v="1"/>
    <x v="6"/>
    <n v="14197.42"/>
    <n v="1845.66"/>
    <x v="3891"/>
    <x v="1"/>
    <s v="Cuenta Corriente"/>
    <s v="Tarjeta Débito"/>
    <s v="Pagado"/>
  </r>
  <r>
    <x v="105"/>
    <x v="5"/>
    <s v="TX-103897"/>
    <x v="5"/>
    <x v="1"/>
    <x v="6"/>
    <n v="4442.21"/>
    <n v="577.49"/>
    <x v="3892"/>
    <x v="0"/>
    <s v="Tarjeta Crédito Empresarial"/>
    <s v="Tarjeta Crédito"/>
    <s v="Pagado"/>
  </r>
  <r>
    <x v="163"/>
    <x v="10"/>
    <s v="TX-103898"/>
    <x v="18"/>
    <x v="1"/>
    <x v="2"/>
    <n v="14498.8"/>
    <n v="1884.84"/>
    <x v="3893"/>
    <x v="3"/>
    <s v="Cuenta Corriente"/>
    <s v="Tarjeta Crédito"/>
    <s v="Pendiente"/>
  </r>
  <r>
    <x v="114"/>
    <x v="4"/>
    <s v="TX-103899"/>
    <x v="19"/>
    <x v="0"/>
    <x v="5"/>
    <n v="9944.3799999999992"/>
    <n v="0"/>
    <x v="3894"/>
    <x v="3"/>
    <s v="Cuenta Corriente"/>
    <s v="Tarjeta Crédito"/>
    <s v="Pendiente"/>
  </r>
  <r>
    <x v="229"/>
    <x v="5"/>
    <s v="TX-103900"/>
    <x v="5"/>
    <x v="1"/>
    <x v="0"/>
    <n v="8389.44"/>
    <n v="1090.6300000000001"/>
    <x v="3895"/>
    <x v="1"/>
    <s v="Tarjeta Crédito Empresarial"/>
    <s v="Efectivo"/>
    <s v="Pendiente"/>
  </r>
  <r>
    <x v="227"/>
    <x v="11"/>
    <s v="TX-103901"/>
    <x v="7"/>
    <x v="1"/>
    <x v="3"/>
    <n v="12479.29"/>
    <n v="1622.31"/>
    <x v="3896"/>
    <x v="0"/>
    <s v="Cuenta Ahorros"/>
    <s v="Transferencia"/>
    <s v="Pagado"/>
  </r>
  <r>
    <x v="173"/>
    <x v="11"/>
    <s v="TX-103902"/>
    <x v="10"/>
    <x v="1"/>
    <x v="7"/>
    <n v="8274.19"/>
    <n v="1075.6400000000001"/>
    <x v="3897"/>
    <x v="1"/>
    <s v="Cuenta Ahorros"/>
    <s v="Tarjeta Crédito"/>
    <s v="Pagado"/>
  </r>
  <r>
    <x v="13"/>
    <x v="2"/>
    <s v="TX-103903"/>
    <x v="11"/>
    <x v="1"/>
    <x v="0"/>
    <n v="6141.63"/>
    <n v="798.41"/>
    <x v="3898"/>
    <x v="0"/>
    <s v="Tarjeta Crédito Empresarial"/>
    <s v="Tarjeta Débito"/>
    <s v="Pendiente"/>
  </r>
  <r>
    <x v="289"/>
    <x v="2"/>
    <s v="TX-103904"/>
    <x v="14"/>
    <x v="0"/>
    <x v="3"/>
    <n v="3673.22"/>
    <n v="0"/>
    <x v="3899"/>
    <x v="3"/>
    <s v="Cuenta Ahorros"/>
    <s v="Transferencia"/>
    <s v="Pendiente"/>
  </r>
  <r>
    <x v="250"/>
    <x v="7"/>
    <s v="TX-103905"/>
    <x v="4"/>
    <x v="1"/>
    <x v="6"/>
    <n v="1802.44"/>
    <n v="234.32"/>
    <x v="3900"/>
    <x v="3"/>
    <s v="Cuenta Corriente"/>
    <s v="Efectivo"/>
    <s v="Pendiente"/>
  </r>
  <r>
    <x v="358"/>
    <x v="8"/>
    <s v="TX-103906"/>
    <x v="3"/>
    <x v="0"/>
    <x v="7"/>
    <n v="6119.58"/>
    <n v="0"/>
    <x v="3901"/>
    <x v="1"/>
    <s v="Cuenta Corriente"/>
    <s v="Tarjeta Débito"/>
    <s v="Pagado"/>
  </r>
  <r>
    <x v="298"/>
    <x v="8"/>
    <s v="TX-103907"/>
    <x v="5"/>
    <x v="1"/>
    <x v="5"/>
    <n v="7983.46"/>
    <n v="1037.8499999999999"/>
    <x v="3902"/>
    <x v="2"/>
    <s v="Cuenta Ahorros"/>
    <s v="Tarjeta Crédito"/>
    <s v="Pagado"/>
  </r>
  <r>
    <x v="183"/>
    <x v="1"/>
    <s v="TX-103908"/>
    <x v="4"/>
    <x v="1"/>
    <x v="0"/>
    <n v="10209.65"/>
    <n v="1327.25"/>
    <x v="3903"/>
    <x v="4"/>
    <s v="Cuenta Ahorros"/>
    <s v="Transferencia"/>
    <s v="Pendiente"/>
  </r>
  <r>
    <x v="310"/>
    <x v="6"/>
    <s v="TX-103909"/>
    <x v="13"/>
    <x v="0"/>
    <x v="2"/>
    <n v="8939.77"/>
    <n v="0"/>
    <x v="3904"/>
    <x v="4"/>
    <s v="Cuenta Ahorros"/>
    <s v="Efectivo"/>
    <s v="Pagado"/>
  </r>
  <r>
    <x v="60"/>
    <x v="3"/>
    <s v="TX-103910"/>
    <x v="8"/>
    <x v="0"/>
    <x v="7"/>
    <n v="1008.96"/>
    <n v="0"/>
    <x v="3905"/>
    <x v="2"/>
    <s v="Tarjeta Crédito Empresarial"/>
    <s v="Efectivo"/>
    <s v="Pendiente"/>
  </r>
  <r>
    <x v="358"/>
    <x v="8"/>
    <s v="TX-103911"/>
    <x v="8"/>
    <x v="1"/>
    <x v="4"/>
    <n v="4779.51"/>
    <n v="621.34"/>
    <x v="3906"/>
    <x v="2"/>
    <s v="Cuenta Corriente"/>
    <s v="Tarjeta Crédito"/>
    <s v="Pendiente"/>
  </r>
  <r>
    <x v="50"/>
    <x v="8"/>
    <s v="TX-103912"/>
    <x v="17"/>
    <x v="1"/>
    <x v="6"/>
    <n v="2135.46"/>
    <n v="277.61"/>
    <x v="3907"/>
    <x v="0"/>
    <s v="Tarjeta Crédito Empresarial"/>
    <s v="Transferencia"/>
    <s v="Pagado"/>
  </r>
  <r>
    <x v="192"/>
    <x v="8"/>
    <s v="TX-103913"/>
    <x v="18"/>
    <x v="1"/>
    <x v="2"/>
    <n v="4754.38"/>
    <n v="618.07000000000005"/>
    <x v="3908"/>
    <x v="1"/>
    <s v="Cuenta Corriente"/>
    <s v="Tarjeta Débito"/>
    <s v="Pendiente"/>
  </r>
  <r>
    <x v="49"/>
    <x v="8"/>
    <s v="TX-103914"/>
    <x v="3"/>
    <x v="0"/>
    <x v="3"/>
    <n v="4338.3999999999996"/>
    <n v="0"/>
    <x v="3909"/>
    <x v="1"/>
    <s v="Cuenta Corriente"/>
    <s v="Tarjeta Crédito"/>
    <s v="Pagado"/>
  </r>
  <r>
    <x v="330"/>
    <x v="7"/>
    <s v="TX-103915"/>
    <x v="4"/>
    <x v="1"/>
    <x v="0"/>
    <n v="7584.87"/>
    <n v="986.03"/>
    <x v="3910"/>
    <x v="3"/>
    <s v="Tarjeta Crédito Empresarial"/>
    <s v="Tarjeta Débito"/>
    <s v="Pendiente"/>
  </r>
  <r>
    <x v="174"/>
    <x v="9"/>
    <s v="TX-103916"/>
    <x v="8"/>
    <x v="1"/>
    <x v="5"/>
    <n v="11403.06"/>
    <n v="1482.4"/>
    <x v="3911"/>
    <x v="0"/>
    <s v="Cuenta Ahorros"/>
    <s v="Transferencia"/>
    <s v="Pagado"/>
  </r>
  <r>
    <x v="258"/>
    <x v="7"/>
    <s v="TX-103917"/>
    <x v="8"/>
    <x v="0"/>
    <x v="0"/>
    <n v="10337.85"/>
    <n v="0"/>
    <x v="3912"/>
    <x v="0"/>
    <s v="Tarjeta Crédito Empresarial"/>
    <s v="Tarjeta Débito"/>
    <s v="Pagado"/>
  </r>
  <r>
    <x v="74"/>
    <x v="9"/>
    <s v="TX-103918"/>
    <x v="2"/>
    <x v="0"/>
    <x v="5"/>
    <n v="4219.5"/>
    <n v="0"/>
    <x v="3913"/>
    <x v="1"/>
    <s v="Cuenta Corriente"/>
    <s v="Tarjeta Crédito"/>
    <s v="Pagado"/>
  </r>
  <r>
    <x v="187"/>
    <x v="10"/>
    <s v="TX-103919"/>
    <x v="8"/>
    <x v="0"/>
    <x v="5"/>
    <n v="6066.31"/>
    <n v="0"/>
    <x v="3914"/>
    <x v="0"/>
    <s v="Cuenta Corriente"/>
    <s v="Tarjeta Débito"/>
    <s v="Pagado"/>
  </r>
  <r>
    <x v="41"/>
    <x v="5"/>
    <s v="TX-103920"/>
    <x v="16"/>
    <x v="0"/>
    <x v="2"/>
    <n v="5694.16"/>
    <n v="0"/>
    <x v="3915"/>
    <x v="0"/>
    <s v="Tarjeta Crédito Empresarial"/>
    <s v="Efectivo"/>
    <s v="Pagado"/>
  </r>
  <r>
    <x v="338"/>
    <x v="7"/>
    <s v="TX-103921"/>
    <x v="2"/>
    <x v="0"/>
    <x v="4"/>
    <n v="7246.95"/>
    <n v="0"/>
    <x v="3916"/>
    <x v="4"/>
    <s v="Tarjeta Crédito Empresarial"/>
    <s v="Efectivo"/>
    <s v="Pagado"/>
  </r>
  <r>
    <x v="298"/>
    <x v="8"/>
    <s v="TX-103922"/>
    <x v="11"/>
    <x v="0"/>
    <x v="4"/>
    <n v="7070.28"/>
    <n v="0"/>
    <x v="3917"/>
    <x v="4"/>
    <s v="Cuenta Ahorros"/>
    <s v="Transferencia"/>
    <s v="Pagado"/>
  </r>
  <r>
    <x v="354"/>
    <x v="4"/>
    <s v="TX-103923"/>
    <x v="19"/>
    <x v="1"/>
    <x v="5"/>
    <n v="10872.36"/>
    <n v="1413.41"/>
    <x v="3918"/>
    <x v="3"/>
    <s v="Tarjeta Crédito Empresarial"/>
    <s v="Tarjeta Débito"/>
    <s v="Pagado"/>
  </r>
  <r>
    <x v="124"/>
    <x v="4"/>
    <s v="TX-103924"/>
    <x v="11"/>
    <x v="1"/>
    <x v="3"/>
    <n v="2822.18"/>
    <n v="366.88"/>
    <x v="3919"/>
    <x v="0"/>
    <s v="Cuenta Ahorros"/>
    <s v="Transferencia"/>
    <s v="Pendiente"/>
  </r>
  <r>
    <x v="22"/>
    <x v="10"/>
    <s v="TX-103925"/>
    <x v="8"/>
    <x v="0"/>
    <x v="4"/>
    <n v="1013.14"/>
    <n v="0"/>
    <x v="3920"/>
    <x v="0"/>
    <s v="Cuenta Corriente"/>
    <s v="Tarjeta Crédito"/>
    <s v="Pagado"/>
  </r>
  <r>
    <x v="244"/>
    <x v="9"/>
    <s v="TX-103926"/>
    <x v="9"/>
    <x v="1"/>
    <x v="1"/>
    <n v="13363.58"/>
    <n v="1737.27"/>
    <x v="3921"/>
    <x v="1"/>
    <s v="Cuenta Corriente"/>
    <s v="Transferencia"/>
    <s v="Pagado"/>
  </r>
  <r>
    <x v="351"/>
    <x v="9"/>
    <s v="TX-103927"/>
    <x v="11"/>
    <x v="1"/>
    <x v="3"/>
    <n v="7148.91"/>
    <n v="929.36"/>
    <x v="3922"/>
    <x v="2"/>
    <s v="Tarjeta Crédito Empresarial"/>
    <s v="Transferencia"/>
    <s v="Pendiente"/>
  </r>
  <r>
    <x v="302"/>
    <x v="8"/>
    <s v="TX-103928"/>
    <x v="2"/>
    <x v="0"/>
    <x v="6"/>
    <n v="6673.28"/>
    <n v="0"/>
    <x v="3923"/>
    <x v="0"/>
    <s v="Tarjeta Crédito Empresarial"/>
    <s v="Efectivo"/>
    <s v="Pagado"/>
  </r>
  <r>
    <x v="141"/>
    <x v="8"/>
    <s v="TX-103929"/>
    <x v="5"/>
    <x v="1"/>
    <x v="6"/>
    <n v="942.25"/>
    <n v="122.49"/>
    <x v="3924"/>
    <x v="4"/>
    <s v="Tarjeta Crédito Empresarial"/>
    <s v="Efectivo"/>
    <s v="Pendiente"/>
  </r>
  <r>
    <x v="216"/>
    <x v="1"/>
    <s v="TX-103930"/>
    <x v="17"/>
    <x v="1"/>
    <x v="4"/>
    <n v="6601.9"/>
    <n v="858.25"/>
    <x v="3925"/>
    <x v="0"/>
    <s v="Tarjeta Crédito Empresarial"/>
    <s v="Tarjeta Débito"/>
    <s v="Pagado"/>
  </r>
  <r>
    <x v="157"/>
    <x v="2"/>
    <s v="TX-103931"/>
    <x v="19"/>
    <x v="1"/>
    <x v="6"/>
    <n v="8188.41"/>
    <n v="1064.49"/>
    <x v="3926"/>
    <x v="0"/>
    <s v="Tarjeta Crédito Empresarial"/>
    <s v="Tarjeta Crédito"/>
    <s v="Pendiente"/>
  </r>
  <r>
    <x v="294"/>
    <x v="7"/>
    <s v="TX-103932"/>
    <x v="12"/>
    <x v="0"/>
    <x v="0"/>
    <n v="1216.6099999999999"/>
    <n v="0"/>
    <x v="3927"/>
    <x v="4"/>
    <s v="Cuenta Corriente"/>
    <s v="Tarjeta Crédito"/>
    <s v="Pendiente"/>
  </r>
  <r>
    <x v="288"/>
    <x v="2"/>
    <s v="TX-103933"/>
    <x v="1"/>
    <x v="0"/>
    <x v="5"/>
    <n v="11176.09"/>
    <n v="0"/>
    <x v="3928"/>
    <x v="0"/>
    <s v="Cuenta Corriente"/>
    <s v="Tarjeta Débito"/>
    <s v="Pagado"/>
  </r>
  <r>
    <x v="88"/>
    <x v="5"/>
    <s v="TX-103934"/>
    <x v="17"/>
    <x v="1"/>
    <x v="4"/>
    <n v="11754.2"/>
    <n v="1528.05"/>
    <x v="3929"/>
    <x v="1"/>
    <s v="Cuenta Ahorros"/>
    <s v="Transferencia"/>
    <s v="Pagado"/>
  </r>
  <r>
    <x v="350"/>
    <x v="5"/>
    <s v="TX-103935"/>
    <x v="12"/>
    <x v="0"/>
    <x v="0"/>
    <n v="12883.79"/>
    <n v="0"/>
    <x v="3930"/>
    <x v="3"/>
    <s v="Cuenta Corriente"/>
    <s v="Transferencia"/>
    <s v="Pagado"/>
  </r>
  <r>
    <x v="42"/>
    <x v="8"/>
    <s v="TX-103936"/>
    <x v="15"/>
    <x v="0"/>
    <x v="0"/>
    <n v="11540.62"/>
    <n v="0"/>
    <x v="3931"/>
    <x v="4"/>
    <s v="Cuenta Corriente"/>
    <s v="Tarjeta Crédito"/>
    <s v="Pendiente"/>
  </r>
  <r>
    <x v="173"/>
    <x v="11"/>
    <s v="TX-103937"/>
    <x v="17"/>
    <x v="1"/>
    <x v="4"/>
    <n v="11264.45"/>
    <n v="1464.38"/>
    <x v="3932"/>
    <x v="2"/>
    <s v="Cuenta Ahorros"/>
    <s v="Efectivo"/>
    <s v="Pagado"/>
  </r>
  <r>
    <x v="236"/>
    <x v="0"/>
    <s v="TX-103938"/>
    <x v="19"/>
    <x v="0"/>
    <x v="2"/>
    <n v="11468.92"/>
    <n v="0"/>
    <x v="3933"/>
    <x v="3"/>
    <s v="Tarjeta Crédito Empresarial"/>
    <s v="Tarjeta Crédito"/>
    <s v="Pendiente"/>
  </r>
  <r>
    <x v="254"/>
    <x v="5"/>
    <s v="TX-103939"/>
    <x v="0"/>
    <x v="0"/>
    <x v="3"/>
    <n v="11224.48"/>
    <n v="0"/>
    <x v="3934"/>
    <x v="3"/>
    <s v="Cuenta Corriente"/>
    <s v="Efectivo"/>
    <s v="Pagado"/>
  </r>
  <r>
    <x v="349"/>
    <x v="6"/>
    <s v="TX-103940"/>
    <x v="7"/>
    <x v="1"/>
    <x v="2"/>
    <n v="6660.85"/>
    <n v="865.91"/>
    <x v="3935"/>
    <x v="2"/>
    <s v="Cuenta Corriente"/>
    <s v="Transferencia"/>
    <s v="Pendiente"/>
  </r>
  <r>
    <x v="141"/>
    <x v="8"/>
    <s v="TX-103941"/>
    <x v="9"/>
    <x v="0"/>
    <x v="2"/>
    <n v="14467.84"/>
    <n v="0"/>
    <x v="3936"/>
    <x v="1"/>
    <s v="Tarjeta Crédito Empresarial"/>
    <s v="Efectivo"/>
    <s v="Pendiente"/>
  </r>
  <r>
    <x v="42"/>
    <x v="8"/>
    <s v="TX-103942"/>
    <x v="13"/>
    <x v="1"/>
    <x v="5"/>
    <n v="13642.21"/>
    <n v="1773.49"/>
    <x v="3937"/>
    <x v="2"/>
    <s v="Cuenta Corriente"/>
    <s v="Tarjeta Débito"/>
    <s v="Pendiente"/>
  </r>
  <r>
    <x v="309"/>
    <x v="4"/>
    <s v="TX-103943"/>
    <x v="5"/>
    <x v="1"/>
    <x v="6"/>
    <n v="4027.85"/>
    <n v="523.62"/>
    <x v="3938"/>
    <x v="3"/>
    <s v="Cuenta Ahorros"/>
    <s v="Transferencia"/>
    <s v="Pagado"/>
  </r>
  <r>
    <x v="45"/>
    <x v="4"/>
    <s v="TX-103944"/>
    <x v="6"/>
    <x v="1"/>
    <x v="6"/>
    <n v="408.47"/>
    <n v="53.1"/>
    <x v="3939"/>
    <x v="3"/>
    <s v="Cuenta Ahorros"/>
    <s v="Transferencia"/>
    <s v="Pendiente"/>
  </r>
  <r>
    <x v="94"/>
    <x v="7"/>
    <s v="TX-103945"/>
    <x v="13"/>
    <x v="1"/>
    <x v="4"/>
    <n v="8136.28"/>
    <n v="1057.72"/>
    <x v="3940"/>
    <x v="4"/>
    <s v="Tarjeta Crédito Empresarial"/>
    <s v="Tarjeta Débito"/>
    <s v="Pagado"/>
  </r>
  <r>
    <x v="206"/>
    <x v="9"/>
    <s v="TX-103946"/>
    <x v="18"/>
    <x v="0"/>
    <x v="7"/>
    <n v="8644.92"/>
    <n v="0"/>
    <x v="3941"/>
    <x v="2"/>
    <s v="Cuenta Ahorros"/>
    <s v="Transferencia"/>
    <s v="Pagado"/>
  </r>
  <r>
    <x v="338"/>
    <x v="7"/>
    <s v="TX-103947"/>
    <x v="9"/>
    <x v="1"/>
    <x v="5"/>
    <n v="136.51"/>
    <n v="17.75"/>
    <x v="3942"/>
    <x v="0"/>
    <s v="Tarjeta Crédito Empresarial"/>
    <s v="Transferencia"/>
    <s v="Pendiente"/>
  </r>
  <r>
    <x v="348"/>
    <x v="8"/>
    <s v="TX-103948"/>
    <x v="0"/>
    <x v="0"/>
    <x v="5"/>
    <n v="1704.41"/>
    <n v="0"/>
    <x v="3943"/>
    <x v="1"/>
    <s v="Tarjeta Crédito Empresarial"/>
    <s v="Transferencia"/>
    <s v="Pagado"/>
  </r>
  <r>
    <x v="44"/>
    <x v="1"/>
    <s v="TX-103949"/>
    <x v="15"/>
    <x v="0"/>
    <x v="5"/>
    <n v="5045.76"/>
    <n v="0"/>
    <x v="3944"/>
    <x v="2"/>
    <s v="Cuenta Corriente"/>
    <s v="Efectivo"/>
    <s v="Pagado"/>
  </r>
  <r>
    <x v="92"/>
    <x v="4"/>
    <s v="TX-103950"/>
    <x v="9"/>
    <x v="1"/>
    <x v="0"/>
    <n v="13316.65"/>
    <n v="1731.16"/>
    <x v="3945"/>
    <x v="4"/>
    <s v="Cuenta Corriente"/>
    <s v="Tarjeta Débito"/>
    <s v="Pagado"/>
  </r>
  <r>
    <x v="279"/>
    <x v="3"/>
    <s v="TX-103951"/>
    <x v="10"/>
    <x v="1"/>
    <x v="7"/>
    <n v="3796.51"/>
    <n v="493.55"/>
    <x v="3946"/>
    <x v="4"/>
    <s v="Cuenta Corriente"/>
    <s v="Tarjeta Débito"/>
    <s v="Pendiente"/>
  </r>
  <r>
    <x v="58"/>
    <x v="9"/>
    <s v="TX-103952"/>
    <x v="10"/>
    <x v="1"/>
    <x v="7"/>
    <n v="9653.26"/>
    <n v="1254.92"/>
    <x v="3947"/>
    <x v="2"/>
    <s v="Cuenta Corriente"/>
    <s v="Tarjeta Crédito"/>
    <s v="Pagado"/>
  </r>
  <r>
    <x v="1"/>
    <x v="1"/>
    <s v="TX-103953"/>
    <x v="4"/>
    <x v="1"/>
    <x v="0"/>
    <n v="3410.23"/>
    <n v="443.33"/>
    <x v="3948"/>
    <x v="0"/>
    <s v="Cuenta Ahorros"/>
    <s v="Tarjeta Crédito"/>
    <s v="Pagado"/>
  </r>
  <r>
    <x v="82"/>
    <x v="10"/>
    <s v="TX-103954"/>
    <x v="4"/>
    <x v="0"/>
    <x v="0"/>
    <n v="12450.85"/>
    <n v="0"/>
    <x v="3949"/>
    <x v="3"/>
    <s v="Tarjeta Crédito Empresarial"/>
    <s v="Tarjeta Crédito"/>
    <s v="Pagado"/>
  </r>
  <r>
    <x v="231"/>
    <x v="9"/>
    <s v="TX-103955"/>
    <x v="10"/>
    <x v="0"/>
    <x v="7"/>
    <n v="9928.82"/>
    <n v="0"/>
    <x v="3950"/>
    <x v="0"/>
    <s v="Cuenta Corriente"/>
    <s v="Tarjeta Crédito"/>
    <s v="Pagado"/>
  </r>
  <r>
    <x v="23"/>
    <x v="1"/>
    <s v="TX-103956"/>
    <x v="5"/>
    <x v="0"/>
    <x v="7"/>
    <n v="2597.41"/>
    <n v="0"/>
    <x v="3951"/>
    <x v="0"/>
    <s v="Cuenta Corriente"/>
    <s v="Efectivo"/>
    <s v="Pendiente"/>
  </r>
  <r>
    <x v="325"/>
    <x v="5"/>
    <s v="TX-103957"/>
    <x v="17"/>
    <x v="0"/>
    <x v="0"/>
    <n v="8541.6"/>
    <n v="0"/>
    <x v="3952"/>
    <x v="3"/>
    <s v="Cuenta Ahorros"/>
    <s v="Transferencia"/>
    <s v="Pendiente"/>
  </r>
  <r>
    <x v="312"/>
    <x v="3"/>
    <s v="TX-103958"/>
    <x v="10"/>
    <x v="1"/>
    <x v="0"/>
    <n v="10664.88"/>
    <n v="1386.43"/>
    <x v="3953"/>
    <x v="1"/>
    <s v="Tarjeta Crédito Empresarial"/>
    <s v="Tarjeta Crédito"/>
    <s v="Pendiente"/>
  </r>
  <r>
    <x v="287"/>
    <x v="4"/>
    <s v="TX-103959"/>
    <x v="13"/>
    <x v="1"/>
    <x v="7"/>
    <n v="4441.88"/>
    <n v="577.44000000000005"/>
    <x v="3954"/>
    <x v="0"/>
    <s v="Cuenta Ahorros"/>
    <s v="Efectivo"/>
    <s v="Pendiente"/>
  </r>
  <r>
    <x v="233"/>
    <x v="1"/>
    <s v="TX-103960"/>
    <x v="6"/>
    <x v="1"/>
    <x v="0"/>
    <n v="5936.68"/>
    <n v="771.77"/>
    <x v="3955"/>
    <x v="2"/>
    <s v="Cuenta Ahorros"/>
    <s v="Tarjeta Crédito"/>
    <s v="Pagado"/>
  </r>
  <r>
    <x v="138"/>
    <x v="11"/>
    <s v="TX-103961"/>
    <x v="0"/>
    <x v="1"/>
    <x v="1"/>
    <n v="2934.76"/>
    <n v="381.52"/>
    <x v="3956"/>
    <x v="0"/>
    <s v="Cuenta Corriente"/>
    <s v="Tarjeta Débito"/>
    <s v="Pendiente"/>
  </r>
  <r>
    <x v="248"/>
    <x v="10"/>
    <s v="TX-103962"/>
    <x v="11"/>
    <x v="0"/>
    <x v="1"/>
    <n v="4626.74"/>
    <n v="0"/>
    <x v="3957"/>
    <x v="4"/>
    <s v="Cuenta Ahorros"/>
    <s v="Transferencia"/>
    <s v="Pendiente"/>
  </r>
  <r>
    <x v="348"/>
    <x v="8"/>
    <s v="TX-103963"/>
    <x v="14"/>
    <x v="0"/>
    <x v="6"/>
    <n v="7273.11"/>
    <n v="0"/>
    <x v="3958"/>
    <x v="2"/>
    <s v="Cuenta Corriente"/>
    <s v="Efectivo"/>
    <s v="Pendiente"/>
  </r>
  <r>
    <x v="85"/>
    <x v="0"/>
    <s v="TX-103964"/>
    <x v="4"/>
    <x v="1"/>
    <x v="0"/>
    <n v="10013.27"/>
    <n v="1301.73"/>
    <x v="3959"/>
    <x v="1"/>
    <s v="Cuenta Corriente"/>
    <s v="Efectivo"/>
    <s v="Pendiente"/>
  </r>
  <r>
    <x v="127"/>
    <x v="6"/>
    <s v="TX-103965"/>
    <x v="6"/>
    <x v="0"/>
    <x v="5"/>
    <n v="3961.29"/>
    <n v="0"/>
    <x v="3960"/>
    <x v="0"/>
    <s v="Cuenta Corriente"/>
    <s v="Tarjeta Débito"/>
    <s v="Pendiente"/>
  </r>
  <r>
    <x v="143"/>
    <x v="11"/>
    <s v="TX-103966"/>
    <x v="6"/>
    <x v="0"/>
    <x v="4"/>
    <n v="2393.14"/>
    <n v="0"/>
    <x v="3961"/>
    <x v="4"/>
    <s v="Tarjeta Crédito Empresarial"/>
    <s v="Tarjeta Débito"/>
    <s v="Pagado"/>
  </r>
  <r>
    <x v="134"/>
    <x v="2"/>
    <s v="TX-103967"/>
    <x v="19"/>
    <x v="0"/>
    <x v="0"/>
    <n v="9011.26"/>
    <n v="0"/>
    <x v="3962"/>
    <x v="1"/>
    <s v="Cuenta Corriente"/>
    <s v="Tarjeta Crédito"/>
    <s v="Pagado"/>
  </r>
  <r>
    <x v="209"/>
    <x v="1"/>
    <s v="TX-103968"/>
    <x v="19"/>
    <x v="0"/>
    <x v="0"/>
    <n v="4389.68"/>
    <n v="0"/>
    <x v="3963"/>
    <x v="3"/>
    <s v="Cuenta Corriente"/>
    <s v="Tarjeta Crédito"/>
    <s v="Pendiente"/>
  </r>
  <r>
    <x v="294"/>
    <x v="7"/>
    <s v="TX-103969"/>
    <x v="13"/>
    <x v="0"/>
    <x v="4"/>
    <n v="10926.33"/>
    <n v="0"/>
    <x v="3964"/>
    <x v="1"/>
    <s v="Cuenta Ahorros"/>
    <s v="Transferencia"/>
    <s v="Pendiente"/>
  </r>
  <r>
    <x v="313"/>
    <x v="6"/>
    <s v="TX-103970"/>
    <x v="19"/>
    <x v="0"/>
    <x v="7"/>
    <n v="8033.44"/>
    <n v="0"/>
    <x v="3965"/>
    <x v="2"/>
    <s v="Cuenta Ahorros"/>
    <s v="Efectivo"/>
    <s v="Pendiente"/>
  </r>
  <r>
    <x v="321"/>
    <x v="1"/>
    <s v="TX-103971"/>
    <x v="13"/>
    <x v="1"/>
    <x v="3"/>
    <n v="1456.68"/>
    <n v="189.37"/>
    <x v="3966"/>
    <x v="4"/>
    <s v="Tarjeta Crédito Empresarial"/>
    <s v="Tarjeta Crédito"/>
    <s v="Pagado"/>
  </r>
  <r>
    <x v="248"/>
    <x v="10"/>
    <s v="TX-103972"/>
    <x v="13"/>
    <x v="1"/>
    <x v="3"/>
    <n v="8144.45"/>
    <n v="1058.78"/>
    <x v="3967"/>
    <x v="3"/>
    <s v="Cuenta Corriente"/>
    <s v="Transferencia"/>
    <s v="Pendiente"/>
  </r>
  <r>
    <x v="287"/>
    <x v="4"/>
    <s v="TX-103973"/>
    <x v="6"/>
    <x v="0"/>
    <x v="3"/>
    <n v="9392.25"/>
    <n v="0"/>
    <x v="3968"/>
    <x v="4"/>
    <s v="Cuenta Corriente"/>
    <s v="Efectivo"/>
    <s v="Pagado"/>
  </r>
  <r>
    <x v="359"/>
    <x v="5"/>
    <s v="TX-103974"/>
    <x v="11"/>
    <x v="0"/>
    <x v="7"/>
    <n v="12038.05"/>
    <n v="0"/>
    <x v="3969"/>
    <x v="1"/>
    <s v="Tarjeta Crédito Empresarial"/>
    <s v="Transferencia"/>
    <s v="Pendiente"/>
  </r>
  <r>
    <x v="9"/>
    <x v="4"/>
    <s v="TX-103975"/>
    <x v="4"/>
    <x v="0"/>
    <x v="5"/>
    <n v="3512.41"/>
    <n v="0"/>
    <x v="3970"/>
    <x v="2"/>
    <s v="Cuenta Corriente"/>
    <s v="Transferencia"/>
    <s v="Pagado"/>
  </r>
  <r>
    <x v="319"/>
    <x v="5"/>
    <s v="TX-103976"/>
    <x v="4"/>
    <x v="0"/>
    <x v="7"/>
    <n v="14951.09"/>
    <n v="0"/>
    <x v="3971"/>
    <x v="1"/>
    <s v="Cuenta Ahorros"/>
    <s v="Transferencia"/>
    <s v="Pagado"/>
  </r>
  <r>
    <x v="221"/>
    <x v="0"/>
    <s v="TX-103977"/>
    <x v="8"/>
    <x v="0"/>
    <x v="5"/>
    <n v="8260.7900000000009"/>
    <n v="0"/>
    <x v="3972"/>
    <x v="0"/>
    <s v="Cuenta Corriente"/>
    <s v="Transferencia"/>
    <s v="Pagado"/>
  </r>
  <r>
    <x v="315"/>
    <x v="5"/>
    <s v="TX-103978"/>
    <x v="4"/>
    <x v="0"/>
    <x v="5"/>
    <n v="3910.91"/>
    <n v="0"/>
    <x v="3973"/>
    <x v="0"/>
    <s v="Cuenta Corriente"/>
    <s v="Efectivo"/>
    <s v="Pagado"/>
  </r>
  <r>
    <x v="160"/>
    <x v="7"/>
    <s v="TX-103979"/>
    <x v="18"/>
    <x v="0"/>
    <x v="6"/>
    <n v="13141.23"/>
    <n v="0"/>
    <x v="3974"/>
    <x v="1"/>
    <s v="Tarjeta Crédito Empresarial"/>
    <s v="Tarjeta Débito"/>
    <s v="Pagado"/>
  </r>
  <r>
    <x v="132"/>
    <x v="11"/>
    <s v="TX-103980"/>
    <x v="12"/>
    <x v="0"/>
    <x v="3"/>
    <n v="3087.87"/>
    <n v="0"/>
    <x v="3975"/>
    <x v="2"/>
    <s v="Cuenta Ahorros"/>
    <s v="Efectivo"/>
    <s v="Pendiente"/>
  </r>
  <r>
    <x v="309"/>
    <x v="4"/>
    <s v="TX-103981"/>
    <x v="6"/>
    <x v="1"/>
    <x v="3"/>
    <n v="11283.07"/>
    <n v="1466.8"/>
    <x v="3976"/>
    <x v="2"/>
    <s v="Tarjeta Crédito Empresarial"/>
    <s v="Transferencia"/>
    <s v="Pendiente"/>
  </r>
  <r>
    <x v="103"/>
    <x v="4"/>
    <s v="TX-103982"/>
    <x v="10"/>
    <x v="1"/>
    <x v="1"/>
    <n v="11207.87"/>
    <n v="1457.02"/>
    <x v="3977"/>
    <x v="3"/>
    <s v="Cuenta Ahorros"/>
    <s v="Tarjeta Crédito"/>
    <s v="Pendiente"/>
  </r>
  <r>
    <x v="117"/>
    <x v="8"/>
    <s v="TX-103983"/>
    <x v="14"/>
    <x v="1"/>
    <x v="2"/>
    <n v="811.2"/>
    <n v="105.46"/>
    <x v="3978"/>
    <x v="2"/>
    <s v="Cuenta Corriente"/>
    <s v="Efectivo"/>
    <s v="Pendiente"/>
  </r>
  <r>
    <x v="262"/>
    <x v="10"/>
    <s v="TX-103984"/>
    <x v="19"/>
    <x v="0"/>
    <x v="5"/>
    <n v="2688.15"/>
    <n v="0"/>
    <x v="3979"/>
    <x v="0"/>
    <s v="Tarjeta Crédito Empresarial"/>
    <s v="Tarjeta Crédito"/>
    <s v="Pendiente"/>
  </r>
  <r>
    <x v="226"/>
    <x v="10"/>
    <s v="TX-103985"/>
    <x v="6"/>
    <x v="1"/>
    <x v="4"/>
    <n v="3916.42"/>
    <n v="509.13"/>
    <x v="3980"/>
    <x v="1"/>
    <s v="Tarjeta Crédito Empresarial"/>
    <s v="Tarjeta Débito"/>
    <s v="Pendiente"/>
  </r>
  <r>
    <x v="59"/>
    <x v="3"/>
    <s v="TX-103986"/>
    <x v="19"/>
    <x v="0"/>
    <x v="0"/>
    <n v="12196.09"/>
    <n v="0"/>
    <x v="3981"/>
    <x v="2"/>
    <s v="Cuenta Ahorros"/>
    <s v="Efectivo"/>
    <s v="Pendiente"/>
  </r>
  <r>
    <x v="23"/>
    <x v="1"/>
    <s v="TX-103987"/>
    <x v="4"/>
    <x v="1"/>
    <x v="7"/>
    <n v="13651.3"/>
    <n v="1774.67"/>
    <x v="3982"/>
    <x v="2"/>
    <s v="Cuenta Corriente"/>
    <s v="Tarjeta Débito"/>
    <s v="Pendiente"/>
  </r>
  <r>
    <x v="200"/>
    <x v="9"/>
    <s v="TX-103988"/>
    <x v="15"/>
    <x v="0"/>
    <x v="7"/>
    <n v="1849.56"/>
    <n v="0"/>
    <x v="3983"/>
    <x v="4"/>
    <s v="Tarjeta Crédito Empresarial"/>
    <s v="Efectivo"/>
    <s v="Pagado"/>
  </r>
  <r>
    <x v="365"/>
    <x v="4"/>
    <s v="TX-103989"/>
    <x v="6"/>
    <x v="0"/>
    <x v="0"/>
    <n v="10524.57"/>
    <n v="0"/>
    <x v="3984"/>
    <x v="3"/>
    <s v="Cuenta Corriente"/>
    <s v="Tarjeta Crédito"/>
    <s v="Pendiente"/>
  </r>
  <r>
    <x v="85"/>
    <x v="0"/>
    <s v="TX-103990"/>
    <x v="0"/>
    <x v="0"/>
    <x v="2"/>
    <n v="3054.62"/>
    <n v="0"/>
    <x v="3985"/>
    <x v="1"/>
    <s v="Tarjeta Crédito Empresarial"/>
    <s v="Efectivo"/>
    <s v="Pendiente"/>
  </r>
  <r>
    <x v="220"/>
    <x v="1"/>
    <s v="TX-103991"/>
    <x v="8"/>
    <x v="1"/>
    <x v="7"/>
    <n v="11657.34"/>
    <n v="1515.45"/>
    <x v="3986"/>
    <x v="1"/>
    <s v="Cuenta Corriente"/>
    <s v="Tarjeta Débito"/>
    <s v="Pendiente"/>
  </r>
  <r>
    <x v="104"/>
    <x v="9"/>
    <s v="TX-103992"/>
    <x v="18"/>
    <x v="0"/>
    <x v="3"/>
    <n v="3234.21"/>
    <n v="0"/>
    <x v="3987"/>
    <x v="3"/>
    <s v="Cuenta Ahorros"/>
    <s v="Tarjeta Crédito"/>
    <s v="Pagado"/>
  </r>
  <r>
    <x v="335"/>
    <x v="10"/>
    <s v="TX-103993"/>
    <x v="16"/>
    <x v="1"/>
    <x v="4"/>
    <n v="3199.36"/>
    <n v="415.92"/>
    <x v="3988"/>
    <x v="3"/>
    <s v="Cuenta Ahorros"/>
    <s v="Efectivo"/>
    <s v="Pendiente"/>
  </r>
  <r>
    <x v="165"/>
    <x v="9"/>
    <s v="TX-103994"/>
    <x v="16"/>
    <x v="1"/>
    <x v="7"/>
    <n v="567.95000000000005"/>
    <n v="73.83"/>
    <x v="3989"/>
    <x v="2"/>
    <s v="Cuenta Corriente"/>
    <s v="Transferencia"/>
    <s v="Pendiente"/>
  </r>
  <r>
    <x v="49"/>
    <x v="8"/>
    <s v="TX-103995"/>
    <x v="19"/>
    <x v="1"/>
    <x v="6"/>
    <n v="7678.61"/>
    <n v="998.22"/>
    <x v="3990"/>
    <x v="2"/>
    <s v="Cuenta Ahorros"/>
    <s v="Tarjeta Débito"/>
    <s v="Pendiente"/>
  </r>
  <r>
    <x v="247"/>
    <x v="11"/>
    <s v="TX-103996"/>
    <x v="10"/>
    <x v="0"/>
    <x v="3"/>
    <n v="12113.14"/>
    <n v="0"/>
    <x v="3991"/>
    <x v="4"/>
    <s v="Tarjeta Crédito Empresarial"/>
    <s v="Transferencia"/>
    <s v="Pagado"/>
  </r>
  <r>
    <x v="98"/>
    <x v="0"/>
    <s v="TX-103997"/>
    <x v="2"/>
    <x v="1"/>
    <x v="3"/>
    <n v="10420.89"/>
    <n v="1354.72"/>
    <x v="3992"/>
    <x v="2"/>
    <s v="Tarjeta Crédito Empresarial"/>
    <s v="Tarjeta Crédito"/>
    <s v="Pagado"/>
  </r>
  <r>
    <x v="6"/>
    <x v="5"/>
    <s v="TX-103998"/>
    <x v="15"/>
    <x v="1"/>
    <x v="0"/>
    <n v="3897.63"/>
    <n v="506.69"/>
    <x v="3993"/>
    <x v="0"/>
    <s v="Cuenta Ahorros"/>
    <s v="Tarjeta Débito"/>
    <s v="Pagado"/>
  </r>
  <r>
    <x v="207"/>
    <x v="8"/>
    <s v="TX-103999"/>
    <x v="14"/>
    <x v="1"/>
    <x v="3"/>
    <n v="5788.98"/>
    <n v="752.57"/>
    <x v="3994"/>
    <x v="1"/>
    <s v="Cuenta Ahorros"/>
    <s v="Tarjeta Crédito"/>
    <s v="Pagado"/>
  </r>
  <r>
    <x v="73"/>
    <x v="6"/>
    <s v="TX-104000"/>
    <x v="12"/>
    <x v="0"/>
    <x v="4"/>
    <n v="2393.7399999999998"/>
    <n v="311.19"/>
    <x v="3995"/>
    <x v="3"/>
    <s v="Tarjeta Crédito Empresarial"/>
    <s v="Efectivo"/>
    <s v="Pendiente"/>
  </r>
  <r>
    <x v="307"/>
    <x v="11"/>
    <s v="TX-104001"/>
    <x v="3"/>
    <x v="1"/>
    <x v="5"/>
    <n v="14178.46"/>
    <n v="1843.2"/>
    <x v="3996"/>
    <x v="1"/>
    <s v="Cuenta Corriente"/>
    <s v="Efectivo"/>
    <s v="Pagado"/>
  </r>
  <r>
    <x v="76"/>
    <x v="11"/>
    <s v="TX-104002"/>
    <x v="4"/>
    <x v="1"/>
    <x v="0"/>
    <n v="14641.17"/>
    <n v="1903.35"/>
    <x v="3997"/>
    <x v="3"/>
    <s v="Cuenta Ahorros"/>
    <s v="Efectivo"/>
    <s v="Pagado"/>
  </r>
  <r>
    <x v="298"/>
    <x v="8"/>
    <s v="TX-104003"/>
    <x v="1"/>
    <x v="1"/>
    <x v="3"/>
    <n v="11647.71"/>
    <n v="1514.2"/>
    <x v="3998"/>
    <x v="0"/>
    <s v="Tarjeta Crédito Empresarial"/>
    <s v="Efectivo"/>
    <s v="Pendiente"/>
  </r>
  <r>
    <x v="75"/>
    <x v="9"/>
    <s v="TX-104004"/>
    <x v="8"/>
    <x v="0"/>
    <x v="5"/>
    <n v="6160.99"/>
    <n v="0"/>
    <x v="3999"/>
    <x v="3"/>
    <s v="Cuenta Corriente"/>
    <s v="Efectivo"/>
    <s v="Pagado"/>
  </r>
  <r>
    <x v="306"/>
    <x v="2"/>
    <s v="TX-104005"/>
    <x v="8"/>
    <x v="0"/>
    <x v="1"/>
    <n v="5494.34"/>
    <n v="0"/>
    <x v="4000"/>
    <x v="0"/>
    <s v="Cuenta Ahorros"/>
    <s v="Transferencia"/>
    <s v="Pendiente"/>
  </r>
  <r>
    <x v="239"/>
    <x v="7"/>
    <s v="TX-104006"/>
    <x v="17"/>
    <x v="0"/>
    <x v="2"/>
    <n v="1944.28"/>
    <n v="0"/>
    <x v="4001"/>
    <x v="2"/>
    <s v="Tarjeta Crédito Empresarial"/>
    <s v="Efectivo"/>
    <s v="Pagado"/>
  </r>
  <r>
    <x v="9"/>
    <x v="4"/>
    <s v="TX-104007"/>
    <x v="4"/>
    <x v="0"/>
    <x v="5"/>
    <n v="13120.13"/>
    <n v="0"/>
    <x v="4002"/>
    <x v="2"/>
    <s v="Cuenta Ahorros"/>
    <s v="Transferencia"/>
    <s v="Pagado"/>
  </r>
  <r>
    <x v="223"/>
    <x v="0"/>
    <s v="TX-104008"/>
    <x v="16"/>
    <x v="0"/>
    <x v="6"/>
    <n v="990.48"/>
    <n v="0"/>
    <x v="4003"/>
    <x v="1"/>
    <s v="Tarjeta Crédito Empresarial"/>
    <s v="Efectivo"/>
    <s v="Pendiente"/>
  </r>
  <r>
    <x v="242"/>
    <x v="4"/>
    <s v="TX-104009"/>
    <x v="19"/>
    <x v="1"/>
    <x v="7"/>
    <n v="13168.54"/>
    <n v="1711.91"/>
    <x v="4004"/>
    <x v="0"/>
    <s v="Cuenta Ahorros"/>
    <s v="Tarjeta Débito"/>
    <s v="Pagado"/>
  </r>
  <r>
    <x v="242"/>
    <x v="4"/>
    <s v="TX-104010"/>
    <x v="6"/>
    <x v="1"/>
    <x v="4"/>
    <n v="11490.21"/>
    <n v="1493.73"/>
    <x v="4005"/>
    <x v="2"/>
    <s v="Tarjeta Crédito Empresarial"/>
    <s v="Transferencia"/>
    <s v="Pagado"/>
  </r>
  <r>
    <x v="184"/>
    <x v="4"/>
    <s v="TX-104011"/>
    <x v="7"/>
    <x v="1"/>
    <x v="2"/>
    <n v="3000.53"/>
    <n v="390.07"/>
    <x v="4006"/>
    <x v="1"/>
    <s v="Cuenta Corriente"/>
    <s v="Efectivo"/>
    <s v="Pendiente"/>
  </r>
  <r>
    <x v="42"/>
    <x v="8"/>
    <s v="TX-104012"/>
    <x v="18"/>
    <x v="0"/>
    <x v="5"/>
    <n v="14080.7"/>
    <n v="0"/>
    <x v="4007"/>
    <x v="2"/>
    <s v="Cuenta Corriente"/>
    <s v="Tarjeta Débito"/>
    <s v="Pagado"/>
  </r>
  <r>
    <x v="363"/>
    <x v="11"/>
    <s v="TX-104013"/>
    <x v="9"/>
    <x v="0"/>
    <x v="1"/>
    <n v="11134.86"/>
    <n v="0"/>
    <x v="4008"/>
    <x v="3"/>
    <s v="Cuenta Corriente"/>
    <s v="Transferencia"/>
    <s v="Pendiente"/>
  </r>
  <r>
    <x v="187"/>
    <x v="10"/>
    <s v="TX-104014"/>
    <x v="14"/>
    <x v="0"/>
    <x v="2"/>
    <n v="9250.58"/>
    <n v="0"/>
    <x v="4009"/>
    <x v="2"/>
    <s v="Cuenta Corriente"/>
    <s v="Tarjeta Crédito"/>
    <s v="Pagado"/>
  </r>
  <r>
    <x v="143"/>
    <x v="11"/>
    <s v="TX-104015"/>
    <x v="17"/>
    <x v="1"/>
    <x v="5"/>
    <n v="13418.91"/>
    <n v="1744.46"/>
    <x v="4010"/>
    <x v="3"/>
    <s v="Cuenta Ahorros"/>
    <s v="Tarjeta Débito"/>
    <s v="Pagado"/>
  </r>
  <r>
    <x v="333"/>
    <x v="10"/>
    <s v="TX-104016"/>
    <x v="11"/>
    <x v="1"/>
    <x v="6"/>
    <n v="7749.03"/>
    <n v="1007.37"/>
    <x v="4011"/>
    <x v="0"/>
    <s v="Cuenta Corriente"/>
    <s v="Tarjeta Crédito"/>
    <s v="Pagado"/>
  </r>
  <r>
    <x v="337"/>
    <x v="5"/>
    <s v="TX-104017"/>
    <x v="9"/>
    <x v="1"/>
    <x v="0"/>
    <n v="3288.62"/>
    <n v="427.52"/>
    <x v="4012"/>
    <x v="3"/>
    <s v="Cuenta Ahorros"/>
    <s v="Transferencia"/>
    <s v="Pagado"/>
  </r>
  <r>
    <x v="301"/>
    <x v="6"/>
    <s v="TX-104018"/>
    <x v="3"/>
    <x v="0"/>
    <x v="0"/>
    <n v="5152.05"/>
    <n v="0"/>
    <x v="4013"/>
    <x v="0"/>
    <s v="Tarjeta Crédito Empresarial"/>
    <s v="Efectivo"/>
    <s v="Pagado"/>
  </r>
  <r>
    <x v="6"/>
    <x v="5"/>
    <s v="TX-104019"/>
    <x v="1"/>
    <x v="1"/>
    <x v="2"/>
    <n v="1503.34"/>
    <n v="195.43"/>
    <x v="4014"/>
    <x v="1"/>
    <s v="Tarjeta Crédito Empresarial"/>
    <s v="Tarjeta Crédito"/>
    <s v="Pendiente"/>
  </r>
  <r>
    <x v="135"/>
    <x v="4"/>
    <s v="TX-104020"/>
    <x v="14"/>
    <x v="1"/>
    <x v="5"/>
    <n v="13693.22"/>
    <n v="1780.12"/>
    <x v="4015"/>
    <x v="1"/>
    <s v="Cuenta Ahorros"/>
    <s v="Efectivo"/>
    <s v="Pendiente"/>
  </r>
  <r>
    <x v="244"/>
    <x v="9"/>
    <s v="TX-104021"/>
    <x v="11"/>
    <x v="1"/>
    <x v="5"/>
    <n v="10599.51"/>
    <n v="1377.94"/>
    <x v="4016"/>
    <x v="0"/>
    <s v="Tarjeta Crédito Empresarial"/>
    <s v="Tarjeta Débito"/>
    <s v="Pendiente"/>
  </r>
  <r>
    <x v="164"/>
    <x v="10"/>
    <s v="TX-104022"/>
    <x v="0"/>
    <x v="0"/>
    <x v="4"/>
    <n v="9347.32"/>
    <n v="0"/>
    <x v="4017"/>
    <x v="2"/>
    <s v="Tarjeta Crédito Empresarial"/>
    <s v="Tarjeta Crédito"/>
    <s v="Pagado"/>
  </r>
  <r>
    <x v="250"/>
    <x v="7"/>
    <s v="TX-104023"/>
    <x v="15"/>
    <x v="1"/>
    <x v="5"/>
    <n v="57.29"/>
    <n v="7.45"/>
    <x v="4018"/>
    <x v="3"/>
    <s v="Tarjeta Crédito Empresarial"/>
    <s v="Tarjeta Crédito"/>
    <s v="Pendiente"/>
  </r>
  <r>
    <x v="323"/>
    <x v="2"/>
    <s v="TX-104024"/>
    <x v="7"/>
    <x v="0"/>
    <x v="7"/>
    <n v="10745.74"/>
    <n v="0"/>
    <x v="4019"/>
    <x v="1"/>
    <s v="Cuenta Ahorros"/>
    <s v="Tarjeta Crédito"/>
    <s v="Pendiente"/>
  </r>
  <r>
    <x v="99"/>
    <x v="6"/>
    <s v="TX-104025"/>
    <x v="5"/>
    <x v="1"/>
    <x v="4"/>
    <n v="14700.6"/>
    <n v="1911.08"/>
    <x v="4020"/>
    <x v="2"/>
    <s v="Cuenta Corriente"/>
    <s v="Tarjeta Crédito"/>
    <s v="Pagado"/>
  </r>
  <r>
    <x v="34"/>
    <x v="1"/>
    <s v="TX-104026"/>
    <x v="17"/>
    <x v="1"/>
    <x v="3"/>
    <n v="4096.5200000000004"/>
    <n v="532.54999999999995"/>
    <x v="4021"/>
    <x v="0"/>
    <s v="Cuenta Ahorros"/>
    <s v="Tarjeta Débito"/>
    <s v="Pendiente"/>
  </r>
  <r>
    <x v="96"/>
    <x v="2"/>
    <s v="TX-104027"/>
    <x v="14"/>
    <x v="1"/>
    <x v="0"/>
    <n v="393.36"/>
    <n v="51.14"/>
    <x v="4022"/>
    <x v="2"/>
    <s v="Tarjeta Crédito Empresarial"/>
    <s v="Efectivo"/>
    <s v="Pendiente"/>
  </r>
  <r>
    <x v="257"/>
    <x v="7"/>
    <s v="TX-104028"/>
    <x v="18"/>
    <x v="1"/>
    <x v="3"/>
    <n v="1526.12"/>
    <n v="198.4"/>
    <x v="4023"/>
    <x v="0"/>
    <s v="Cuenta Ahorros"/>
    <s v="Tarjeta Crédito"/>
    <s v="Pendiente"/>
  </r>
  <r>
    <x v="183"/>
    <x v="1"/>
    <s v="TX-104029"/>
    <x v="8"/>
    <x v="0"/>
    <x v="2"/>
    <n v="7584.58"/>
    <n v="0"/>
    <x v="4024"/>
    <x v="2"/>
    <s v="Tarjeta Crédito Empresarial"/>
    <s v="Tarjeta Débito"/>
    <s v="Pagado"/>
  </r>
  <r>
    <x v="287"/>
    <x v="4"/>
    <s v="TX-104030"/>
    <x v="10"/>
    <x v="1"/>
    <x v="6"/>
    <n v="4105.8599999999997"/>
    <n v="533.76"/>
    <x v="4025"/>
    <x v="4"/>
    <s v="Tarjeta Crédito Empresarial"/>
    <s v="Efectivo"/>
    <s v="Pendiente"/>
  </r>
  <r>
    <x v="205"/>
    <x v="3"/>
    <s v="TX-104031"/>
    <x v="19"/>
    <x v="1"/>
    <x v="1"/>
    <n v="6528.89"/>
    <n v="848.76"/>
    <x v="4026"/>
    <x v="2"/>
    <s v="Cuenta Ahorros"/>
    <s v="Tarjeta Débito"/>
    <s v="Pagado"/>
  </r>
  <r>
    <x v="39"/>
    <x v="8"/>
    <s v="TX-104032"/>
    <x v="2"/>
    <x v="0"/>
    <x v="5"/>
    <n v="14280.49"/>
    <n v="0"/>
    <x v="4027"/>
    <x v="4"/>
    <s v="Cuenta Corriente"/>
    <s v="Tarjeta Débito"/>
    <s v="Pendiente"/>
  </r>
  <r>
    <x v="309"/>
    <x v="4"/>
    <s v="TX-104033"/>
    <x v="1"/>
    <x v="1"/>
    <x v="7"/>
    <n v="5139.82"/>
    <n v="668.18"/>
    <x v="4028"/>
    <x v="3"/>
    <s v="Tarjeta Crédito Empresarial"/>
    <s v="Tarjeta Débito"/>
    <s v="Pendiente"/>
  </r>
  <r>
    <x v="30"/>
    <x v="2"/>
    <s v="TX-104034"/>
    <x v="13"/>
    <x v="1"/>
    <x v="5"/>
    <n v="13581.02"/>
    <n v="1765.53"/>
    <x v="4029"/>
    <x v="0"/>
    <s v="Cuenta Corriente"/>
    <s v="Transferencia"/>
    <s v="Pendiente"/>
  </r>
  <r>
    <x v="92"/>
    <x v="4"/>
    <s v="TX-104035"/>
    <x v="18"/>
    <x v="1"/>
    <x v="3"/>
    <n v="1992.67"/>
    <n v="259.05"/>
    <x v="4030"/>
    <x v="2"/>
    <s v="Cuenta Corriente"/>
    <s v="Tarjeta Débito"/>
    <s v="Pendiente"/>
  </r>
  <r>
    <x v="88"/>
    <x v="5"/>
    <s v="TX-104036"/>
    <x v="17"/>
    <x v="0"/>
    <x v="0"/>
    <n v="11665.33"/>
    <n v="0"/>
    <x v="4031"/>
    <x v="4"/>
    <s v="Cuenta Ahorros"/>
    <s v="Transferencia"/>
    <s v="Pendiente"/>
  </r>
  <r>
    <x v="252"/>
    <x v="7"/>
    <s v="TX-104037"/>
    <x v="19"/>
    <x v="1"/>
    <x v="1"/>
    <n v="11157.61"/>
    <n v="1450.49"/>
    <x v="4032"/>
    <x v="4"/>
    <s v="Tarjeta Crédito Empresarial"/>
    <s v="Transferencia"/>
    <s v="Pendiente"/>
  </r>
  <r>
    <x v="196"/>
    <x v="11"/>
    <s v="TX-104038"/>
    <x v="13"/>
    <x v="1"/>
    <x v="3"/>
    <n v="6359.33"/>
    <n v="826.71"/>
    <x v="4033"/>
    <x v="2"/>
    <s v="Cuenta Ahorros"/>
    <s v="Efectivo"/>
    <s v="Pagado"/>
  </r>
  <r>
    <x v="191"/>
    <x v="10"/>
    <s v="TX-104039"/>
    <x v="1"/>
    <x v="1"/>
    <x v="1"/>
    <n v="4464.37"/>
    <n v="580.37"/>
    <x v="4034"/>
    <x v="4"/>
    <s v="Tarjeta Crédito Empresarial"/>
    <s v="Tarjeta Crédito"/>
    <s v="Pagado"/>
  </r>
  <r>
    <x v="113"/>
    <x v="0"/>
    <s v="TX-104040"/>
    <x v="4"/>
    <x v="1"/>
    <x v="3"/>
    <n v="316.76"/>
    <n v="41.18"/>
    <x v="4035"/>
    <x v="0"/>
    <s v="Cuenta Ahorros"/>
    <s v="Efectivo"/>
    <s v="Pendiente"/>
  </r>
  <r>
    <x v="104"/>
    <x v="9"/>
    <s v="TX-104041"/>
    <x v="12"/>
    <x v="1"/>
    <x v="4"/>
    <n v="2179.88"/>
    <n v="283.38"/>
    <x v="4036"/>
    <x v="4"/>
    <s v="Tarjeta Crédito Empresarial"/>
    <s v="Tarjeta Débito"/>
    <s v="Pagado"/>
  </r>
  <r>
    <x v="136"/>
    <x v="11"/>
    <s v="TX-104042"/>
    <x v="9"/>
    <x v="1"/>
    <x v="6"/>
    <n v="13281.83"/>
    <n v="1726.64"/>
    <x v="4037"/>
    <x v="1"/>
    <s v="Cuenta Ahorros"/>
    <s v="Tarjeta Débito"/>
    <s v="Pendiente"/>
  </r>
  <r>
    <x v="169"/>
    <x v="1"/>
    <s v="TX-104043"/>
    <x v="17"/>
    <x v="0"/>
    <x v="7"/>
    <n v="10133.07"/>
    <n v="0"/>
    <x v="4038"/>
    <x v="4"/>
    <s v="Cuenta Corriente"/>
    <s v="Tarjeta Crédito"/>
    <s v="Pagado"/>
  </r>
  <r>
    <x v="217"/>
    <x v="1"/>
    <s v="TX-104044"/>
    <x v="1"/>
    <x v="0"/>
    <x v="4"/>
    <n v="6508.04"/>
    <n v="0"/>
    <x v="4039"/>
    <x v="4"/>
    <s v="Tarjeta Crédito Empresarial"/>
    <s v="Efectivo"/>
    <s v="Pagado"/>
  </r>
  <r>
    <x v="145"/>
    <x v="11"/>
    <s v="TX-104045"/>
    <x v="19"/>
    <x v="0"/>
    <x v="7"/>
    <n v="8153.2"/>
    <n v="0"/>
    <x v="4040"/>
    <x v="2"/>
    <s v="Cuenta Corriente"/>
    <s v="Transferencia"/>
    <s v="Pendiente"/>
  </r>
  <r>
    <x v="69"/>
    <x v="10"/>
    <s v="TX-104046"/>
    <x v="8"/>
    <x v="1"/>
    <x v="6"/>
    <n v="9967.6299999999992"/>
    <n v="1295.79"/>
    <x v="4041"/>
    <x v="2"/>
    <s v="Cuenta Ahorros"/>
    <s v="Efectivo"/>
    <s v="Pagado"/>
  </r>
  <r>
    <x v="124"/>
    <x v="4"/>
    <s v="TX-104047"/>
    <x v="2"/>
    <x v="1"/>
    <x v="5"/>
    <n v="7917.06"/>
    <n v="1029.22"/>
    <x v="4042"/>
    <x v="4"/>
    <s v="Tarjeta Crédito Empresarial"/>
    <s v="Transferencia"/>
    <s v="Pagado"/>
  </r>
  <r>
    <x v="337"/>
    <x v="5"/>
    <s v="TX-104048"/>
    <x v="17"/>
    <x v="0"/>
    <x v="2"/>
    <n v="12790"/>
    <n v="0"/>
    <x v="4043"/>
    <x v="1"/>
    <s v="Tarjeta Crédito Empresarial"/>
    <s v="Tarjeta Crédito"/>
    <s v="Pendiente"/>
  </r>
  <r>
    <x v="80"/>
    <x v="3"/>
    <s v="TX-104049"/>
    <x v="13"/>
    <x v="1"/>
    <x v="3"/>
    <n v="3267.98"/>
    <n v="424.84"/>
    <x v="4044"/>
    <x v="3"/>
    <s v="Cuenta Corriente"/>
    <s v="Tarjeta Crédito"/>
    <s v="Pendiente"/>
  </r>
  <r>
    <x v="164"/>
    <x v="10"/>
    <s v="TX-104050"/>
    <x v="2"/>
    <x v="1"/>
    <x v="2"/>
    <n v="1765.75"/>
    <n v="229.55"/>
    <x v="4045"/>
    <x v="2"/>
    <s v="Tarjeta Crédito Empresarial"/>
    <s v="Efectivo"/>
    <s v="Pagado"/>
  </r>
  <r>
    <x v="201"/>
    <x v="8"/>
    <s v="TX-104051"/>
    <x v="3"/>
    <x v="1"/>
    <x v="2"/>
    <n v="9300.65"/>
    <n v="1209.08"/>
    <x v="4046"/>
    <x v="4"/>
    <s v="Cuenta Ahorros"/>
    <s v="Efectivo"/>
    <s v="Pendiente"/>
  </r>
  <r>
    <x v="129"/>
    <x v="9"/>
    <s v="TX-104052"/>
    <x v="15"/>
    <x v="1"/>
    <x v="3"/>
    <n v="13255.95"/>
    <n v="1723.27"/>
    <x v="4047"/>
    <x v="2"/>
    <s v="Tarjeta Crédito Empresarial"/>
    <s v="Efectivo"/>
    <s v="Pendiente"/>
  </r>
  <r>
    <x v="255"/>
    <x v="10"/>
    <s v="TX-104053"/>
    <x v="6"/>
    <x v="1"/>
    <x v="5"/>
    <n v="353.86"/>
    <n v="46"/>
    <x v="4048"/>
    <x v="3"/>
    <s v="Cuenta Corriente"/>
    <s v="Transferencia"/>
    <s v="Pagado"/>
  </r>
  <r>
    <x v="93"/>
    <x v="3"/>
    <s v="TX-104054"/>
    <x v="16"/>
    <x v="0"/>
    <x v="3"/>
    <n v="8962.4500000000007"/>
    <n v="0"/>
    <x v="4049"/>
    <x v="4"/>
    <s v="Cuenta Ahorros"/>
    <s v="Transferencia"/>
    <s v="Pendiente"/>
  </r>
  <r>
    <x v="163"/>
    <x v="10"/>
    <s v="TX-104055"/>
    <x v="8"/>
    <x v="0"/>
    <x v="2"/>
    <n v="3837.7"/>
    <n v="0"/>
    <x v="4050"/>
    <x v="3"/>
    <s v="Tarjeta Crédito Empresarial"/>
    <s v="Efectivo"/>
    <s v="Pendiente"/>
  </r>
  <r>
    <x v="295"/>
    <x v="6"/>
    <s v="TX-104056"/>
    <x v="0"/>
    <x v="1"/>
    <x v="1"/>
    <n v="10711.93"/>
    <n v="1392.55"/>
    <x v="4051"/>
    <x v="2"/>
    <s v="Tarjeta Crédito Empresarial"/>
    <s v="Efectivo"/>
    <s v="Pagado"/>
  </r>
  <r>
    <x v="301"/>
    <x v="6"/>
    <s v="TX-104057"/>
    <x v="16"/>
    <x v="1"/>
    <x v="7"/>
    <n v="12874.23"/>
    <n v="1673.65"/>
    <x v="4052"/>
    <x v="2"/>
    <s v="Tarjeta Crédito Empresarial"/>
    <s v="Efectivo"/>
    <s v="Pendiente"/>
  </r>
  <r>
    <x v="299"/>
    <x v="9"/>
    <s v="TX-104058"/>
    <x v="16"/>
    <x v="0"/>
    <x v="0"/>
    <n v="12809.54"/>
    <n v="0"/>
    <x v="4053"/>
    <x v="3"/>
    <s v="Cuenta Ahorros"/>
    <s v="Transferencia"/>
    <s v="Pendiente"/>
  </r>
  <r>
    <x v="365"/>
    <x v="4"/>
    <s v="TX-104059"/>
    <x v="3"/>
    <x v="1"/>
    <x v="5"/>
    <n v="9805.4"/>
    <n v="1274.7"/>
    <x v="4054"/>
    <x v="4"/>
    <s v="Cuenta Corriente"/>
    <s v="Tarjeta Crédito"/>
    <s v="Pagado"/>
  </r>
  <r>
    <x v="90"/>
    <x v="11"/>
    <s v="TX-104060"/>
    <x v="13"/>
    <x v="0"/>
    <x v="7"/>
    <n v="10213.69"/>
    <n v="0"/>
    <x v="4055"/>
    <x v="1"/>
    <s v="Cuenta Corriente"/>
    <s v="Tarjeta Crédito"/>
    <s v="Pagado"/>
  </r>
  <r>
    <x v="41"/>
    <x v="5"/>
    <s v="TX-104061"/>
    <x v="8"/>
    <x v="0"/>
    <x v="6"/>
    <n v="768.92"/>
    <n v="0"/>
    <x v="4056"/>
    <x v="3"/>
    <s v="Cuenta Corriente"/>
    <s v="Tarjeta Crédito"/>
    <s v="Pendiente"/>
  </r>
  <r>
    <x v="198"/>
    <x v="0"/>
    <s v="TX-104062"/>
    <x v="9"/>
    <x v="1"/>
    <x v="7"/>
    <n v="13691.3"/>
    <n v="1779.87"/>
    <x v="4057"/>
    <x v="4"/>
    <s v="Tarjeta Crédito Empresarial"/>
    <s v="Transferencia"/>
    <s v="Pendiente"/>
  </r>
  <r>
    <x v="215"/>
    <x v="3"/>
    <s v="TX-104063"/>
    <x v="19"/>
    <x v="1"/>
    <x v="7"/>
    <n v="12643.42"/>
    <n v="1643.64"/>
    <x v="4058"/>
    <x v="1"/>
    <s v="Tarjeta Crédito Empresarial"/>
    <s v="Efectivo"/>
    <s v="Pendiente"/>
  </r>
  <r>
    <x v="150"/>
    <x v="2"/>
    <s v="TX-104064"/>
    <x v="13"/>
    <x v="1"/>
    <x v="2"/>
    <n v="6918.98"/>
    <n v="899.47"/>
    <x v="4059"/>
    <x v="2"/>
    <s v="Cuenta Corriente"/>
    <s v="Tarjeta Crédito"/>
    <s v="Pendiente"/>
  </r>
  <r>
    <x v="165"/>
    <x v="9"/>
    <s v="TX-104065"/>
    <x v="4"/>
    <x v="1"/>
    <x v="1"/>
    <n v="3309.46"/>
    <n v="430.23"/>
    <x v="4060"/>
    <x v="4"/>
    <s v="Cuenta Ahorros"/>
    <s v="Tarjeta Crédito"/>
    <s v="Pagado"/>
  </r>
  <r>
    <x v="174"/>
    <x v="9"/>
    <s v="TX-104066"/>
    <x v="8"/>
    <x v="0"/>
    <x v="3"/>
    <n v="7369.82"/>
    <n v="0"/>
    <x v="4061"/>
    <x v="3"/>
    <s v="Cuenta Ahorros"/>
    <s v="Transferencia"/>
    <s v="Pagado"/>
  </r>
  <r>
    <x v="115"/>
    <x v="3"/>
    <s v="TX-104067"/>
    <x v="16"/>
    <x v="1"/>
    <x v="4"/>
    <n v="12184.8"/>
    <n v="1584.02"/>
    <x v="4062"/>
    <x v="2"/>
    <s v="Tarjeta Crédito Empresarial"/>
    <s v="Efectivo"/>
    <s v="Pagado"/>
  </r>
  <r>
    <x v="7"/>
    <x v="6"/>
    <s v="TX-104068"/>
    <x v="15"/>
    <x v="1"/>
    <x v="4"/>
    <n v="9160.43"/>
    <n v="1190.8599999999999"/>
    <x v="4063"/>
    <x v="0"/>
    <s v="Cuenta Corriente"/>
    <s v="Efectivo"/>
    <s v="Pagado"/>
  </r>
  <r>
    <x v="348"/>
    <x v="8"/>
    <s v="TX-104069"/>
    <x v="19"/>
    <x v="0"/>
    <x v="5"/>
    <n v="12916.47"/>
    <n v="0"/>
    <x v="4064"/>
    <x v="2"/>
    <s v="Cuenta Ahorros"/>
    <s v="Tarjeta Crédito"/>
    <s v="Pendiente"/>
  </r>
  <r>
    <x v="72"/>
    <x v="6"/>
    <s v="TX-104070"/>
    <x v="19"/>
    <x v="1"/>
    <x v="6"/>
    <n v="1001.31"/>
    <n v="130.16999999999999"/>
    <x v="4065"/>
    <x v="2"/>
    <s v="Cuenta Ahorros"/>
    <s v="Efectivo"/>
    <s v="Pagado"/>
  </r>
  <r>
    <x v="337"/>
    <x v="5"/>
    <s v="TX-104071"/>
    <x v="0"/>
    <x v="0"/>
    <x v="0"/>
    <n v="5881.52"/>
    <n v="0"/>
    <x v="4066"/>
    <x v="3"/>
    <s v="Cuenta Corriente"/>
    <s v="Tarjeta Crédito"/>
    <s v="Pagado"/>
  </r>
  <r>
    <x v="337"/>
    <x v="5"/>
    <s v="TX-104072"/>
    <x v="17"/>
    <x v="1"/>
    <x v="7"/>
    <n v="7680.74"/>
    <n v="998.5"/>
    <x v="4067"/>
    <x v="3"/>
    <s v="Cuenta Ahorros"/>
    <s v="Transferencia"/>
    <s v="Pagado"/>
  </r>
  <r>
    <x v="16"/>
    <x v="5"/>
    <s v="TX-104073"/>
    <x v="3"/>
    <x v="1"/>
    <x v="7"/>
    <n v="11241.94"/>
    <n v="1461.45"/>
    <x v="4068"/>
    <x v="4"/>
    <s v="Tarjeta Crédito Empresarial"/>
    <s v="Efectivo"/>
    <s v="Pendiente"/>
  </r>
  <r>
    <x v="166"/>
    <x v="10"/>
    <s v="TX-104074"/>
    <x v="6"/>
    <x v="1"/>
    <x v="6"/>
    <n v="8732.14"/>
    <n v="1135.18"/>
    <x v="4069"/>
    <x v="1"/>
    <s v="Cuenta Ahorros"/>
    <s v="Efectivo"/>
    <s v="Pendiente"/>
  </r>
  <r>
    <x v="25"/>
    <x v="10"/>
    <s v="TX-104075"/>
    <x v="3"/>
    <x v="0"/>
    <x v="4"/>
    <n v="7776.59"/>
    <n v="0"/>
    <x v="4070"/>
    <x v="3"/>
    <s v="Cuenta Ahorros"/>
    <s v="Transferencia"/>
    <s v="Pagado"/>
  </r>
  <r>
    <x v="255"/>
    <x v="10"/>
    <s v="TX-104076"/>
    <x v="2"/>
    <x v="1"/>
    <x v="6"/>
    <n v="4422"/>
    <n v="574.86"/>
    <x v="4071"/>
    <x v="4"/>
    <s v="Cuenta Ahorros"/>
    <s v="Transferencia"/>
    <s v="Pagado"/>
  </r>
  <r>
    <x v="236"/>
    <x v="0"/>
    <s v="TX-104077"/>
    <x v="19"/>
    <x v="1"/>
    <x v="0"/>
    <n v="11650.16"/>
    <n v="1514.52"/>
    <x v="4072"/>
    <x v="4"/>
    <s v="Cuenta Corriente"/>
    <s v="Efectivo"/>
    <s v="Pagado"/>
  </r>
  <r>
    <x v="46"/>
    <x v="4"/>
    <s v="TX-104078"/>
    <x v="17"/>
    <x v="0"/>
    <x v="1"/>
    <n v="2391.23"/>
    <n v="0"/>
    <x v="4073"/>
    <x v="1"/>
    <s v="Tarjeta Crédito Empresarial"/>
    <s v="Tarjeta Crédito"/>
    <s v="Pagado"/>
  </r>
  <r>
    <x v="362"/>
    <x v="6"/>
    <s v="TX-104079"/>
    <x v="13"/>
    <x v="0"/>
    <x v="2"/>
    <n v="10413.17"/>
    <n v="0"/>
    <x v="4074"/>
    <x v="3"/>
    <s v="Tarjeta Crédito Empresarial"/>
    <s v="Tarjeta Crédito"/>
    <s v="Pagado"/>
  </r>
  <r>
    <x v="19"/>
    <x v="8"/>
    <s v="TX-104080"/>
    <x v="18"/>
    <x v="0"/>
    <x v="3"/>
    <n v="11305.68"/>
    <n v="0"/>
    <x v="4075"/>
    <x v="1"/>
    <s v="Tarjeta Crédito Empresarial"/>
    <s v="Tarjeta Crédito"/>
    <s v="Pendiente"/>
  </r>
  <r>
    <x v="243"/>
    <x v="2"/>
    <s v="TX-104081"/>
    <x v="14"/>
    <x v="1"/>
    <x v="6"/>
    <n v="5454.89"/>
    <n v="709.14"/>
    <x v="4076"/>
    <x v="0"/>
    <s v="Cuenta Ahorros"/>
    <s v="Efectivo"/>
    <s v="Pagado"/>
  </r>
  <r>
    <x v="335"/>
    <x v="10"/>
    <s v="TX-104082"/>
    <x v="12"/>
    <x v="1"/>
    <x v="5"/>
    <n v="11528.29"/>
    <n v="1498.68"/>
    <x v="4077"/>
    <x v="4"/>
    <s v="Tarjeta Crédito Empresarial"/>
    <s v="Tarjeta Débito"/>
    <s v="Pagado"/>
  </r>
  <r>
    <x v="281"/>
    <x v="7"/>
    <s v="TX-104083"/>
    <x v="16"/>
    <x v="0"/>
    <x v="7"/>
    <n v="1602.86"/>
    <n v="0"/>
    <x v="4078"/>
    <x v="2"/>
    <s v="Tarjeta Crédito Empresarial"/>
    <s v="Efectivo"/>
    <s v="Pendiente"/>
  </r>
  <r>
    <x v="123"/>
    <x v="11"/>
    <s v="TX-104084"/>
    <x v="16"/>
    <x v="0"/>
    <x v="4"/>
    <n v="12764.86"/>
    <n v="0"/>
    <x v="4079"/>
    <x v="2"/>
    <s v="Cuenta Ahorros"/>
    <s v="Tarjeta Crédito"/>
    <s v="Pendiente"/>
  </r>
  <r>
    <x v="175"/>
    <x v="4"/>
    <s v="TX-104085"/>
    <x v="10"/>
    <x v="0"/>
    <x v="5"/>
    <n v="13458.15"/>
    <n v="0"/>
    <x v="4080"/>
    <x v="3"/>
    <s v="Cuenta Corriente"/>
    <s v="Transferencia"/>
    <s v="Pendiente"/>
  </r>
  <r>
    <x v="278"/>
    <x v="9"/>
    <s v="TX-104086"/>
    <x v="11"/>
    <x v="1"/>
    <x v="7"/>
    <n v="4775.58"/>
    <n v="620.83000000000004"/>
    <x v="4081"/>
    <x v="2"/>
    <s v="Cuenta Corriente"/>
    <s v="Tarjeta Crédito"/>
    <s v="Pagado"/>
  </r>
  <r>
    <x v="301"/>
    <x v="6"/>
    <s v="TX-104087"/>
    <x v="3"/>
    <x v="1"/>
    <x v="2"/>
    <n v="72.55"/>
    <n v="9.43"/>
    <x v="4082"/>
    <x v="0"/>
    <s v="Tarjeta Crédito Empresarial"/>
    <s v="Efectivo"/>
    <s v="Pendiente"/>
  </r>
  <r>
    <x v="226"/>
    <x v="10"/>
    <s v="TX-104088"/>
    <x v="17"/>
    <x v="0"/>
    <x v="7"/>
    <n v="6556.86"/>
    <n v="0"/>
    <x v="4083"/>
    <x v="4"/>
    <s v="Cuenta Ahorros"/>
    <s v="Efectivo"/>
    <s v="Pendiente"/>
  </r>
  <r>
    <x v="45"/>
    <x v="4"/>
    <s v="TX-104089"/>
    <x v="15"/>
    <x v="0"/>
    <x v="3"/>
    <n v="11453.77"/>
    <n v="0"/>
    <x v="4084"/>
    <x v="4"/>
    <s v="Cuenta Corriente"/>
    <s v="Tarjeta Crédito"/>
    <s v="Pendiente"/>
  </r>
  <r>
    <x v="137"/>
    <x v="11"/>
    <s v="TX-104090"/>
    <x v="17"/>
    <x v="0"/>
    <x v="0"/>
    <n v="3019.56"/>
    <n v="0"/>
    <x v="4085"/>
    <x v="0"/>
    <s v="Cuenta Corriente"/>
    <s v="Tarjeta Débito"/>
    <s v="Pendiente"/>
  </r>
  <r>
    <x v="338"/>
    <x v="7"/>
    <s v="TX-104091"/>
    <x v="11"/>
    <x v="1"/>
    <x v="2"/>
    <n v="5206.68"/>
    <n v="676.87"/>
    <x v="4086"/>
    <x v="4"/>
    <s v="Cuenta Ahorros"/>
    <s v="Tarjeta Crédito"/>
    <s v="Pagado"/>
  </r>
  <r>
    <x v="282"/>
    <x v="2"/>
    <s v="TX-104092"/>
    <x v="12"/>
    <x v="0"/>
    <x v="6"/>
    <n v="801.67"/>
    <n v="0"/>
    <x v="4087"/>
    <x v="3"/>
    <s v="Tarjeta Crédito Empresarial"/>
    <s v="Tarjeta Crédito"/>
    <s v="Pagado"/>
  </r>
  <r>
    <x v="141"/>
    <x v="8"/>
    <s v="TX-104093"/>
    <x v="10"/>
    <x v="0"/>
    <x v="7"/>
    <n v="2001.94"/>
    <n v="0"/>
    <x v="4088"/>
    <x v="3"/>
    <s v="Tarjeta Crédito Empresarial"/>
    <s v="Efectivo"/>
    <s v="Pendiente"/>
  </r>
  <r>
    <x v="171"/>
    <x v="10"/>
    <s v="TX-104094"/>
    <x v="19"/>
    <x v="1"/>
    <x v="4"/>
    <n v="5363.27"/>
    <n v="697.23"/>
    <x v="4089"/>
    <x v="1"/>
    <s v="Cuenta Ahorros"/>
    <s v="Tarjeta Débito"/>
    <s v="Pendiente"/>
  </r>
  <r>
    <x v="199"/>
    <x v="0"/>
    <s v="TX-104095"/>
    <x v="10"/>
    <x v="0"/>
    <x v="2"/>
    <n v="9117.15"/>
    <n v="0"/>
    <x v="4090"/>
    <x v="1"/>
    <s v="Cuenta Ahorros"/>
    <s v="Efectivo"/>
    <s v="Pagado"/>
  </r>
  <r>
    <x v="188"/>
    <x v="6"/>
    <s v="TX-104096"/>
    <x v="7"/>
    <x v="0"/>
    <x v="0"/>
    <n v="9229.26"/>
    <n v="0"/>
    <x v="4091"/>
    <x v="0"/>
    <s v="Tarjeta Crédito Empresarial"/>
    <s v="Tarjeta Crédito"/>
    <s v="Pendiente"/>
  </r>
  <r>
    <x v="175"/>
    <x v="4"/>
    <s v="TX-104097"/>
    <x v="4"/>
    <x v="0"/>
    <x v="6"/>
    <n v="6817.62"/>
    <n v="0"/>
    <x v="4092"/>
    <x v="3"/>
    <s v="Tarjeta Crédito Empresarial"/>
    <s v="Tarjeta Crédito"/>
    <s v="Pendiente"/>
  </r>
  <r>
    <x v="45"/>
    <x v="4"/>
    <s v="TX-104098"/>
    <x v="2"/>
    <x v="0"/>
    <x v="2"/>
    <n v="13786.34"/>
    <n v="0"/>
    <x v="4093"/>
    <x v="0"/>
    <s v="Cuenta Ahorros"/>
    <s v="Tarjeta Débito"/>
    <s v="Pendiente"/>
  </r>
  <r>
    <x v="35"/>
    <x v="4"/>
    <s v="TX-104099"/>
    <x v="17"/>
    <x v="0"/>
    <x v="7"/>
    <n v="7276.42"/>
    <n v="0"/>
    <x v="4094"/>
    <x v="1"/>
    <s v="Tarjeta Crédito Empresarial"/>
    <s v="Tarjeta Débito"/>
    <s v="Pagado"/>
  </r>
  <r>
    <x v="205"/>
    <x v="3"/>
    <s v="TX-104100"/>
    <x v="5"/>
    <x v="0"/>
    <x v="7"/>
    <n v="6693.41"/>
    <n v="0"/>
    <x v="4095"/>
    <x v="3"/>
    <s v="Tarjeta Crédito Empresarial"/>
    <s v="Transferencia"/>
    <s v="Pendiente"/>
  </r>
  <r>
    <x v="252"/>
    <x v="7"/>
    <s v="TX-104101"/>
    <x v="8"/>
    <x v="0"/>
    <x v="0"/>
    <n v="1946.15"/>
    <n v="0"/>
    <x v="4096"/>
    <x v="0"/>
    <s v="Cuenta Corriente"/>
    <s v="Transferencia"/>
    <s v="Pagado"/>
  </r>
  <r>
    <x v="78"/>
    <x v="0"/>
    <s v="TX-104102"/>
    <x v="2"/>
    <x v="1"/>
    <x v="6"/>
    <n v="4335.46"/>
    <n v="563.61"/>
    <x v="4097"/>
    <x v="1"/>
    <s v="Cuenta Corriente"/>
    <s v="Efectivo"/>
    <s v="Pendiente"/>
  </r>
  <r>
    <x v="221"/>
    <x v="0"/>
    <s v="TX-104103"/>
    <x v="17"/>
    <x v="1"/>
    <x v="6"/>
    <n v="10953.89"/>
    <n v="1424.01"/>
    <x v="4098"/>
    <x v="0"/>
    <s v="Cuenta Corriente"/>
    <s v="Tarjeta Crédito"/>
    <s v="Pendiente"/>
  </r>
  <r>
    <x v="121"/>
    <x v="8"/>
    <s v="TX-104104"/>
    <x v="9"/>
    <x v="0"/>
    <x v="5"/>
    <n v="12902.95"/>
    <n v="0"/>
    <x v="4099"/>
    <x v="3"/>
    <s v="Cuenta Corriente"/>
    <s v="Tarjeta Débito"/>
    <s v="Pagado"/>
  </r>
  <r>
    <x v="318"/>
    <x v="3"/>
    <s v="TX-104105"/>
    <x v="0"/>
    <x v="0"/>
    <x v="6"/>
    <n v="3589.34"/>
    <n v="0"/>
    <x v="4100"/>
    <x v="4"/>
    <s v="Tarjeta Crédito Empresarial"/>
    <s v="Tarjeta Crédito"/>
    <s v="Pendiente"/>
  </r>
  <r>
    <x v="306"/>
    <x v="2"/>
    <s v="TX-104106"/>
    <x v="2"/>
    <x v="1"/>
    <x v="3"/>
    <n v="14963.11"/>
    <n v="1945.2"/>
    <x v="4101"/>
    <x v="0"/>
    <s v="Cuenta Corriente"/>
    <s v="Transferencia"/>
    <s v="Pendiente"/>
  </r>
  <r>
    <x v="104"/>
    <x v="9"/>
    <s v="TX-104107"/>
    <x v="11"/>
    <x v="0"/>
    <x v="7"/>
    <n v="11470.41"/>
    <n v="0"/>
    <x v="4102"/>
    <x v="1"/>
    <s v="Tarjeta Crédito Empresarial"/>
    <s v="Tarjeta Débito"/>
    <s v="Pendiente"/>
  </r>
  <r>
    <x v="121"/>
    <x v="8"/>
    <s v="TX-104108"/>
    <x v="6"/>
    <x v="0"/>
    <x v="0"/>
    <n v="758.66"/>
    <n v="0"/>
    <x v="4103"/>
    <x v="1"/>
    <s v="Cuenta Corriente"/>
    <s v="Tarjeta Débito"/>
    <s v="Pendiente"/>
  </r>
  <r>
    <x v="123"/>
    <x v="11"/>
    <s v="TX-104109"/>
    <x v="7"/>
    <x v="1"/>
    <x v="7"/>
    <n v="9877.33"/>
    <n v="1284.05"/>
    <x v="4104"/>
    <x v="0"/>
    <s v="Cuenta Ahorros"/>
    <s v="Tarjeta Crédito"/>
    <s v="Pagado"/>
  </r>
  <r>
    <x v="298"/>
    <x v="8"/>
    <s v="TX-104110"/>
    <x v="9"/>
    <x v="0"/>
    <x v="6"/>
    <n v="9943.31"/>
    <n v="0"/>
    <x v="4105"/>
    <x v="4"/>
    <s v="Tarjeta Crédito Empresarial"/>
    <s v="Efectivo"/>
    <s v="Pagado"/>
  </r>
  <r>
    <x v="229"/>
    <x v="5"/>
    <s v="TX-104111"/>
    <x v="1"/>
    <x v="1"/>
    <x v="7"/>
    <n v="9201.7000000000007"/>
    <n v="1196.22"/>
    <x v="4106"/>
    <x v="4"/>
    <s v="Tarjeta Crédito Empresarial"/>
    <s v="Tarjeta Débito"/>
    <s v="Pendiente"/>
  </r>
  <r>
    <x v="115"/>
    <x v="3"/>
    <s v="TX-104112"/>
    <x v="16"/>
    <x v="0"/>
    <x v="5"/>
    <n v="5217.1899999999996"/>
    <n v="0"/>
    <x v="4107"/>
    <x v="4"/>
    <s v="Cuenta Corriente"/>
    <s v="Tarjeta Crédito"/>
    <s v="Pendiente"/>
  </r>
  <r>
    <x v="194"/>
    <x v="8"/>
    <s v="TX-104113"/>
    <x v="3"/>
    <x v="0"/>
    <x v="7"/>
    <n v="1859.95"/>
    <n v="0"/>
    <x v="4108"/>
    <x v="1"/>
    <s v="Cuenta Ahorros"/>
    <s v="Tarjeta Débito"/>
    <s v="Pendiente"/>
  </r>
  <r>
    <x v="82"/>
    <x v="10"/>
    <s v="TX-104114"/>
    <x v="9"/>
    <x v="0"/>
    <x v="2"/>
    <n v="10764.33"/>
    <n v="0"/>
    <x v="4109"/>
    <x v="0"/>
    <s v="Cuenta Ahorros"/>
    <s v="Transferencia"/>
    <s v="Pendiente"/>
  </r>
  <r>
    <x v="33"/>
    <x v="5"/>
    <s v="TX-104115"/>
    <x v="6"/>
    <x v="0"/>
    <x v="6"/>
    <n v="11483.97"/>
    <n v="0"/>
    <x v="4110"/>
    <x v="0"/>
    <s v="Cuenta Corriente"/>
    <s v="Tarjeta Crédito"/>
    <s v="Pagado"/>
  </r>
  <r>
    <x v="257"/>
    <x v="7"/>
    <s v="TX-104116"/>
    <x v="8"/>
    <x v="0"/>
    <x v="5"/>
    <n v="6588.81"/>
    <n v="0"/>
    <x v="4111"/>
    <x v="0"/>
    <s v="Cuenta Ahorros"/>
    <s v="Transferencia"/>
    <s v="Pendiente"/>
  </r>
  <r>
    <x v="213"/>
    <x v="3"/>
    <s v="TX-104117"/>
    <x v="3"/>
    <x v="1"/>
    <x v="0"/>
    <n v="12788.23"/>
    <n v="1662.47"/>
    <x v="4112"/>
    <x v="0"/>
    <s v="Cuenta Ahorros"/>
    <s v="Efectivo"/>
    <s v="Pagado"/>
  </r>
  <r>
    <x v="45"/>
    <x v="4"/>
    <s v="TX-104118"/>
    <x v="14"/>
    <x v="1"/>
    <x v="6"/>
    <n v="5852.49"/>
    <n v="760.82"/>
    <x v="4113"/>
    <x v="0"/>
    <s v="Cuenta Ahorros"/>
    <s v="Transferencia"/>
    <s v="Pagado"/>
  </r>
  <r>
    <x v="170"/>
    <x v="10"/>
    <s v="TX-104119"/>
    <x v="4"/>
    <x v="0"/>
    <x v="0"/>
    <n v="6774.44"/>
    <n v="0"/>
    <x v="4114"/>
    <x v="4"/>
    <s v="Cuenta Corriente"/>
    <s v="Tarjeta Crédito"/>
    <s v="Pagado"/>
  </r>
  <r>
    <x v="124"/>
    <x v="4"/>
    <s v="TX-104120"/>
    <x v="18"/>
    <x v="1"/>
    <x v="7"/>
    <n v="1596.2"/>
    <n v="207.51"/>
    <x v="4115"/>
    <x v="3"/>
    <s v="Cuenta Ahorros"/>
    <s v="Tarjeta Débito"/>
    <s v="Pagado"/>
  </r>
  <r>
    <x v="267"/>
    <x v="4"/>
    <s v="TX-104121"/>
    <x v="4"/>
    <x v="1"/>
    <x v="1"/>
    <n v="6149.56"/>
    <n v="799.44"/>
    <x v="4116"/>
    <x v="0"/>
    <s v="Cuenta Corriente"/>
    <s v="Efectivo"/>
    <s v="Pagado"/>
  </r>
  <r>
    <x v="89"/>
    <x v="8"/>
    <s v="TX-104122"/>
    <x v="13"/>
    <x v="1"/>
    <x v="0"/>
    <n v="8059.17"/>
    <n v="1047.69"/>
    <x v="4117"/>
    <x v="2"/>
    <s v="Tarjeta Crédito Empresarial"/>
    <s v="Efectivo"/>
    <s v="Pagado"/>
  </r>
  <r>
    <x v="280"/>
    <x v="9"/>
    <s v="TX-104123"/>
    <x v="13"/>
    <x v="0"/>
    <x v="6"/>
    <n v="14935.45"/>
    <n v="0"/>
    <x v="4118"/>
    <x v="0"/>
    <s v="Cuenta Ahorros"/>
    <s v="Efectivo"/>
    <s v="Pagado"/>
  </r>
  <r>
    <x v="7"/>
    <x v="6"/>
    <s v="TX-104124"/>
    <x v="17"/>
    <x v="1"/>
    <x v="1"/>
    <n v="4810.8500000000004"/>
    <n v="625.41"/>
    <x v="4119"/>
    <x v="1"/>
    <s v="Cuenta Ahorros"/>
    <s v="Tarjeta Débito"/>
    <s v="Pendiente"/>
  </r>
  <r>
    <x v="322"/>
    <x v="11"/>
    <s v="TX-104125"/>
    <x v="9"/>
    <x v="1"/>
    <x v="5"/>
    <n v="4956.7299999999996"/>
    <n v="644.37"/>
    <x v="4120"/>
    <x v="0"/>
    <s v="Tarjeta Crédito Empresarial"/>
    <s v="Transferencia"/>
    <s v="Pagado"/>
  </r>
  <r>
    <x v="118"/>
    <x v="11"/>
    <s v="TX-104126"/>
    <x v="8"/>
    <x v="0"/>
    <x v="5"/>
    <n v="3207.89"/>
    <n v="0"/>
    <x v="4121"/>
    <x v="0"/>
    <s v="Cuenta Ahorros"/>
    <s v="Tarjeta Crédito"/>
    <s v="Pendiente"/>
  </r>
  <r>
    <x v="78"/>
    <x v="0"/>
    <s v="TX-104127"/>
    <x v="0"/>
    <x v="1"/>
    <x v="5"/>
    <n v="4357.54"/>
    <n v="566.48"/>
    <x v="4122"/>
    <x v="3"/>
    <s v="Cuenta Ahorros"/>
    <s v="Transferencia"/>
    <s v="Pendiente"/>
  </r>
  <r>
    <x v="107"/>
    <x v="3"/>
    <s v="TX-104128"/>
    <x v="6"/>
    <x v="0"/>
    <x v="0"/>
    <n v="1798.29"/>
    <n v="0"/>
    <x v="4123"/>
    <x v="3"/>
    <s v="Tarjeta Crédito Empresarial"/>
    <s v="Transferencia"/>
    <s v="Pendiente"/>
  </r>
  <r>
    <x v="39"/>
    <x v="8"/>
    <s v="TX-104129"/>
    <x v="1"/>
    <x v="0"/>
    <x v="6"/>
    <n v="9463.81"/>
    <n v="0"/>
    <x v="4124"/>
    <x v="3"/>
    <s v="Cuenta Corriente"/>
    <s v="Tarjeta Crédito"/>
    <s v="Pagado"/>
  </r>
  <r>
    <x v="356"/>
    <x v="9"/>
    <s v="TX-104130"/>
    <x v="13"/>
    <x v="0"/>
    <x v="1"/>
    <n v="679.28"/>
    <n v="0"/>
    <x v="4125"/>
    <x v="2"/>
    <s v="Tarjeta Crédito Empresarial"/>
    <s v="Tarjeta Crédito"/>
    <s v="Pagado"/>
  </r>
  <r>
    <x v="112"/>
    <x v="10"/>
    <s v="TX-104131"/>
    <x v="14"/>
    <x v="0"/>
    <x v="1"/>
    <n v="6121.76"/>
    <n v="0"/>
    <x v="4126"/>
    <x v="0"/>
    <s v="Tarjeta Crédito Empresarial"/>
    <s v="Transferencia"/>
    <s v="Pendiente"/>
  </r>
  <r>
    <x v="203"/>
    <x v="6"/>
    <s v="TX-104132"/>
    <x v="2"/>
    <x v="0"/>
    <x v="0"/>
    <n v="5013.8999999999996"/>
    <n v="0"/>
    <x v="4127"/>
    <x v="2"/>
    <s v="Tarjeta Crédito Empresarial"/>
    <s v="Transferencia"/>
    <s v="Pagado"/>
  </r>
  <r>
    <x v="21"/>
    <x v="2"/>
    <s v="TX-104133"/>
    <x v="12"/>
    <x v="1"/>
    <x v="3"/>
    <n v="4428.58"/>
    <n v="575.72"/>
    <x v="4128"/>
    <x v="4"/>
    <s v="Cuenta Ahorros"/>
    <s v="Tarjeta Crédito"/>
    <s v="Pendiente"/>
  </r>
  <r>
    <x v="357"/>
    <x v="0"/>
    <s v="TX-104134"/>
    <x v="6"/>
    <x v="1"/>
    <x v="0"/>
    <n v="3573.9"/>
    <n v="464.61"/>
    <x v="4129"/>
    <x v="2"/>
    <s v="Tarjeta Crédito Empresarial"/>
    <s v="Tarjeta Débito"/>
    <s v="Pendiente"/>
  </r>
  <r>
    <x v="16"/>
    <x v="5"/>
    <s v="TX-104135"/>
    <x v="2"/>
    <x v="0"/>
    <x v="3"/>
    <n v="10550.1"/>
    <n v="0"/>
    <x v="4130"/>
    <x v="0"/>
    <s v="Cuenta Corriente"/>
    <s v="Transferencia"/>
    <s v="Pagado"/>
  </r>
  <r>
    <x v="255"/>
    <x v="10"/>
    <s v="TX-104136"/>
    <x v="8"/>
    <x v="1"/>
    <x v="1"/>
    <n v="4134.72"/>
    <n v="537.51"/>
    <x v="4131"/>
    <x v="0"/>
    <s v="Tarjeta Crédito Empresarial"/>
    <s v="Efectivo"/>
    <s v="Pendiente"/>
  </r>
  <r>
    <x v="259"/>
    <x v="10"/>
    <s v="TX-104137"/>
    <x v="3"/>
    <x v="1"/>
    <x v="4"/>
    <n v="203.17"/>
    <n v="26.41"/>
    <x v="4132"/>
    <x v="1"/>
    <s v="Cuenta Corriente"/>
    <s v="Efectivo"/>
    <s v="Pagado"/>
  </r>
  <r>
    <x v="82"/>
    <x v="10"/>
    <s v="TX-104138"/>
    <x v="12"/>
    <x v="1"/>
    <x v="7"/>
    <n v="12378.29"/>
    <n v="1609.18"/>
    <x v="4133"/>
    <x v="0"/>
    <s v="Cuenta Corriente"/>
    <s v="Efectivo"/>
    <s v="Pendiente"/>
  </r>
  <r>
    <x v="246"/>
    <x v="10"/>
    <s v="TX-104139"/>
    <x v="5"/>
    <x v="1"/>
    <x v="0"/>
    <n v="12876.06"/>
    <n v="1673.89"/>
    <x v="4134"/>
    <x v="2"/>
    <s v="Cuenta Ahorros"/>
    <s v="Transferencia"/>
    <s v="Pagado"/>
  </r>
  <r>
    <x v="104"/>
    <x v="9"/>
    <s v="TX-104140"/>
    <x v="3"/>
    <x v="1"/>
    <x v="2"/>
    <n v="5746.28"/>
    <n v="747.02"/>
    <x v="4135"/>
    <x v="2"/>
    <s v="Cuenta Ahorros"/>
    <s v="Efectivo"/>
    <s v="Pagado"/>
  </r>
  <r>
    <x v="165"/>
    <x v="9"/>
    <s v="TX-104141"/>
    <x v="13"/>
    <x v="1"/>
    <x v="2"/>
    <n v="2364.0700000000002"/>
    <n v="307.33"/>
    <x v="4136"/>
    <x v="4"/>
    <s v="Cuenta Ahorros"/>
    <s v="Transferencia"/>
    <s v="Pagado"/>
  </r>
  <r>
    <x v="13"/>
    <x v="2"/>
    <s v="TX-104142"/>
    <x v="7"/>
    <x v="0"/>
    <x v="3"/>
    <n v="2624.62"/>
    <n v="0"/>
    <x v="4137"/>
    <x v="0"/>
    <s v="Cuenta Ahorros"/>
    <s v="Efectivo"/>
    <s v="Pendiente"/>
  </r>
  <r>
    <x v="295"/>
    <x v="6"/>
    <s v="TX-104143"/>
    <x v="17"/>
    <x v="0"/>
    <x v="1"/>
    <n v="8352.83"/>
    <n v="0"/>
    <x v="4138"/>
    <x v="0"/>
    <s v="Tarjeta Crédito Empresarial"/>
    <s v="Efectivo"/>
    <s v="Pagado"/>
  </r>
  <r>
    <x v="328"/>
    <x v="11"/>
    <s v="TX-104144"/>
    <x v="12"/>
    <x v="1"/>
    <x v="2"/>
    <n v="11388.75"/>
    <n v="1480.54"/>
    <x v="4139"/>
    <x v="3"/>
    <s v="Cuenta Ahorros"/>
    <s v="Transferencia"/>
    <s v="Pendiente"/>
  </r>
  <r>
    <x v="65"/>
    <x v="4"/>
    <s v="TX-104145"/>
    <x v="15"/>
    <x v="1"/>
    <x v="4"/>
    <n v="12522.44"/>
    <n v="1627.92"/>
    <x v="4140"/>
    <x v="1"/>
    <s v="Cuenta Corriente"/>
    <s v="Efectivo"/>
    <s v="Pendiente"/>
  </r>
  <r>
    <x v="42"/>
    <x v="8"/>
    <s v="TX-104146"/>
    <x v="9"/>
    <x v="0"/>
    <x v="2"/>
    <n v="5581.19"/>
    <n v="0"/>
    <x v="4141"/>
    <x v="2"/>
    <s v="Cuenta Ahorros"/>
    <s v="Tarjeta Crédito"/>
    <s v="Pagado"/>
  </r>
  <r>
    <x v="254"/>
    <x v="5"/>
    <s v="TX-104147"/>
    <x v="2"/>
    <x v="0"/>
    <x v="6"/>
    <n v="3891.42"/>
    <n v="0"/>
    <x v="4142"/>
    <x v="0"/>
    <s v="Cuenta Corriente"/>
    <s v="Tarjeta Débito"/>
    <s v="Pendiente"/>
  </r>
  <r>
    <x v="313"/>
    <x v="6"/>
    <s v="TX-104148"/>
    <x v="9"/>
    <x v="0"/>
    <x v="3"/>
    <n v="2068.8000000000002"/>
    <n v="0"/>
    <x v="4143"/>
    <x v="4"/>
    <s v="Tarjeta Crédito Empresarial"/>
    <s v="Tarjeta Débito"/>
    <s v="Pendiente"/>
  </r>
  <r>
    <x v="356"/>
    <x v="9"/>
    <s v="TX-104149"/>
    <x v="19"/>
    <x v="0"/>
    <x v="6"/>
    <n v="11052.34"/>
    <n v="0"/>
    <x v="4144"/>
    <x v="4"/>
    <s v="Cuenta Ahorros"/>
    <s v="Efectivo"/>
    <s v="Pagado"/>
  </r>
  <r>
    <x v="61"/>
    <x v="4"/>
    <s v="TX-104150"/>
    <x v="17"/>
    <x v="1"/>
    <x v="4"/>
    <n v="6576.55"/>
    <n v="854.95"/>
    <x v="4145"/>
    <x v="3"/>
    <s v="Cuenta Corriente"/>
    <s v="Efectivo"/>
    <s v="Pagado"/>
  </r>
  <r>
    <x v="129"/>
    <x v="9"/>
    <s v="TX-104151"/>
    <x v="3"/>
    <x v="1"/>
    <x v="4"/>
    <n v="2366.09"/>
    <n v="307.58999999999997"/>
    <x v="4146"/>
    <x v="2"/>
    <s v="Cuenta Ahorros"/>
    <s v="Transferencia"/>
    <s v="Pagado"/>
  </r>
  <r>
    <x v="309"/>
    <x v="4"/>
    <s v="TX-104152"/>
    <x v="15"/>
    <x v="1"/>
    <x v="2"/>
    <n v="3156.94"/>
    <n v="410.4"/>
    <x v="4147"/>
    <x v="3"/>
    <s v="Tarjeta Crédito Empresarial"/>
    <s v="Tarjeta Crédito"/>
    <s v="Pendiente"/>
  </r>
  <r>
    <x v="91"/>
    <x v="6"/>
    <s v="TX-104153"/>
    <x v="0"/>
    <x v="0"/>
    <x v="4"/>
    <n v="13949.51"/>
    <n v="0"/>
    <x v="4148"/>
    <x v="2"/>
    <s v="Cuenta Corriente"/>
    <s v="Efectivo"/>
    <s v="Pendiente"/>
  </r>
  <r>
    <x v="111"/>
    <x v="4"/>
    <s v="TX-104154"/>
    <x v="3"/>
    <x v="0"/>
    <x v="1"/>
    <n v="7682.78"/>
    <n v="0"/>
    <x v="4149"/>
    <x v="0"/>
    <s v="Cuenta Corriente"/>
    <s v="Transferencia"/>
    <s v="Pendiente"/>
  </r>
  <r>
    <x v="258"/>
    <x v="7"/>
    <s v="TX-104155"/>
    <x v="6"/>
    <x v="1"/>
    <x v="5"/>
    <n v="5899.81"/>
    <n v="766.98"/>
    <x v="4150"/>
    <x v="2"/>
    <s v="Cuenta Corriente"/>
    <s v="Tarjeta Débito"/>
    <s v="Pagado"/>
  </r>
  <r>
    <x v="121"/>
    <x v="8"/>
    <s v="TX-104156"/>
    <x v="4"/>
    <x v="1"/>
    <x v="0"/>
    <n v="2314.12"/>
    <n v="300.83999999999997"/>
    <x v="4151"/>
    <x v="4"/>
    <s v="Cuenta Ahorros"/>
    <s v="Tarjeta Débito"/>
    <s v="Pagado"/>
  </r>
  <r>
    <x v="296"/>
    <x v="8"/>
    <s v="TX-104157"/>
    <x v="15"/>
    <x v="1"/>
    <x v="7"/>
    <n v="6734.99"/>
    <n v="875.55"/>
    <x v="4152"/>
    <x v="1"/>
    <s v="Cuenta Ahorros"/>
    <s v="Efectivo"/>
    <s v="Pendiente"/>
  </r>
  <r>
    <x v="167"/>
    <x v="8"/>
    <s v="TX-104158"/>
    <x v="19"/>
    <x v="0"/>
    <x v="3"/>
    <n v="8084.55"/>
    <n v="0"/>
    <x v="4153"/>
    <x v="1"/>
    <s v="Cuenta Ahorros"/>
    <s v="Tarjeta Débito"/>
    <s v="Pendiente"/>
  </r>
  <r>
    <x v="56"/>
    <x v="11"/>
    <s v="TX-104159"/>
    <x v="2"/>
    <x v="1"/>
    <x v="2"/>
    <n v="3058.75"/>
    <n v="397.64"/>
    <x v="4154"/>
    <x v="2"/>
    <s v="Tarjeta Crédito Empresarial"/>
    <s v="Efectivo"/>
    <s v="Pagado"/>
  </r>
  <r>
    <x v="18"/>
    <x v="9"/>
    <s v="TX-104160"/>
    <x v="7"/>
    <x v="0"/>
    <x v="1"/>
    <n v="13651.88"/>
    <n v="0"/>
    <x v="4155"/>
    <x v="4"/>
    <s v="Cuenta Ahorros"/>
    <s v="Efectivo"/>
    <s v="Pendiente"/>
  </r>
  <r>
    <x v="40"/>
    <x v="2"/>
    <s v="TX-104161"/>
    <x v="14"/>
    <x v="1"/>
    <x v="0"/>
    <n v="1180.8499999999999"/>
    <n v="153.51"/>
    <x v="4156"/>
    <x v="4"/>
    <s v="Cuenta Corriente"/>
    <s v="Efectivo"/>
    <s v="Pendiente"/>
  </r>
  <r>
    <x v="353"/>
    <x v="7"/>
    <s v="TX-104162"/>
    <x v="3"/>
    <x v="1"/>
    <x v="4"/>
    <n v="666.4"/>
    <n v="86.63"/>
    <x v="4157"/>
    <x v="0"/>
    <s v="Tarjeta Crédito Empresarial"/>
    <s v="Tarjeta Débito"/>
    <s v="Pagado"/>
  </r>
  <r>
    <x v="236"/>
    <x v="0"/>
    <s v="TX-104163"/>
    <x v="1"/>
    <x v="0"/>
    <x v="2"/>
    <n v="7705.76"/>
    <n v="0"/>
    <x v="4158"/>
    <x v="1"/>
    <s v="Cuenta Ahorros"/>
    <s v="Tarjeta Crédito"/>
    <s v="Pagado"/>
  </r>
  <r>
    <x v="323"/>
    <x v="2"/>
    <s v="TX-104164"/>
    <x v="5"/>
    <x v="0"/>
    <x v="5"/>
    <n v="8089.3"/>
    <n v="0"/>
    <x v="4159"/>
    <x v="0"/>
    <s v="Cuenta Corriente"/>
    <s v="Tarjeta Crédito"/>
    <s v="Pagado"/>
  </r>
  <r>
    <x v="176"/>
    <x v="5"/>
    <s v="TX-104165"/>
    <x v="1"/>
    <x v="0"/>
    <x v="4"/>
    <n v="11634.66"/>
    <n v="0"/>
    <x v="4160"/>
    <x v="4"/>
    <s v="Tarjeta Crédito Empresarial"/>
    <s v="Efectivo"/>
    <s v="Pagado"/>
  </r>
  <r>
    <x v="206"/>
    <x v="9"/>
    <s v="TX-104166"/>
    <x v="13"/>
    <x v="1"/>
    <x v="4"/>
    <n v="12146.34"/>
    <n v="1579.02"/>
    <x v="4161"/>
    <x v="0"/>
    <s v="Cuenta Corriente"/>
    <s v="Transferencia"/>
    <s v="Pendiente"/>
  </r>
  <r>
    <x v="107"/>
    <x v="3"/>
    <s v="TX-104167"/>
    <x v="10"/>
    <x v="0"/>
    <x v="5"/>
    <n v="3573.42"/>
    <n v="0"/>
    <x v="4162"/>
    <x v="2"/>
    <s v="Cuenta Corriente"/>
    <s v="Tarjeta Crédito"/>
    <s v="Pendiente"/>
  </r>
  <r>
    <x v="356"/>
    <x v="9"/>
    <s v="TX-104168"/>
    <x v="14"/>
    <x v="0"/>
    <x v="5"/>
    <n v="12155.6"/>
    <n v="0"/>
    <x v="4163"/>
    <x v="1"/>
    <s v="Tarjeta Crédito Empresarial"/>
    <s v="Tarjeta Débito"/>
    <s v="Pagado"/>
  </r>
  <r>
    <x v="85"/>
    <x v="0"/>
    <s v="TX-104169"/>
    <x v="18"/>
    <x v="1"/>
    <x v="3"/>
    <n v="14426.92"/>
    <n v="1875.5"/>
    <x v="4164"/>
    <x v="4"/>
    <s v="Cuenta Ahorros"/>
    <s v="Transferencia"/>
    <s v="Pendiente"/>
  </r>
  <r>
    <x v="200"/>
    <x v="9"/>
    <s v="TX-104170"/>
    <x v="1"/>
    <x v="1"/>
    <x v="4"/>
    <n v="545.83000000000004"/>
    <n v="70.959999999999994"/>
    <x v="4165"/>
    <x v="1"/>
    <s v="Tarjeta Crédito Empresarial"/>
    <s v="Efectivo"/>
    <s v="Pagado"/>
  </r>
  <r>
    <x v="349"/>
    <x v="6"/>
    <s v="TX-104171"/>
    <x v="16"/>
    <x v="1"/>
    <x v="1"/>
    <n v="8486.75"/>
    <n v="1103.28"/>
    <x v="4166"/>
    <x v="1"/>
    <s v="Tarjeta Crédito Empresarial"/>
    <s v="Tarjeta Crédito"/>
    <s v="Pagado"/>
  </r>
  <r>
    <x v="216"/>
    <x v="1"/>
    <s v="TX-104172"/>
    <x v="4"/>
    <x v="0"/>
    <x v="3"/>
    <n v="13995.04"/>
    <n v="0"/>
    <x v="4167"/>
    <x v="0"/>
    <s v="Cuenta Corriente"/>
    <s v="Efectivo"/>
    <s v="Pagado"/>
  </r>
  <r>
    <x v="67"/>
    <x v="8"/>
    <s v="TX-104173"/>
    <x v="4"/>
    <x v="1"/>
    <x v="2"/>
    <n v="4399.1099999999997"/>
    <n v="571.88"/>
    <x v="4168"/>
    <x v="4"/>
    <s v="Cuenta Ahorros"/>
    <s v="Tarjeta Débito"/>
    <s v="Pagado"/>
  </r>
  <r>
    <x v="281"/>
    <x v="7"/>
    <s v="TX-104174"/>
    <x v="18"/>
    <x v="0"/>
    <x v="0"/>
    <n v="8699.5300000000007"/>
    <n v="0"/>
    <x v="4169"/>
    <x v="0"/>
    <s v="Cuenta Corriente"/>
    <s v="Tarjeta Débito"/>
    <s v="Pagado"/>
  </r>
  <r>
    <x v="34"/>
    <x v="1"/>
    <s v="TX-104175"/>
    <x v="3"/>
    <x v="0"/>
    <x v="5"/>
    <n v="5997.17"/>
    <n v="0"/>
    <x v="4170"/>
    <x v="1"/>
    <s v="Cuenta Corriente"/>
    <s v="Tarjeta Débito"/>
    <s v="Pendiente"/>
  </r>
  <r>
    <x v="173"/>
    <x v="11"/>
    <s v="TX-104176"/>
    <x v="17"/>
    <x v="0"/>
    <x v="7"/>
    <n v="9374.33"/>
    <n v="0"/>
    <x v="4171"/>
    <x v="0"/>
    <s v="Tarjeta Crédito Empresarial"/>
    <s v="Tarjeta Débito"/>
    <s v="Pagado"/>
  </r>
  <r>
    <x v="18"/>
    <x v="9"/>
    <s v="TX-104177"/>
    <x v="14"/>
    <x v="0"/>
    <x v="0"/>
    <n v="8017.59"/>
    <n v="0"/>
    <x v="4172"/>
    <x v="4"/>
    <s v="Cuenta Corriente"/>
    <s v="Tarjeta Débito"/>
    <s v="Pagado"/>
  </r>
  <r>
    <x v="351"/>
    <x v="9"/>
    <s v="TX-104178"/>
    <x v="19"/>
    <x v="0"/>
    <x v="5"/>
    <n v="14462.86"/>
    <n v="0"/>
    <x v="4173"/>
    <x v="2"/>
    <s v="Cuenta Corriente"/>
    <s v="Transferencia"/>
    <s v="Pendiente"/>
  </r>
  <r>
    <x v="53"/>
    <x v="3"/>
    <s v="TX-104179"/>
    <x v="11"/>
    <x v="0"/>
    <x v="7"/>
    <n v="11574.3"/>
    <n v="0"/>
    <x v="4174"/>
    <x v="2"/>
    <s v="Cuenta Corriente"/>
    <s v="Transferencia"/>
    <s v="Pendiente"/>
  </r>
  <r>
    <x v="233"/>
    <x v="1"/>
    <s v="TX-104180"/>
    <x v="8"/>
    <x v="0"/>
    <x v="7"/>
    <n v="8213.8700000000008"/>
    <n v="0"/>
    <x v="4175"/>
    <x v="1"/>
    <s v="Tarjeta Crédito Empresarial"/>
    <s v="Tarjeta Débito"/>
    <s v="Pendiente"/>
  </r>
  <r>
    <x v="304"/>
    <x v="11"/>
    <s v="TX-104181"/>
    <x v="12"/>
    <x v="0"/>
    <x v="3"/>
    <n v="14805.5"/>
    <n v="0"/>
    <x v="4176"/>
    <x v="4"/>
    <s v="Cuenta Ahorros"/>
    <s v="Tarjeta Crédito"/>
    <s v="Pendiente"/>
  </r>
  <r>
    <x v="22"/>
    <x v="10"/>
    <s v="TX-104182"/>
    <x v="10"/>
    <x v="0"/>
    <x v="6"/>
    <n v="8185.11"/>
    <n v="0"/>
    <x v="4177"/>
    <x v="1"/>
    <s v="Cuenta Ahorros"/>
    <s v="Transferencia"/>
    <s v="Pagado"/>
  </r>
  <r>
    <x v="300"/>
    <x v="0"/>
    <s v="TX-104183"/>
    <x v="13"/>
    <x v="1"/>
    <x v="1"/>
    <n v="10989.6"/>
    <n v="1428.65"/>
    <x v="4178"/>
    <x v="1"/>
    <s v="Cuenta Corriente"/>
    <s v="Transferencia"/>
    <s v="Pagado"/>
  </r>
  <r>
    <x v="35"/>
    <x v="4"/>
    <s v="TX-104184"/>
    <x v="3"/>
    <x v="1"/>
    <x v="4"/>
    <n v="2934.54"/>
    <n v="381.49"/>
    <x v="4179"/>
    <x v="3"/>
    <s v="Cuenta Ahorros"/>
    <s v="Efectivo"/>
    <s v="Pendiente"/>
  </r>
  <r>
    <x v="60"/>
    <x v="3"/>
    <s v="TX-104185"/>
    <x v="10"/>
    <x v="1"/>
    <x v="1"/>
    <n v="1296.77"/>
    <n v="168.58"/>
    <x v="4180"/>
    <x v="3"/>
    <s v="Cuenta Corriente"/>
    <s v="Tarjeta Débito"/>
    <s v="Pagado"/>
  </r>
  <r>
    <x v="219"/>
    <x v="2"/>
    <s v="TX-104186"/>
    <x v="16"/>
    <x v="1"/>
    <x v="3"/>
    <n v="2537.4"/>
    <n v="329.86"/>
    <x v="4181"/>
    <x v="1"/>
    <s v="Cuenta Corriente"/>
    <s v="Tarjeta Débito"/>
    <s v="Pagado"/>
  </r>
  <r>
    <x v="36"/>
    <x v="7"/>
    <s v="TX-104187"/>
    <x v="17"/>
    <x v="1"/>
    <x v="3"/>
    <n v="6009.19"/>
    <n v="781.19"/>
    <x v="4182"/>
    <x v="4"/>
    <s v="Cuenta Corriente"/>
    <s v="Efectivo"/>
    <s v="Pagado"/>
  </r>
  <r>
    <x v="266"/>
    <x v="0"/>
    <s v="TX-104188"/>
    <x v="10"/>
    <x v="1"/>
    <x v="0"/>
    <n v="1625.79"/>
    <n v="211.35"/>
    <x v="4183"/>
    <x v="1"/>
    <s v="Cuenta Corriente"/>
    <s v="Efectivo"/>
    <s v="Pagado"/>
  </r>
  <r>
    <x v="339"/>
    <x v="0"/>
    <s v="TX-104189"/>
    <x v="8"/>
    <x v="0"/>
    <x v="4"/>
    <n v="740.71"/>
    <n v="0"/>
    <x v="4184"/>
    <x v="0"/>
    <s v="Tarjeta Crédito Empresarial"/>
    <s v="Tarjeta Crédito"/>
    <s v="Pagado"/>
  </r>
  <r>
    <x v="32"/>
    <x v="9"/>
    <s v="TX-104190"/>
    <x v="19"/>
    <x v="1"/>
    <x v="1"/>
    <n v="12630.5"/>
    <n v="1641.97"/>
    <x v="4185"/>
    <x v="1"/>
    <s v="Cuenta Ahorros"/>
    <s v="Tarjeta Débito"/>
    <s v="Pendiente"/>
  </r>
  <r>
    <x v="223"/>
    <x v="0"/>
    <s v="TX-104191"/>
    <x v="15"/>
    <x v="1"/>
    <x v="6"/>
    <n v="8991.61"/>
    <n v="1168.9100000000001"/>
    <x v="4186"/>
    <x v="1"/>
    <s v="Cuenta Ahorros"/>
    <s v="Tarjeta Débito"/>
    <s v="Pendiente"/>
  </r>
  <r>
    <x v="284"/>
    <x v="1"/>
    <s v="TX-104192"/>
    <x v="9"/>
    <x v="1"/>
    <x v="0"/>
    <n v="9799.7900000000009"/>
    <n v="1273.97"/>
    <x v="4187"/>
    <x v="4"/>
    <s v="Tarjeta Crédito Empresarial"/>
    <s v="Tarjeta Débito"/>
    <s v="Pendiente"/>
  </r>
  <r>
    <x v="117"/>
    <x v="8"/>
    <s v="TX-104193"/>
    <x v="18"/>
    <x v="1"/>
    <x v="3"/>
    <n v="6242.49"/>
    <n v="811.52"/>
    <x v="4188"/>
    <x v="3"/>
    <s v="Cuenta Corriente"/>
    <s v="Tarjeta Crédito"/>
    <s v="Pagado"/>
  </r>
  <r>
    <x v="224"/>
    <x v="0"/>
    <s v="TX-104194"/>
    <x v="3"/>
    <x v="0"/>
    <x v="7"/>
    <n v="6684.73"/>
    <n v="0"/>
    <x v="4189"/>
    <x v="2"/>
    <s v="Tarjeta Crédito Empresarial"/>
    <s v="Transferencia"/>
    <s v="Pendiente"/>
  </r>
  <r>
    <x v="240"/>
    <x v="2"/>
    <s v="TX-104195"/>
    <x v="18"/>
    <x v="0"/>
    <x v="6"/>
    <n v="2915.06"/>
    <n v="0"/>
    <x v="4190"/>
    <x v="1"/>
    <s v="Tarjeta Crédito Empresarial"/>
    <s v="Efectivo"/>
    <s v="Pendiente"/>
  </r>
  <r>
    <x v="304"/>
    <x v="11"/>
    <s v="TX-104196"/>
    <x v="15"/>
    <x v="1"/>
    <x v="6"/>
    <n v="7927.51"/>
    <n v="1030.58"/>
    <x v="4191"/>
    <x v="0"/>
    <s v="Tarjeta Crédito Empresarial"/>
    <s v="Transferencia"/>
    <s v="Pendiente"/>
  </r>
  <r>
    <x v="78"/>
    <x v="0"/>
    <s v="TX-104197"/>
    <x v="1"/>
    <x v="0"/>
    <x v="2"/>
    <n v="4792.8599999999997"/>
    <n v="0"/>
    <x v="4192"/>
    <x v="3"/>
    <s v="Cuenta Corriente"/>
    <s v="Tarjeta Crédito"/>
    <s v="Pagado"/>
  </r>
  <r>
    <x v="307"/>
    <x v="11"/>
    <s v="TX-104198"/>
    <x v="18"/>
    <x v="1"/>
    <x v="4"/>
    <n v="10540.7"/>
    <n v="1370.29"/>
    <x v="4193"/>
    <x v="2"/>
    <s v="Cuenta Ahorros"/>
    <s v="Tarjeta Crédito"/>
    <s v="Pendiente"/>
  </r>
  <r>
    <x v="121"/>
    <x v="8"/>
    <s v="TX-104199"/>
    <x v="12"/>
    <x v="1"/>
    <x v="0"/>
    <n v="6682.85"/>
    <n v="868.77"/>
    <x v="4194"/>
    <x v="2"/>
    <s v="Cuenta Corriente"/>
    <s v="Transferencia"/>
    <s v="Pendiente"/>
  </r>
  <r>
    <x v="206"/>
    <x v="9"/>
    <s v="TX-104200"/>
    <x v="2"/>
    <x v="0"/>
    <x v="4"/>
    <n v="13575.21"/>
    <n v="0"/>
    <x v="4195"/>
    <x v="3"/>
    <s v="Tarjeta Crédito Empresarial"/>
    <s v="Tarjeta Crédito"/>
    <s v="Pendiente"/>
  </r>
  <r>
    <x v="203"/>
    <x v="6"/>
    <s v="TX-104201"/>
    <x v="5"/>
    <x v="0"/>
    <x v="1"/>
    <n v="13397.07"/>
    <n v="0"/>
    <x v="4196"/>
    <x v="3"/>
    <s v="Cuenta Ahorros"/>
    <s v="Efectivo"/>
    <s v="Pagado"/>
  </r>
  <r>
    <x v="346"/>
    <x v="1"/>
    <s v="TX-104202"/>
    <x v="10"/>
    <x v="0"/>
    <x v="2"/>
    <n v="3134.13"/>
    <n v="0"/>
    <x v="4197"/>
    <x v="3"/>
    <s v="Cuenta Corriente"/>
    <s v="Tarjeta Débito"/>
    <s v="Pendiente"/>
  </r>
  <r>
    <x v="304"/>
    <x v="11"/>
    <s v="TX-104203"/>
    <x v="11"/>
    <x v="1"/>
    <x v="2"/>
    <n v="9986.76"/>
    <n v="1298.28"/>
    <x v="4198"/>
    <x v="3"/>
    <s v="Cuenta Ahorros"/>
    <s v="Tarjeta Débito"/>
    <s v="Pagado"/>
  </r>
  <r>
    <x v="117"/>
    <x v="8"/>
    <s v="TX-104204"/>
    <x v="3"/>
    <x v="0"/>
    <x v="3"/>
    <n v="5396.96"/>
    <n v="0"/>
    <x v="4199"/>
    <x v="2"/>
    <s v="Cuenta Corriente"/>
    <s v="Transferencia"/>
    <s v="Pagado"/>
  </r>
  <r>
    <x v="233"/>
    <x v="1"/>
    <s v="TX-104205"/>
    <x v="3"/>
    <x v="0"/>
    <x v="5"/>
    <n v="11728.14"/>
    <n v="0"/>
    <x v="4200"/>
    <x v="1"/>
    <s v="Tarjeta Crédito Empresarial"/>
    <s v="Tarjeta Débito"/>
    <s v="Pendiente"/>
  </r>
  <r>
    <x v="237"/>
    <x v="5"/>
    <s v="TX-104206"/>
    <x v="1"/>
    <x v="0"/>
    <x v="4"/>
    <n v="3126.34"/>
    <n v="0"/>
    <x v="4201"/>
    <x v="4"/>
    <s v="Cuenta Ahorros"/>
    <s v="Transferencia"/>
    <s v="Pagado"/>
  </r>
  <r>
    <x v="39"/>
    <x v="8"/>
    <s v="TX-104207"/>
    <x v="13"/>
    <x v="0"/>
    <x v="4"/>
    <n v="9900.23"/>
    <n v="0"/>
    <x v="4202"/>
    <x v="4"/>
    <s v="Cuenta Ahorros"/>
    <s v="Tarjeta Débito"/>
    <s v="Pagado"/>
  </r>
  <r>
    <x v="245"/>
    <x v="0"/>
    <s v="TX-104208"/>
    <x v="0"/>
    <x v="0"/>
    <x v="4"/>
    <n v="1938.12"/>
    <n v="0"/>
    <x v="4203"/>
    <x v="3"/>
    <s v="Cuenta Ahorros"/>
    <s v="Tarjeta Crédito"/>
    <s v="Pendiente"/>
  </r>
  <r>
    <x v="364"/>
    <x v="9"/>
    <s v="TX-104209"/>
    <x v="5"/>
    <x v="0"/>
    <x v="2"/>
    <n v="9437.31"/>
    <n v="0"/>
    <x v="4204"/>
    <x v="0"/>
    <s v="Cuenta Corriente"/>
    <s v="Tarjeta Débito"/>
    <s v="Pendiente"/>
  </r>
  <r>
    <x v="328"/>
    <x v="11"/>
    <s v="TX-104210"/>
    <x v="7"/>
    <x v="0"/>
    <x v="5"/>
    <n v="1016.21"/>
    <n v="0"/>
    <x v="4205"/>
    <x v="2"/>
    <s v="Cuenta Ahorros"/>
    <s v="Tarjeta Crédito"/>
    <s v="Pendiente"/>
  </r>
  <r>
    <x v="61"/>
    <x v="4"/>
    <s v="TX-104211"/>
    <x v="5"/>
    <x v="1"/>
    <x v="3"/>
    <n v="11293.34"/>
    <n v="1468.13"/>
    <x v="4206"/>
    <x v="0"/>
    <s v="Cuenta Ahorros"/>
    <s v="Transferencia"/>
    <s v="Pendiente"/>
  </r>
  <r>
    <x v="204"/>
    <x v="7"/>
    <s v="TX-104212"/>
    <x v="3"/>
    <x v="0"/>
    <x v="2"/>
    <n v="1487.12"/>
    <n v="0"/>
    <x v="4207"/>
    <x v="1"/>
    <s v="Tarjeta Crédito Empresarial"/>
    <s v="Transferencia"/>
    <s v="Pagado"/>
  </r>
  <r>
    <x v="183"/>
    <x v="1"/>
    <s v="TX-104213"/>
    <x v="7"/>
    <x v="1"/>
    <x v="2"/>
    <n v="11365.87"/>
    <n v="1477.56"/>
    <x v="4208"/>
    <x v="1"/>
    <s v="Tarjeta Crédito Empresarial"/>
    <s v="Transferencia"/>
    <s v="Pendiente"/>
  </r>
  <r>
    <x v="20"/>
    <x v="1"/>
    <s v="TX-104214"/>
    <x v="2"/>
    <x v="0"/>
    <x v="7"/>
    <n v="11227.99"/>
    <n v="0"/>
    <x v="4209"/>
    <x v="3"/>
    <s v="Tarjeta Crédito Empresarial"/>
    <s v="Tarjeta Débito"/>
    <s v="Pagado"/>
  </r>
  <r>
    <x v="56"/>
    <x v="11"/>
    <s v="TX-104215"/>
    <x v="18"/>
    <x v="0"/>
    <x v="4"/>
    <n v="9598.9500000000007"/>
    <n v="0"/>
    <x v="4210"/>
    <x v="2"/>
    <s v="Cuenta Ahorros"/>
    <s v="Tarjeta Débito"/>
    <s v="Pagado"/>
  </r>
  <r>
    <x v="313"/>
    <x v="6"/>
    <s v="TX-104216"/>
    <x v="12"/>
    <x v="0"/>
    <x v="7"/>
    <n v="3766.71"/>
    <n v="0"/>
    <x v="4211"/>
    <x v="1"/>
    <s v="Cuenta Corriente"/>
    <s v="Transferencia"/>
    <s v="Pendiente"/>
  </r>
  <r>
    <x v="6"/>
    <x v="5"/>
    <s v="TX-104217"/>
    <x v="16"/>
    <x v="0"/>
    <x v="0"/>
    <n v="1193.72"/>
    <n v="0"/>
    <x v="4212"/>
    <x v="1"/>
    <s v="Cuenta Ahorros"/>
    <s v="Transferencia"/>
    <s v="Pendiente"/>
  </r>
  <r>
    <x v="300"/>
    <x v="0"/>
    <s v="TX-104218"/>
    <x v="19"/>
    <x v="1"/>
    <x v="7"/>
    <n v="327.19"/>
    <n v="42.53"/>
    <x v="4213"/>
    <x v="0"/>
    <s v="Cuenta Ahorros"/>
    <s v="Efectivo"/>
    <s v="Pendiente"/>
  </r>
  <r>
    <x v="351"/>
    <x v="9"/>
    <s v="TX-104219"/>
    <x v="10"/>
    <x v="0"/>
    <x v="5"/>
    <n v="8491.66"/>
    <n v="0"/>
    <x v="4214"/>
    <x v="2"/>
    <s v="Cuenta Corriente"/>
    <s v="Tarjeta Crédito"/>
    <s v="Pendiente"/>
  </r>
  <r>
    <x v="48"/>
    <x v="2"/>
    <s v="TX-104220"/>
    <x v="11"/>
    <x v="1"/>
    <x v="4"/>
    <n v="6731.34"/>
    <n v="875.07"/>
    <x v="4215"/>
    <x v="1"/>
    <s v="Cuenta Ahorros"/>
    <s v="Transferencia"/>
    <s v="Pendiente"/>
  </r>
  <r>
    <x v="140"/>
    <x v="6"/>
    <s v="TX-104221"/>
    <x v="19"/>
    <x v="1"/>
    <x v="4"/>
    <n v="1200.6199999999999"/>
    <n v="156.08000000000001"/>
    <x v="4216"/>
    <x v="3"/>
    <s v="Cuenta Corriente"/>
    <s v="Tarjeta Crédito"/>
    <s v="Pendiente"/>
  </r>
  <r>
    <x v="349"/>
    <x v="6"/>
    <s v="TX-104222"/>
    <x v="15"/>
    <x v="1"/>
    <x v="7"/>
    <n v="7716.35"/>
    <n v="1003.13"/>
    <x v="4217"/>
    <x v="3"/>
    <s v="Tarjeta Crédito Empresarial"/>
    <s v="Transferencia"/>
    <s v="Pendiente"/>
  </r>
  <r>
    <x v="172"/>
    <x v="2"/>
    <s v="TX-104223"/>
    <x v="1"/>
    <x v="1"/>
    <x v="5"/>
    <n v="14402.4"/>
    <n v="1872.31"/>
    <x v="4218"/>
    <x v="1"/>
    <s v="Tarjeta Crédito Empresarial"/>
    <s v="Tarjeta Crédito"/>
    <s v="Pagado"/>
  </r>
  <r>
    <x v="341"/>
    <x v="7"/>
    <s v="TX-104224"/>
    <x v="14"/>
    <x v="1"/>
    <x v="0"/>
    <n v="14335.79"/>
    <n v="1863.65"/>
    <x v="4219"/>
    <x v="2"/>
    <s v="Cuenta Ahorros"/>
    <s v="Efectivo"/>
    <s v="Pendiente"/>
  </r>
  <r>
    <x v="299"/>
    <x v="9"/>
    <s v="TX-104225"/>
    <x v="3"/>
    <x v="1"/>
    <x v="0"/>
    <n v="7810.59"/>
    <n v="1015.38"/>
    <x v="4220"/>
    <x v="1"/>
    <s v="Cuenta Corriente"/>
    <s v="Efectivo"/>
    <s v="Pagado"/>
  </r>
  <r>
    <x v="219"/>
    <x v="2"/>
    <s v="TX-104226"/>
    <x v="18"/>
    <x v="0"/>
    <x v="2"/>
    <n v="2882.72"/>
    <n v="0"/>
    <x v="4221"/>
    <x v="1"/>
    <s v="Tarjeta Crédito Empresarial"/>
    <s v="Efectivo"/>
    <s v="Pagado"/>
  </r>
  <r>
    <x v="56"/>
    <x v="11"/>
    <s v="TX-104227"/>
    <x v="5"/>
    <x v="0"/>
    <x v="7"/>
    <n v="3526.22"/>
    <n v="0"/>
    <x v="4222"/>
    <x v="2"/>
    <s v="Cuenta Corriente"/>
    <s v="Transferencia"/>
    <s v="Pendiente"/>
  </r>
  <r>
    <x v="69"/>
    <x v="10"/>
    <s v="TX-104228"/>
    <x v="0"/>
    <x v="0"/>
    <x v="5"/>
    <n v="568.55999999999995"/>
    <n v="0"/>
    <x v="4223"/>
    <x v="4"/>
    <s v="Cuenta Ahorros"/>
    <s v="Tarjeta Crédito"/>
    <s v="Pagado"/>
  </r>
  <r>
    <x v="155"/>
    <x v="6"/>
    <s v="TX-104229"/>
    <x v="4"/>
    <x v="0"/>
    <x v="2"/>
    <n v="9283.32"/>
    <n v="0"/>
    <x v="4224"/>
    <x v="2"/>
    <s v="Cuenta Corriente"/>
    <s v="Tarjeta Crédito"/>
    <s v="Pagado"/>
  </r>
  <r>
    <x v="301"/>
    <x v="6"/>
    <s v="TX-104230"/>
    <x v="2"/>
    <x v="1"/>
    <x v="6"/>
    <n v="3432.06"/>
    <n v="446.17"/>
    <x v="4225"/>
    <x v="3"/>
    <s v="Tarjeta Crédito Empresarial"/>
    <s v="Tarjeta Crédito"/>
    <s v="Pendiente"/>
  </r>
  <r>
    <x v="195"/>
    <x v="7"/>
    <s v="TX-104231"/>
    <x v="13"/>
    <x v="1"/>
    <x v="3"/>
    <n v="4465.9799999999996"/>
    <n v="580.58000000000004"/>
    <x v="4226"/>
    <x v="1"/>
    <s v="Cuenta Corriente"/>
    <s v="Efectivo"/>
    <s v="Pendiente"/>
  </r>
  <r>
    <x v="350"/>
    <x v="5"/>
    <s v="TX-104232"/>
    <x v="16"/>
    <x v="1"/>
    <x v="2"/>
    <n v="6363.02"/>
    <n v="827.19"/>
    <x v="4227"/>
    <x v="3"/>
    <s v="Cuenta Corriente"/>
    <s v="Tarjeta Débito"/>
    <s v="Pagado"/>
  </r>
  <r>
    <x v="140"/>
    <x v="6"/>
    <s v="TX-104233"/>
    <x v="3"/>
    <x v="1"/>
    <x v="2"/>
    <n v="9912.59"/>
    <n v="1288.6400000000001"/>
    <x v="4228"/>
    <x v="3"/>
    <s v="Cuenta Corriente"/>
    <s v="Tarjeta Débito"/>
    <s v="Pagado"/>
  </r>
  <r>
    <x v="359"/>
    <x v="5"/>
    <s v="TX-104234"/>
    <x v="0"/>
    <x v="0"/>
    <x v="6"/>
    <n v="2856.47"/>
    <n v="0"/>
    <x v="4229"/>
    <x v="3"/>
    <s v="Cuenta Corriente"/>
    <s v="Tarjeta Crédito"/>
    <s v="Pendiente"/>
  </r>
  <r>
    <x v="21"/>
    <x v="2"/>
    <s v="TX-104235"/>
    <x v="4"/>
    <x v="0"/>
    <x v="2"/>
    <n v="2599.4299999999998"/>
    <n v="0"/>
    <x v="4230"/>
    <x v="4"/>
    <s v="Cuenta Corriente"/>
    <s v="Tarjeta Débito"/>
    <s v="Pagado"/>
  </r>
  <r>
    <x v="74"/>
    <x v="9"/>
    <s v="TX-104236"/>
    <x v="11"/>
    <x v="0"/>
    <x v="0"/>
    <n v="7879.65"/>
    <n v="0"/>
    <x v="4231"/>
    <x v="1"/>
    <s v="Cuenta Corriente"/>
    <s v="Tarjeta Crédito"/>
    <s v="Pagado"/>
  </r>
  <r>
    <x v="129"/>
    <x v="9"/>
    <s v="TX-104237"/>
    <x v="5"/>
    <x v="0"/>
    <x v="1"/>
    <n v="14760.51"/>
    <n v="0"/>
    <x v="4232"/>
    <x v="0"/>
    <s v="Cuenta Ahorros"/>
    <s v="Tarjeta Débito"/>
    <s v="Pendiente"/>
  </r>
  <r>
    <x v="17"/>
    <x v="10"/>
    <s v="TX-104238"/>
    <x v="1"/>
    <x v="1"/>
    <x v="2"/>
    <n v="6392.55"/>
    <n v="831.03"/>
    <x v="4233"/>
    <x v="4"/>
    <s v="Cuenta Corriente"/>
    <s v="Efectivo"/>
    <s v="Pagado"/>
  </r>
  <r>
    <x v="158"/>
    <x v="0"/>
    <s v="TX-104239"/>
    <x v="19"/>
    <x v="1"/>
    <x v="7"/>
    <n v="1060.71"/>
    <n v="137.88999999999999"/>
    <x v="4234"/>
    <x v="0"/>
    <s v="Cuenta Corriente"/>
    <s v="Transferencia"/>
    <s v="Pendiente"/>
  </r>
  <r>
    <x v="290"/>
    <x v="6"/>
    <s v="TX-104240"/>
    <x v="17"/>
    <x v="1"/>
    <x v="1"/>
    <n v="3000.27"/>
    <n v="390.04"/>
    <x v="4235"/>
    <x v="2"/>
    <s v="Tarjeta Crédito Empresarial"/>
    <s v="Efectivo"/>
    <s v="Pagado"/>
  </r>
  <r>
    <x v="16"/>
    <x v="5"/>
    <s v="TX-104241"/>
    <x v="1"/>
    <x v="1"/>
    <x v="0"/>
    <n v="6708.54"/>
    <n v="872.11"/>
    <x v="4236"/>
    <x v="2"/>
    <s v="Tarjeta Crédito Empresarial"/>
    <s v="Tarjeta Crédito"/>
    <s v="Pendiente"/>
  </r>
  <r>
    <x v="348"/>
    <x v="8"/>
    <s v="TX-104242"/>
    <x v="9"/>
    <x v="0"/>
    <x v="6"/>
    <n v="4663.37"/>
    <n v="0"/>
    <x v="4237"/>
    <x v="1"/>
    <s v="Cuenta Corriente"/>
    <s v="Transferencia"/>
    <s v="Pendiente"/>
  </r>
  <r>
    <x v="68"/>
    <x v="4"/>
    <s v="TX-104243"/>
    <x v="3"/>
    <x v="0"/>
    <x v="5"/>
    <n v="12818.14"/>
    <n v="0"/>
    <x v="4238"/>
    <x v="0"/>
    <s v="Tarjeta Crédito Empresarial"/>
    <s v="Transferencia"/>
    <s v="Pagado"/>
  </r>
  <r>
    <x v="74"/>
    <x v="9"/>
    <s v="TX-104244"/>
    <x v="11"/>
    <x v="1"/>
    <x v="0"/>
    <n v="7786.24"/>
    <n v="1012.21"/>
    <x v="4239"/>
    <x v="3"/>
    <s v="Cuenta Corriente"/>
    <s v="Tarjeta Crédito"/>
    <s v="Pendiente"/>
  </r>
  <r>
    <x v="58"/>
    <x v="9"/>
    <s v="TX-104245"/>
    <x v="2"/>
    <x v="1"/>
    <x v="6"/>
    <n v="7755.91"/>
    <n v="1008.27"/>
    <x v="4240"/>
    <x v="4"/>
    <s v="Cuenta Ahorros"/>
    <s v="Transferencia"/>
    <s v="Pendiente"/>
  </r>
  <r>
    <x v="26"/>
    <x v="7"/>
    <s v="TX-104246"/>
    <x v="17"/>
    <x v="1"/>
    <x v="6"/>
    <n v="13269.57"/>
    <n v="1725.04"/>
    <x v="4241"/>
    <x v="4"/>
    <s v="Tarjeta Crédito Empresarial"/>
    <s v="Transferencia"/>
    <s v="Pendiente"/>
  </r>
  <r>
    <x v="136"/>
    <x v="11"/>
    <s v="TX-104247"/>
    <x v="15"/>
    <x v="0"/>
    <x v="3"/>
    <n v="10231.89"/>
    <n v="0"/>
    <x v="4242"/>
    <x v="3"/>
    <s v="Tarjeta Crédito Empresarial"/>
    <s v="Efectivo"/>
    <s v="Pagado"/>
  </r>
  <r>
    <x v="241"/>
    <x v="5"/>
    <s v="TX-104248"/>
    <x v="1"/>
    <x v="1"/>
    <x v="2"/>
    <n v="10793.57"/>
    <n v="1403.16"/>
    <x v="4243"/>
    <x v="3"/>
    <s v="Cuenta Corriente"/>
    <s v="Tarjeta Crédito"/>
    <s v="Pendiente"/>
  </r>
  <r>
    <x v="78"/>
    <x v="0"/>
    <s v="TX-104249"/>
    <x v="0"/>
    <x v="1"/>
    <x v="7"/>
    <n v="3123.15"/>
    <n v="406.01"/>
    <x v="4244"/>
    <x v="4"/>
    <s v="Cuenta Ahorros"/>
    <s v="Transferencia"/>
    <s v="Pagado"/>
  </r>
  <r>
    <x v="355"/>
    <x v="7"/>
    <s v="TX-104250"/>
    <x v="13"/>
    <x v="1"/>
    <x v="7"/>
    <n v="175.9"/>
    <n v="22.87"/>
    <x v="4245"/>
    <x v="1"/>
    <s v="Tarjeta Crédito Empresarial"/>
    <s v="Tarjeta Débito"/>
    <s v="Pagado"/>
  </r>
  <r>
    <x v="47"/>
    <x v="4"/>
    <s v="TX-104251"/>
    <x v="18"/>
    <x v="1"/>
    <x v="1"/>
    <n v="13447.53"/>
    <n v="1748.18"/>
    <x v="4246"/>
    <x v="2"/>
    <s v="Tarjeta Crédito Empresarial"/>
    <s v="Tarjeta Débito"/>
    <s v="Pagado"/>
  </r>
  <r>
    <x v="61"/>
    <x v="4"/>
    <s v="TX-104252"/>
    <x v="16"/>
    <x v="1"/>
    <x v="3"/>
    <n v="2778.55"/>
    <n v="361.21"/>
    <x v="4247"/>
    <x v="1"/>
    <s v="Tarjeta Crédito Empresarial"/>
    <s v="Tarjeta Crédito"/>
    <s v="Pagado"/>
  </r>
  <r>
    <x v="210"/>
    <x v="3"/>
    <s v="TX-104253"/>
    <x v="7"/>
    <x v="0"/>
    <x v="7"/>
    <n v="3695.32"/>
    <n v="0"/>
    <x v="4248"/>
    <x v="2"/>
    <s v="Cuenta Corriente"/>
    <s v="Efectivo"/>
    <s v="Pendiente"/>
  </r>
  <r>
    <x v="197"/>
    <x v="7"/>
    <s v="TX-104254"/>
    <x v="19"/>
    <x v="1"/>
    <x v="6"/>
    <n v="10761.74"/>
    <n v="1399.03"/>
    <x v="4249"/>
    <x v="1"/>
    <s v="Cuenta Ahorros"/>
    <s v="Transferencia"/>
    <s v="Pagado"/>
  </r>
  <r>
    <x v="162"/>
    <x v="11"/>
    <s v="TX-104255"/>
    <x v="6"/>
    <x v="1"/>
    <x v="1"/>
    <n v="9339.9"/>
    <n v="1214.19"/>
    <x v="4250"/>
    <x v="0"/>
    <s v="Tarjeta Crédito Empresarial"/>
    <s v="Transferencia"/>
    <s v="Pagado"/>
  </r>
  <r>
    <x v="80"/>
    <x v="3"/>
    <s v="TX-104256"/>
    <x v="8"/>
    <x v="1"/>
    <x v="2"/>
    <n v="8547.1299999999992"/>
    <n v="1111.1300000000001"/>
    <x v="4251"/>
    <x v="0"/>
    <s v="Tarjeta Crédito Empresarial"/>
    <s v="Tarjeta Crédito"/>
    <s v="Pendiente"/>
  </r>
  <r>
    <x v="241"/>
    <x v="5"/>
    <s v="TX-104257"/>
    <x v="7"/>
    <x v="0"/>
    <x v="7"/>
    <n v="14983.52"/>
    <n v="0"/>
    <x v="4252"/>
    <x v="0"/>
    <s v="Cuenta Corriente"/>
    <s v="Efectivo"/>
    <s v="Pendiente"/>
  </r>
  <r>
    <x v="140"/>
    <x v="6"/>
    <s v="TX-104258"/>
    <x v="16"/>
    <x v="1"/>
    <x v="6"/>
    <n v="3941.48"/>
    <n v="512.39"/>
    <x v="4253"/>
    <x v="2"/>
    <s v="Cuenta Corriente"/>
    <s v="Tarjeta Crédito"/>
    <s v="Pendiente"/>
  </r>
  <r>
    <x v="219"/>
    <x v="2"/>
    <s v="TX-104259"/>
    <x v="13"/>
    <x v="0"/>
    <x v="1"/>
    <n v="8481.4500000000007"/>
    <n v="0"/>
    <x v="4254"/>
    <x v="3"/>
    <s v="Cuenta Corriente"/>
    <s v="Efectivo"/>
    <s v="Pendiente"/>
  </r>
  <r>
    <x v="189"/>
    <x v="1"/>
    <s v="TX-104260"/>
    <x v="2"/>
    <x v="1"/>
    <x v="1"/>
    <n v="13875.1"/>
    <n v="1803.76"/>
    <x v="4255"/>
    <x v="3"/>
    <s v="Cuenta Corriente"/>
    <s v="Tarjeta Crédito"/>
    <s v="Pagado"/>
  </r>
  <r>
    <x v="137"/>
    <x v="11"/>
    <s v="TX-104261"/>
    <x v="10"/>
    <x v="0"/>
    <x v="1"/>
    <n v="5844.6"/>
    <n v="0"/>
    <x v="4256"/>
    <x v="3"/>
    <s v="Tarjeta Crédito Empresarial"/>
    <s v="Transferencia"/>
    <s v="Pendiente"/>
  </r>
  <r>
    <x v="122"/>
    <x v="1"/>
    <s v="TX-104262"/>
    <x v="7"/>
    <x v="0"/>
    <x v="4"/>
    <n v="7811.25"/>
    <n v="0"/>
    <x v="4257"/>
    <x v="3"/>
    <s v="Cuenta Corriente"/>
    <s v="Transferencia"/>
    <s v="Pendiente"/>
  </r>
  <r>
    <x v="3"/>
    <x v="3"/>
    <s v="TX-104263"/>
    <x v="0"/>
    <x v="0"/>
    <x v="3"/>
    <n v="3860.31"/>
    <n v="0"/>
    <x v="4258"/>
    <x v="2"/>
    <s v="Tarjeta Crédito Empresarial"/>
    <s v="Efectivo"/>
    <s v="Pendiente"/>
  </r>
  <r>
    <x v="59"/>
    <x v="3"/>
    <s v="TX-104264"/>
    <x v="9"/>
    <x v="0"/>
    <x v="6"/>
    <n v="2597.42"/>
    <n v="0"/>
    <x v="4259"/>
    <x v="3"/>
    <s v="Cuenta Ahorros"/>
    <s v="Tarjeta Débito"/>
    <s v="Pendiente"/>
  </r>
  <r>
    <x v="23"/>
    <x v="1"/>
    <s v="TX-104265"/>
    <x v="7"/>
    <x v="1"/>
    <x v="6"/>
    <n v="6680.07"/>
    <n v="868.41"/>
    <x v="4260"/>
    <x v="3"/>
    <s v="Cuenta Corriente"/>
    <s v="Transferencia"/>
    <s v="Pendiente"/>
  </r>
  <r>
    <x v="158"/>
    <x v="0"/>
    <s v="TX-104266"/>
    <x v="18"/>
    <x v="1"/>
    <x v="2"/>
    <n v="2601.04"/>
    <n v="338.14"/>
    <x v="4261"/>
    <x v="1"/>
    <s v="Cuenta Ahorros"/>
    <s v="Tarjeta Débito"/>
    <s v="Pendiente"/>
  </r>
  <r>
    <x v="313"/>
    <x v="6"/>
    <s v="TX-104267"/>
    <x v="11"/>
    <x v="1"/>
    <x v="6"/>
    <n v="8513.86"/>
    <n v="1106.8"/>
    <x v="4262"/>
    <x v="3"/>
    <s v="Cuenta Ahorros"/>
    <s v="Tarjeta Débito"/>
    <s v="Pagado"/>
  </r>
  <r>
    <x v="365"/>
    <x v="4"/>
    <s v="TX-104268"/>
    <x v="10"/>
    <x v="0"/>
    <x v="2"/>
    <n v="11649.44"/>
    <n v="0"/>
    <x v="4263"/>
    <x v="3"/>
    <s v="Tarjeta Crédito Empresarial"/>
    <s v="Efectivo"/>
    <s v="Pendiente"/>
  </r>
  <r>
    <x v="5"/>
    <x v="0"/>
    <s v="TX-104269"/>
    <x v="13"/>
    <x v="0"/>
    <x v="0"/>
    <n v="12287.45"/>
    <n v="0"/>
    <x v="4264"/>
    <x v="3"/>
    <s v="Tarjeta Crédito Empresarial"/>
    <s v="Tarjeta Débito"/>
    <s v="Pagado"/>
  </r>
  <r>
    <x v="208"/>
    <x v="2"/>
    <s v="TX-104270"/>
    <x v="1"/>
    <x v="0"/>
    <x v="3"/>
    <n v="7103.56"/>
    <n v="0"/>
    <x v="4265"/>
    <x v="2"/>
    <s v="Cuenta Ahorros"/>
    <s v="Efectivo"/>
    <s v="Pagado"/>
  </r>
  <r>
    <x v="333"/>
    <x v="10"/>
    <s v="TX-104271"/>
    <x v="4"/>
    <x v="0"/>
    <x v="4"/>
    <n v="4207.05"/>
    <n v="0"/>
    <x v="4266"/>
    <x v="1"/>
    <s v="Cuenta Ahorros"/>
    <s v="Tarjeta Crédito"/>
    <s v="Pagado"/>
  </r>
  <r>
    <x v="221"/>
    <x v="0"/>
    <s v="TX-104272"/>
    <x v="17"/>
    <x v="1"/>
    <x v="0"/>
    <n v="2819.04"/>
    <n v="366.48"/>
    <x v="4267"/>
    <x v="3"/>
    <s v="Cuenta Corriente"/>
    <s v="Efectivo"/>
    <s v="Pagado"/>
  </r>
  <r>
    <x v="194"/>
    <x v="8"/>
    <s v="TX-104273"/>
    <x v="17"/>
    <x v="0"/>
    <x v="5"/>
    <n v="11728.05"/>
    <n v="0"/>
    <x v="4268"/>
    <x v="2"/>
    <s v="Tarjeta Crédito Empresarial"/>
    <s v="Transferencia"/>
    <s v="Pendiente"/>
  </r>
  <r>
    <x v="259"/>
    <x v="10"/>
    <s v="TX-104274"/>
    <x v="4"/>
    <x v="0"/>
    <x v="1"/>
    <n v="13341.6"/>
    <n v="0"/>
    <x v="4269"/>
    <x v="2"/>
    <s v="Cuenta Ahorros"/>
    <s v="Tarjeta Crédito"/>
    <s v="Pendiente"/>
  </r>
  <r>
    <x v="297"/>
    <x v="11"/>
    <s v="TX-104275"/>
    <x v="12"/>
    <x v="1"/>
    <x v="4"/>
    <n v="8427.23"/>
    <n v="1095.54"/>
    <x v="4270"/>
    <x v="1"/>
    <s v="Tarjeta Crédito Empresarial"/>
    <s v="Transferencia"/>
    <s v="Pendiente"/>
  </r>
  <r>
    <x v="309"/>
    <x v="4"/>
    <s v="TX-104276"/>
    <x v="6"/>
    <x v="0"/>
    <x v="7"/>
    <n v="6300.03"/>
    <n v="0"/>
    <x v="4271"/>
    <x v="0"/>
    <s v="Cuenta Ahorros"/>
    <s v="Tarjeta Débito"/>
    <s v="Pendiente"/>
  </r>
  <r>
    <x v="280"/>
    <x v="9"/>
    <s v="TX-104277"/>
    <x v="3"/>
    <x v="1"/>
    <x v="4"/>
    <n v="12854.21"/>
    <n v="1671.05"/>
    <x v="4272"/>
    <x v="3"/>
    <s v="Tarjeta Crédito Empresarial"/>
    <s v="Transferencia"/>
    <s v="Pendiente"/>
  </r>
  <r>
    <x v="207"/>
    <x v="8"/>
    <s v="TX-104278"/>
    <x v="15"/>
    <x v="1"/>
    <x v="7"/>
    <n v="4633.84"/>
    <n v="602.4"/>
    <x v="4273"/>
    <x v="1"/>
    <s v="Cuenta Ahorros"/>
    <s v="Efectivo"/>
    <s v="Pendiente"/>
  </r>
  <r>
    <x v="120"/>
    <x v="3"/>
    <s v="TX-104279"/>
    <x v="19"/>
    <x v="1"/>
    <x v="2"/>
    <n v="9040.75"/>
    <n v="1175.3"/>
    <x v="4274"/>
    <x v="4"/>
    <s v="Cuenta Ahorros"/>
    <s v="Tarjeta Crédito"/>
    <s v="Pagado"/>
  </r>
  <r>
    <x v="249"/>
    <x v="10"/>
    <s v="TX-104280"/>
    <x v="2"/>
    <x v="1"/>
    <x v="2"/>
    <n v="6752.45"/>
    <n v="877.82"/>
    <x v="4275"/>
    <x v="1"/>
    <s v="Cuenta Corriente"/>
    <s v="Tarjeta Crédito"/>
    <s v="Pendiente"/>
  </r>
  <r>
    <x v="146"/>
    <x v="6"/>
    <s v="TX-104281"/>
    <x v="8"/>
    <x v="1"/>
    <x v="1"/>
    <n v="9443.84"/>
    <n v="1227.7"/>
    <x v="4276"/>
    <x v="1"/>
    <s v="Tarjeta Crédito Empresarial"/>
    <s v="Tarjeta Débito"/>
    <s v="Pendiente"/>
  </r>
  <r>
    <x v="162"/>
    <x v="11"/>
    <s v="TX-104282"/>
    <x v="10"/>
    <x v="0"/>
    <x v="4"/>
    <n v="11787.2"/>
    <n v="0"/>
    <x v="4277"/>
    <x v="1"/>
    <s v="Cuenta Corriente"/>
    <s v="Tarjeta Crédito"/>
    <s v="Pagado"/>
  </r>
  <r>
    <x v="120"/>
    <x v="3"/>
    <s v="TX-104283"/>
    <x v="13"/>
    <x v="0"/>
    <x v="1"/>
    <n v="2064.8000000000002"/>
    <n v="0"/>
    <x v="4278"/>
    <x v="3"/>
    <s v="Tarjeta Crédito Empresarial"/>
    <s v="Transferencia"/>
    <s v="Pendiente"/>
  </r>
  <r>
    <x v="178"/>
    <x v="6"/>
    <s v="TX-104284"/>
    <x v="17"/>
    <x v="0"/>
    <x v="4"/>
    <n v="584.92999999999995"/>
    <n v="0"/>
    <x v="4279"/>
    <x v="0"/>
    <s v="Tarjeta Crédito Empresarial"/>
    <s v="Tarjeta Crédito"/>
    <s v="Pendiente"/>
  </r>
  <r>
    <x v="355"/>
    <x v="7"/>
    <s v="TX-104285"/>
    <x v="16"/>
    <x v="0"/>
    <x v="3"/>
    <n v="14900.76"/>
    <n v="0"/>
    <x v="4280"/>
    <x v="1"/>
    <s v="Cuenta Ahorros"/>
    <s v="Tarjeta Crédito"/>
    <s v="Pendiente"/>
  </r>
  <r>
    <x v="315"/>
    <x v="5"/>
    <s v="TX-104286"/>
    <x v="8"/>
    <x v="0"/>
    <x v="7"/>
    <n v="5886.13"/>
    <n v="0"/>
    <x v="4281"/>
    <x v="1"/>
    <s v="Cuenta Corriente"/>
    <s v="Tarjeta Débito"/>
    <s v="Pendiente"/>
  </r>
  <r>
    <x v="55"/>
    <x v="10"/>
    <s v="TX-104287"/>
    <x v="16"/>
    <x v="1"/>
    <x v="6"/>
    <n v="444.45"/>
    <n v="57.78"/>
    <x v="4282"/>
    <x v="2"/>
    <s v="Cuenta Corriente"/>
    <s v="Transferencia"/>
    <s v="Pendiente"/>
  </r>
  <r>
    <x v="334"/>
    <x v="5"/>
    <s v="TX-104288"/>
    <x v="6"/>
    <x v="0"/>
    <x v="5"/>
    <n v="7943.18"/>
    <n v="0"/>
    <x v="4283"/>
    <x v="4"/>
    <s v="Cuenta Ahorros"/>
    <s v="Efectivo"/>
    <s v="Pendiente"/>
  </r>
  <r>
    <x v="188"/>
    <x v="6"/>
    <s v="TX-104289"/>
    <x v="10"/>
    <x v="0"/>
    <x v="5"/>
    <n v="11043.95"/>
    <n v="0"/>
    <x v="4284"/>
    <x v="1"/>
    <s v="Cuenta Ahorros"/>
    <s v="Transferencia"/>
    <s v="Pagado"/>
  </r>
  <r>
    <x v="207"/>
    <x v="8"/>
    <s v="TX-104290"/>
    <x v="7"/>
    <x v="1"/>
    <x v="5"/>
    <n v="11679.13"/>
    <n v="1518.29"/>
    <x v="4285"/>
    <x v="2"/>
    <s v="Cuenta Ahorros"/>
    <s v="Tarjeta Débito"/>
    <s v="Pendiente"/>
  </r>
  <r>
    <x v="313"/>
    <x v="6"/>
    <s v="TX-104291"/>
    <x v="3"/>
    <x v="1"/>
    <x v="1"/>
    <n v="14409.56"/>
    <n v="1873.24"/>
    <x v="4286"/>
    <x v="1"/>
    <s v="Cuenta Corriente"/>
    <s v="Efectivo"/>
    <s v="Pendiente"/>
  </r>
  <r>
    <x v="365"/>
    <x v="4"/>
    <s v="TX-104292"/>
    <x v="6"/>
    <x v="0"/>
    <x v="7"/>
    <n v="10227.41"/>
    <n v="0"/>
    <x v="4287"/>
    <x v="4"/>
    <s v="Cuenta Ahorros"/>
    <s v="Efectivo"/>
    <s v="Pagado"/>
  </r>
  <r>
    <x v="350"/>
    <x v="5"/>
    <s v="TX-104293"/>
    <x v="17"/>
    <x v="1"/>
    <x v="2"/>
    <n v="5874.39"/>
    <n v="763.67"/>
    <x v="4288"/>
    <x v="1"/>
    <s v="Tarjeta Crédito Empresarial"/>
    <s v="Tarjeta Crédito"/>
    <s v="Pagado"/>
  </r>
  <r>
    <x v="85"/>
    <x v="0"/>
    <s v="TX-104294"/>
    <x v="16"/>
    <x v="0"/>
    <x v="5"/>
    <n v="5196.8100000000004"/>
    <n v="0"/>
    <x v="4289"/>
    <x v="1"/>
    <s v="Tarjeta Crédito Empresarial"/>
    <s v="Transferencia"/>
    <s v="Pendiente"/>
  </r>
  <r>
    <x v="37"/>
    <x v="11"/>
    <s v="TX-104295"/>
    <x v="2"/>
    <x v="0"/>
    <x v="1"/>
    <n v="7231.36"/>
    <n v="0"/>
    <x v="4290"/>
    <x v="4"/>
    <s v="Cuenta Corriente"/>
    <s v="Transferencia"/>
    <s v="Pendiente"/>
  </r>
  <r>
    <x v="14"/>
    <x v="9"/>
    <s v="TX-104296"/>
    <x v="0"/>
    <x v="1"/>
    <x v="0"/>
    <n v="3275.6"/>
    <n v="425.83"/>
    <x v="4291"/>
    <x v="0"/>
    <s v="Cuenta Corriente"/>
    <s v="Tarjeta Débito"/>
    <s v="Pagado"/>
  </r>
  <r>
    <x v="192"/>
    <x v="8"/>
    <s v="TX-104297"/>
    <x v="17"/>
    <x v="1"/>
    <x v="5"/>
    <n v="12476.47"/>
    <n v="1621.94"/>
    <x v="4292"/>
    <x v="0"/>
    <s v="Tarjeta Crédito Empresarial"/>
    <s v="Tarjeta Débito"/>
    <s v="Pendiente"/>
  </r>
  <r>
    <x v="315"/>
    <x v="5"/>
    <s v="TX-104298"/>
    <x v="18"/>
    <x v="1"/>
    <x v="2"/>
    <n v="10465.719999999999"/>
    <n v="1360.54"/>
    <x v="4293"/>
    <x v="0"/>
    <s v="Tarjeta Crédito Empresarial"/>
    <s v="Tarjeta Crédito"/>
    <s v="Pagado"/>
  </r>
  <r>
    <x v="34"/>
    <x v="1"/>
    <s v="TX-104299"/>
    <x v="14"/>
    <x v="0"/>
    <x v="3"/>
    <n v="13521.62"/>
    <n v="0"/>
    <x v="4294"/>
    <x v="4"/>
    <s v="Cuenta Corriente"/>
    <s v="Transferencia"/>
    <s v="Pagado"/>
  </r>
  <r>
    <x v="312"/>
    <x v="3"/>
    <s v="TX-104300"/>
    <x v="2"/>
    <x v="1"/>
    <x v="4"/>
    <n v="6547.96"/>
    <n v="851.23"/>
    <x v="4295"/>
    <x v="0"/>
    <s v="Cuenta Ahorros"/>
    <s v="Transferencia"/>
    <s v="Pagado"/>
  </r>
  <r>
    <x v="23"/>
    <x v="1"/>
    <s v="TX-104301"/>
    <x v="0"/>
    <x v="1"/>
    <x v="0"/>
    <n v="8465.09"/>
    <n v="1100.46"/>
    <x v="4296"/>
    <x v="2"/>
    <s v="Tarjeta Crédito Empresarial"/>
    <s v="Efectivo"/>
    <s v="Pendiente"/>
  </r>
  <r>
    <x v="135"/>
    <x v="4"/>
    <s v="TX-104302"/>
    <x v="2"/>
    <x v="0"/>
    <x v="5"/>
    <n v="3291.8"/>
    <n v="0"/>
    <x v="4297"/>
    <x v="4"/>
    <s v="Tarjeta Crédito Empresarial"/>
    <s v="Tarjeta Débito"/>
    <s v="Pendiente"/>
  </r>
  <r>
    <x v="19"/>
    <x v="8"/>
    <s v="TX-104303"/>
    <x v="17"/>
    <x v="1"/>
    <x v="4"/>
    <n v="5804.36"/>
    <n v="754.57"/>
    <x v="4298"/>
    <x v="1"/>
    <s v="Cuenta Corriente"/>
    <s v="Tarjeta Crédito"/>
    <s v="Pendiente"/>
  </r>
  <r>
    <x v="15"/>
    <x v="8"/>
    <s v="TX-104304"/>
    <x v="5"/>
    <x v="1"/>
    <x v="5"/>
    <n v="13119.29"/>
    <n v="1705.51"/>
    <x v="4299"/>
    <x v="4"/>
    <s v="Tarjeta Crédito Empresarial"/>
    <s v="Transferencia"/>
    <s v="Pendiente"/>
  </r>
  <r>
    <x v="161"/>
    <x v="9"/>
    <s v="TX-104305"/>
    <x v="1"/>
    <x v="0"/>
    <x v="5"/>
    <n v="5398.36"/>
    <n v="0"/>
    <x v="4300"/>
    <x v="2"/>
    <s v="Cuenta Corriente"/>
    <s v="Tarjeta Débito"/>
    <s v="Pendiente"/>
  </r>
  <r>
    <x v="116"/>
    <x v="5"/>
    <s v="TX-104306"/>
    <x v="2"/>
    <x v="1"/>
    <x v="4"/>
    <n v="12935.63"/>
    <n v="1681.63"/>
    <x v="4301"/>
    <x v="2"/>
    <s v="Tarjeta Crédito Empresarial"/>
    <s v="Tarjeta Débito"/>
    <s v="Pendiente"/>
  </r>
  <r>
    <x v="124"/>
    <x v="4"/>
    <s v="TX-104307"/>
    <x v="15"/>
    <x v="0"/>
    <x v="7"/>
    <n v="8858.2999999999993"/>
    <n v="0"/>
    <x v="4302"/>
    <x v="0"/>
    <s v="Tarjeta Crédito Empresarial"/>
    <s v="Tarjeta Crédito"/>
    <s v="Pagado"/>
  </r>
  <r>
    <x v="196"/>
    <x v="11"/>
    <s v="TX-104308"/>
    <x v="11"/>
    <x v="0"/>
    <x v="7"/>
    <n v="2527.84"/>
    <n v="0"/>
    <x v="4303"/>
    <x v="1"/>
    <s v="Cuenta Ahorros"/>
    <s v="Efectivo"/>
    <s v="Pendiente"/>
  </r>
  <r>
    <x v="193"/>
    <x v="5"/>
    <s v="TX-104309"/>
    <x v="0"/>
    <x v="0"/>
    <x v="1"/>
    <n v="6674.55"/>
    <n v="0"/>
    <x v="4304"/>
    <x v="4"/>
    <s v="Tarjeta Crédito Empresarial"/>
    <s v="Efectivo"/>
    <s v="Pendiente"/>
  </r>
  <r>
    <x v="118"/>
    <x v="11"/>
    <s v="TX-104310"/>
    <x v="16"/>
    <x v="0"/>
    <x v="2"/>
    <n v="11167.65"/>
    <n v="0"/>
    <x v="4305"/>
    <x v="4"/>
    <s v="Cuenta Corriente"/>
    <s v="Transferencia"/>
    <s v="Pagado"/>
  </r>
  <r>
    <x v="331"/>
    <x v="1"/>
    <s v="TX-104311"/>
    <x v="9"/>
    <x v="1"/>
    <x v="4"/>
    <n v="1208.52"/>
    <n v="157.11000000000001"/>
    <x v="4306"/>
    <x v="1"/>
    <s v="Cuenta Corriente"/>
    <s v="Transferencia"/>
    <s v="Pagado"/>
  </r>
  <r>
    <x v="338"/>
    <x v="7"/>
    <s v="TX-104312"/>
    <x v="12"/>
    <x v="1"/>
    <x v="7"/>
    <n v="890.63"/>
    <n v="115.78"/>
    <x v="4307"/>
    <x v="1"/>
    <s v="Cuenta Ahorros"/>
    <s v="Efectivo"/>
    <s v="Pagado"/>
  </r>
  <r>
    <x v="206"/>
    <x v="9"/>
    <s v="TX-104313"/>
    <x v="2"/>
    <x v="0"/>
    <x v="0"/>
    <n v="12015.44"/>
    <n v="0"/>
    <x v="4308"/>
    <x v="3"/>
    <s v="Cuenta Corriente"/>
    <s v="Tarjeta Débito"/>
    <s v="Pendiente"/>
  </r>
  <r>
    <x v="200"/>
    <x v="9"/>
    <s v="TX-104314"/>
    <x v="1"/>
    <x v="1"/>
    <x v="1"/>
    <n v="13239.78"/>
    <n v="1721.17"/>
    <x v="4309"/>
    <x v="0"/>
    <s v="Cuenta Ahorros"/>
    <s v="Tarjeta Crédito"/>
    <s v="Pendiente"/>
  </r>
  <r>
    <x v="285"/>
    <x v="5"/>
    <s v="TX-104315"/>
    <x v="12"/>
    <x v="1"/>
    <x v="0"/>
    <n v="7183.39"/>
    <n v="933.84"/>
    <x v="4310"/>
    <x v="3"/>
    <s v="Tarjeta Crédito Empresarial"/>
    <s v="Transferencia"/>
    <s v="Pendiente"/>
  </r>
  <r>
    <x v="148"/>
    <x v="8"/>
    <s v="TX-104316"/>
    <x v="2"/>
    <x v="1"/>
    <x v="2"/>
    <n v="13582.6"/>
    <n v="1765.74"/>
    <x v="4311"/>
    <x v="2"/>
    <s v="Cuenta Ahorros"/>
    <s v="Transferencia"/>
    <s v="Pendiente"/>
  </r>
  <r>
    <x v="71"/>
    <x v="5"/>
    <s v="TX-104317"/>
    <x v="0"/>
    <x v="1"/>
    <x v="2"/>
    <n v="10599.37"/>
    <n v="1377.92"/>
    <x v="4312"/>
    <x v="1"/>
    <s v="Cuenta Corriente"/>
    <s v="Efectivo"/>
    <s v="Pagado"/>
  </r>
  <r>
    <x v="122"/>
    <x v="1"/>
    <s v="TX-104318"/>
    <x v="19"/>
    <x v="0"/>
    <x v="1"/>
    <n v="1297.24"/>
    <n v="0"/>
    <x v="4313"/>
    <x v="3"/>
    <s v="Tarjeta Crédito Empresarial"/>
    <s v="Tarjeta Crédito"/>
    <s v="Pagado"/>
  </r>
  <r>
    <x v="2"/>
    <x v="2"/>
    <s v="TX-104319"/>
    <x v="16"/>
    <x v="1"/>
    <x v="5"/>
    <n v="13794.12"/>
    <n v="1793.24"/>
    <x v="4314"/>
    <x v="2"/>
    <s v="Cuenta Corriente"/>
    <s v="Transferencia"/>
    <s v="Pendiente"/>
  </r>
  <r>
    <x v="325"/>
    <x v="5"/>
    <s v="TX-104320"/>
    <x v="5"/>
    <x v="0"/>
    <x v="6"/>
    <n v="4085.36"/>
    <n v="0"/>
    <x v="4315"/>
    <x v="0"/>
    <s v="Cuenta Ahorros"/>
    <s v="Efectivo"/>
    <s v="Pagado"/>
  </r>
  <r>
    <x v="305"/>
    <x v="10"/>
    <s v="TX-104321"/>
    <x v="3"/>
    <x v="1"/>
    <x v="4"/>
    <n v="3780.79"/>
    <n v="491.5"/>
    <x v="4316"/>
    <x v="3"/>
    <s v="Cuenta Ahorros"/>
    <s v="Efectivo"/>
    <s v="Pagado"/>
  </r>
  <r>
    <x v="364"/>
    <x v="9"/>
    <s v="TX-104322"/>
    <x v="11"/>
    <x v="1"/>
    <x v="1"/>
    <n v="14354.97"/>
    <n v="1866.15"/>
    <x v="4317"/>
    <x v="3"/>
    <s v="Cuenta Corriente"/>
    <s v="Tarjeta Crédito"/>
    <s v="Pagado"/>
  </r>
  <r>
    <x v="288"/>
    <x v="2"/>
    <s v="TX-104323"/>
    <x v="1"/>
    <x v="0"/>
    <x v="3"/>
    <n v="918.87"/>
    <n v="0"/>
    <x v="4318"/>
    <x v="1"/>
    <s v="Cuenta Ahorros"/>
    <s v="Tarjeta Débito"/>
    <s v="Pendiente"/>
  </r>
  <r>
    <x v="351"/>
    <x v="9"/>
    <s v="TX-104324"/>
    <x v="13"/>
    <x v="0"/>
    <x v="3"/>
    <n v="792.8"/>
    <n v="0"/>
    <x v="4319"/>
    <x v="2"/>
    <s v="Tarjeta Crédito Empresarial"/>
    <s v="Tarjeta Crédito"/>
    <s v="Pendiente"/>
  </r>
  <r>
    <x v="103"/>
    <x v="4"/>
    <s v="TX-104325"/>
    <x v="3"/>
    <x v="0"/>
    <x v="6"/>
    <n v="173.04"/>
    <n v="0"/>
    <x v="4320"/>
    <x v="4"/>
    <s v="Cuenta Corriente"/>
    <s v="Tarjeta Crédito"/>
    <s v="Pendiente"/>
  </r>
  <r>
    <x v="325"/>
    <x v="5"/>
    <s v="TX-104326"/>
    <x v="10"/>
    <x v="0"/>
    <x v="4"/>
    <n v="9960.73"/>
    <n v="0"/>
    <x v="4321"/>
    <x v="0"/>
    <s v="Cuenta Ahorros"/>
    <s v="Transferencia"/>
    <s v="Pendiente"/>
  </r>
  <r>
    <x v="123"/>
    <x v="11"/>
    <s v="TX-104327"/>
    <x v="17"/>
    <x v="1"/>
    <x v="5"/>
    <n v="7504.71"/>
    <n v="975.61"/>
    <x v="4322"/>
    <x v="3"/>
    <s v="Cuenta Corriente"/>
    <s v="Tarjeta Crédito"/>
    <s v="Pagado"/>
  </r>
  <r>
    <x v="131"/>
    <x v="10"/>
    <s v="TX-104328"/>
    <x v="10"/>
    <x v="0"/>
    <x v="1"/>
    <n v="14211.39"/>
    <n v="0"/>
    <x v="4323"/>
    <x v="1"/>
    <s v="Tarjeta Crédito Empresarial"/>
    <s v="Tarjeta Crédito"/>
    <s v="Pendiente"/>
  </r>
  <r>
    <x v="335"/>
    <x v="10"/>
    <s v="TX-104329"/>
    <x v="10"/>
    <x v="1"/>
    <x v="3"/>
    <n v="7403.97"/>
    <n v="962.52"/>
    <x v="4324"/>
    <x v="1"/>
    <s v="Cuenta Ahorros"/>
    <s v="Transferencia"/>
    <s v="Pendiente"/>
  </r>
  <r>
    <x v="287"/>
    <x v="4"/>
    <s v="TX-104330"/>
    <x v="17"/>
    <x v="1"/>
    <x v="4"/>
    <n v="13596.75"/>
    <n v="1767.58"/>
    <x v="4325"/>
    <x v="4"/>
    <s v="Tarjeta Crédito Empresarial"/>
    <s v="Tarjeta Crédito"/>
    <s v="Pagado"/>
  </r>
  <r>
    <x v="125"/>
    <x v="1"/>
    <s v="TX-104331"/>
    <x v="13"/>
    <x v="1"/>
    <x v="1"/>
    <n v="10514.67"/>
    <n v="1366.91"/>
    <x v="4326"/>
    <x v="3"/>
    <s v="Cuenta Ahorros"/>
    <s v="Transferencia"/>
    <s v="Pagado"/>
  </r>
  <r>
    <x v="65"/>
    <x v="4"/>
    <s v="TX-104332"/>
    <x v="4"/>
    <x v="0"/>
    <x v="5"/>
    <n v="6190.07"/>
    <n v="0"/>
    <x v="4327"/>
    <x v="0"/>
    <s v="Cuenta Ahorros"/>
    <s v="Transferencia"/>
    <s v="Pendiente"/>
  </r>
  <r>
    <x v="41"/>
    <x v="5"/>
    <s v="TX-104333"/>
    <x v="9"/>
    <x v="1"/>
    <x v="3"/>
    <n v="10898.01"/>
    <n v="1416.74"/>
    <x v="4328"/>
    <x v="0"/>
    <s v="Cuenta Corriente"/>
    <s v="Tarjeta Crédito"/>
    <s v="Pagado"/>
  </r>
  <r>
    <x v="251"/>
    <x v="1"/>
    <s v="TX-104334"/>
    <x v="6"/>
    <x v="0"/>
    <x v="2"/>
    <n v="6615.12"/>
    <n v="0"/>
    <x v="4329"/>
    <x v="3"/>
    <s v="Cuenta Ahorros"/>
    <s v="Transferencia"/>
    <s v="Pendiente"/>
  </r>
  <r>
    <x v="345"/>
    <x v="7"/>
    <s v="TX-104335"/>
    <x v="15"/>
    <x v="0"/>
    <x v="7"/>
    <n v="2354.71"/>
    <n v="0"/>
    <x v="4330"/>
    <x v="0"/>
    <s v="Tarjeta Crédito Empresarial"/>
    <s v="Efectivo"/>
    <s v="Pendiente"/>
  </r>
  <r>
    <x v="201"/>
    <x v="8"/>
    <s v="TX-104336"/>
    <x v="18"/>
    <x v="1"/>
    <x v="6"/>
    <n v="3811.05"/>
    <n v="495.44"/>
    <x v="4331"/>
    <x v="3"/>
    <s v="Cuenta Ahorros"/>
    <s v="Transferencia"/>
    <s v="Pagado"/>
  </r>
  <r>
    <x v="194"/>
    <x v="8"/>
    <s v="TX-104337"/>
    <x v="7"/>
    <x v="1"/>
    <x v="2"/>
    <n v="10332.790000000001"/>
    <n v="1343.26"/>
    <x v="4332"/>
    <x v="2"/>
    <s v="Cuenta Corriente"/>
    <s v="Transferencia"/>
    <s v="Pagado"/>
  </r>
  <r>
    <x v="53"/>
    <x v="3"/>
    <s v="TX-104338"/>
    <x v="13"/>
    <x v="0"/>
    <x v="5"/>
    <n v="7628.21"/>
    <n v="0"/>
    <x v="4333"/>
    <x v="2"/>
    <s v="Cuenta Ahorros"/>
    <s v="Efectivo"/>
    <s v="Pagado"/>
  </r>
  <r>
    <x v="196"/>
    <x v="11"/>
    <s v="TX-104339"/>
    <x v="13"/>
    <x v="0"/>
    <x v="1"/>
    <n v="6530.36"/>
    <n v="0"/>
    <x v="4334"/>
    <x v="4"/>
    <s v="Tarjeta Crédito Empresarial"/>
    <s v="Transferencia"/>
    <s v="Pagado"/>
  </r>
  <r>
    <x v="172"/>
    <x v="2"/>
    <s v="TX-104340"/>
    <x v="11"/>
    <x v="1"/>
    <x v="4"/>
    <n v="8813.61"/>
    <n v="1145.77"/>
    <x v="4335"/>
    <x v="2"/>
    <s v="Cuenta Corriente"/>
    <s v="Transferencia"/>
    <s v="Pagado"/>
  </r>
  <r>
    <x v="120"/>
    <x v="3"/>
    <s v="TX-104341"/>
    <x v="3"/>
    <x v="1"/>
    <x v="7"/>
    <n v="14283.22"/>
    <n v="1856.82"/>
    <x v="4336"/>
    <x v="0"/>
    <s v="Cuenta Ahorros"/>
    <s v="Tarjeta Débito"/>
    <s v="Pagado"/>
  </r>
  <r>
    <x v="238"/>
    <x v="5"/>
    <s v="TX-104342"/>
    <x v="13"/>
    <x v="0"/>
    <x v="1"/>
    <n v="13434.84"/>
    <n v="0"/>
    <x v="4337"/>
    <x v="0"/>
    <s v="Cuenta Corriente"/>
    <s v="Tarjeta Débito"/>
    <s v="Pagado"/>
  </r>
  <r>
    <x v="91"/>
    <x v="6"/>
    <s v="TX-104343"/>
    <x v="2"/>
    <x v="0"/>
    <x v="4"/>
    <n v="10336.700000000001"/>
    <n v="0"/>
    <x v="4338"/>
    <x v="1"/>
    <s v="Tarjeta Crédito Empresarial"/>
    <s v="Transferencia"/>
    <s v="Pagado"/>
  </r>
  <r>
    <x v="361"/>
    <x v="0"/>
    <s v="TX-104344"/>
    <x v="14"/>
    <x v="0"/>
    <x v="3"/>
    <n v="11974.08"/>
    <n v="0"/>
    <x v="4339"/>
    <x v="0"/>
    <s v="Cuenta Corriente"/>
    <s v="Efectivo"/>
    <s v="Pagado"/>
  </r>
  <r>
    <x v="256"/>
    <x v="5"/>
    <s v="TX-104345"/>
    <x v="11"/>
    <x v="1"/>
    <x v="5"/>
    <n v="5397.26"/>
    <n v="701.64"/>
    <x v="4340"/>
    <x v="3"/>
    <s v="Cuenta Corriente"/>
    <s v="Efectivo"/>
    <s v="Pagado"/>
  </r>
  <r>
    <x v="318"/>
    <x v="3"/>
    <s v="TX-104346"/>
    <x v="15"/>
    <x v="1"/>
    <x v="7"/>
    <n v="980.92"/>
    <n v="127.52"/>
    <x v="4341"/>
    <x v="2"/>
    <s v="Tarjeta Crédito Empresarial"/>
    <s v="Tarjeta Crédito"/>
    <s v="Pagado"/>
  </r>
  <r>
    <x v="108"/>
    <x v="0"/>
    <s v="TX-104347"/>
    <x v="18"/>
    <x v="0"/>
    <x v="7"/>
    <n v="13490.21"/>
    <n v="0"/>
    <x v="4342"/>
    <x v="1"/>
    <s v="Tarjeta Crédito Empresarial"/>
    <s v="Efectivo"/>
    <s v="Pagado"/>
  </r>
  <r>
    <x v="20"/>
    <x v="1"/>
    <s v="TX-104348"/>
    <x v="8"/>
    <x v="0"/>
    <x v="0"/>
    <n v="5817.12"/>
    <n v="0"/>
    <x v="4343"/>
    <x v="4"/>
    <s v="Cuenta Ahorros"/>
    <s v="Tarjeta Débito"/>
    <s v="Pendiente"/>
  </r>
  <r>
    <x v="211"/>
    <x v="7"/>
    <s v="TX-104349"/>
    <x v="12"/>
    <x v="1"/>
    <x v="1"/>
    <n v="9301.5"/>
    <n v="1209.19"/>
    <x v="4344"/>
    <x v="2"/>
    <s v="Cuenta Ahorros"/>
    <s v="Tarjeta Crédito"/>
    <s v="Pagado"/>
  </r>
  <r>
    <x v="164"/>
    <x v="10"/>
    <s v="TX-104350"/>
    <x v="15"/>
    <x v="0"/>
    <x v="1"/>
    <n v="9207.35"/>
    <n v="0"/>
    <x v="4345"/>
    <x v="1"/>
    <s v="Cuenta Corriente"/>
    <s v="Efectivo"/>
    <s v="Pagado"/>
  </r>
  <r>
    <x v="7"/>
    <x v="6"/>
    <s v="TX-104351"/>
    <x v="9"/>
    <x v="1"/>
    <x v="1"/>
    <n v="14734.51"/>
    <n v="1915.49"/>
    <x v="4346"/>
    <x v="3"/>
    <s v="Cuenta Ahorros"/>
    <s v="Efectivo"/>
    <s v="Pendiente"/>
  </r>
  <r>
    <x v="66"/>
    <x v="10"/>
    <s v="TX-104352"/>
    <x v="4"/>
    <x v="0"/>
    <x v="0"/>
    <n v="12782.17"/>
    <n v="0"/>
    <x v="4347"/>
    <x v="4"/>
    <s v="Cuenta Corriente"/>
    <s v="Transferencia"/>
    <s v="Pendiente"/>
  </r>
  <r>
    <x v="319"/>
    <x v="5"/>
    <s v="TX-104353"/>
    <x v="10"/>
    <x v="1"/>
    <x v="6"/>
    <n v="12556.3"/>
    <n v="1632.32"/>
    <x v="4348"/>
    <x v="1"/>
    <s v="Cuenta Corriente"/>
    <s v="Efectivo"/>
    <s v="Pagado"/>
  </r>
  <r>
    <x v="122"/>
    <x v="1"/>
    <s v="TX-104354"/>
    <x v="17"/>
    <x v="1"/>
    <x v="7"/>
    <n v="5625.8"/>
    <n v="731.35"/>
    <x v="4349"/>
    <x v="2"/>
    <s v="Cuenta Ahorros"/>
    <s v="Efectivo"/>
    <s v="Pagado"/>
  </r>
  <r>
    <x v="63"/>
    <x v="1"/>
    <s v="TX-104355"/>
    <x v="4"/>
    <x v="1"/>
    <x v="1"/>
    <n v="3978.93"/>
    <n v="517.26"/>
    <x v="4350"/>
    <x v="4"/>
    <s v="Cuenta Ahorros"/>
    <s v="Transferencia"/>
    <s v="Pagado"/>
  </r>
  <r>
    <x v="235"/>
    <x v="7"/>
    <s v="TX-104356"/>
    <x v="7"/>
    <x v="0"/>
    <x v="6"/>
    <n v="1748.05"/>
    <n v="0"/>
    <x v="4351"/>
    <x v="3"/>
    <s v="Tarjeta Crédito Empresarial"/>
    <s v="Transferencia"/>
    <s v="Pendiente"/>
  </r>
  <r>
    <x v="230"/>
    <x v="11"/>
    <s v="TX-104357"/>
    <x v="1"/>
    <x v="0"/>
    <x v="7"/>
    <n v="4959.63"/>
    <n v="0"/>
    <x v="4352"/>
    <x v="4"/>
    <s v="Tarjeta Crédito Empresarial"/>
    <s v="Transferencia"/>
    <s v="Pendiente"/>
  </r>
  <r>
    <x v="363"/>
    <x v="11"/>
    <s v="TX-104358"/>
    <x v="6"/>
    <x v="0"/>
    <x v="1"/>
    <n v="5772.99"/>
    <n v="0"/>
    <x v="4353"/>
    <x v="4"/>
    <s v="Tarjeta Crédito Empresarial"/>
    <s v="Tarjeta Crédito"/>
    <s v="Pagado"/>
  </r>
  <r>
    <x v="183"/>
    <x v="1"/>
    <s v="TX-104359"/>
    <x v="16"/>
    <x v="0"/>
    <x v="6"/>
    <n v="3394.25"/>
    <n v="0"/>
    <x v="4354"/>
    <x v="2"/>
    <s v="Tarjeta Crédito Empresarial"/>
    <s v="Tarjeta Débito"/>
    <s v="Pendiente"/>
  </r>
  <r>
    <x v="161"/>
    <x v="9"/>
    <s v="TX-104360"/>
    <x v="3"/>
    <x v="0"/>
    <x v="1"/>
    <n v="1800.14"/>
    <n v="0"/>
    <x v="4355"/>
    <x v="4"/>
    <s v="Cuenta Ahorros"/>
    <s v="Efectivo"/>
    <s v="Pagado"/>
  </r>
  <r>
    <x v="336"/>
    <x v="3"/>
    <s v="TX-104361"/>
    <x v="6"/>
    <x v="0"/>
    <x v="6"/>
    <n v="251.21"/>
    <n v="0"/>
    <x v="4356"/>
    <x v="3"/>
    <s v="Cuenta Corriente"/>
    <s v="Transferencia"/>
    <s v="Pendiente"/>
  </r>
  <r>
    <x v="135"/>
    <x v="4"/>
    <s v="TX-104362"/>
    <x v="11"/>
    <x v="1"/>
    <x v="6"/>
    <n v="11242.43"/>
    <n v="1461.52"/>
    <x v="4357"/>
    <x v="3"/>
    <s v="Cuenta Corriente"/>
    <s v="Transferencia"/>
    <s v="Pagado"/>
  </r>
  <r>
    <x v="86"/>
    <x v="3"/>
    <s v="TX-104363"/>
    <x v="17"/>
    <x v="1"/>
    <x v="4"/>
    <n v="11037.9"/>
    <n v="1434.93"/>
    <x v="4358"/>
    <x v="3"/>
    <s v="Cuenta Ahorros"/>
    <s v="Efectivo"/>
    <s v="Pagado"/>
  </r>
  <r>
    <x v="268"/>
    <x v="2"/>
    <s v="TX-104364"/>
    <x v="14"/>
    <x v="0"/>
    <x v="3"/>
    <n v="10517.35"/>
    <n v="0"/>
    <x v="4359"/>
    <x v="1"/>
    <s v="Tarjeta Crédito Empresarial"/>
    <s v="Tarjeta Crédito"/>
    <s v="Pendiente"/>
  </r>
  <r>
    <x v="288"/>
    <x v="2"/>
    <s v="TX-104365"/>
    <x v="11"/>
    <x v="0"/>
    <x v="0"/>
    <n v="678.53"/>
    <n v="0"/>
    <x v="4360"/>
    <x v="2"/>
    <s v="Cuenta Corriente"/>
    <s v="Tarjeta Débito"/>
    <s v="Pagado"/>
  </r>
  <r>
    <x v="44"/>
    <x v="1"/>
    <s v="TX-104366"/>
    <x v="10"/>
    <x v="0"/>
    <x v="3"/>
    <n v="3020.49"/>
    <n v="0"/>
    <x v="4361"/>
    <x v="1"/>
    <s v="Cuenta Corriente"/>
    <s v="Tarjeta Débito"/>
    <s v="Pendiente"/>
  </r>
  <r>
    <x v="152"/>
    <x v="9"/>
    <s v="TX-104367"/>
    <x v="5"/>
    <x v="0"/>
    <x v="0"/>
    <n v="9165.67"/>
    <n v="0"/>
    <x v="4362"/>
    <x v="0"/>
    <s v="Cuenta Corriente"/>
    <s v="Tarjeta Débito"/>
    <s v="Pendiente"/>
  </r>
  <r>
    <x v="156"/>
    <x v="4"/>
    <s v="TX-104368"/>
    <x v="19"/>
    <x v="1"/>
    <x v="3"/>
    <n v="5871.1"/>
    <n v="763.24"/>
    <x v="4363"/>
    <x v="4"/>
    <s v="Cuenta Ahorros"/>
    <s v="Tarjeta Crédito"/>
    <s v="Pagado"/>
  </r>
  <r>
    <x v="75"/>
    <x v="9"/>
    <s v="TX-104369"/>
    <x v="8"/>
    <x v="1"/>
    <x v="2"/>
    <n v="9883.92"/>
    <n v="1284.9100000000001"/>
    <x v="4364"/>
    <x v="0"/>
    <s v="Cuenta Ahorros"/>
    <s v="Tarjeta Crédito"/>
    <s v="Pendiente"/>
  </r>
  <r>
    <x v="4"/>
    <x v="4"/>
    <s v="TX-104370"/>
    <x v="3"/>
    <x v="1"/>
    <x v="6"/>
    <n v="14883.88"/>
    <n v="1934.9"/>
    <x v="4365"/>
    <x v="1"/>
    <s v="Tarjeta Crédito Empresarial"/>
    <s v="Tarjeta Débito"/>
    <s v="Pagado"/>
  </r>
  <r>
    <x v="352"/>
    <x v="4"/>
    <s v="TX-104371"/>
    <x v="2"/>
    <x v="0"/>
    <x v="3"/>
    <n v="11726.78"/>
    <n v="0"/>
    <x v="4366"/>
    <x v="3"/>
    <s v="Cuenta Corriente"/>
    <s v="Tarjeta Débito"/>
    <s v="Pagado"/>
  </r>
  <r>
    <x v="325"/>
    <x v="5"/>
    <s v="TX-104372"/>
    <x v="16"/>
    <x v="1"/>
    <x v="0"/>
    <n v="12203.4"/>
    <n v="1586.44"/>
    <x v="4367"/>
    <x v="0"/>
    <s v="Tarjeta Crédito Empresarial"/>
    <s v="Tarjeta Débito"/>
    <s v="Pagado"/>
  </r>
  <r>
    <x v="319"/>
    <x v="5"/>
    <s v="TX-104373"/>
    <x v="10"/>
    <x v="1"/>
    <x v="6"/>
    <n v="455.07"/>
    <n v="59.16"/>
    <x v="4368"/>
    <x v="4"/>
    <s v="Cuenta Ahorros"/>
    <s v="Transferencia"/>
    <s v="Pendiente"/>
  </r>
  <r>
    <x v="246"/>
    <x v="10"/>
    <s v="TX-104374"/>
    <x v="0"/>
    <x v="0"/>
    <x v="0"/>
    <n v="11633"/>
    <n v="0"/>
    <x v="4369"/>
    <x v="1"/>
    <s v="Cuenta Ahorros"/>
    <s v="Efectivo"/>
    <s v="Pendiente"/>
  </r>
  <r>
    <x v="13"/>
    <x v="2"/>
    <s v="TX-104375"/>
    <x v="10"/>
    <x v="0"/>
    <x v="5"/>
    <n v="5861.04"/>
    <n v="0"/>
    <x v="4370"/>
    <x v="1"/>
    <s v="Cuenta Ahorros"/>
    <s v="Efectivo"/>
    <s v="Pendiente"/>
  </r>
  <r>
    <x v="118"/>
    <x v="11"/>
    <s v="TX-104376"/>
    <x v="12"/>
    <x v="0"/>
    <x v="1"/>
    <n v="5386"/>
    <n v="0"/>
    <x v="4371"/>
    <x v="4"/>
    <s v="Tarjeta Crédito Empresarial"/>
    <s v="Transferencia"/>
    <s v="Pagado"/>
  </r>
  <r>
    <x v="362"/>
    <x v="6"/>
    <s v="TX-104377"/>
    <x v="5"/>
    <x v="1"/>
    <x v="7"/>
    <n v="491.66"/>
    <n v="63.92"/>
    <x v="4372"/>
    <x v="0"/>
    <s v="Tarjeta Crédito Empresarial"/>
    <s v="Tarjeta Débito"/>
    <s v="Pendiente"/>
  </r>
  <r>
    <x v="227"/>
    <x v="11"/>
    <s v="TX-104378"/>
    <x v="13"/>
    <x v="1"/>
    <x v="7"/>
    <n v="5460.96"/>
    <n v="709.92"/>
    <x v="4373"/>
    <x v="1"/>
    <s v="Cuenta Corriente"/>
    <s v="Transferencia"/>
    <s v="Pagado"/>
  </r>
  <r>
    <x v="101"/>
    <x v="5"/>
    <s v="TX-104379"/>
    <x v="12"/>
    <x v="0"/>
    <x v="7"/>
    <n v="7934.66"/>
    <n v="0"/>
    <x v="4374"/>
    <x v="4"/>
    <s v="Tarjeta Crédito Empresarial"/>
    <s v="Transferencia"/>
    <s v="Pendiente"/>
  </r>
  <r>
    <x v="100"/>
    <x v="3"/>
    <s v="TX-104380"/>
    <x v="10"/>
    <x v="1"/>
    <x v="3"/>
    <n v="11636.76"/>
    <n v="1512.78"/>
    <x v="4375"/>
    <x v="0"/>
    <s v="Tarjeta Crédito Empresarial"/>
    <s v="Transferencia"/>
    <s v="Pagado"/>
  </r>
  <r>
    <x v="208"/>
    <x v="2"/>
    <s v="TX-104381"/>
    <x v="2"/>
    <x v="1"/>
    <x v="4"/>
    <n v="10917.34"/>
    <n v="1419.25"/>
    <x v="4376"/>
    <x v="2"/>
    <s v="Cuenta Corriente"/>
    <s v="Tarjeta Crédito"/>
    <s v="Pendiente"/>
  </r>
  <r>
    <x v="198"/>
    <x v="0"/>
    <s v="TX-104382"/>
    <x v="4"/>
    <x v="1"/>
    <x v="3"/>
    <n v="8211.68"/>
    <n v="1067.52"/>
    <x v="4377"/>
    <x v="1"/>
    <s v="Tarjeta Crédito Empresarial"/>
    <s v="Tarjeta Débito"/>
    <s v="Pagado"/>
  </r>
  <r>
    <x v="40"/>
    <x v="2"/>
    <s v="TX-104383"/>
    <x v="18"/>
    <x v="0"/>
    <x v="7"/>
    <n v="175.4"/>
    <n v="0"/>
    <x v="4378"/>
    <x v="3"/>
    <s v="Tarjeta Crédito Empresarial"/>
    <s v="Transferencia"/>
    <s v="Pagado"/>
  </r>
  <r>
    <x v="260"/>
    <x v="4"/>
    <s v="TX-104384"/>
    <x v="4"/>
    <x v="1"/>
    <x v="6"/>
    <n v="13281.22"/>
    <n v="1726.56"/>
    <x v="4379"/>
    <x v="2"/>
    <s v="Tarjeta Crédito Empresarial"/>
    <s v="Efectivo"/>
    <s v="Pagado"/>
  </r>
  <r>
    <x v="206"/>
    <x v="9"/>
    <s v="TX-104385"/>
    <x v="4"/>
    <x v="1"/>
    <x v="0"/>
    <n v="3861.92"/>
    <n v="502.05"/>
    <x v="4380"/>
    <x v="0"/>
    <s v="Cuenta Ahorros"/>
    <s v="Efectivo"/>
    <s v="Pagado"/>
  </r>
  <r>
    <x v="16"/>
    <x v="5"/>
    <s v="TX-104386"/>
    <x v="10"/>
    <x v="1"/>
    <x v="2"/>
    <n v="3287.44"/>
    <n v="427.37"/>
    <x v="4381"/>
    <x v="0"/>
    <s v="Tarjeta Crédito Empresarial"/>
    <s v="Transferencia"/>
    <s v="Pendiente"/>
  </r>
  <r>
    <x v="7"/>
    <x v="6"/>
    <s v="TX-104387"/>
    <x v="7"/>
    <x v="0"/>
    <x v="1"/>
    <n v="4836.6400000000003"/>
    <n v="0"/>
    <x v="4382"/>
    <x v="0"/>
    <s v="Tarjeta Crédito Empresarial"/>
    <s v="Efectivo"/>
    <s v="Pendiente"/>
  </r>
  <r>
    <x v="8"/>
    <x v="7"/>
    <s v="TX-104388"/>
    <x v="0"/>
    <x v="0"/>
    <x v="1"/>
    <n v="12635.87"/>
    <n v="0"/>
    <x v="4383"/>
    <x v="1"/>
    <s v="Tarjeta Crédito Empresarial"/>
    <s v="Tarjeta Débito"/>
    <s v="Pendiente"/>
  </r>
  <r>
    <x v="286"/>
    <x v="11"/>
    <s v="TX-104389"/>
    <x v="6"/>
    <x v="1"/>
    <x v="5"/>
    <n v="6303.11"/>
    <n v="819.4"/>
    <x v="4384"/>
    <x v="0"/>
    <s v="Cuenta Ahorros"/>
    <s v="Transferencia"/>
    <s v="Pendiente"/>
  </r>
  <r>
    <x v="140"/>
    <x v="6"/>
    <s v="TX-104390"/>
    <x v="3"/>
    <x v="0"/>
    <x v="7"/>
    <n v="8130.66"/>
    <n v="0"/>
    <x v="4385"/>
    <x v="3"/>
    <s v="Cuenta Corriente"/>
    <s v="Efectivo"/>
    <s v="Pagado"/>
  </r>
  <r>
    <x v="176"/>
    <x v="5"/>
    <s v="TX-104391"/>
    <x v="9"/>
    <x v="1"/>
    <x v="2"/>
    <n v="12618.94"/>
    <n v="1640.46"/>
    <x v="4386"/>
    <x v="2"/>
    <s v="Cuenta Ahorros"/>
    <s v="Tarjeta Débito"/>
    <s v="Pendiente"/>
  </r>
  <r>
    <x v="339"/>
    <x v="0"/>
    <s v="TX-104392"/>
    <x v="2"/>
    <x v="0"/>
    <x v="4"/>
    <n v="3731.47"/>
    <n v="0"/>
    <x v="4387"/>
    <x v="1"/>
    <s v="Tarjeta Crédito Empresarial"/>
    <s v="Tarjeta Débito"/>
    <s v="Pendiente"/>
  </r>
  <r>
    <x v="134"/>
    <x v="2"/>
    <s v="TX-104393"/>
    <x v="0"/>
    <x v="0"/>
    <x v="7"/>
    <n v="6157.11"/>
    <n v="0"/>
    <x v="4388"/>
    <x v="3"/>
    <s v="Tarjeta Crédito Empresarial"/>
    <s v="Tarjeta Crédito"/>
    <s v="Pagado"/>
  </r>
  <r>
    <x v="183"/>
    <x v="1"/>
    <s v="TX-104394"/>
    <x v="4"/>
    <x v="0"/>
    <x v="3"/>
    <n v="3833.35"/>
    <n v="0"/>
    <x v="4389"/>
    <x v="3"/>
    <s v="Cuenta Ahorros"/>
    <s v="Efectivo"/>
    <s v="Pendiente"/>
  </r>
  <r>
    <x v="97"/>
    <x v="6"/>
    <s v="TX-104395"/>
    <x v="7"/>
    <x v="0"/>
    <x v="5"/>
    <n v="1796.82"/>
    <n v="0"/>
    <x v="4390"/>
    <x v="1"/>
    <s v="Tarjeta Crédito Empresarial"/>
    <s v="Tarjeta Crédito"/>
    <s v="Pendiente"/>
  </r>
  <r>
    <x v="190"/>
    <x v="9"/>
    <s v="TX-104396"/>
    <x v="16"/>
    <x v="0"/>
    <x v="6"/>
    <n v="9976.6299999999992"/>
    <n v="0"/>
    <x v="4391"/>
    <x v="4"/>
    <s v="Cuenta Ahorros"/>
    <s v="Tarjeta Crédito"/>
    <s v="Pendiente"/>
  </r>
  <r>
    <x v="168"/>
    <x v="1"/>
    <s v="TX-104397"/>
    <x v="13"/>
    <x v="1"/>
    <x v="5"/>
    <n v="8609.68"/>
    <n v="1119.26"/>
    <x v="4392"/>
    <x v="1"/>
    <s v="Cuenta Corriente"/>
    <s v="Tarjeta Débito"/>
    <s v="Pendiente"/>
  </r>
  <r>
    <x v="189"/>
    <x v="1"/>
    <s v="TX-104398"/>
    <x v="2"/>
    <x v="0"/>
    <x v="1"/>
    <n v="6530.15"/>
    <n v="0"/>
    <x v="4393"/>
    <x v="3"/>
    <s v="Cuenta Ahorros"/>
    <s v="Tarjeta Crédito"/>
    <s v="Pagado"/>
  </r>
  <r>
    <x v="94"/>
    <x v="7"/>
    <s v="TX-104399"/>
    <x v="11"/>
    <x v="1"/>
    <x v="7"/>
    <n v="10773.18"/>
    <n v="1400.51"/>
    <x v="4394"/>
    <x v="0"/>
    <s v="Cuenta Ahorros"/>
    <s v="Tarjeta Débito"/>
    <s v="Pagado"/>
  </r>
  <r>
    <x v="127"/>
    <x v="6"/>
    <s v="TX-104400"/>
    <x v="5"/>
    <x v="0"/>
    <x v="5"/>
    <n v="2369.27"/>
    <n v="0"/>
    <x v="4395"/>
    <x v="2"/>
    <s v="Cuenta Ahorros"/>
    <s v="Efectivo"/>
    <s v="Pagado"/>
  </r>
  <r>
    <x v="109"/>
    <x v="3"/>
    <s v="TX-104401"/>
    <x v="7"/>
    <x v="1"/>
    <x v="1"/>
    <n v="3438.5"/>
    <n v="447"/>
    <x v="4396"/>
    <x v="2"/>
    <s v="Cuenta Ahorros"/>
    <s v="Tarjeta Crédito"/>
    <s v="Pagado"/>
  </r>
  <r>
    <x v="249"/>
    <x v="10"/>
    <s v="TX-104402"/>
    <x v="12"/>
    <x v="0"/>
    <x v="2"/>
    <n v="10605.2"/>
    <n v="0"/>
    <x v="4397"/>
    <x v="4"/>
    <s v="Cuenta Ahorros"/>
    <s v="Tarjeta Débito"/>
    <s v="Pendiente"/>
  </r>
  <r>
    <x v="108"/>
    <x v="0"/>
    <s v="TX-104403"/>
    <x v="3"/>
    <x v="1"/>
    <x v="3"/>
    <n v="520.25"/>
    <n v="67.63"/>
    <x v="4398"/>
    <x v="4"/>
    <s v="Cuenta Ahorros"/>
    <s v="Efectivo"/>
    <s v="Pendiente"/>
  </r>
  <r>
    <x v="346"/>
    <x v="1"/>
    <s v="TX-104404"/>
    <x v="10"/>
    <x v="0"/>
    <x v="2"/>
    <n v="4306.91"/>
    <n v="0"/>
    <x v="4399"/>
    <x v="0"/>
    <s v="Cuenta Corriente"/>
    <s v="Transferencia"/>
    <s v="Pagado"/>
  </r>
  <r>
    <x v="333"/>
    <x v="10"/>
    <s v="TX-104405"/>
    <x v="15"/>
    <x v="0"/>
    <x v="6"/>
    <n v="12526.24"/>
    <n v="0"/>
    <x v="4400"/>
    <x v="2"/>
    <s v="Cuenta Ahorros"/>
    <s v="Tarjeta Crédito"/>
    <s v="Pendiente"/>
  </r>
  <r>
    <x v="76"/>
    <x v="11"/>
    <s v="TX-104406"/>
    <x v="0"/>
    <x v="1"/>
    <x v="2"/>
    <n v="7144.83"/>
    <n v="928.83"/>
    <x v="4401"/>
    <x v="2"/>
    <s v="Cuenta Ahorros"/>
    <s v="Tarjeta Débito"/>
    <s v="Pendiente"/>
  </r>
  <r>
    <x v="319"/>
    <x v="5"/>
    <s v="TX-104407"/>
    <x v="16"/>
    <x v="1"/>
    <x v="6"/>
    <n v="2754.42"/>
    <n v="358.07"/>
    <x v="4402"/>
    <x v="4"/>
    <s v="Cuenta Ahorros"/>
    <s v="Efectivo"/>
    <s v="Pagado"/>
  </r>
  <r>
    <x v="279"/>
    <x v="3"/>
    <s v="TX-104408"/>
    <x v="6"/>
    <x v="1"/>
    <x v="5"/>
    <n v="1679.66"/>
    <n v="218.36"/>
    <x v="4403"/>
    <x v="2"/>
    <s v="Cuenta Ahorros"/>
    <s v="Transferencia"/>
    <s v="Pagado"/>
  </r>
  <r>
    <x v="328"/>
    <x v="11"/>
    <s v="TX-104409"/>
    <x v="10"/>
    <x v="0"/>
    <x v="2"/>
    <n v="12974.73"/>
    <n v="0"/>
    <x v="4404"/>
    <x v="3"/>
    <s v="Cuenta Corriente"/>
    <s v="Tarjeta Crédito"/>
    <s v="Pagado"/>
  </r>
  <r>
    <x v="157"/>
    <x v="2"/>
    <s v="TX-104410"/>
    <x v="3"/>
    <x v="1"/>
    <x v="1"/>
    <n v="6136.83"/>
    <n v="797.79"/>
    <x v="4405"/>
    <x v="4"/>
    <s v="Cuenta Ahorros"/>
    <s v="Efectivo"/>
    <s v="Pendiente"/>
  </r>
  <r>
    <x v="42"/>
    <x v="8"/>
    <s v="TX-104411"/>
    <x v="9"/>
    <x v="0"/>
    <x v="3"/>
    <n v="5109.55"/>
    <n v="0"/>
    <x v="4406"/>
    <x v="2"/>
    <s v="Cuenta Corriente"/>
    <s v="Tarjeta Crédito"/>
    <s v="Pagado"/>
  </r>
  <r>
    <x v="81"/>
    <x v="3"/>
    <s v="TX-104412"/>
    <x v="13"/>
    <x v="0"/>
    <x v="4"/>
    <n v="1239"/>
    <n v="0"/>
    <x v="4407"/>
    <x v="3"/>
    <s v="Cuenta Corriente"/>
    <s v="Tarjeta Crédito"/>
    <s v="Pendiente"/>
  </r>
  <r>
    <x v="7"/>
    <x v="6"/>
    <s v="TX-104413"/>
    <x v="11"/>
    <x v="0"/>
    <x v="6"/>
    <n v="5419.3"/>
    <n v="0"/>
    <x v="4408"/>
    <x v="0"/>
    <s v="Cuenta Ahorros"/>
    <s v="Tarjeta Crédito"/>
    <s v="Pagado"/>
  </r>
  <r>
    <x v="208"/>
    <x v="2"/>
    <s v="TX-104414"/>
    <x v="9"/>
    <x v="1"/>
    <x v="6"/>
    <n v="13229.98"/>
    <n v="1719.9"/>
    <x v="4409"/>
    <x v="0"/>
    <s v="Tarjeta Crédito Empresarial"/>
    <s v="Tarjeta Débito"/>
    <s v="Pagado"/>
  </r>
  <r>
    <x v="308"/>
    <x v="1"/>
    <s v="TX-104415"/>
    <x v="1"/>
    <x v="0"/>
    <x v="4"/>
    <n v="10941.59"/>
    <n v="0"/>
    <x v="4410"/>
    <x v="4"/>
    <s v="Tarjeta Crédito Empresarial"/>
    <s v="Tarjeta Débito"/>
    <s v="Pendiente"/>
  </r>
  <r>
    <x v="268"/>
    <x v="2"/>
    <s v="TX-104416"/>
    <x v="17"/>
    <x v="0"/>
    <x v="4"/>
    <n v="3447.59"/>
    <n v="0"/>
    <x v="4411"/>
    <x v="0"/>
    <s v="Tarjeta Crédito Empresarial"/>
    <s v="Tarjeta Crédito"/>
    <s v="Pendiente"/>
  </r>
  <r>
    <x v="114"/>
    <x v="4"/>
    <s v="TX-104417"/>
    <x v="4"/>
    <x v="0"/>
    <x v="7"/>
    <n v="10413.76"/>
    <n v="0"/>
    <x v="4412"/>
    <x v="3"/>
    <s v="Cuenta Ahorros"/>
    <s v="Efectivo"/>
    <s v="Pendiente"/>
  </r>
  <r>
    <x v="230"/>
    <x v="11"/>
    <s v="TX-104418"/>
    <x v="9"/>
    <x v="0"/>
    <x v="4"/>
    <n v="13706.99"/>
    <n v="0"/>
    <x v="4413"/>
    <x v="4"/>
    <s v="Tarjeta Crédito Empresarial"/>
    <s v="Tarjeta Débito"/>
    <s v="Pendiente"/>
  </r>
  <r>
    <x v="254"/>
    <x v="5"/>
    <s v="TX-104419"/>
    <x v="19"/>
    <x v="1"/>
    <x v="3"/>
    <n v="6787.7"/>
    <n v="882.4"/>
    <x v="4414"/>
    <x v="3"/>
    <s v="Cuenta Corriente"/>
    <s v="Transferencia"/>
    <s v="Pendiente"/>
  </r>
  <r>
    <x v="9"/>
    <x v="4"/>
    <s v="TX-104420"/>
    <x v="17"/>
    <x v="1"/>
    <x v="5"/>
    <n v="8705.15"/>
    <n v="1131.67"/>
    <x v="4415"/>
    <x v="3"/>
    <s v="Cuenta Ahorros"/>
    <s v="Tarjeta Crédito"/>
    <s v="Pagado"/>
  </r>
  <r>
    <x v="165"/>
    <x v="9"/>
    <s v="TX-104421"/>
    <x v="14"/>
    <x v="1"/>
    <x v="3"/>
    <n v="5364.66"/>
    <n v="697.41"/>
    <x v="4416"/>
    <x v="0"/>
    <s v="Cuenta Ahorros"/>
    <s v="Transferencia"/>
    <s v="Pagado"/>
  </r>
  <r>
    <x v="120"/>
    <x v="3"/>
    <s v="TX-104422"/>
    <x v="4"/>
    <x v="1"/>
    <x v="1"/>
    <n v="5168.6899999999996"/>
    <n v="671.93"/>
    <x v="4417"/>
    <x v="1"/>
    <s v="Tarjeta Crédito Empresarial"/>
    <s v="Transferencia"/>
    <s v="Pendiente"/>
  </r>
  <r>
    <x v="280"/>
    <x v="9"/>
    <s v="TX-104423"/>
    <x v="12"/>
    <x v="0"/>
    <x v="6"/>
    <n v="13388.96"/>
    <n v="0"/>
    <x v="4418"/>
    <x v="3"/>
    <s v="Tarjeta Crédito Empresarial"/>
    <s v="Tarjeta Débito"/>
    <s v="Pagado"/>
  </r>
  <r>
    <x v="11"/>
    <x v="8"/>
    <s v="TX-104424"/>
    <x v="12"/>
    <x v="0"/>
    <x v="4"/>
    <n v="885.31"/>
    <n v="0"/>
    <x v="4419"/>
    <x v="3"/>
    <s v="Tarjeta Crédito Empresarial"/>
    <s v="Transferencia"/>
    <s v="Pendiente"/>
  </r>
  <r>
    <x v="317"/>
    <x v="4"/>
    <s v="TX-104425"/>
    <x v="1"/>
    <x v="1"/>
    <x v="6"/>
    <n v="9174.75"/>
    <n v="1192.72"/>
    <x v="4420"/>
    <x v="4"/>
    <s v="Cuenta Ahorros"/>
    <s v="Efectivo"/>
    <s v="Pendiente"/>
  </r>
  <r>
    <x v="33"/>
    <x v="5"/>
    <s v="TX-104426"/>
    <x v="2"/>
    <x v="1"/>
    <x v="7"/>
    <n v="3178.6"/>
    <n v="413.22"/>
    <x v="4421"/>
    <x v="3"/>
    <s v="Cuenta Corriente"/>
    <s v="Tarjeta Débito"/>
    <s v="Pagado"/>
  </r>
  <r>
    <x v="288"/>
    <x v="2"/>
    <s v="TX-104427"/>
    <x v="1"/>
    <x v="1"/>
    <x v="3"/>
    <n v="4663.08"/>
    <n v="606.20000000000005"/>
    <x v="4422"/>
    <x v="3"/>
    <s v="Tarjeta Crédito Empresarial"/>
    <s v="Transferencia"/>
    <s v="Pendiente"/>
  </r>
  <r>
    <x v="140"/>
    <x v="6"/>
    <s v="TX-104428"/>
    <x v="17"/>
    <x v="0"/>
    <x v="0"/>
    <n v="11519.86"/>
    <n v="0"/>
    <x v="4423"/>
    <x v="1"/>
    <s v="Cuenta Corriente"/>
    <s v="Efectivo"/>
    <s v="Pagado"/>
  </r>
  <r>
    <x v="188"/>
    <x v="6"/>
    <s v="TX-104429"/>
    <x v="10"/>
    <x v="0"/>
    <x v="1"/>
    <n v="9344.65"/>
    <n v="0"/>
    <x v="4424"/>
    <x v="3"/>
    <s v="Tarjeta Crédito Empresarial"/>
    <s v="Efectivo"/>
    <s v="Pagado"/>
  </r>
  <r>
    <x v="309"/>
    <x v="4"/>
    <s v="TX-104430"/>
    <x v="12"/>
    <x v="1"/>
    <x v="7"/>
    <n v="6099.73"/>
    <n v="792.96"/>
    <x v="4425"/>
    <x v="4"/>
    <s v="Cuenta Corriente"/>
    <s v="Efectivo"/>
    <s v="Pendiente"/>
  </r>
  <r>
    <x v="311"/>
    <x v="1"/>
    <s v="TX-104431"/>
    <x v="16"/>
    <x v="1"/>
    <x v="7"/>
    <n v="9115.2099999999991"/>
    <n v="1184.98"/>
    <x v="4426"/>
    <x v="2"/>
    <s v="Tarjeta Crédito Empresarial"/>
    <s v="Efectivo"/>
    <s v="Pagado"/>
  </r>
  <r>
    <x v="138"/>
    <x v="11"/>
    <s v="TX-104432"/>
    <x v="4"/>
    <x v="1"/>
    <x v="7"/>
    <n v="9083.77"/>
    <n v="1180.8900000000001"/>
    <x v="4427"/>
    <x v="1"/>
    <s v="Cuenta Ahorros"/>
    <s v="Tarjeta Crédito"/>
    <s v="Pagado"/>
  </r>
  <r>
    <x v="98"/>
    <x v="0"/>
    <s v="TX-104433"/>
    <x v="19"/>
    <x v="0"/>
    <x v="0"/>
    <n v="5862.61"/>
    <n v="0"/>
    <x v="4428"/>
    <x v="0"/>
    <s v="Cuenta Ahorros"/>
    <s v="Tarjeta Crédito"/>
    <s v="Pendiente"/>
  </r>
  <r>
    <x v="232"/>
    <x v="10"/>
    <s v="TX-104434"/>
    <x v="18"/>
    <x v="1"/>
    <x v="6"/>
    <n v="6812.99"/>
    <n v="885.69"/>
    <x v="4429"/>
    <x v="4"/>
    <s v="Tarjeta Crédito Empresarial"/>
    <s v="Tarjeta Débito"/>
    <s v="Pendiente"/>
  </r>
  <r>
    <x v="129"/>
    <x v="9"/>
    <s v="TX-104435"/>
    <x v="19"/>
    <x v="1"/>
    <x v="2"/>
    <n v="6320.17"/>
    <n v="821.62"/>
    <x v="4430"/>
    <x v="3"/>
    <s v="Cuenta Ahorros"/>
    <s v="Tarjeta Crédito"/>
    <s v="Pagado"/>
  </r>
  <r>
    <x v="210"/>
    <x v="3"/>
    <s v="TX-104436"/>
    <x v="17"/>
    <x v="0"/>
    <x v="7"/>
    <n v="14368.24"/>
    <n v="0"/>
    <x v="4431"/>
    <x v="2"/>
    <s v="Tarjeta Crédito Empresarial"/>
    <s v="Tarjeta Débito"/>
    <s v="Pagado"/>
  </r>
  <r>
    <x v="41"/>
    <x v="5"/>
    <s v="TX-104437"/>
    <x v="1"/>
    <x v="0"/>
    <x v="0"/>
    <n v="1114.93"/>
    <n v="0"/>
    <x v="4432"/>
    <x v="4"/>
    <s v="Tarjeta Crédito Empresarial"/>
    <s v="Tarjeta Crédito"/>
    <s v="Pendiente"/>
  </r>
  <r>
    <x v="303"/>
    <x v="8"/>
    <s v="TX-104438"/>
    <x v="7"/>
    <x v="1"/>
    <x v="3"/>
    <n v="11254.13"/>
    <n v="1463.04"/>
    <x v="4433"/>
    <x v="1"/>
    <s v="Cuenta Ahorros"/>
    <s v="Transferencia"/>
    <s v="Pagado"/>
  </r>
  <r>
    <x v="314"/>
    <x v="11"/>
    <s v="TX-104439"/>
    <x v="0"/>
    <x v="1"/>
    <x v="1"/>
    <n v="2614.37"/>
    <n v="339.87"/>
    <x v="4434"/>
    <x v="1"/>
    <s v="Cuenta Ahorros"/>
    <s v="Tarjeta Crédito"/>
    <s v="Pendiente"/>
  </r>
  <r>
    <x v="104"/>
    <x v="9"/>
    <s v="TX-104440"/>
    <x v="0"/>
    <x v="0"/>
    <x v="2"/>
    <n v="9565.67"/>
    <n v="0"/>
    <x v="4435"/>
    <x v="4"/>
    <s v="Tarjeta Crédito Empresarial"/>
    <s v="Transferencia"/>
    <s v="Pendiente"/>
  </r>
  <r>
    <x v="328"/>
    <x v="11"/>
    <s v="TX-104441"/>
    <x v="1"/>
    <x v="1"/>
    <x v="6"/>
    <n v="13510.07"/>
    <n v="1756.31"/>
    <x v="4436"/>
    <x v="1"/>
    <s v="Tarjeta Crédito Empresarial"/>
    <s v="Tarjeta Débito"/>
    <s v="Pagado"/>
  </r>
  <r>
    <x v="115"/>
    <x v="3"/>
    <s v="TX-104442"/>
    <x v="2"/>
    <x v="1"/>
    <x v="7"/>
    <n v="4340.42"/>
    <n v="564.25"/>
    <x v="4437"/>
    <x v="4"/>
    <s v="Cuenta Corriente"/>
    <s v="Efectivo"/>
    <s v="Pendiente"/>
  </r>
  <r>
    <x v="165"/>
    <x v="9"/>
    <s v="TX-104443"/>
    <x v="12"/>
    <x v="1"/>
    <x v="2"/>
    <n v="11215.56"/>
    <n v="1458.02"/>
    <x v="4438"/>
    <x v="4"/>
    <s v="Tarjeta Crédito Empresarial"/>
    <s v="Tarjeta Crédito"/>
    <s v="Pagado"/>
  </r>
  <r>
    <x v="313"/>
    <x v="6"/>
    <s v="TX-104444"/>
    <x v="16"/>
    <x v="1"/>
    <x v="7"/>
    <n v="4911.32"/>
    <n v="638.47"/>
    <x v="4439"/>
    <x v="4"/>
    <s v="Tarjeta Crédito Empresarial"/>
    <s v="Transferencia"/>
    <s v="Pendiente"/>
  </r>
  <r>
    <x v="55"/>
    <x v="10"/>
    <s v="TX-104445"/>
    <x v="17"/>
    <x v="0"/>
    <x v="2"/>
    <n v="8926.0400000000009"/>
    <n v="0"/>
    <x v="4440"/>
    <x v="1"/>
    <s v="Tarjeta Crédito Empresarial"/>
    <s v="Tarjeta Crédito"/>
    <s v="Pendiente"/>
  </r>
  <r>
    <x v="332"/>
    <x v="1"/>
    <s v="TX-104446"/>
    <x v="16"/>
    <x v="0"/>
    <x v="0"/>
    <n v="8315.31"/>
    <n v="0"/>
    <x v="4441"/>
    <x v="0"/>
    <s v="Tarjeta Crédito Empresarial"/>
    <s v="Tarjeta Débito"/>
    <s v="Pendiente"/>
  </r>
  <r>
    <x v="347"/>
    <x v="7"/>
    <s v="TX-104447"/>
    <x v="18"/>
    <x v="0"/>
    <x v="7"/>
    <n v="12813.16"/>
    <n v="0"/>
    <x v="4442"/>
    <x v="1"/>
    <s v="Tarjeta Crédito Empresarial"/>
    <s v="Tarjeta Crédito"/>
    <s v="Pagado"/>
  </r>
  <r>
    <x v="83"/>
    <x v="2"/>
    <s v="TX-104448"/>
    <x v="10"/>
    <x v="0"/>
    <x v="2"/>
    <n v="13440.7"/>
    <n v="0"/>
    <x v="4443"/>
    <x v="2"/>
    <s v="Cuenta Corriente"/>
    <s v="Transferencia"/>
    <s v="Pagado"/>
  </r>
  <r>
    <x v="293"/>
    <x v="1"/>
    <s v="TX-104449"/>
    <x v="1"/>
    <x v="0"/>
    <x v="7"/>
    <n v="2002.17"/>
    <n v="0"/>
    <x v="4444"/>
    <x v="1"/>
    <s v="Cuenta Ahorros"/>
    <s v="Transferencia"/>
    <s v="Pendiente"/>
  </r>
  <r>
    <x v="108"/>
    <x v="0"/>
    <s v="TX-104450"/>
    <x v="8"/>
    <x v="0"/>
    <x v="3"/>
    <n v="14271.4"/>
    <n v="0"/>
    <x v="4445"/>
    <x v="0"/>
    <s v="Cuenta Ahorros"/>
    <s v="Efectivo"/>
    <s v="Pendiente"/>
  </r>
  <r>
    <x v="61"/>
    <x v="4"/>
    <s v="TX-104451"/>
    <x v="10"/>
    <x v="1"/>
    <x v="6"/>
    <n v="866.15"/>
    <n v="112.6"/>
    <x v="4446"/>
    <x v="4"/>
    <s v="Cuenta Ahorros"/>
    <s v="Transferencia"/>
    <s v="Pagado"/>
  </r>
  <r>
    <x v="186"/>
    <x v="3"/>
    <s v="TX-104452"/>
    <x v="14"/>
    <x v="0"/>
    <x v="6"/>
    <n v="5165.3599999999997"/>
    <n v="0"/>
    <x v="4447"/>
    <x v="2"/>
    <s v="Cuenta Ahorros"/>
    <s v="Tarjeta Crédito"/>
    <s v="Pendiente"/>
  </r>
  <r>
    <x v="226"/>
    <x v="10"/>
    <s v="TX-104453"/>
    <x v="8"/>
    <x v="0"/>
    <x v="0"/>
    <n v="10890.51"/>
    <n v="0"/>
    <x v="4448"/>
    <x v="1"/>
    <s v="Cuenta Ahorros"/>
    <s v="Tarjeta Crédito"/>
    <s v="Pagado"/>
  </r>
  <r>
    <x v="97"/>
    <x v="6"/>
    <s v="TX-104454"/>
    <x v="3"/>
    <x v="1"/>
    <x v="3"/>
    <n v="7818.8"/>
    <n v="1016.44"/>
    <x v="4449"/>
    <x v="3"/>
    <s v="Tarjeta Crédito Empresarial"/>
    <s v="Tarjeta Débito"/>
    <s v="Pagado"/>
  </r>
  <r>
    <x v="252"/>
    <x v="7"/>
    <s v="TX-104455"/>
    <x v="0"/>
    <x v="0"/>
    <x v="3"/>
    <n v="11423.32"/>
    <n v="0"/>
    <x v="4450"/>
    <x v="3"/>
    <s v="Cuenta Ahorros"/>
    <s v="Efectivo"/>
    <s v="Pagado"/>
  </r>
  <r>
    <x v="344"/>
    <x v="8"/>
    <s v="TX-104456"/>
    <x v="18"/>
    <x v="0"/>
    <x v="6"/>
    <n v="3343.51"/>
    <n v="0"/>
    <x v="4451"/>
    <x v="4"/>
    <s v="Cuenta Corriente"/>
    <s v="Tarjeta Crédito"/>
    <s v="Pagado"/>
  </r>
  <r>
    <x v="185"/>
    <x v="0"/>
    <s v="TX-104457"/>
    <x v="16"/>
    <x v="1"/>
    <x v="7"/>
    <n v="10654.66"/>
    <n v="1385.11"/>
    <x v="4452"/>
    <x v="1"/>
    <s v="Cuenta Corriente"/>
    <s v="Tarjeta Débito"/>
    <s v="Pagado"/>
  </r>
  <r>
    <x v="216"/>
    <x v="1"/>
    <s v="TX-104458"/>
    <x v="18"/>
    <x v="0"/>
    <x v="1"/>
    <n v="7211.09"/>
    <n v="0"/>
    <x v="4453"/>
    <x v="1"/>
    <s v="Cuenta Ahorros"/>
    <s v="Transferencia"/>
    <s v="Pendiente"/>
  </r>
  <r>
    <x v="275"/>
    <x v="10"/>
    <s v="TX-104459"/>
    <x v="5"/>
    <x v="0"/>
    <x v="7"/>
    <n v="912.31"/>
    <n v="0"/>
    <x v="4454"/>
    <x v="3"/>
    <s v="Cuenta Ahorros"/>
    <s v="Transferencia"/>
    <s v="Pagado"/>
  </r>
  <r>
    <x v="326"/>
    <x v="5"/>
    <s v="TX-104460"/>
    <x v="2"/>
    <x v="0"/>
    <x v="7"/>
    <n v="9151.2800000000007"/>
    <n v="0"/>
    <x v="4455"/>
    <x v="4"/>
    <s v="Cuenta Corriente"/>
    <s v="Tarjeta Crédito"/>
    <s v="Pendiente"/>
  </r>
  <r>
    <x v="61"/>
    <x v="4"/>
    <s v="TX-104461"/>
    <x v="10"/>
    <x v="0"/>
    <x v="1"/>
    <n v="8265.09"/>
    <n v="0"/>
    <x v="4456"/>
    <x v="0"/>
    <s v="Cuenta Ahorros"/>
    <s v="Transferencia"/>
    <s v="Pagado"/>
  </r>
  <r>
    <x v="56"/>
    <x v="11"/>
    <s v="TX-104462"/>
    <x v="19"/>
    <x v="1"/>
    <x v="1"/>
    <n v="7721.08"/>
    <n v="1003.74"/>
    <x v="4457"/>
    <x v="0"/>
    <s v="Tarjeta Crédito Empresarial"/>
    <s v="Tarjeta Crédito"/>
    <s v="Pendiente"/>
  </r>
  <r>
    <x v="177"/>
    <x v="8"/>
    <s v="TX-104463"/>
    <x v="2"/>
    <x v="1"/>
    <x v="4"/>
    <n v="11676.37"/>
    <n v="1517.93"/>
    <x v="4458"/>
    <x v="2"/>
    <s v="Tarjeta Crédito Empresarial"/>
    <s v="Efectivo"/>
    <s v="Pendiente"/>
  </r>
  <r>
    <x v="252"/>
    <x v="7"/>
    <s v="TX-104464"/>
    <x v="16"/>
    <x v="0"/>
    <x v="4"/>
    <n v="13812.92"/>
    <n v="0"/>
    <x v="4459"/>
    <x v="4"/>
    <s v="Cuenta Corriente"/>
    <s v="Transferencia"/>
    <s v="Pendiente"/>
  </r>
  <r>
    <x v="82"/>
    <x v="10"/>
    <s v="TX-104465"/>
    <x v="3"/>
    <x v="0"/>
    <x v="7"/>
    <n v="12224.88"/>
    <n v="0"/>
    <x v="4460"/>
    <x v="2"/>
    <s v="Cuenta Corriente"/>
    <s v="Transferencia"/>
    <s v="Pagado"/>
  </r>
  <r>
    <x v="223"/>
    <x v="0"/>
    <s v="TX-104466"/>
    <x v="15"/>
    <x v="0"/>
    <x v="5"/>
    <n v="10916.01"/>
    <n v="0"/>
    <x v="4461"/>
    <x v="3"/>
    <s v="Cuenta Ahorros"/>
    <s v="Efectivo"/>
    <s v="Pendiente"/>
  </r>
  <r>
    <x v="195"/>
    <x v="7"/>
    <s v="TX-104467"/>
    <x v="9"/>
    <x v="1"/>
    <x v="5"/>
    <n v="13599.1"/>
    <n v="1767.88"/>
    <x v="4462"/>
    <x v="2"/>
    <s v="Cuenta Ahorros"/>
    <s v="Tarjeta Crédito"/>
    <s v="Pagado"/>
  </r>
  <r>
    <x v="168"/>
    <x v="1"/>
    <s v="TX-104468"/>
    <x v="6"/>
    <x v="1"/>
    <x v="3"/>
    <n v="11892.29"/>
    <n v="1546"/>
    <x v="4463"/>
    <x v="0"/>
    <s v="Cuenta Ahorros"/>
    <s v="Tarjeta Débito"/>
    <s v="Pagado"/>
  </r>
  <r>
    <x v="57"/>
    <x v="10"/>
    <s v="TX-104469"/>
    <x v="3"/>
    <x v="0"/>
    <x v="0"/>
    <n v="7064.29"/>
    <n v="0"/>
    <x v="4464"/>
    <x v="3"/>
    <s v="Cuenta Corriente"/>
    <s v="Transferencia"/>
    <s v="Pagado"/>
  </r>
  <r>
    <x v="248"/>
    <x v="10"/>
    <s v="TX-104470"/>
    <x v="18"/>
    <x v="1"/>
    <x v="0"/>
    <n v="5749.05"/>
    <n v="747.38"/>
    <x v="4465"/>
    <x v="3"/>
    <s v="Cuenta Corriente"/>
    <s v="Tarjeta Crédito"/>
    <s v="Pendiente"/>
  </r>
  <r>
    <x v="225"/>
    <x v="4"/>
    <s v="TX-104471"/>
    <x v="9"/>
    <x v="0"/>
    <x v="4"/>
    <n v="4257.26"/>
    <n v="0"/>
    <x v="4466"/>
    <x v="3"/>
    <s v="Cuenta Ahorros"/>
    <s v="Transferencia"/>
    <s v="Pendiente"/>
  </r>
  <r>
    <x v="328"/>
    <x v="11"/>
    <s v="TX-104472"/>
    <x v="19"/>
    <x v="1"/>
    <x v="4"/>
    <n v="13621.39"/>
    <n v="1770.78"/>
    <x v="4467"/>
    <x v="0"/>
    <s v="Tarjeta Crédito Empresarial"/>
    <s v="Transferencia"/>
    <s v="Pagado"/>
  </r>
  <r>
    <x v="302"/>
    <x v="8"/>
    <s v="TX-104473"/>
    <x v="15"/>
    <x v="1"/>
    <x v="1"/>
    <n v="9373.2800000000007"/>
    <n v="1218.53"/>
    <x v="4468"/>
    <x v="3"/>
    <s v="Tarjeta Crédito Empresarial"/>
    <s v="Efectivo"/>
    <s v="Pagado"/>
  </r>
  <r>
    <x v="302"/>
    <x v="8"/>
    <s v="TX-104474"/>
    <x v="17"/>
    <x v="1"/>
    <x v="3"/>
    <n v="13452.37"/>
    <n v="1748.81"/>
    <x v="4469"/>
    <x v="1"/>
    <s v="Cuenta Corriente"/>
    <s v="Transferencia"/>
    <s v="Pendiente"/>
  </r>
  <r>
    <x v="213"/>
    <x v="3"/>
    <s v="TX-104475"/>
    <x v="16"/>
    <x v="0"/>
    <x v="5"/>
    <n v="14556.72"/>
    <n v="0"/>
    <x v="4470"/>
    <x v="1"/>
    <s v="Cuenta Corriente"/>
    <s v="Transferencia"/>
    <s v="Pendiente"/>
  </r>
  <r>
    <x v="251"/>
    <x v="1"/>
    <s v="TX-104476"/>
    <x v="4"/>
    <x v="1"/>
    <x v="4"/>
    <n v="14983.99"/>
    <n v="1947.92"/>
    <x v="4471"/>
    <x v="2"/>
    <s v="Tarjeta Crédito Empresarial"/>
    <s v="Efectivo"/>
    <s v="Pendiente"/>
  </r>
  <r>
    <x v="217"/>
    <x v="1"/>
    <s v="TX-104477"/>
    <x v="13"/>
    <x v="1"/>
    <x v="4"/>
    <n v="14977.05"/>
    <n v="1947.02"/>
    <x v="4472"/>
    <x v="4"/>
    <s v="Cuenta Corriente"/>
    <s v="Tarjeta Débito"/>
    <s v="Pagado"/>
  </r>
  <r>
    <x v="226"/>
    <x v="10"/>
    <s v="TX-104478"/>
    <x v="18"/>
    <x v="0"/>
    <x v="2"/>
    <n v="6737.48"/>
    <n v="0"/>
    <x v="4473"/>
    <x v="0"/>
    <s v="Tarjeta Crédito Empresarial"/>
    <s v="Efectivo"/>
    <s v="Pagado"/>
  </r>
  <r>
    <x v="188"/>
    <x v="6"/>
    <s v="TX-104479"/>
    <x v="9"/>
    <x v="0"/>
    <x v="7"/>
    <n v="6319.21"/>
    <n v="0"/>
    <x v="4474"/>
    <x v="3"/>
    <s v="Tarjeta Crédito Empresarial"/>
    <s v="Tarjeta Crédito"/>
    <s v="Pendiente"/>
  </r>
  <r>
    <x v="283"/>
    <x v="1"/>
    <s v="TX-104480"/>
    <x v="14"/>
    <x v="0"/>
    <x v="2"/>
    <n v="9006.2999999999993"/>
    <n v="0"/>
    <x v="4475"/>
    <x v="3"/>
    <s v="Cuenta Corriente"/>
    <s v="Tarjeta Débito"/>
    <s v="Pendiente"/>
  </r>
  <r>
    <x v="67"/>
    <x v="8"/>
    <s v="TX-104481"/>
    <x v="5"/>
    <x v="0"/>
    <x v="5"/>
    <n v="14750.49"/>
    <n v="0"/>
    <x v="4476"/>
    <x v="1"/>
    <s v="Tarjeta Crédito Empresarial"/>
    <s v="Efectivo"/>
    <s v="Pagado"/>
  </r>
  <r>
    <x v="340"/>
    <x v="2"/>
    <s v="TX-104482"/>
    <x v="2"/>
    <x v="0"/>
    <x v="5"/>
    <n v="6368.53"/>
    <n v="0"/>
    <x v="4477"/>
    <x v="4"/>
    <s v="Tarjeta Crédito Empresarial"/>
    <s v="Tarjeta Crédito"/>
    <s v="Pendiente"/>
  </r>
  <r>
    <x v="195"/>
    <x v="7"/>
    <s v="TX-104483"/>
    <x v="12"/>
    <x v="0"/>
    <x v="4"/>
    <n v="8096.22"/>
    <n v="0"/>
    <x v="4478"/>
    <x v="3"/>
    <s v="Cuenta Corriente"/>
    <s v="Transferencia"/>
    <s v="Pagado"/>
  </r>
  <r>
    <x v="95"/>
    <x v="4"/>
    <s v="TX-104484"/>
    <x v="3"/>
    <x v="0"/>
    <x v="7"/>
    <n v="6110.73"/>
    <n v="0"/>
    <x v="4479"/>
    <x v="3"/>
    <s v="Tarjeta Crédito Empresarial"/>
    <s v="Tarjeta Crédito"/>
    <s v="Pagado"/>
  </r>
  <r>
    <x v="46"/>
    <x v="4"/>
    <s v="TX-104485"/>
    <x v="19"/>
    <x v="0"/>
    <x v="6"/>
    <n v="12099.47"/>
    <n v="0"/>
    <x v="4480"/>
    <x v="4"/>
    <s v="Cuenta Corriente"/>
    <s v="Efectivo"/>
    <s v="Pendiente"/>
  </r>
  <r>
    <x v="344"/>
    <x v="8"/>
    <s v="TX-104486"/>
    <x v="11"/>
    <x v="1"/>
    <x v="7"/>
    <n v="3671.09"/>
    <n v="477.24"/>
    <x v="4481"/>
    <x v="2"/>
    <s v="Cuenta Corriente"/>
    <s v="Tarjeta Crédito"/>
    <s v="Pagado"/>
  </r>
  <r>
    <x v="268"/>
    <x v="2"/>
    <s v="TX-104487"/>
    <x v="14"/>
    <x v="0"/>
    <x v="0"/>
    <n v="3804.17"/>
    <n v="0"/>
    <x v="4482"/>
    <x v="3"/>
    <s v="Tarjeta Crédito Empresarial"/>
    <s v="Tarjeta Débito"/>
    <s v="Pendiente"/>
  </r>
  <r>
    <x v="282"/>
    <x v="2"/>
    <s v="TX-104488"/>
    <x v="2"/>
    <x v="0"/>
    <x v="6"/>
    <n v="14149.95"/>
    <n v="0"/>
    <x v="4483"/>
    <x v="0"/>
    <s v="Cuenta Corriente"/>
    <s v="Efectivo"/>
    <s v="Pagado"/>
  </r>
  <r>
    <x v="260"/>
    <x v="4"/>
    <s v="TX-104489"/>
    <x v="3"/>
    <x v="1"/>
    <x v="1"/>
    <n v="6333.74"/>
    <n v="823.39"/>
    <x v="4484"/>
    <x v="2"/>
    <s v="Cuenta Ahorros"/>
    <s v="Transferencia"/>
    <s v="Pendiente"/>
  </r>
  <r>
    <x v="238"/>
    <x v="5"/>
    <s v="TX-104490"/>
    <x v="19"/>
    <x v="0"/>
    <x v="1"/>
    <n v="7164.04"/>
    <n v="0"/>
    <x v="4485"/>
    <x v="0"/>
    <s v="Cuenta Corriente"/>
    <s v="Efectivo"/>
    <s v="Pagado"/>
  </r>
  <r>
    <x v="358"/>
    <x v="8"/>
    <s v="TX-104491"/>
    <x v="8"/>
    <x v="0"/>
    <x v="5"/>
    <n v="8669.2800000000007"/>
    <n v="0"/>
    <x v="4486"/>
    <x v="3"/>
    <s v="Cuenta Ahorros"/>
    <s v="Tarjeta Débito"/>
    <s v="Pendiente"/>
  </r>
  <r>
    <x v="53"/>
    <x v="3"/>
    <s v="TX-104492"/>
    <x v="12"/>
    <x v="0"/>
    <x v="1"/>
    <n v="7877.47"/>
    <n v="0"/>
    <x v="4487"/>
    <x v="2"/>
    <s v="Tarjeta Crédito Empresarial"/>
    <s v="Tarjeta Débito"/>
    <s v="Pagado"/>
  </r>
  <r>
    <x v="201"/>
    <x v="8"/>
    <s v="TX-104493"/>
    <x v="16"/>
    <x v="1"/>
    <x v="2"/>
    <n v="14580.8"/>
    <n v="1895.5"/>
    <x v="4488"/>
    <x v="2"/>
    <s v="Cuenta Corriente"/>
    <s v="Transferencia"/>
    <s v="Pagado"/>
  </r>
  <r>
    <x v="355"/>
    <x v="7"/>
    <s v="TX-104494"/>
    <x v="12"/>
    <x v="1"/>
    <x v="7"/>
    <n v="11221.61"/>
    <n v="1458.81"/>
    <x v="4489"/>
    <x v="2"/>
    <s v="Cuenta Corriente"/>
    <s v="Tarjeta Crédito"/>
    <s v="Pendiente"/>
  </r>
  <r>
    <x v="196"/>
    <x v="11"/>
    <s v="TX-104495"/>
    <x v="8"/>
    <x v="0"/>
    <x v="3"/>
    <n v="3212.58"/>
    <n v="0"/>
    <x v="4490"/>
    <x v="3"/>
    <s v="Cuenta Corriente"/>
    <s v="Efectivo"/>
    <s v="Pendiente"/>
  </r>
  <r>
    <x v="341"/>
    <x v="7"/>
    <s v="TX-104496"/>
    <x v="11"/>
    <x v="1"/>
    <x v="6"/>
    <n v="3760.19"/>
    <n v="488.82"/>
    <x v="4491"/>
    <x v="0"/>
    <s v="Tarjeta Crédito Empresarial"/>
    <s v="Transferencia"/>
    <s v="Pagado"/>
  </r>
  <r>
    <x v="120"/>
    <x v="3"/>
    <s v="TX-104497"/>
    <x v="5"/>
    <x v="0"/>
    <x v="6"/>
    <n v="6820.87"/>
    <n v="0"/>
    <x v="4492"/>
    <x v="4"/>
    <s v="Tarjeta Crédito Empresarial"/>
    <s v="Efectivo"/>
    <s v="Pendiente"/>
  </r>
  <r>
    <x v="351"/>
    <x v="9"/>
    <s v="TX-104498"/>
    <x v="17"/>
    <x v="0"/>
    <x v="2"/>
    <n v="2420.06"/>
    <n v="0"/>
    <x v="4493"/>
    <x v="1"/>
    <s v="Cuenta Corriente"/>
    <s v="Tarjeta Débito"/>
    <s v="Pagado"/>
  </r>
  <r>
    <x v="365"/>
    <x v="4"/>
    <s v="TX-104499"/>
    <x v="11"/>
    <x v="1"/>
    <x v="4"/>
    <n v="11585.58"/>
    <n v="1506.13"/>
    <x v="4494"/>
    <x v="2"/>
    <s v="Cuenta Corriente"/>
    <s v="Efectivo"/>
    <s v="Pagado"/>
  </r>
  <r>
    <x v="238"/>
    <x v="5"/>
    <s v="TX-104500"/>
    <x v="11"/>
    <x v="1"/>
    <x v="7"/>
    <n v="1173.82"/>
    <n v="152.6"/>
    <x v="4495"/>
    <x v="1"/>
    <s v="Cuenta Corriente"/>
    <s v="Efectivo"/>
    <s v="Pagado"/>
  </r>
  <r>
    <x v="256"/>
    <x v="5"/>
    <s v="TX-104501"/>
    <x v="8"/>
    <x v="1"/>
    <x v="1"/>
    <n v="14269.95"/>
    <n v="1855.09"/>
    <x v="4496"/>
    <x v="0"/>
    <s v="Cuenta Corriente"/>
    <s v="Tarjeta Débito"/>
    <s v="Pagado"/>
  </r>
  <r>
    <x v="285"/>
    <x v="5"/>
    <s v="TX-104502"/>
    <x v="15"/>
    <x v="1"/>
    <x v="3"/>
    <n v="269.91000000000003"/>
    <n v="35.090000000000003"/>
    <x v="4497"/>
    <x v="4"/>
    <s v="Cuenta Ahorros"/>
    <s v="Tarjeta Crédito"/>
    <s v="Pendiente"/>
  </r>
  <r>
    <x v="31"/>
    <x v="6"/>
    <s v="TX-104503"/>
    <x v="0"/>
    <x v="1"/>
    <x v="3"/>
    <n v="9781.3799999999992"/>
    <n v="1271.58"/>
    <x v="4498"/>
    <x v="3"/>
    <s v="Cuenta Ahorros"/>
    <s v="Efectivo"/>
    <s v="Pendiente"/>
  </r>
  <r>
    <x v="205"/>
    <x v="3"/>
    <s v="TX-104504"/>
    <x v="16"/>
    <x v="0"/>
    <x v="1"/>
    <n v="10314.379999999999"/>
    <n v="0"/>
    <x v="4499"/>
    <x v="0"/>
    <s v="Cuenta Ahorros"/>
    <s v="Transferencia"/>
    <s v="Pagado"/>
  </r>
  <r>
    <x v="335"/>
    <x v="10"/>
    <s v="TX-104505"/>
    <x v="3"/>
    <x v="1"/>
    <x v="1"/>
    <n v="10176.549999999999"/>
    <n v="1322.95"/>
    <x v="4500"/>
    <x v="0"/>
    <s v="Tarjeta Crédito Empresarial"/>
    <s v="Efectivo"/>
    <s v="Pagado"/>
  </r>
  <r>
    <x v="38"/>
    <x v="6"/>
    <s v="TX-104506"/>
    <x v="1"/>
    <x v="1"/>
    <x v="7"/>
    <n v="1536.96"/>
    <n v="199.8"/>
    <x v="4501"/>
    <x v="4"/>
    <s v="Cuenta Corriente"/>
    <s v="Efectivo"/>
    <s v="Pagado"/>
  </r>
  <r>
    <x v="52"/>
    <x v="5"/>
    <s v="TX-104507"/>
    <x v="15"/>
    <x v="1"/>
    <x v="6"/>
    <n v="14724.31"/>
    <n v="1914.16"/>
    <x v="4502"/>
    <x v="0"/>
    <s v="Cuenta Ahorros"/>
    <s v="Tarjeta Crédito"/>
    <s v="Pendiente"/>
  </r>
  <r>
    <x v="340"/>
    <x v="2"/>
    <s v="TX-104508"/>
    <x v="6"/>
    <x v="1"/>
    <x v="2"/>
    <n v="12614.18"/>
    <n v="1639.84"/>
    <x v="4503"/>
    <x v="1"/>
    <s v="Tarjeta Crédito Empresarial"/>
    <s v="Efectivo"/>
    <s v="Pendiente"/>
  </r>
  <r>
    <x v="198"/>
    <x v="0"/>
    <s v="TX-104509"/>
    <x v="12"/>
    <x v="1"/>
    <x v="2"/>
    <n v="10740.79"/>
    <n v="1396.3"/>
    <x v="4504"/>
    <x v="0"/>
    <s v="Cuenta Corriente"/>
    <s v="Tarjeta Crédito"/>
    <s v="Pagado"/>
  </r>
  <r>
    <x v="196"/>
    <x v="11"/>
    <s v="TX-104510"/>
    <x v="12"/>
    <x v="1"/>
    <x v="7"/>
    <n v="8571.42"/>
    <n v="1114.28"/>
    <x v="4505"/>
    <x v="2"/>
    <s v="Cuenta Ahorros"/>
    <s v="Tarjeta Crédito"/>
    <s v="Pagado"/>
  </r>
  <r>
    <x v="286"/>
    <x v="11"/>
    <s v="TX-104511"/>
    <x v="11"/>
    <x v="1"/>
    <x v="1"/>
    <n v="1032.32"/>
    <n v="134.19999999999999"/>
    <x v="4506"/>
    <x v="1"/>
    <s v="Cuenta Ahorros"/>
    <s v="Efectivo"/>
    <s v="Pagado"/>
  </r>
  <r>
    <x v="115"/>
    <x v="3"/>
    <s v="TX-104512"/>
    <x v="5"/>
    <x v="1"/>
    <x v="2"/>
    <n v="2434.36"/>
    <n v="316.47000000000003"/>
    <x v="4507"/>
    <x v="2"/>
    <s v="Tarjeta Crédito Empresarial"/>
    <s v="Efectivo"/>
    <s v="Pendiente"/>
  </r>
  <r>
    <x v="8"/>
    <x v="7"/>
    <s v="TX-104513"/>
    <x v="10"/>
    <x v="1"/>
    <x v="1"/>
    <n v="2010.62"/>
    <n v="261.38"/>
    <x v="4508"/>
    <x v="3"/>
    <s v="Cuenta Corriente"/>
    <s v="Transferencia"/>
    <s v="Pendiente"/>
  </r>
  <r>
    <x v="175"/>
    <x v="4"/>
    <s v="TX-104514"/>
    <x v="6"/>
    <x v="1"/>
    <x v="4"/>
    <n v="2707.12"/>
    <n v="351.93"/>
    <x v="4509"/>
    <x v="4"/>
    <s v="Cuenta Ahorros"/>
    <s v="Tarjeta Crédito"/>
    <s v="Pagado"/>
  </r>
  <r>
    <x v="257"/>
    <x v="7"/>
    <s v="TX-104515"/>
    <x v="11"/>
    <x v="0"/>
    <x v="5"/>
    <n v="411.43"/>
    <n v="0"/>
    <x v="4510"/>
    <x v="3"/>
    <s v="Cuenta Ahorros"/>
    <s v="Transferencia"/>
    <s v="Pendiente"/>
  </r>
  <r>
    <x v="234"/>
    <x v="0"/>
    <s v="TX-104516"/>
    <x v="16"/>
    <x v="0"/>
    <x v="5"/>
    <n v="13158.42"/>
    <n v="0"/>
    <x v="4511"/>
    <x v="0"/>
    <s v="Tarjeta Crédito Empresarial"/>
    <s v="Transferencia"/>
    <s v="Pagado"/>
  </r>
  <r>
    <x v="185"/>
    <x v="0"/>
    <s v="TX-104517"/>
    <x v="12"/>
    <x v="1"/>
    <x v="1"/>
    <n v="328.11"/>
    <n v="42.65"/>
    <x v="4512"/>
    <x v="1"/>
    <s v="Tarjeta Crédito Empresarial"/>
    <s v="Tarjeta Débito"/>
    <s v="Pendiente"/>
  </r>
  <r>
    <x v="166"/>
    <x v="10"/>
    <s v="TX-104518"/>
    <x v="5"/>
    <x v="0"/>
    <x v="5"/>
    <n v="2383.71"/>
    <n v="0"/>
    <x v="4513"/>
    <x v="3"/>
    <s v="Cuenta Corriente"/>
    <s v="Tarjeta Débito"/>
    <s v="Pendiente"/>
  </r>
  <r>
    <x v="356"/>
    <x v="9"/>
    <s v="TX-104519"/>
    <x v="14"/>
    <x v="1"/>
    <x v="2"/>
    <n v="12496.18"/>
    <n v="1624.5"/>
    <x v="4514"/>
    <x v="3"/>
    <s v="Cuenta Corriente"/>
    <s v="Tarjeta Crédito"/>
    <s v="Pendiente"/>
  </r>
  <r>
    <x v="212"/>
    <x v="8"/>
    <s v="TX-104520"/>
    <x v="18"/>
    <x v="1"/>
    <x v="3"/>
    <n v="586.03"/>
    <n v="76.180000000000007"/>
    <x v="4515"/>
    <x v="1"/>
    <s v="Cuenta Corriente"/>
    <s v="Efectivo"/>
    <s v="Pagado"/>
  </r>
  <r>
    <x v="112"/>
    <x v="10"/>
    <s v="TX-104521"/>
    <x v="9"/>
    <x v="0"/>
    <x v="1"/>
    <n v="10456.82"/>
    <n v="0"/>
    <x v="4516"/>
    <x v="0"/>
    <s v="Cuenta Corriente"/>
    <s v="Efectivo"/>
    <s v="Pagado"/>
  </r>
  <r>
    <x v="159"/>
    <x v="0"/>
    <s v="TX-104522"/>
    <x v="12"/>
    <x v="1"/>
    <x v="0"/>
    <n v="5468.18"/>
    <n v="710.86"/>
    <x v="4517"/>
    <x v="1"/>
    <s v="Tarjeta Crédito Empresarial"/>
    <s v="Tarjeta Débito"/>
    <s v="Pendiente"/>
  </r>
  <r>
    <x v="275"/>
    <x v="10"/>
    <s v="TX-104523"/>
    <x v="3"/>
    <x v="1"/>
    <x v="1"/>
    <n v="4719.0200000000004"/>
    <n v="613.47"/>
    <x v="4518"/>
    <x v="2"/>
    <s v="Cuenta Ahorros"/>
    <s v="Transferencia"/>
    <s v="Pendiente"/>
  </r>
  <r>
    <x v="364"/>
    <x v="9"/>
    <s v="TX-104524"/>
    <x v="0"/>
    <x v="0"/>
    <x v="2"/>
    <n v="12161.53"/>
    <n v="0"/>
    <x v="4519"/>
    <x v="3"/>
    <s v="Cuenta Corriente"/>
    <s v="Tarjeta Débito"/>
    <s v="Pagado"/>
  </r>
  <r>
    <x v="171"/>
    <x v="10"/>
    <s v="TX-104525"/>
    <x v="19"/>
    <x v="0"/>
    <x v="7"/>
    <n v="3085.07"/>
    <n v="0"/>
    <x v="4520"/>
    <x v="4"/>
    <s v="Cuenta Ahorros"/>
    <s v="Transferencia"/>
    <s v="Pendiente"/>
  </r>
  <r>
    <x v="350"/>
    <x v="5"/>
    <s v="TX-104526"/>
    <x v="18"/>
    <x v="1"/>
    <x v="6"/>
    <n v="8527.59"/>
    <n v="1108.5899999999999"/>
    <x v="4521"/>
    <x v="1"/>
    <s v="Cuenta Ahorros"/>
    <s v="Tarjeta Crédito"/>
    <s v="Pagado"/>
  </r>
  <r>
    <x v="345"/>
    <x v="7"/>
    <s v="TX-104527"/>
    <x v="19"/>
    <x v="1"/>
    <x v="0"/>
    <n v="11940.59"/>
    <n v="1552.28"/>
    <x v="4522"/>
    <x v="0"/>
    <s v="Cuenta Ahorros"/>
    <s v="Efectivo"/>
    <s v="Pendiente"/>
  </r>
  <r>
    <x v="293"/>
    <x v="1"/>
    <s v="TX-104528"/>
    <x v="5"/>
    <x v="1"/>
    <x v="6"/>
    <n v="13110.21"/>
    <n v="1704.33"/>
    <x v="4523"/>
    <x v="3"/>
    <s v="Cuenta Corriente"/>
    <s v="Tarjeta Crédito"/>
    <s v="Pagado"/>
  </r>
  <r>
    <x v="199"/>
    <x v="0"/>
    <s v="TX-104529"/>
    <x v="16"/>
    <x v="0"/>
    <x v="7"/>
    <n v="5440.67"/>
    <n v="0"/>
    <x v="4524"/>
    <x v="2"/>
    <s v="Cuenta Ahorros"/>
    <s v="Tarjeta Débito"/>
    <s v="Pagado"/>
  </r>
  <r>
    <x v="293"/>
    <x v="1"/>
    <s v="TX-104530"/>
    <x v="7"/>
    <x v="0"/>
    <x v="1"/>
    <n v="14478.07"/>
    <n v="0"/>
    <x v="4525"/>
    <x v="4"/>
    <s v="Tarjeta Crédito Empresarial"/>
    <s v="Tarjeta Crédito"/>
    <s v="Pendiente"/>
  </r>
  <r>
    <x v="156"/>
    <x v="4"/>
    <s v="TX-104531"/>
    <x v="4"/>
    <x v="0"/>
    <x v="3"/>
    <n v="12912.2"/>
    <n v="0"/>
    <x v="4526"/>
    <x v="4"/>
    <s v="Cuenta Corriente"/>
    <s v="Transferencia"/>
    <s v="Pagado"/>
  </r>
  <r>
    <x v="54"/>
    <x v="3"/>
    <s v="TX-104532"/>
    <x v="14"/>
    <x v="1"/>
    <x v="5"/>
    <n v="82.75"/>
    <n v="10.76"/>
    <x v="4527"/>
    <x v="2"/>
    <s v="Cuenta Corriente"/>
    <s v="Transferencia"/>
    <s v="Pendiente"/>
  </r>
  <r>
    <x v="321"/>
    <x v="1"/>
    <s v="TX-104533"/>
    <x v="19"/>
    <x v="1"/>
    <x v="7"/>
    <n v="11496.27"/>
    <n v="1494.52"/>
    <x v="4528"/>
    <x v="1"/>
    <s v="Cuenta Ahorros"/>
    <s v="Transferencia"/>
    <s v="Pagado"/>
  </r>
  <r>
    <x v="354"/>
    <x v="4"/>
    <s v="TX-104534"/>
    <x v="13"/>
    <x v="0"/>
    <x v="6"/>
    <n v="12046.08"/>
    <n v="0"/>
    <x v="4529"/>
    <x v="1"/>
    <s v="Cuenta Corriente"/>
    <s v="Efectivo"/>
    <s v="Pagado"/>
  </r>
  <r>
    <x v="326"/>
    <x v="5"/>
    <s v="TX-104535"/>
    <x v="11"/>
    <x v="0"/>
    <x v="0"/>
    <n v="11013.86"/>
    <n v="0"/>
    <x v="4530"/>
    <x v="1"/>
    <s v="Cuenta Ahorros"/>
    <s v="Efectivo"/>
    <s v="Pendiente"/>
  </r>
  <r>
    <x v="24"/>
    <x v="10"/>
    <s v="TX-104536"/>
    <x v="0"/>
    <x v="1"/>
    <x v="1"/>
    <n v="3893.52"/>
    <n v="506.16"/>
    <x v="4531"/>
    <x v="1"/>
    <s v="Cuenta Corriente"/>
    <s v="Transferencia"/>
    <s v="Pagado"/>
  </r>
  <r>
    <x v="92"/>
    <x v="4"/>
    <s v="TX-104537"/>
    <x v="8"/>
    <x v="1"/>
    <x v="4"/>
    <n v="7343.9"/>
    <n v="954.71"/>
    <x v="4532"/>
    <x v="3"/>
    <s v="Cuenta Ahorros"/>
    <s v="Tarjeta Crédito"/>
    <s v="Pagado"/>
  </r>
  <r>
    <x v="266"/>
    <x v="0"/>
    <s v="TX-104538"/>
    <x v="18"/>
    <x v="0"/>
    <x v="4"/>
    <n v="5089.88"/>
    <n v="0"/>
    <x v="4533"/>
    <x v="2"/>
    <s v="Cuenta Ahorros"/>
    <s v="Tarjeta Crédito"/>
    <s v="Pendiente"/>
  </r>
  <r>
    <x v="119"/>
    <x v="6"/>
    <s v="TX-104539"/>
    <x v="11"/>
    <x v="1"/>
    <x v="1"/>
    <n v="2219.9499999999998"/>
    <n v="288.58999999999997"/>
    <x v="4534"/>
    <x v="3"/>
    <s v="Cuenta Ahorros"/>
    <s v="Tarjeta Crédito"/>
    <s v="Pendiente"/>
  </r>
  <r>
    <x v="309"/>
    <x v="4"/>
    <s v="TX-104540"/>
    <x v="12"/>
    <x v="0"/>
    <x v="3"/>
    <n v="13673.51"/>
    <n v="0"/>
    <x v="4535"/>
    <x v="4"/>
    <s v="Cuenta Ahorros"/>
    <s v="Tarjeta Débito"/>
    <s v="Pendiente"/>
  </r>
  <r>
    <x v="316"/>
    <x v="6"/>
    <s v="TX-104541"/>
    <x v="15"/>
    <x v="1"/>
    <x v="1"/>
    <n v="14311.33"/>
    <n v="1860.47"/>
    <x v="4536"/>
    <x v="3"/>
    <s v="Tarjeta Crédito Empresarial"/>
    <s v="Tarjeta Débito"/>
    <s v="Pendiente"/>
  </r>
  <r>
    <x v="41"/>
    <x v="5"/>
    <s v="TX-104542"/>
    <x v="10"/>
    <x v="1"/>
    <x v="4"/>
    <n v="10661"/>
    <n v="1385.93"/>
    <x v="4537"/>
    <x v="2"/>
    <s v="Cuenta Ahorros"/>
    <s v="Transferencia"/>
    <s v="Pagado"/>
  </r>
  <r>
    <x v="64"/>
    <x v="11"/>
    <s v="TX-104543"/>
    <x v="15"/>
    <x v="1"/>
    <x v="7"/>
    <n v="4469.24"/>
    <n v="581"/>
    <x v="4538"/>
    <x v="3"/>
    <s v="Cuenta Ahorros"/>
    <s v="Transferencia"/>
    <s v="Pagado"/>
  </r>
  <r>
    <x v="294"/>
    <x v="7"/>
    <s v="TX-104544"/>
    <x v="3"/>
    <x v="1"/>
    <x v="6"/>
    <n v="4878.8500000000004"/>
    <n v="634.25"/>
    <x v="4539"/>
    <x v="3"/>
    <s v="Cuenta Corriente"/>
    <s v="Tarjeta Crédito"/>
    <s v="Pagado"/>
  </r>
  <r>
    <x v="259"/>
    <x v="10"/>
    <s v="TX-104545"/>
    <x v="7"/>
    <x v="1"/>
    <x v="5"/>
    <n v="8212.5400000000009"/>
    <n v="1067.6300000000001"/>
    <x v="4540"/>
    <x v="2"/>
    <s v="Cuenta Ahorros"/>
    <s v="Transferencia"/>
    <s v="Pendiente"/>
  </r>
  <r>
    <x v="272"/>
    <x v="8"/>
    <s v="TX-104546"/>
    <x v="17"/>
    <x v="1"/>
    <x v="2"/>
    <n v="5856.1"/>
    <n v="761.29"/>
    <x v="4541"/>
    <x v="0"/>
    <s v="Cuenta Corriente"/>
    <s v="Tarjeta Crédito"/>
    <s v="Pendiente"/>
  </r>
  <r>
    <x v="142"/>
    <x v="7"/>
    <s v="TX-104547"/>
    <x v="11"/>
    <x v="1"/>
    <x v="7"/>
    <n v="2859.53"/>
    <n v="371.74"/>
    <x v="4542"/>
    <x v="4"/>
    <s v="Tarjeta Crédito Empresarial"/>
    <s v="Efectivo"/>
    <s v="Pagado"/>
  </r>
  <r>
    <x v="58"/>
    <x v="9"/>
    <s v="TX-104548"/>
    <x v="11"/>
    <x v="1"/>
    <x v="3"/>
    <n v="9793.27"/>
    <n v="1273.1300000000001"/>
    <x v="4543"/>
    <x v="1"/>
    <s v="Cuenta Corriente"/>
    <s v="Tarjeta Débito"/>
    <s v="Pagado"/>
  </r>
  <r>
    <x v="137"/>
    <x v="11"/>
    <s v="TX-104549"/>
    <x v="17"/>
    <x v="0"/>
    <x v="4"/>
    <n v="10826.75"/>
    <n v="0"/>
    <x v="4544"/>
    <x v="1"/>
    <s v="Cuenta Ahorros"/>
    <s v="Efectivo"/>
    <s v="Pendiente"/>
  </r>
  <r>
    <x v="129"/>
    <x v="9"/>
    <s v="TX-104550"/>
    <x v="16"/>
    <x v="0"/>
    <x v="1"/>
    <n v="8348.4500000000007"/>
    <n v="0"/>
    <x v="4545"/>
    <x v="3"/>
    <s v="Tarjeta Crédito Empresarial"/>
    <s v="Transferencia"/>
    <s v="Pendiente"/>
  </r>
  <r>
    <x v="63"/>
    <x v="1"/>
    <s v="TX-104551"/>
    <x v="19"/>
    <x v="1"/>
    <x v="6"/>
    <n v="7054.18"/>
    <n v="917.04"/>
    <x v="4546"/>
    <x v="0"/>
    <s v="Tarjeta Crédito Empresarial"/>
    <s v="Tarjeta Débito"/>
    <s v="Pendiente"/>
  </r>
  <r>
    <x v="158"/>
    <x v="0"/>
    <s v="TX-104552"/>
    <x v="0"/>
    <x v="1"/>
    <x v="6"/>
    <n v="9448.2099999999991"/>
    <n v="1228.27"/>
    <x v="4547"/>
    <x v="2"/>
    <s v="Cuenta Corriente"/>
    <s v="Tarjeta Débito"/>
    <s v="Pendiente"/>
  </r>
  <r>
    <x v="315"/>
    <x v="5"/>
    <s v="TX-104553"/>
    <x v="16"/>
    <x v="1"/>
    <x v="0"/>
    <n v="2825.58"/>
    <n v="367.33"/>
    <x v="4548"/>
    <x v="0"/>
    <s v="Cuenta Ahorros"/>
    <s v="Tarjeta Crédito"/>
    <s v="Pagado"/>
  </r>
  <r>
    <x v="258"/>
    <x v="7"/>
    <s v="TX-104554"/>
    <x v="19"/>
    <x v="1"/>
    <x v="6"/>
    <n v="2825.86"/>
    <n v="367.36"/>
    <x v="4549"/>
    <x v="0"/>
    <s v="Cuenta Corriente"/>
    <s v="Tarjeta Crédito"/>
    <s v="Pagado"/>
  </r>
  <r>
    <x v="16"/>
    <x v="5"/>
    <s v="TX-104555"/>
    <x v="15"/>
    <x v="0"/>
    <x v="0"/>
    <n v="13348.92"/>
    <n v="0"/>
    <x v="4550"/>
    <x v="0"/>
    <s v="Cuenta Corriente"/>
    <s v="Transferencia"/>
    <s v="Pagado"/>
  </r>
  <r>
    <x v="303"/>
    <x v="8"/>
    <s v="TX-104556"/>
    <x v="10"/>
    <x v="1"/>
    <x v="3"/>
    <n v="9578.33"/>
    <n v="1245.18"/>
    <x v="4551"/>
    <x v="1"/>
    <s v="Tarjeta Crédito Empresarial"/>
    <s v="Tarjeta Débito"/>
    <s v="Pagado"/>
  </r>
  <r>
    <x v="5"/>
    <x v="0"/>
    <s v="TX-104557"/>
    <x v="0"/>
    <x v="0"/>
    <x v="1"/>
    <n v="12676.75"/>
    <n v="0"/>
    <x v="4552"/>
    <x v="0"/>
    <s v="Cuenta Ahorros"/>
    <s v="Transferencia"/>
    <s v="Pendiente"/>
  </r>
  <r>
    <x v="287"/>
    <x v="4"/>
    <s v="TX-104558"/>
    <x v="17"/>
    <x v="0"/>
    <x v="6"/>
    <n v="14046.29"/>
    <n v="0"/>
    <x v="4553"/>
    <x v="3"/>
    <s v="Cuenta Ahorros"/>
    <s v="Transferencia"/>
    <s v="Pendiente"/>
  </r>
  <r>
    <x v="191"/>
    <x v="10"/>
    <s v="TX-104559"/>
    <x v="11"/>
    <x v="0"/>
    <x v="3"/>
    <n v="7088.82"/>
    <n v="0"/>
    <x v="4554"/>
    <x v="2"/>
    <s v="Cuenta Corriente"/>
    <s v="Transferencia"/>
    <s v="Pendiente"/>
  </r>
  <r>
    <x v="360"/>
    <x v="6"/>
    <s v="TX-104560"/>
    <x v="7"/>
    <x v="0"/>
    <x v="3"/>
    <n v="9143.84"/>
    <n v="0"/>
    <x v="4555"/>
    <x v="1"/>
    <s v="Tarjeta Crédito Empresarial"/>
    <s v="Tarjeta Débito"/>
    <s v="Pendiente"/>
  </r>
  <r>
    <x v="257"/>
    <x v="7"/>
    <s v="TX-104561"/>
    <x v="15"/>
    <x v="1"/>
    <x v="5"/>
    <n v="10754.15"/>
    <n v="1398.04"/>
    <x v="4556"/>
    <x v="4"/>
    <s v="Cuenta Ahorros"/>
    <s v="Tarjeta Débito"/>
    <s v="Pendiente"/>
  </r>
  <r>
    <x v="60"/>
    <x v="3"/>
    <s v="TX-104562"/>
    <x v="5"/>
    <x v="1"/>
    <x v="1"/>
    <n v="4930.6499999999996"/>
    <n v="640.98"/>
    <x v="4557"/>
    <x v="2"/>
    <s v="Tarjeta Crédito Empresarial"/>
    <s v="Transferencia"/>
    <s v="Pendiente"/>
  </r>
  <r>
    <x v="272"/>
    <x v="8"/>
    <s v="TX-104563"/>
    <x v="5"/>
    <x v="0"/>
    <x v="0"/>
    <n v="364.81"/>
    <n v="0"/>
    <x v="4558"/>
    <x v="1"/>
    <s v="Tarjeta Crédito Empresarial"/>
    <s v="Tarjeta Débito"/>
    <s v="Pagado"/>
  </r>
  <r>
    <x v="58"/>
    <x v="9"/>
    <s v="TX-104564"/>
    <x v="7"/>
    <x v="1"/>
    <x v="3"/>
    <n v="549.23"/>
    <n v="71.400000000000006"/>
    <x v="4559"/>
    <x v="3"/>
    <s v="Tarjeta Crédito Empresarial"/>
    <s v="Transferencia"/>
    <s v="Pendiente"/>
  </r>
  <r>
    <x v="296"/>
    <x v="8"/>
    <s v="TX-104565"/>
    <x v="14"/>
    <x v="0"/>
    <x v="5"/>
    <n v="12992.19"/>
    <n v="0"/>
    <x v="4560"/>
    <x v="4"/>
    <s v="Cuenta Ahorros"/>
    <s v="Tarjeta Crédito"/>
    <s v="Pagado"/>
  </r>
  <r>
    <x v="198"/>
    <x v="0"/>
    <s v="TX-104566"/>
    <x v="12"/>
    <x v="1"/>
    <x v="2"/>
    <n v="3306.93"/>
    <n v="429.9"/>
    <x v="4561"/>
    <x v="0"/>
    <s v="Cuenta Ahorros"/>
    <s v="Tarjeta Débito"/>
    <s v="Pendiente"/>
  </r>
  <r>
    <x v="39"/>
    <x v="8"/>
    <s v="TX-104567"/>
    <x v="5"/>
    <x v="0"/>
    <x v="7"/>
    <n v="10750.42"/>
    <n v="0"/>
    <x v="4562"/>
    <x v="0"/>
    <s v="Cuenta Corriente"/>
    <s v="Efectivo"/>
    <s v="Pagado"/>
  </r>
  <r>
    <x v="150"/>
    <x v="2"/>
    <s v="TX-104568"/>
    <x v="1"/>
    <x v="0"/>
    <x v="7"/>
    <n v="5757.19"/>
    <n v="0"/>
    <x v="4563"/>
    <x v="3"/>
    <s v="Cuenta Ahorros"/>
    <s v="Tarjeta Débito"/>
    <s v="Pendiente"/>
  </r>
  <r>
    <x v="356"/>
    <x v="9"/>
    <s v="TX-104569"/>
    <x v="4"/>
    <x v="0"/>
    <x v="0"/>
    <n v="11008.14"/>
    <n v="0"/>
    <x v="4564"/>
    <x v="3"/>
    <s v="Cuenta Ahorros"/>
    <s v="Tarjeta Crédito"/>
    <s v="Pendiente"/>
  </r>
  <r>
    <x v="85"/>
    <x v="0"/>
    <s v="TX-104570"/>
    <x v="17"/>
    <x v="0"/>
    <x v="0"/>
    <n v="1009.96"/>
    <n v="0"/>
    <x v="4565"/>
    <x v="1"/>
    <s v="Tarjeta Crédito Empresarial"/>
    <s v="Tarjeta Crédito"/>
    <s v="Pagado"/>
  </r>
  <r>
    <x v="293"/>
    <x v="1"/>
    <s v="TX-104571"/>
    <x v="7"/>
    <x v="1"/>
    <x v="7"/>
    <n v="9574.4699999999993"/>
    <n v="1244.68"/>
    <x v="4566"/>
    <x v="3"/>
    <s v="Tarjeta Crédito Empresarial"/>
    <s v="Tarjeta Crédito"/>
    <s v="Pagado"/>
  </r>
  <r>
    <x v="147"/>
    <x v="3"/>
    <s v="TX-104572"/>
    <x v="0"/>
    <x v="1"/>
    <x v="4"/>
    <n v="8227.77"/>
    <n v="1069.6099999999999"/>
    <x v="4567"/>
    <x v="1"/>
    <s v="Tarjeta Crédito Empresarial"/>
    <s v="Transferencia"/>
    <s v="Pendiente"/>
  </r>
  <r>
    <x v="68"/>
    <x v="4"/>
    <s v="TX-104573"/>
    <x v="7"/>
    <x v="1"/>
    <x v="1"/>
    <n v="13356.06"/>
    <n v="1736.29"/>
    <x v="4568"/>
    <x v="3"/>
    <s v="Tarjeta Crédito Empresarial"/>
    <s v="Transferencia"/>
    <s v="Pagado"/>
  </r>
  <r>
    <x v="150"/>
    <x v="2"/>
    <s v="TX-104574"/>
    <x v="17"/>
    <x v="0"/>
    <x v="5"/>
    <n v="8358.41"/>
    <n v="0"/>
    <x v="4569"/>
    <x v="1"/>
    <s v="Cuenta Corriente"/>
    <s v="Efectivo"/>
    <s v="Pagado"/>
  </r>
  <r>
    <x v="207"/>
    <x v="8"/>
    <s v="TX-104575"/>
    <x v="7"/>
    <x v="1"/>
    <x v="7"/>
    <n v="3302.07"/>
    <n v="429.27"/>
    <x v="4570"/>
    <x v="4"/>
    <s v="Cuenta Corriente"/>
    <s v="Tarjeta Crédito"/>
    <s v="Pagado"/>
  </r>
  <r>
    <x v="30"/>
    <x v="2"/>
    <s v="TX-104576"/>
    <x v="11"/>
    <x v="1"/>
    <x v="0"/>
    <n v="6798.78"/>
    <n v="883.84"/>
    <x v="4571"/>
    <x v="4"/>
    <s v="Tarjeta Crédito Empresarial"/>
    <s v="Tarjeta Débito"/>
    <s v="Pagado"/>
  </r>
  <r>
    <x v="301"/>
    <x v="6"/>
    <s v="TX-104577"/>
    <x v="8"/>
    <x v="1"/>
    <x v="0"/>
    <n v="99.11"/>
    <n v="12.88"/>
    <x v="4572"/>
    <x v="0"/>
    <s v="Tarjeta Crédito Empresarial"/>
    <s v="Tarjeta Débito"/>
    <s v="Pendiente"/>
  </r>
  <r>
    <x v="309"/>
    <x v="4"/>
    <s v="TX-104578"/>
    <x v="1"/>
    <x v="0"/>
    <x v="4"/>
    <n v="7376.74"/>
    <n v="0"/>
    <x v="4573"/>
    <x v="0"/>
    <s v="Cuenta Corriente"/>
    <s v="Efectivo"/>
    <s v="Pagado"/>
  </r>
  <r>
    <x v="15"/>
    <x v="8"/>
    <s v="TX-104579"/>
    <x v="4"/>
    <x v="1"/>
    <x v="0"/>
    <n v="13172.95"/>
    <n v="1712.48"/>
    <x v="4574"/>
    <x v="4"/>
    <s v="Tarjeta Crédito Empresarial"/>
    <s v="Tarjeta Débito"/>
    <s v="Pendiente"/>
  </r>
  <r>
    <x v="353"/>
    <x v="7"/>
    <s v="TX-104580"/>
    <x v="11"/>
    <x v="1"/>
    <x v="6"/>
    <n v="5213.0600000000004"/>
    <n v="677.7"/>
    <x v="4575"/>
    <x v="0"/>
    <s v="Cuenta Corriente"/>
    <s v="Tarjeta Crédito"/>
    <s v="Pagado"/>
  </r>
  <r>
    <x v="266"/>
    <x v="0"/>
    <s v="TX-104581"/>
    <x v="14"/>
    <x v="1"/>
    <x v="0"/>
    <n v="5993"/>
    <n v="779.09"/>
    <x v="4576"/>
    <x v="1"/>
    <s v="Cuenta Corriente"/>
    <s v="Tarjeta Débito"/>
    <s v="Pagado"/>
  </r>
  <r>
    <x v="83"/>
    <x v="2"/>
    <s v="TX-104582"/>
    <x v="18"/>
    <x v="0"/>
    <x v="7"/>
    <n v="6084.78"/>
    <n v="0"/>
    <x v="4577"/>
    <x v="0"/>
    <s v="Cuenta Ahorros"/>
    <s v="Tarjeta Crédito"/>
    <s v="Pagado"/>
  </r>
  <r>
    <x v="270"/>
    <x v="0"/>
    <s v="TX-104583"/>
    <x v="16"/>
    <x v="0"/>
    <x v="4"/>
    <n v="7984.77"/>
    <n v="0"/>
    <x v="4578"/>
    <x v="3"/>
    <s v="Cuenta Ahorros"/>
    <s v="Transferencia"/>
    <s v="Pagado"/>
  </r>
  <r>
    <x v="363"/>
    <x v="11"/>
    <s v="TX-104584"/>
    <x v="15"/>
    <x v="0"/>
    <x v="2"/>
    <n v="2645.83"/>
    <n v="0"/>
    <x v="4579"/>
    <x v="4"/>
    <s v="Cuenta Ahorros"/>
    <s v="Tarjeta Débito"/>
    <s v="Pendiente"/>
  </r>
  <r>
    <x v="188"/>
    <x v="6"/>
    <s v="TX-104585"/>
    <x v="0"/>
    <x v="1"/>
    <x v="5"/>
    <n v="11817.85"/>
    <n v="1536.32"/>
    <x v="4580"/>
    <x v="0"/>
    <s v="Cuenta Corriente"/>
    <s v="Tarjeta Crédito"/>
    <s v="Pendiente"/>
  </r>
  <r>
    <x v="49"/>
    <x v="8"/>
    <s v="TX-104586"/>
    <x v="12"/>
    <x v="0"/>
    <x v="0"/>
    <n v="12421.65"/>
    <n v="0"/>
    <x v="4581"/>
    <x v="0"/>
    <s v="Tarjeta Crédito Empresarial"/>
    <s v="Tarjeta Débito"/>
    <s v="Pagado"/>
  </r>
  <r>
    <x v="363"/>
    <x v="11"/>
    <s v="TX-104587"/>
    <x v="0"/>
    <x v="0"/>
    <x v="5"/>
    <n v="9503.4699999999993"/>
    <n v="0"/>
    <x v="4582"/>
    <x v="1"/>
    <s v="Cuenta Corriente"/>
    <s v="Transferencia"/>
    <s v="Pendiente"/>
  </r>
  <r>
    <x v="180"/>
    <x v="3"/>
    <s v="TX-104588"/>
    <x v="16"/>
    <x v="1"/>
    <x v="1"/>
    <n v="12273.09"/>
    <n v="1595.5"/>
    <x v="4583"/>
    <x v="1"/>
    <s v="Tarjeta Crédito Empresarial"/>
    <s v="Transferencia"/>
    <s v="Pagado"/>
  </r>
  <r>
    <x v="95"/>
    <x v="4"/>
    <s v="TX-104589"/>
    <x v="7"/>
    <x v="0"/>
    <x v="1"/>
    <n v="14924.84"/>
    <n v="0"/>
    <x v="4584"/>
    <x v="3"/>
    <s v="Cuenta Corriente"/>
    <s v="Transferencia"/>
    <s v="Pendiente"/>
  </r>
  <r>
    <x v="262"/>
    <x v="10"/>
    <s v="TX-104590"/>
    <x v="13"/>
    <x v="1"/>
    <x v="5"/>
    <n v="605.37"/>
    <n v="78.7"/>
    <x v="4585"/>
    <x v="4"/>
    <s v="Cuenta Ahorros"/>
    <s v="Tarjeta Débito"/>
    <s v="Pendiente"/>
  </r>
  <r>
    <x v="272"/>
    <x v="8"/>
    <s v="TX-104591"/>
    <x v="17"/>
    <x v="0"/>
    <x v="3"/>
    <n v="2828"/>
    <n v="0"/>
    <x v="4586"/>
    <x v="0"/>
    <s v="Tarjeta Crédito Empresarial"/>
    <s v="Efectivo"/>
    <s v="Pagado"/>
  </r>
  <r>
    <x v="59"/>
    <x v="3"/>
    <s v="TX-104592"/>
    <x v="12"/>
    <x v="1"/>
    <x v="7"/>
    <n v="6914.92"/>
    <n v="898.94"/>
    <x v="4587"/>
    <x v="3"/>
    <s v="Tarjeta Crédito Empresarial"/>
    <s v="Efectivo"/>
    <s v="Pagado"/>
  </r>
  <r>
    <x v="163"/>
    <x v="10"/>
    <s v="TX-104593"/>
    <x v="18"/>
    <x v="1"/>
    <x v="3"/>
    <n v="8382.11"/>
    <n v="1089.67"/>
    <x v="4588"/>
    <x v="3"/>
    <s v="Cuenta Ahorros"/>
    <s v="Tarjeta Crédito"/>
    <s v="Pendiente"/>
  </r>
  <r>
    <x v="80"/>
    <x v="3"/>
    <s v="TX-104594"/>
    <x v="18"/>
    <x v="0"/>
    <x v="4"/>
    <n v="9684.02"/>
    <n v="0"/>
    <x v="4589"/>
    <x v="1"/>
    <s v="Tarjeta Crédito Empresarial"/>
    <s v="Tarjeta Débito"/>
    <s v="Pagado"/>
  </r>
  <r>
    <x v="149"/>
    <x v="11"/>
    <s v="TX-104595"/>
    <x v="8"/>
    <x v="0"/>
    <x v="2"/>
    <n v="13597.59"/>
    <n v="0"/>
    <x v="4590"/>
    <x v="2"/>
    <s v="Cuenta Ahorros"/>
    <s v="Tarjeta Débito"/>
    <s v="Pendiente"/>
  </r>
  <r>
    <x v="336"/>
    <x v="3"/>
    <s v="TX-104596"/>
    <x v="13"/>
    <x v="0"/>
    <x v="7"/>
    <n v="13343.48"/>
    <n v="0"/>
    <x v="4591"/>
    <x v="0"/>
    <s v="Cuenta Corriente"/>
    <s v="Tarjeta Crédito"/>
    <s v="Pendiente"/>
  </r>
  <r>
    <x v="356"/>
    <x v="9"/>
    <s v="TX-104597"/>
    <x v="15"/>
    <x v="1"/>
    <x v="0"/>
    <n v="6625.18"/>
    <n v="861.27"/>
    <x v="4592"/>
    <x v="0"/>
    <s v="Tarjeta Crédito Empresarial"/>
    <s v="Tarjeta Débito"/>
    <s v="Pagado"/>
  </r>
  <r>
    <x v="104"/>
    <x v="9"/>
    <s v="TX-104598"/>
    <x v="10"/>
    <x v="0"/>
    <x v="5"/>
    <n v="4066.66"/>
    <n v="0"/>
    <x v="4593"/>
    <x v="3"/>
    <s v="Cuenta Corriente"/>
    <s v="Tarjeta Crédito"/>
    <s v="Pendiente"/>
  </r>
  <r>
    <x v="138"/>
    <x v="11"/>
    <s v="TX-104599"/>
    <x v="10"/>
    <x v="1"/>
    <x v="2"/>
    <n v="14792.11"/>
    <n v="1922.97"/>
    <x v="4594"/>
    <x v="4"/>
    <s v="Tarjeta Crédito Empresarial"/>
    <s v="Tarjeta Crédito"/>
    <s v="Pagado"/>
  </r>
  <r>
    <x v="81"/>
    <x v="3"/>
    <s v="TX-104600"/>
    <x v="18"/>
    <x v="1"/>
    <x v="0"/>
    <n v="6600.47"/>
    <n v="858.06"/>
    <x v="4595"/>
    <x v="4"/>
    <s v="Cuenta Corriente"/>
    <s v="Tarjeta Crédito"/>
    <s v="Pagado"/>
  </r>
  <r>
    <x v="309"/>
    <x v="4"/>
    <s v="TX-104601"/>
    <x v="11"/>
    <x v="1"/>
    <x v="4"/>
    <n v="3247.37"/>
    <n v="422.16"/>
    <x v="4596"/>
    <x v="3"/>
    <s v="Tarjeta Crédito Empresarial"/>
    <s v="Tarjeta Débito"/>
    <s v="Pendiente"/>
  </r>
  <r>
    <x v="323"/>
    <x v="2"/>
    <s v="TX-104602"/>
    <x v="11"/>
    <x v="0"/>
    <x v="6"/>
    <n v="4819.37"/>
    <n v="0"/>
    <x v="4597"/>
    <x v="3"/>
    <s v="Tarjeta Crédito Empresarial"/>
    <s v="Efectivo"/>
    <s v="Pagado"/>
  </r>
  <r>
    <x v="258"/>
    <x v="7"/>
    <s v="TX-104603"/>
    <x v="10"/>
    <x v="0"/>
    <x v="0"/>
    <n v="9388.4500000000007"/>
    <n v="0"/>
    <x v="4598"/>
    <x v="3"/>
    <s v="Cuenta Corriente"/>
    <s v="Tarjeta Débito"/>
    <s v="Pendiente"/>
  </r>
  <r>
    <x v="338"/>
    <x v="7"/>
    <s v="TX-104604"/>
    <x v="14"/>
    <x v="0"/>
    <x v="6"/>
    <n v="8841.39"/>
    <n v="0"/>
    <x v="4599"/>
    <x v="2"/>
    <s v="Cuenta Corriente"/>
    <s v="Transferencia"/>
    <s v="Pendiente"/>
  </r>
  <r>
    <x v="276"/>
    <x v="9"/>
    <s v="TX-104605"/>
    <x v="13"/>
    <x v="0"/>
    <x v="6"/>
    <n v="4824.18"/>
    <n v="0"/>
    <x v="4600"/>
    <x v="0"/>
    <s v="Cuenta Ahorros"/>
    <s v="Tarjeta Débito"/>
    <s v="Pagado"/>
  </r>
  <r>
    <x v="215"/>
    <x v="3"/>
    <s v="TX-104606"/>
    <x v="0"/>
    <x v="0"/>
    <x v="1"/>
    <n v="11774.03"/>
    <n v="0"/>
    <x v="4601"/>
    <x v="3"/>
    <s v="Cuenta Ahorros"/>
    <s v="Tarjeta Crédito"/>
    <s v="Pendiente"/>
  </r>
  <r>
    <x v="60"/>
    <x v="3"/>
    <s v="TX-104607"/>
    <x v="11"/>
    <x v="0"/>
    <x v="2"/>
    <n v="809.36"/>
    <n v="0"/>
    <x v="4602"/>
    <x v="3"/>
    <s v="Cuenta Corriente"/>
    <s v="Efectivo"/>
    <s v="Pendiente"/>
  </r>
  <r>
    <x v="154"/>
    <x v="0"/>
    <s v="TX-104608"/>
    <x v="15"/>
    <x v="1"/>
    <x v="6"/>
    <n v="2945.5"/>
    <n v="382.92"/>
    <x v="4603"/>
    <x v="1"/>
    <s v="Cuenta Ahorros"/>
    <s v="Efectivo"/>
    <s v="Pagado"/>
  </r>
  <r>
    <x v="303"/>
    <x v="8"/>
    <s v="TX-104609"/>
    <x v="9"/>
    <x v="0"/>
    <x v="6"/>
    <n v="5680.23"/>
    <n v="0"/>
    <x v="4604"/>
    <x v="0"/>
    <s v="Cuenta Corriente"/>
    <s v="Transferencia"/>
    <s v="Pendiente"/>
  </r>
  <r>
    <x v="32"/>
    <x v="9"/>
    <s v="TX-104610"/>
    <x v="5"/>
    <x v="0"/>
    <x v="7"/>
    <n v="4955.7"/>
    <n v="0"/>
    <x v="4605"/>
    <x v="2"/>
    <s v="Cuenta Ahorros"/>
    <s v="Efectivo"/>
    <s v="Pagado"/>
  </r>
  <r>
    <x v="338"/>
    <x v="7"/>
    <s v="TX-104611"/>
    <x v="4"/>
    <x v="1"/>
    <x v="4"/>
    <n v="11633.59"/>
    <n v="1512.37"/>
    <x v="4606"/>
    <x v="1"/>
    <s v="Cuenta Corriente"/>
    <s v="Tarjeta Crédito"/>
    <s v="Pagado"/>
  </r>
  <r>
    <x v="226"/>
    <x v="10"/>
    <s v="TX-104612"/>
    <x v="11"/>
    <x v="1"/>
    <x v="4"/>
    <n v="9139.61"/>
    <n v="1188.1500000000001"/>
    <x v="4607"/>
    <x v="1"/>
    <s v="Tarjeta Crédito Empresarial"/>
    <s v="Efectivo"/>
    <s v="Pendiente"/>
  </r>
  <r>
    <x v="138"/>
    <x v="11"/>
    <s v="TX-104613"/>
    <x v="11"/>
    <x v="1"/>
    <x v="7"/>
    <n v="11379.09"/>
    <n v="1479.28"/>
    <x v="4608"/>
    <x v="0"/>
    <s v="Cuenta Corriente"/>
    <s v="Tarjeta Crédito"/>
    <s v="Pagado"/>
  </r>
  <r>
    <x v="128"/>
    <x v="9"/>
    <s v="TX-104614"/>
    <x v="10"/>
    <x v="1"/>
    <x v="3"/>
    <n v="14717.87"/>
    <n v="1913.32"/>
    <x v="4609"/>
    <x v="0"/>
    <s v="Cuenta Ahorros"/>
    <s v="Tarjeta Crédito"/>
    <s v="Pendiente"/>
  </r>
  <r>
    <x v="124"/>
    <x v="4"/>
    <s v="TX-104615"/>
    <x v="14"/>
    <x v="0"/>
    <x v="2"/>
    <n v="13621.97"/>
    <n v="0"/>
    <x v="4610"/>
    <x v="1"/>
    <s v="Tarjeta Crédito Empresarial"/>
    <s v="Transferencia"/>
    <s v="Pagado"/>
  </r>
  <r>
    <x v="237"/>
    <x v="5"/>
    <s v="TX-104616"/>
    <x v="19"/>
    <x v="1"/>
    <x v="1"/>
    <n v="9029.8700000000008"/>
    <n v="1173.8800000000001"/>
    <x v="4611"/>
    <x v="2"/>
    <s v="Cuenta Ahorros"/>
    <s v="Tarjeta Débito"/>
    <s v="Pagado"/>
  </r>
  <r>
    <x v="319"/>
    <x v="5"/>
    <s v="TX-104617"/>
    <x v="1"/>
    <x v="1"/>
    <x v="4"/>
    <n v="14904.82"/>
    <n v="1937.63"/>
    <x v="4612"/>
    <x v="2"/>
    <s v="Cuenta Ahorros"/>
    <s v="Efectivo"/>
    <s v="Pagado"/>
  </r>
  <r>
    <x v="170"/>
    <x v="10"/>
    <s v="TX-104618"/>
    <x v="6"/>
    <x v="1"/>
    <x v="6"/>
    <n v="6046.08"/>
    <n v="785.99"/>
    <x v="4613"/>
    <x v="1"/>
    <s v="Cuenta Corriente"/>
    <s v="Tarjeta Débito"/>
    <s v="Pagado"/>
  </r>
  <r>
    <x v="286"/>
    <x v="11"/>
    <s v="TX-104619"/>
    <x v="12"/>
    <x v="0"/>
    <x v="6"/>
    <n v="6728.84"/>
    <n v="0"/>
    <x v="4614"/>
    <x v="4"/>
    <s v="Cuenta Ahorros"/>
    <s v="Transferencia"/>
    <s v="Pendiente"/>
  </r>
  <r>
    <x v="118"/>
    <x v="11"/>
    <s v="TX-104620"/>
    <x v="0"/>
    <x v="0"/>
    <x v="2"/>
    <n v="3580.34"/>
    <n v="0"/>
    <x v="4615"/>
    <x v="1"/>
    <s v="Cuenta Ahorros"/>
    <s v="Efectivo"/>
    <s v="Pendiente"/>
  </r>
  <r>
    <x v="202"/>
    <x v="2"/>
    <s v="TX-104621"/>
    <x v="2"/>
    <x v="1"/>
    <x v="5"/>
    <n v="10806.72"/>
    <n v="1404.87"/>
    <x v="4616"/>
    <x v="2"/>
    <s v="Tarjeta Crédito Empresarial"/>
    <s v="Efectivo"/>
    <s v="Pendiente"/>
  </r>
  <r>
    <x v="161"/>
    <x v="9"/>
    <s v="TX-104622"/>
    <x v="6"/>
    <x v="1"/>
    <x v="3"/>
    <n v="7101.21"/>
    <n v="923.16"/>
    <x v="4617"/>
    <x v="1"/>
    <s v="Tarjeta Crédito Empresarial"/>
    <s v="Transferencia"/>
    <s v="Pagado"/>
  </r>
  <r>
    <x v="189"/>
    <x v="1"/>
    <s v="TX-104623"/>
    <x v="19"/>
    <x v="0"/>
    <x v="6"/>
    <n v="3996.38"/>
    <n v="0"/>
    <x v="4618"/>
    <x v="4"/>
    <s v="Tarjeta Crédito Empresarial"/>
    <s v="Tarjeta Crédito"/>
    <s v="Pendiente"/>
  </r>
  <r>
    <x v="167"/>
    <x v="8"/>
    <s v="TX-104624"/>
    <x v="11"/>
    <x v="1"/>
    <x v="3"/>
    <n v="12614.8"/>
    <n v="1639.92"/>
    <x v="4619"/>
    <x v="1"/>
    <s v="Tarjeta Crédito Empresarial"/>
    <s v="Tarjeta Crédito"/>
    <s v="Pagado"/>
  </r>
  <r>
    <x v="246"/>
    <x v="10"/>
    <s v="TX-104625"/>
    <x v="15"/>
    <x v="0"/>
    <x v="7"/>
    <n v="4079.57"/>
    <n v="0"/>
    <x v="4620"/>
    <x v="0"/>
    <s v="Cuenta Ahorros"/>
    <s v="Efectivo"/>
    <s v="Pagado"/>
  </r>
  <r>
    <x v="154"/>
    <x v="0"/>
    <s v="TX-104626"/>
    <x v="4"/>
    <x v="0"/>
    <x v="0"/>
    <n v="8494.43"/>
    <n v="0"/>
    <x v="4621"/>
    <x v="2"/>
    <s v="Cuenta Corriente"/>
    <s v="Tarjeta Débito"/>
    <s v="Pendiente"/>
  </r>
  <r>
    <x v="317"/>
    <x v="4"/>
    <s v="TX-104627"/>
    <x v="19"/>
    <x v="0"/>
    <x v="1"/>
    <n v="10320.629999999999"/>
    <n v="0"/>
    <x v="4622"/>
    <x v="2"/>
    <s v="Cuenta Ahorros"/>
    <s v="Tarjeta Crédito"/>
    <s v="Pagado"/>
  </r>
  <r>
    <x v="103"/>
    <x v="4"/>
    <s v="TX-104628"/>
    <x v="10"/>
    <x v="0"/>
    <x v="5"/>
    <n v="5466.4"/>
    <n v="0"/>
    <x v="4623"/>
    <x v="2"/>
    <s v="Tarjeta Crédito Empresarial"/>
    <s v="Tarjeta Débito"/>
    <s v="Pendiente"/>
  </r>
  <r>
    <x v="203"/>
    <x v="6"/>
    <s v="TX-104629"/>
    <x v="18"/>
    <x v="1"/>
    <x v="6"/>
    <n v="3825.55"/>
    <n v="497.32"/>
    <x v="4624"/>
    <x v="4"/>
    <s v="Tarjeta Crédito Empresarial"/>
    <s v="Efectivo"/>
    <s v="Pendiente"/>
  </r>
  <r>
    <x v="175"/>
    <x v="4"/>
    <s v="TX-104630"/>
    <x v="6"/>
    <x v="0"/>
    <x v="2"/>
    <n v="13087.65"/>
    <n v="0"/>
    <x v="4625"/>
    <x v="0"/>
    <s v="Cuenta Corriente"/>
    <s v="Tarjeta Crédito"/>
    <s v="Pendiente"/>
  </r>
  <r>
    <x v="209"/>
    <x v="1"/>
    <s v="TX-104631"/>
    <x v="5"/>
    <x v="0"/>
    <x v="5"/>
    <n v="14724.65"/>
    <n v="0"/>
    <x v="4626"/>
    <x v="4"/>
    <s v="Cuenta Ahorros"/>
    <s v="Efectivo"/>
    <s v="Pagado"/>
  </r>
  <r>
    <x v="220"/>
    <x v="1"/>
    <s v="TX-104632"/>
    <x v="11"/>
    <x v="0"/>
    <x v="7"/>
    <n v="7230.62"/>
    <n v="0"/>
    <x v="4627"/>
    <x v="1"/>
    <s v="Cuenta Ahorros"/>
    <s v="Transferencia"/>
    <s v="Pagado"/>
  </r>
  <r>
    <x v="215"/>
    <x v="3"/>
    <s v="TX-104633"/>
    <x v="19"/>
    <x v="1"/>
    <x v="5"/>
    <n v="14777.67"/>
    <n v="1921.1"/>
    <x v="4628"/>
    <x v="1"/>
    <s v="Tarjeta Crédito Empresarial"/>
    <s v="Efectivo"/>
    <s v="Pendiente"/>
  </r>
  <r>
    <x v="221"/>
    <x v="0"/>
    <s v="TX-104634"/>
    <x v="12"/>
    <x v="1"/>
    <x v="7"/>
    <n v="11676.72"/>
    <n v="1517.97"/>
    <x v="4629"/>
    <x v="0"/>
    <s v="Cuenta Ahorros"/>
    <s v="Tarjeta Débito"/>
    <s v="Pendiente"/>
  </r>
  <r>
    <x v="94"/>
    <x v="7"/>
    <s v="TX-104635"/>
    <x v="13"/>
    <x v="0"/>
    <x v="2"/>
    <n v="6086.13"/>
    <n v="0"/>
    <x v="4630"/>
    <x v="4"/>
    <s v="Tarjeta Crédito Empresarial"/>
    <s v="Efectivo"/>
    <s v="Pagado"/>
  </r>
  <r>
    <x v="213"/>
    <x v="3"/>
    <s v="TX-104636"/>
    <x v="5"/>
    <x v="1"/>
    <x v="0"/>
    <n v="2179.08"/>
    <n v="283.27999999999997"/>
    <x v="4631"/>
    <x v="4"/>
    <s v="Cuenta Ahorros"/>
    <s v="Efectivo"/>
    <s v="Pendiente"/>
  </r>
  <r>
    <x v="95"/>
    <x v="4"/>
    <s v="TX-104637"/>
    <x v="19"/>
    <x v="0"/>
    <x v="3"/>
    <n v="5977.78"/>
    <n v="0"/>
    <x v="4632"/>
    <x v="0"/>
    <s v="Cuenta Ahorros"/>
    <s v="Efectivo"/>
    <s v="Pagado"/>
  </r>
  <r>
    <x v="46"/>
    <x v="4"/>
    <s v="TX-104638"/>
    <x v="12"/>
    <x v="0"/>
    <x v="4"/>
    <n v="4071.91"/>
    <n v="0"/>
    <x v="4633"/>
    <x v="2"/>
    <s v="Tarjeta Crédito Empresarial"/>
    <s v="Tarjeta Crédito"/>
    <s v="Pendiente"/>
  </r>
  <r>
    <x v="169"/>
    <x v="1"/>
    <s v="TX-104639"/>
    <x v="14"/>
    <x v="1"/>
    <x v="7"/>
    <n v="5735.34"/>
    <n v="745.59"/>
    <x v="4634"/>
    <x v="0"/>
    <s v="Tarjeta Crédito Empresarial"/>
    <s v="Transferencia"/>
    <s v="Pagado"/>
  </r>
  <r>
    <x v="208"/>
    <x v="2"/>
    <s v="TX-104640"/>
    <x v="11"/>
    <x v="1"/>
    <x v="4"/>
    <n v="13772.42"/>
    <n v="1790.41"/>
    <x v="4635"/>
    <x v="0"/>
    <s v="Cuenta Corriente"/>
    <s v="Transferencia"/>
    <s v="Pagado"/>
  </r>
  <r>
    <x v="156"/>
    <x v="4"/>
    <s v="TX-104641"/>
    <x v="3"/>
    <x v="1"/>
    <x v="3"/>
    <n v="4854.12"/>
    <n v="631.04"/>
    <x v="4636"/>
    <x v="2"/>
    <s v="Cuenta Ahorros"/>
    <s v="Efectivo"/>
    <s v="Pendiente"/>
  </r>
  <r>
    <x v="235"/>
    <x v="7"/>
    <s v="TX-104642"/>
    <x v="0"/>
    <x v="1"/>
    <x v="5"/>
    <n v="13154.49"/>
    <n v="1710.08"/>
    <x v="4637"/>
    <x v="3"/>
    <s v="Cuenta Ahorros"/>
    <s v="Tarjeta Débito"/>
    <s v="Pendiente"/>
  </r>
  <r>
    <x v="351"/>
    <x v="9"/>
    <s v="TX-104643"/>
    <x v="9"/>
    <x v="1"/>
    <x v="6"/>
    <n v="9577.1"/>
    <n v="1245.02"/>
    <x v="4638"/>
    <x v="0"/>
    <s v="Tarjeta Crédito Empresarial"/>
    <s v="Tarjeta Crédito"/>
    <s v="Pagado"/>
  </r>
  <r>
    <x v="219"/>
    <x v="2"/>
    <s v="TX-104644"/>
    <x v="7"/>
    <x v="0"/>
    <x v="2"/>
    <n v="9792.2199999999993"/>
    <n v="0"/>
    <x v="4639"/>
    <x v="1"/>
    <s v="Cuenta Ahorros"/>
    <s v="Tarjeta Débito"/>
    <s v="Pagado"/>
  </r>
  <r>
    <x v="155"/>
    <x v="6"/>
    <s v="TX-104645"/>
    <x v="5"/>
    <x v="0"/>
    <x v="3"/>
    <n v="14082.77"/>
    <n v="0"/>
    <x v="4640"/>
    <x v="2"/>
    <s v="Cuenta Corriente"/>
    <s v="Transferencia"/>
    <s v="Pagado"/>
  </r>
  <r>
    <x v="186"/>
    <x v="3"/>
    <s v="TX-104646"/>
    <x v="17"/>
    <x v="0"/>
    <x v="7"/>
    <n v="5936.39"/>
    <n v="0"/>
    <x v="4641"/>
    <x v="3"/>
    <s v="Cuenta Ahorros"/>
    <s v="Tarjeta Débito"/>
    <s v="Pendiente"/>
  </r>
  <r>
    <x v="108"/>
    <x v="0"/>
    <s v="TX-104647"/>
    <x v="15"/>
    <x v="0"/>
    <x v="2"/>
    <n v="257.64999999999998"/>
    <n v="0"/>
    <x v="4642"/>
    <x v="0"/>
    <s v="Cuenta Ahorros"/>
    <s v="Transferencia"/>
    <s v="Pendiente"/>
  </r>
  <r>
    <x v="8"/>
    <x v="7"/>
    <s v="TX-104648"/>
    <x v="14"/>
    <x v="0"/>
    <x v="6"/>
    <n v="12404.44"/>
    <n v="0"/>
    <x v="4643"/>
    <x v="2"/>
    <s v="Tarjeta Crédito Empresarial"/>
    <s v="Efectivo"/>
    <s v="Pendiente"/>
  </r>
  <r>
    <x v="254"/>
    <x v="5"/>
    <s v="TX-104649"/>
    <x v="17"/>
    <x v="0"/>
    <x v="2"/>
    <n v="1955.74"/>
    <n v="0"/>
    <x v="4644"/>
    <x v="3"/>
    <s v="Cuenta Corriente"/>
    <s v="Tarjeta Crédito"/>
    <s v="Pendiente"/>
  </r>
  <r>
    <x v="311"/>
    <x v="1"/>
    <s v="TX-104650"/>
    <x v="16"/>
    <x v="0"/>
    <x v="4"/>
    <n v="4575.59"/>
    <n v="0"/>
    <x v="4645"/>
    <x v="3"/>
    <s v="Tarjeta Crédito Empresarial"/>
    <s v="Tarjeta Débito"/>
    <s v="Pagado"/>
  </r>
  <r>
    <x v="7"/>
    <x v="6"/>
    <s v="TX-104651"/>
    <x v="12"/>
    <x v="0"/>
    <x v="0"/>
    <n v="5127.7700000000004"/>
    <n v="0"/>
    <x v="4646"/>
    <x v="2"/>
    <s v="Cuenta Corriente"/>
    <s v="Tarjeta Crédito"/>
    <s v="Pendiente"/>
  </r>
  <r>
    <x v="363"/>
    <x v="11"/>
    <s v="TX-104652"/>
    <x v="11"/>
    <x v="0"/>
    <x v="1"/>
    <n v="7472.77"/>
    <n v="0"/>
    <x v="4647"/>
    <x v="3"/>
    <s v="Cuenta Corriente"/>
    <s v="Tarjeta Crédito"/>
    <s v="Pendiente"/>
  </r>
  <r>
    <x v="303"/>
    <x v="8"/>
    <s v="TX-104653"/>
    <x v="18"/>
    <x v="1"/>
    <x v="4"/>
    <n v="11630.55"/>
    <n v="1511.97"/>
    <x v="4648"/>
    <x v="2"/>
    <s v="Tarjeta Crédito Empresarial"/>
    <s v="Transferencia"/>
    <s v="Pendiente"/>
  </r>
  <r>
    <x v="244"/>
    <x v="9"/>
    <s v="TX-104654"/>
    <x v="3"/>
    <x v="1"/>
    <x v="4"/>
    <n v="824.27"/>
    <n v="107.16"/>
    <x v="4649"/>
    <x v="2"/>
    <s v="Cuenta Ahorros"/>
    <s v="Efectivo"/>
    <s v="Pendiente"/>
  </r>
  <r>
    <x v="105"/>
    <x v="5"/>
    <s v="TX-104655"/>
    <x v="14"/>
    <x v="1"/>
    <x v="3"/>
    <n v="9271.49"/>
    <n v="1205.29"/>
    <x v="4650"/>
    <x v="1"/>
    <s v="Cuenta Corriente"/>
    <s v="Transferencia"/>
    <s v="Pendiente"/>
  </r>
  <r>
    <x v="220"/>
    <x v="1"/>
    <s v="TX-104656"/>
    <x v="12"/>
    <x v="0"/>
    <x v="5"/>
    <n v="4956.53"/>
    <n v="0"/>
    <x v="4651"/>
    <x v="4"/>
    <s v="Cuenta Corriente"/>
    <s v="Tarjeta Crédito"/>
    <s v="Pendiente"/>
  </r>
  <r>
    <x v="240"/>
    <x v="2"/>
    <s v="TX-104657"/>
    <x v="17"/>
    <x v="1"/>
    <x v="4"/>
    <n v="4108.41"/>
    <n v="534.09"/>
    <x v="4652"/>
    <x v="0"/>
    <s v="Cuenta Corriente"/>
    <s v="Tarjeta Crédito"/>
    <s v="Pendiente"/>
  </r>
  <r>
    <x v="58"/>
    <x v="9"/>
    <s v="TX-104658"/>
    <x v="0"/>
    <x v="1"/>
    <x v="0"/>
    <n v="1656.62"/>
    <n v="215.36"/>
    <x v="4653"/>
    <x v="3"/>
    <s v="Cuenta Ahorros"/>
    <s v="Efectivo"/>
    <s v="Pagado"/>
  </r>
  <r>
    <x v="352"/>
    <x v="4"/>
    <s v="TX-104659"/>
    <x v="3"/>
    <x v="1"/>
    <x v="1"/>
    <n v="12744.53"/>
    <n v="1656.79"/>
    <x v="4654"/>
    <x v="2"/>
    <s v="Tarjeta Crédito Empresarial"/>
    <s v="Tarjeta Débito"/>
    <s v="Pagado"/>
  </r>
  <r>
    <x v="350"/>
    <x v="5"/>
    <s v="TX-104660"/>
    <x v="15"/>
    <x v="1"/>
    <x v="1"/>
    <n v="13409.42"/>
    <n v="1743.22"/>
    <x v="4655"/>
    <x v="2"/>
    <s v="Tarjeta Crédito Empresarial"/>
    <s v="Tarjeta Crédito"/>
    <s v="Pendiente"/>
  </r>
  <r>
    <x v="299"/>
    <x v="9"/>
    <s v="TX-104661"/>
    <x v="16"/>
    <x v="0"/>
    <x v="7"/>
    <n v="5603.44"/>
    <n v="0"/>
    <x v="4656"/>
    <x v="1"/>
    <s v="Tarjeta Crédito Empresarial"/>
    <s v="Tarjeta Débito"/>
    <s v="Pagado"/>
  </r>
  <r>
    <x v="249"/>
    <x v="10"/>
    <s v="TX-104662"/>
    <x v="19"/>
    <x v="0"/>
    <x v="0"/>
    <n v="1121.02"/>
    <n v="0"/>
    <x v="4657"/>
    <x v="2"/>
    <s v="Cuenta Corriente"/>
    <s v="Tarjeta Crédito"/>
    <s v="Pendiente"/>
  </r>
  <r>
    <x v="55"/>
    <x v="10"/>
    <s v="TX-104663"/>
    <x v="4"/>
    <x v="1"/>
    <x v="1"/>
    <n v="10198.85"/>
    <n v="1325.85"/>
    <x v="4658"/>
    <x v="2"/>
    <s v="Cuenta Ahorros"/>
    <s v="Tarjeta Débito"/>
    <s v="Pagado"/>
  </r>
  <r>
    <x v="270"/>
    <x v="0"/>
    <s v="TX-104664"/>
    <x v="4"/>
    <x v="1"/>
    <x v="1"/>
    <n v="10247.67"/>
    <n v="1332.2"/>
    <x v="4659"/>
    <x v="0"/>
    <s v="Tarjeta Crédito Empresarial"/>
    <s v="Efectivo"/>
    <s v="Pendiente"/>
  </r>
  <r>
    <x v="277"/>
    <x v="9"/>
    <s v="TX-104665"/>
    <x v="7"/>
    <x v="1"/>
    <x v="7"/>
    <n v="11317.59"/>
    <n v="1471.29"/>
    <x v="4660"/>
    <x v="1"/>
    <s v="Cuenta Corriente"/>
    <s v="Tarjeta Crédito"/>
    <s v="Pendiente"/>
  </r>
  <r>
    <x v="173"/>
    <x v="11"/>
    <s v="TX-104666"/>
    <x v="10"/>
    <x v="1"/>
    <x v="5"/>
    <n v="6740.26"/>
    <n v="876.23"/>
    <x v="4661"/>
    <x v="0"/>
    <s v="Cuenta Ahorros"/>
    <s v="Tarjeta Crédito"/>
    <s v="Pendiente"/>
  </r>
  <r>
    <x v="277"/>
    <x v="9"/>
    <s v="TX-104667"/>
    <x v="10"/>
    <x v="1"/>
    <x v="5"/>
    <n v="566.62"/>
    <n v="73.66"/>
    <x v="4662"/>
    <x v="4"/>
    <s v="Cuenta Corriente"/>
    <s v="Tarjeta Crédito"/>
    <s v="Pendiente"/>
  </r>
  <r>
    <x v="295"/>
    <x v="6"/>
    <s v="TX-104668"/>
    <x v="6"/>
    <x v="0"/>
    <x v="0"/>
    <n v="8736.16"/>
    <n v="0"/>
    <x v="4663"/>
    <x v="1"/>
    <s v="Cuenta Ahorros"/>
    <s v="Tarjeta Crédito"/>
    <s v="Pendiente"/>
  </r>
  <r>
    <x v="263"/>
    <x v="6"/>
    <s v="TX-104669"/>
    <x v="12"/>
    <x v="1"/>
    <x v="1"/>
    <n v="2278.23"/>
    <n v="296.17"/>
    <x v="4664"/>
    <x v="2"/>
    <s v="Cuenta Ahorros"/>
    <s v="Transferencia"/>
    <s v="Pendiente"/>
  </r>
  <r>
    <x v="146"/>
    <x v="6"/>
    <s v="TX-104670"/>
    <x v="1"/>
    <x v="0"/>
    <x v="2"/>
    <n v="13638.44"/>
    <n v="0"/>
    <x v="4665"/>
    <x v="0"/>
    <s v="Tarjeta Crédito Empresarial"/>
    <s v="Transferencia"/>
    <s v="Pagado"/>
  </r>
  <r>
    <x v="56"/>
    <x v="11"/>
    <s v="TX-104671"/>
    <x v="14"/>
    <x v="1"/>
    <x v="0"/>
    <n v="11371.85"/>
    <n v="1478.34"/>
    <x v="4666"/>
    <x v="4"/>
    <s v="Tarjeta Crédito Empresarial"/>
    <s v="Transferencia"/>
    <s v="Pendiente"/>
  </r>
  <r>
    <x v="291"/>
    <x v="3"/>
    <s v="TX-104672"/>
    <x v="16"/>
    <x v="0"/>
    <x v="2"/>
    <n v="14683.04"/>
    <n v="0"/>
    <x v="4667"/>
    <x v="1"/>
    <s v="Tarjeta Crédito Empresarial"/>
    <s v="Efectivo"/>
    <s v="Pendiente"/>
  </r>
  <r>
    <x v="197"/>
    <x v="7"/>
    <s v="TX-104673"/>
    <x v="18"/>
    <x v="1"/>
    <x v="7"/>
    <n v="10430.969999999999"/>
    <n v="1356.03"/>
    <x v="4668"/>
    <x v="2"/>
    <s v="Cuenta Corriente"/>
    <s v="Efectivo"/>
    <s v="Pendiente"/>
  </r>
  <r>
    <x v="158"/>
    <x v="0"/>
    <s v="TX-104674"/>
    <x v="8"/>
    <x v="1"/>
    <x v="1"/>
    <n v="8178.44"/>
    <n v="1063.2"/>
    <x v="4669"/>
    <x v="4"/>
    <s v="Cuenta Corriente"/>
    <s v="Transferencia"/>
    <s v="Pagado"/>
  </r>
  <r>
    <x v="2"/>
    <x v="2"/>
    <s v="TX-104675"/>
    <x v="18"/>
    <x v="1"/>
    <x v="5"/>
    <n v="1404.16"/>
    <n v="182.54"/>
    <x v="4670"/>
    <x v="0"/>
    <s v="Cuenta Corriente"/>
    <s v="Transferencia"/>
    <s v="Pendiente"/>
  </r>
  <r>
    <x v="184"/>
    <x v="4"/>
    <s v="TX-104676"/>
    <x v="18"/>
    <x v="0"/>
    <x v="3"/>
    <n v="10684.56"/>
    <n v="0"/>
    <x v="4671"/>
    <x v="4"/>
    <s v="Cuenta Corriente"/>
    <s v="Efectivo"/>
    <s v="Pagado"/>
  </r>
  <r>
    <x v="21"/>
    <x v="2"/>
    <s v="TX-104677"/>
    <x v="16"/>
    <x v="1"/>
    <x v="2"/>
    <n v="5997.43"/>
    <n v="779.67"/>
    <x v="4672"/>
    <x v="4"/>
    <s v="Cuenta Corriente"/>
    <s v="Tarjeta Crédito"/>
    <s v="Pendiente"/>
  </r>
  <r>
    <x v="169"/>
    <x v="1"/>
    <s v="TX-104678"/>
    <x v="17"/>
    <x v="0"/>
    <x v="2"/>
    <n v="620.14"/>
    <n v="0"/>
    <x v="4673"/>
    <x v="1"/>
    <s v="Cuenta Corriente"/>
    <s v="Efectivo"/>
    <s v="Pendiente"/>
  </r>
  <r>
    <x v="264"/>
    <x v="2"/>
    <s v="TX-104679"/>
    <x v="6"/>
    <x v="0"/>
    <x v="5"/>
    <n v="1132.3800000000001"/>
    <n v="0"/>
    <x v="4674"/>
    <x v="0"/>
    <s v="Cuenta Corriente"/>
    <s v="Transferencia"/>
    <s v="Pagado"/>
  </r>
  <r>
    <x v="322"/>
    <x v="11"/>
    <s v="TX-104680"/>
    <x v="16"/>
    <x v="1"/>
    <x v="4"/>
    <n v="7090.31"/>
    <n v="921.74"/>
    <x v="4675"/>
    <x v="3"/>
    <s v="Tarjeta Crédito Empresarial"/>
    <s v="Transferencia"/>
    <s v="Pagado"/>
  </r>
  <r>
    <x v="290"/>
    <x v="6"/>
    <s v="TX-104681"/>
    <x v="10"/>
    <x v="0"/>
    <x v="3"/>
    <n v="4107.79"/>
    <n v="0"/>
    <x v="4676"/>
    <x v="1"/>
    <s v="Tarjeta Crédito Empresarial"/>
    <s v="Tarjeta Crédito"/>
    <s v="Pendiente"/>
  </r>
  <r>
    <x v="345"/>
    <x v="7"/>
    <s v="TX-104682"/>
    <x v="8"/>
    <x v="0"/>
    <x v="1"/>
    <n v="13301.68"/>
    <n v="0"/>
    <x v="4677"/>
    <x v="1"/>
    <s v="Tarjeta Crédito Empresarial"/>
    <s v="Efectivo"/>
    <s v="Pendiente"/>
  </r>
  <r>
    <x v="119"/>
    <x v="6"/>
    <s v="TX-104683"/>
    <x v="13"/>
    <x v="1"/>
    <x v="1"/>
    <n v="12284.18"/>
    <n v="1596.94"/>
    <x v="4678"/>
    <x v="0"/>
    <s v="Tarjeta Crédito Empresarial"/>
    <s v="Tarjeta Débito"/>
    <s v="Pendiente"/>
  </r>
  <r>
    <x v="125"/>
    <x v="1"/>
    <s v="TX-104684"/>
    <x v="4"/>
    <x v="0"/>
    <x v="6"/>
    <n v="2475.41"/>
    <n v="0"/>
    <x v="4679"/>
    <x v="0"/>
    <s v="Cuenta Corriente"/>
    <s v="Tarjeta Crédito"/>
    <s v="Pendiente"/>
  </r>
  <r>
    <x v="349"/>
    <x v="6"/>
    <s v="TX-104685"/>
    <x v="5"/>
    <x v="0"/>
    <x v="0"/>
    <n v="420.83"/>
    <n v="0"/>
    <x v="4680"/>
    <x v="0"/>
    <s v="Cuenta Corriente"/>
    <s v="Transferencia"/>
    <s v="Pendiente"/>
  </r>
  <r>
    <x v="11"/>
    <x v="8"/>
    <s v="TX-104686"/>
    <x v="0"/>
    <x v="1"/>
    <x v="5"/>
    <n v="5920.11"/>
    <n v="769.61"/>
    <x v="4681"/>
    <x v="2"/>
    <s v="Cuenta Ahorros"/>
    <s v="Tarjeta Crédito"/>
    <s v="Pendiente"/>
  </r>
  <r>
    <x v="234"/>
    <x v="0"/>
    <s v="TX-104687"/>
    <x v="12"/>
    <x v="0"/>
    <x v="4"/>
    <n v="11859.04"/>
    <n v="0"/>
    <x v="4682"/>
    <x v="1"/>
    <s v="Cuenta Corriente"/>
    <s v="Tarjeta Débito"/>
    <s v="Pendiente"/>
  </r>
  <r>
    <x v="31"/>
    <x v="6"/>
    <s v="TX-104688"/>
    <x v="1"/>
    <x v="0"/>
    <x v="5"/>
    <n v="12311.92"/>
    <n v="0"/>
    <x v="4683"/>
    <x v="4"/>
    <s v="Cuenta Corriente"/>
    <s v="Tarjeta Débito"/>
    <s v="Pendiente"/>
  </r>
  <r>
    <x v="345"/>
    <x v="7"/>
    <s v="TX-104689"/>
    <x v="1"/>
    <x v="0"/>
    <x v="5"/>
    <n v="14728.6"/>
    <n v="0"/>
    <x v="4684"/>
    <x v="4"/>
    <s v="Cuenta Corriente"/>
    <s v="Transferencia"/>
    <s v="Pendiente"/>
  </r>
  <r>
    <x v="53"/>
    <x v="3"/>
    <s v="TX-104690"/>
    <x v="11"/>
    <x v="0"/>
    <x v="2"/>
    <n v="1654.35"/>
    <n v="0"/>
    <x v="4685"/>
    <x v="0"/>
    <s v="Cuenta Corriente"/>
    <s v="Tarjeta Crédito"/>
    <s v="Pendiente"/>
  </r>
  <r>
    <x v="303"/>
    <x v="8"/>
    <s v="TX-104691"/>
    <x v="0"/>
    <x v="0"/>
    <x v="6"/>
    <n v="10237.200000000001"/>
    <n v="0"/>
    <x v="4686"/>
    <x v="1"/>
    <s v="Cuenta Corriente"/>
    <s v="Transferencia"/>
    <s v="Pagado"/>
  </r>
  <r>
    <x v="220"/>
    <x v="1"/>
    <s v="TX-104692"/>
    <x v="6"/>
    <x v="1"/>
    <x v="3"/>
    <n v="7772.16"/>
    <n v="1010.38"/>
    <x v="4687"/>
    <x v="0"/>
    <s v="Tarjeta Crédito Empresarial"/>
    <s v="Transferencia"/>
    <s v="Pendiente"/>
  </r>
  <r>
    <x v="32"/>
    <x v="9"/>
    <s v="TX-104693"/>
    <x v="7"/>
    <x v="1"/>
    <x v="6"/>
    <n v="1974"/>
    <n v="256.62"/>
    <x v="4688"/>
    <x v="4"/>
    <s v="Cuenta Ahorros"/>
    <s v="Efectivo"/>
    <s v="Pagado"/>
  </r>
  <r>
    <x v="332"/>
    <x v="1"/>
    <s v="TX-104694"/>
    <x v="18"/>
    <x v="1"/>
    <x v="1"/>
    <n v="6807.4"/>
    <n v="884.96"/>
    <x v="4689"/>
    <x v="1"/>
    <s v="Tarjeta Crédito Empresarial"/>
    <s v="Efectivo"/>
    <s v="Pendiente"/>
  </r>
  <r>
    <x v="26"/>
    <x v="7"/>
    <s v="TX-104695"/>
    <x v="7"/>
    <x v="0"/>
    <x v="2"/>
    <n v="4397.83"/>
    <n v="0"/>
    <x v="4690"/>
    <x v="2"/>
    <s v="Tarjeta Crédito Empresarial"/>
    <s v="Tarjeta Crédito"/>
    <s v="Pendiente"/>
  </r>
  <r>
    <x v="151"/>
    <x v="9"/>
    <s v="TX-104696"/>
    <x v="12"/>
    <x v="0"/>
    <x v="4"/>
    <n v="14656.23"/>
    <n v="0"/>
    <x v="4691"/>
    <x v="4"/>
    <s v="Cuenta Ahorros"/>
    <s v="Efectivo"/>
    <s v="Pendiente"/>
  </r>
  <r>
    <x v="273"/>
    <x v="7"/>
    <s v="TX-104697"/>
    <x v="4"/>
    <x v="0"/>
    <x v="7"/>
    <n v="12178.07"/>
    <n v="0"/>
    <x v="4692"/>
    <x v="0"/>
    <s v="Cuenta Ahorros"/>
    <s v="Transferencia"/>
    <s v="Pendiente"/>
  </r>
  <r>
    <x v="73"/>
    <x v="6"/>
    <s v="TX-104698"/>
    <x v="10"/>
    <x v="1"/>
    <x v="5"/>
    <n v="14613.76"/>
    <n v="1899.79"/>
    <x v="4693"/>
    <x v="4"/>
    <s v="Tarjeta Crédito Empresarial"/>
    <s v="Efectivo"/>
    <s v="Pagado"/>
  </r>
  <r>
    <x v="361"/>
    <x v="0"/>
    <s v="TX-104699"/>
    <x v="9"/>
    <x v="1"/>
    <x v="6"/>
    <n v="10701.62"/>
    <n v="1391.21"/>
    <x v="4694"/>
    <x v="1"/>
    <s v="Tarjeta Crédito Empresarial"/>
    <s v="Transferencia"/>
    <s v="Pendiente"/>
  </r>
  <r>
    <x v="233"/>
    <x v="1"/>
    <s v="TX-104700"/>
    <x v="19"/>
    <x v="0"/>
    <x v="0"/>
    <n v="2155.46"/>
    <n v="0"/>
    <x v="4695"/>
    <x v="2"/>
    <s v="Cuenta Ahorros"/>
    <s v="Efectivo"/>
    <s v="Pagado"/>
  </r>
  <r>
    <x v="336"/>
    <x v="3"/>
    <s v="TX-104701"/>
    <x v="2"/>
    <x v="0"/>
    <x v="2"/>
    <n v="10545.17"/>
    <n v="0"/>
    <x v="4696"/>
    <x v="0"/>
    <s v="Tarjeta Crédito Empresarial"/>
    <s v="Tarjeta Crédito"/>
    <s v="Pagado"/>
  </r>
  <r>
    <x v="228"/>
    <x v="5"/>
    <s v="TX-104702"/>
    <x v="11"/>
    <x v="0"/>
    <x v="2"/>
    <n v="5933.52"/>
    <n v="0"/>
    <x v="4697"/>
    <x v="0"/>
    <s v="Tarjeta Crédito Empresarial"/>
    <s v="Transferencia"/>
    <s v="Pendiente"/>
  </r>
  <r>
    <x v="213"/>
    <x v="3"/>
    <s v="TX-104703"/>
    <x v="11"/>
    <x v="1"/>
    <x v="6"/>
    <n v="10808.61"/>
    <n v="1405.12"/>
    <x v="4698"/>
    <x v="1"/>
    <s v="Cuenta Corriente"/>
    <s v="Tarjeta Débito"/>
    <s v="Pagado"/>
  </r>
  <r>
    <x v="292"/>
    <x v="7"/>
    <s v="TX-104704"/>
    <x v="3"/>
    <x v="1"/>
    <x v="0"/>
    <n v="3982.73"/>
    <n v="517.75"/>
    <x v="4699"/>
    <x v="2"/>
    <s v="Tarjeta Crédito Empresarial"/>
    <s v="Tarjeta Débito"/>
    <s v="Pendiente"/>
  </r>
  <r>
    <x v="304"/>
    <x v="11"/>
    <s v="TX-104705"/>
    <x v="3"/>
    <x v="0"/>
    <x v="1"/>
    <n v="10401.129999999999"/>
    <n v="0"/>
    <x v="4700"/>
    <x v="1"/>
    <s v="Cuenta Ahorros"/>
    <s v="Tarjeta Débito"/>
    <s v="Pendiente"/>
  </r>
  <r>
    <x v="89"/>
    <x v="8"/>
    <s v="TX-104706"/>
    <x v="16"/>
    <x v="0"/>
    <x v="4"/>
    <n v="1456.73"/>
    <n v="0"/>
    <x v="4701"/>
    <x v="1"/>
    <s v="Cuenta Ahorros"/>
    <s v="Tarjeta Débito"/>
    <s v="Pagado"/>
  </r>
  <r>
    <x v="47"/>
    <x v="4"/>
    <s v="TX-104707"/>
    <x v="17"/>
    <x v="1"/>
    <x v="1"/>
    <n v="9277.65"/>
    <n v="1206.0899999999999"/>
    <x v="4702"/>
    <x v="1"/>
    <s v="Cuenta Ahorros"/>
    <s v="Tarjeta Débito"/>
    <s v="Pagado"/>
  </r>
  <r>
    <x v="189"/>
    <x v="1"/>
    <s v="TX-104708"/>
    <x v="15"/>
    <x v="1"/>
    <x v="4"/>
    <n v="7861.25"/>
    <n v="1021.96"/>
    <x v="4703"/>
    <x v="0"/>
    <s v="Tarjeta Crédito Empresarial"/>
    <s v="Tarjeta Débito"/>
    <s v="Pendiente"/>
  </r>
  <r>
    <x v="165"/>
    <x v="9"/>
    <s v="TX-104709"/>
    <x v="15"/>
    <x v="1"/>
    <x v="1"/>
    <n v="8369.49"/>
    <n v="1088.03"/>
    <x v="4704"/>
    <x v="2"/>
    <s v="Tarjeta Crédito Empresarial"/>
    <s v="Tarjeta Débito"/>
    <s v="Pendiente"/>
  </r>
  <r>
    <x v="252"/>
    <x v="7"/>
    <s v="TX-104710"/>
    <x v="6"/>
    <x v="0"/>
    <x v="0"/>
    <n v="3387.51"/>
    <n v="0"/>
    <x v="4705"/>
    <x v="2"/>
    <s v="Tarjeta Crédito Empresarial"/>
    <s v="Transferencia"/>
    <s v="Pagado"/>
  </r>
  <r>
    <x v="365"/>
    <x v="4"/>
    <s v="TX-104711"/>
    <x v="7"/>
    <x v="0"/>
    <x v="0"/>
    <n v="4025.99"/>
    <n v="0"/>
    <x v="4706"/>
    <x v="3"/>
    <s v="Tarjeta Crédito Empresarial"/>
    <s v="Efectivo"/>
    <s v="Pendiente"/>
  </r>
  <r>
    <x v="243"/>
    <x v="2"/>
    <s v="TX-104712"/>
    <x v="13"/>
    <x v="0"/>
    <x v="6"/>
    <n v="10739.64"/>
    <n v="0"/>
    <x v="4707"/>
    <x v="2"/>
    <s v="Cuenta Ahorros"/>
    <s v="Efectivo"/>
    <s v="Pendiente"/>
  </r>
  <r>
    <x v="270"/>
    <x v="0"/>
    <s v="TX-104713"/>
    <x v="15"/>
    <x v="1"/>
    <x v="2"/>
    <n v="7176.13"/>
    <n v="932.9"/>
    <x v="4708"/>
    <x v="1"/>
    <s v="Cuenta Corriente"/>
    <s v="Tarjeta Débito"/>
    <s v="Pendiente"/>
  </r>
  <r>
    <x v="12"/>
    <x v="8"/>
    <s v="TX-104714"/>
    <x v="11"/>
    <x v="0"/>
    <x v="6"/>
    <n v="3945.23"/>
    <n v="0"/>
    <x v="4709"/>
    <x v="3"/>
    <s v="Tarjeta Crédito Empresarial"/>
    <s v="Tarjeta Crédito"/>
    <s v="Pagado"/>
  </r>
  <r>
    <x v="229"/>
    <x v="5"/>
    <s v="TX-104715"/>
    <x v="3"/>
    <x v="0"/>
    <x v="4"/>
    <n v="10260.11"/>
    <n v="0"/>
    <x v="4710"/>
    <x v="0"/>
    <s v="Cuenta Corriente"/>
    <s v="Efectivo"/>
    <s v="Pendiente"/>
  </r>
  <r>
    <x v="246"/>
    <x v="10"/>
    <s v="TX-104716"/>
    <x v="17"/>
    <x v="0"/>
    <x v="4"/>
    <n v="1769.72"/>
    <n v="0"/>
    <x v="4711"/>
    <x v="4"/>
    <s v="Cuenta Corriente"/>
    <s v="Tarjeta Débito"/>
    <s v="Pendiente"/>
  </r>
  <r>
    <x v="253"/>
    <x v="6"/>
    <s v="TX-104717"/>
    <x v="10"/>
    <x v="0"/>
    <x v="0"/>
    <n v="2987.79"/>
    <n v="0"/>
    <x v="4712"/>
    <x v="2"/>
    <s v="Tarjeta Crédito Empresarial"/>
    <s v="Tarjeta Débito"/>
    <s v="Pagado"/>
  </r>
  <r>
    <x v="305"/>
    <x v="10"/>
    <s v="TX-104718"/>
    <x v="8"/>
    <x v="1"/>
    <x v="4"/>
    <n v="12400.33"/>
    <n v="1612.04"/>
    <x v="4713"/>
    <x v="0"/>
    <s v="Cuenta Corriente"/>
    <s v="Efectivo"/>
    <s v="Pagado"/>
  </r>
  <r>
    <x v="89"/>
    <x v="8"/>
    <s v="TX-104719"/>
    <x v="3"/>
    <x v="1"/>
    <x v="4"/>
    <n v="1662.86"/>
    <n v="216.17"/>
    <x v="4714"/>
    <x v="2"/>
    <s v="Cuenta Ahorros"/>
    <s v="Efectivo"/>
    <s v="Pagado"/>
  </r>
  <r>
    <x v="5"/>
    <x v="0"/>
    <s v="TX-104720"/>
    <x v="18"/>
    <x v="1"/>
    <x v="2"/>
    <n v="537.41999999999996"/>
    <n v="69.86"/>
    <x v="4715"/>
    <x v="2"/>
    <s v="Tarjeta Crédito Empresarial"/>
    <s v="Efectivo"/>
    <s v="Pagado"/>
  </r>
  <r>
    <x v="114"/>
    <x v="4"/>
    <s v="TX-104721"/>
    <x v="14"/>
    <x v="1"/>
    <x v="6"/>
    <n v="7820.67"/>
    <n v="1016.69"/>
    <x v="4716"/>
    <x v="0"/>
    <s v="Tarjeta Crédito Empresarial"/>
    <s v="Transferencia"/>
    <s v="Pagado"/>
  </r>
  <r>
    <x v="67"/>
    <x v="8"/>
    <s v="TX-104722"/>
    <x v="6"/>
    <x v="0"/>
    <x v="2"/>
    <n v="2075.17"/>
    <n v="0"/>
    <x v="4717"/>
    <x v="1"/>
    <s v="Tarjeta Crédito Empresarial"/>
    <s v="Transferencia"/>
    <s v="Pendiente"/>
  </r>
  <r>
    <x v="313"/>
    <x v="6"/>
    <s v="TX-104723"/>
    <x v="4"/>
    <x v="0"/>
    <x v="0"/>
    <n v="12422.37"/>
    <n v="0"/>
    <x v="4718"/>
    <x v="3"/>
    <s v="Tarjeta Crédito Empresarial"/>
    <s v="Transferencia"/>
    <s v="Pendiente"/>
  </r>
  <r>
    <x v="286"/>
    <x v="11"/>
    <s v="TX-104724"/>
    <x v="17"/>
    <x v="0"/>
    <x v="4"/>
    <n v="259.44"/>
    <n v="0"/>
    <x v="4719"/>
    <x v="3"/>
    <s v="Tarjeta Crédito Empresarial"/>
    <s v="Tarjeta Débito"/>
    <s v="Pagado"/>
  </r>
  <r>
    <x v="144"/>
    <x v="0"/>
    <s v="TX-104725"/>
    <x v="14"/>
    <x v="1"/>
    <x v="3"/>
    <n v="3958.3"/>
    <n v="514.58000000000004"/>
    <x v="4720"/>
    <x v="0"/>
    <s v="Tarjeta Crédito Empresarial"/>
    <s v="Efectivo"/>
    <s v="Pendiente"/>
  </r>
  <r>
    <x v="242"/>
    <x v="4"/>
    <s v="TX-104726"/>
    <x v="10"/>
    <x v="1"/>
    <x v="0"/>
    <n v="6995.52"/>
    <n v="909.42"/>
    <x v="4721"/>
    <x v="2"/>
    <s v="Cuenta Corriente"/>
    <s v="Efectivo"/>
    <s v="Pendiente"/>
  </r>
  <r>
    <x v="115"/>
    <x v="3"/>
    <s v="TX-104727"/>
    <x v="16"/>
    <x v="1"/>
    <x v="5"/>
    <n v="3608.14"/>
    <n v="469.06"/>
    <x v="4722"/>
    <x v="2"/>
    <s v="Cuenta Ahorros"/>
    <s v="Tarjeta Débito"/>
    <s v="Pendiente"/>
  </r>
  <r>
    <x v="1"/>
    <x v="1"/>
    <s v="TX-104728"/>
    <x v="0"/>
    <x v="1"/>
    <x v="6"/>
    <n v="8715.24"/>
    <n v="1132.98"/>
    <x v="4723"/>
    <x v="3"/>
    <s v="Tarjeta Crédito Empresarial"/>
    <s v="Transferencia"/>
    <s v="Pagado"/>
  </r>
  <r>
    <x v="177"/>
    <x v="8"/>
    <s v="TX-104729"/>
    <x v="0"/>
    <x v="1"/>
    <x v="6"/>
    <n v="13919.75"/>
    <n v="1809.57"/>
    <x v="4724"/>
    <x v="0"/>
    <s v="Cuenta Corriente"/>
    <s v="Efectivo"/>
    <s v="Pendiente"/>
  </r>
  <r>
    <x v="270"/>
    <x v="0"/>
    <s v="TX-104730"/>
    <x v="14"/>
    <x v="1"/>
    <x v="0"/>
    <n v="200.71"/>
    <n v="26.09"/>
    <x v="4725"/>
    <x v="3"/>
    <s v="Tarjeta Crédito Empresarial"/>
    <s v="Transferencia"/>
    <s v="Pendiente"/>
  </r>
  <r>
    <x v="127"/>
    <x v="6"/>
    <s v="TX-104731"/>
    <x v="14"/>
    <x v="1"/>
    <x v="7"/>
    <n v="5708"/>
    <n v="742.04"/>
    <x v="4726"/>
    <x v="1"/>
    <s v="Cuenta Corriente"/>
    <s v="Transferencia"/>
    <s v="Pendiente"/>
  </r>
  <r>
    <x v="262"/>
    <x v="10"/>
    <s v="TX-104732"/>
    <x v="18"/>
    <x v="0"/>
    <x v="2"/>
    <n v="14634.31"/>
    <n v="0"/>
    <x v="4727"/>
    <x v="3"/>
    <s v="Cuenta Ahorros"/>
    <s v="Transferencia"/>
    <s v="Pagado"/>
  </r>
  <r>
    <x v="83"/>
    <x v="2"/>
    <s v="TX-104733"/>
    <x v="16"/>
    <x v="1"/>
    <x v="4"/>
    <n v="12740.82"/>
    <n v="1656.31"/>
    <x v="4728"/>
    <x v="0"/>
    <s v="Cuenta Ahorros"/>
    <s v="Tarjeta Débito"/>
    <s v="Pendiente"/>
  </r>
  <r>
    <x v="163"/>
    <x v="10"/>
    <s v="TX-104734"/>
    <x v="9"/>
    <x v="1"/>
    <x v="3"/>
    <n v="3043.49"/>
    <n v="395.65"/>
    <x v="4729"/>
    <x v="0"/>
    <s v="Cuenta Ahorros"/>
    <s v="Tarjeta Crédito"/>
    <s v="Pendiente"/>
  </r>
  <r>
    <x v="347"/>
    <x v="7"/>
    <s v="TX-104735"/>
    <x v="2"/>
    <x v="1"/>
    <x v="1"/>
    <n v="9160.16"/>
    <n v="1190.82"/>
    <x v="4730"/>
    <x v="4"/>
    <s v="Cuenta Ahorros"/>
    <s v="Tarjeta Crédito"/>
    <s v="Pendiente"/>
  </r>
  <r>
    <x v="355"/>
    <x v="7"/>
    <s v="TX-104736"/>
    <x v="16"/>
    <x v="1"/>
    <x v="4"/>
    <n v="6030.03"/>
    <n v="783.9"/>
    <x v="4731"/>
    <x v="0"/>
    <s v="Tarjeta Crédito Empresarial"/>
    <s v="Transferencia"/>
    <s v="Pendiente"/>
  </r>
  <r>
    <x v="24"/>
    <x v="10"/>
    <s v="TX-104737"/>
    <x v="19"/>
    <x v="1"/>
    <x v="6"/>
    <n v="4851.63"/>
    <n v="630.71"/>
    <x v="4732"/>
    <x v="1"/>
    <s v="Cuenta Ahorros"/>
    <s v="Tarjeta Débito"/>
    <s v="Pagado"/>
  </r>
  <r>
    <x v="25"/>
    <x v="10"/>
    <s v="TX-104738"/>
    <x v="19"/>
    <x v="0"/>
    <x v="2"/>
    <n v="4114.51"/>
    <n v="0"/>
    <x v="4733"/>
    <x v="0"/>
    <s v="Tarjeta Crédito Empresarial"/>
    <s v="Transferencia"/>
    <s v="Pendiente"/>
  </r>
  <r>
    <x v="306"/>
    <x v="2"/>
    <s v="TX-104739"/>
    <x v="15"/>
    <x v="0"/>
    <x v="6"/>
    <n v="9426.9"/>
    <n v="0"/>
    <x v="4734"/>
    <x v="3"/>
    <s v="Cuenta Corriente"/>
    <s v="Efectivo"/>
    <s v="Pagado"/>
  </r>
  <r>
    <x v="262"/>
    <x v="10"/>
    <s v="TX-104740"/>
    <x v="8"/>
    <x v="0"/>
    <x v="2"/>
    <n v="12153.43"/>
    <n v="0"/>
    <x v="4735"/>
    <x v="0"/>
    <s v="Cuenta Corriente"/>
    <s v="Efectivo"/>
    <s v="Pagado"/>
  </r>
  <r>
    <x v="365"/>
    <x v="4"/>
    <s v="TX-104741"/>
    <x v="8"/>
    <x v="0"/>
    <x v="7"/>
    <n v="4093.22"/>
    <n v="0"/>
    <x v="4736"/>
    <x v="3"/>
    <s v="Cuenta Corriente"/>
    <s v="Tarjeta Débito"/>
    <s v="Pendiente"/>
  </r>
  <r>
    <x v="265"/>
    <x v="1"/>
    <s v="TX-104742"/>
    <x v="11"/>
    <x v="0"/>
    <x v="6"/>
    <n v="11038.54"/>
    <n v="0"/>
    <x v="4737"/>
    <x v="1"/>
    <s v="Tarjeta Crédito Empresarial"/>
    <s v="Tarjeta Débito"/>
    <s v="Pagado"/>
  </r>
  <r>
    <x v="308"/>
    <x v="1"/>
    <s v="TX-104743"/>
    <x v="11"/>
    <x v="1"/>
    <x v="6"/>
    <n v="6879.63"/>
    <n v="894.35"/>
    <x v="4738"/>
    <x v="3"/>
    <s v="Tarjeta Crédito Empresarial"/>
    <s v="Efectivo"/>
    <s v="Pendiente"/>
  </r>
  <r>
    <x v="256"/>
    <x v="5"/>
    <s v="TX-104744"/>
    <x v="3"/>
    <x v="0"/>
    <x v="6"/>
    <n v="10299.91"/>
    <n v="0"/>
    <x v="4739"/>
    <x v="0"/>
    <s v="Cuenta Corriente"/>
    <s v="Tarjeta Crédito"/>
    <s v="Pendiente"/>
  </r>
  <r>
    <x v="102"/>
    <x v="6"/>
    <s v="TX-104745"/>
    <x v="7"/>
    <x v="1"/>
    <x v="4"/>
    <n v="6393.99"/>
    <n v="831.22"/>
    <x v="4740"/>
    <x v="3"/>
    <s v="Cuenta Corriente"/>
    <s v="Transferencia"/>
    <s v="Pendiente"/>
  </r>
  <r>
    <x v="103"/>
    <x v="4"/>
    <s v="TX-104746"/>
    <x v="14"/>
    <x v="1"/>
    <x v="3"/>
    <n v="12864.97"/>
    <n v="1672.45"/>
    <x v="4741"/>
    <x v="4"/>
    <s v="Cuenta Ahorros"/>
    <s v="Tarjeta Crédito"/>
    <s v="Pendiente"/>
  </r>
  <r>
    <x v="325"/>
    <x v="5"/>
    <s v="TX-104747"/>
    <x v="0"/>
    <x v="1"/>
    <x v="6"/>
    <n v="1785.53"/>
    <n v="232.12"/>
    <x v="4742"/>
    <x v="3"/>
    <s v="Cuenta Ahorros"/>
    <s v="Efectivo"/>
    <s v="Pagado"/>
  </r>
  <r>
    <x v="210"/>
    <x v="3"/>
    <s v="TX-104748"/>
    <x v="17"/>
    <x v="0"/>
    <x v="1"/>
    <n v="9341.33"/>
    <n v="0"/>
    <x v="4743"/>
    <x v="1"/>
    <s v="Tarjeta Crédito Empresarial"/>
    <s v="Efectivo"/>
    <s v="Pagado"/>
  </r>
  <r>
    <x v="115"/>
    <x v="3"/>
    <s v="TX-104749"/>
    <x v="4"/>
    <x v="0"/>
    <x v="7"/>
    <n v="4368.2299999999996"/>
    <n v="0"/>
    <x v="4744"/>
    <x v="4"/>
    <s v="Cuenta Corriente"/>
    <s v="Tarjeta Débito"/>
    <s v="Pendiente"/>
  </r>
  <r>
    <x v="326"/>
    <x v="5"/>
    <s v="TX-104750"/>
    <x v="16"/>
    <x v="1"/>
    <x v="2"/>
    <n v="12886.88"/>
    <n v="1675.29"/>
    <x v="4745"/>
    <x v="3"/>
    <s v="Cuenta Corriente"/>
    <s v="Efectivo"/>
    <s v="Pagado"/>
  </r>
  <r>
    <x v="68"/>
    <x v="4"/>
    <s v="TX-104751"/>
    <x v="13"/>
    <x v="0"/>
    <x v="2"/>
    <n v="7598.11"/>
    <n v="0"/>
    <x v="4746"/>
    <x v="4"/>
    <s v="Cuenta Corriente"/>
    <s v="Tarjeta Débito"/>
    <s v="Pagado"/>
  </r>
  <r>
    <x v="177"/>
    <x v="8"/>
    <s v="TX-104752"/>
    <x v="0"/>
    <x v="0"/>
    <x v="7"/>
    <n v="13140.71"/>
    <n v="0"/>
    <x v="4747"/>
    <x v="4"/>
    <s v="Cuenta Corriente"/>
    <s v="Efectivo"/>
    <s v="Pagado"/>
  </r>
  <r>
    <x v="312"/>
    <x v="3"/>
    <s v="TX-104753"/>
    <x v="7"/>
    <x v="0"/>
    <x v="7"/>
    <n v="5430.8"/>
    <n v="0"/>
    <x v="4748"/>
    <x v="2"/>
    <s v="Cuenta Corriente"/>
    <s v="Tarjeta Crédito"/>
    <s v="Pendiente"/>
  </r>
  <r>
    <x v="302"/>
    <x v="8"/>
    <s v="TX-104754"/>
    <x v="7"/>
    <x v="0"/>
    <x v="1"/>
    <n v="10884.53"/>
    <n v="0"/>
    <x v="4749"/>
    <x v="1"/>
    <s v="Cuenta Ahorros"/>
    <s v="Efectivo"/>
    <s v="Pagado"/>
  </r>
  <r>
    <x v="311"/>
    <x v="1"/>
    <s v="TX-104755"/>
    <x v="17"/>
    <x v="0"/>
    <x v="2"/>
    <n v="3401.25"/>
    <n v="0"/>
    <x v="4750"/>
    <x v="3"/>
    <s v="Cuenta Corriente"/>
    <s v="Tarjeta Crédito"/>
    <s v="Pendiente"/>
  </r>
  <r>
    <x v="352"/>
    <x v="4"/>
    <s v="TX-104756"/>
    <x v="7"/>
    <x v="0"/>
    <x v="6"/>
    <n v="12735.22"/>
    <n v="0"/>
    <x v="4751"/>
    <x v="2"/>
    <s v="Cuenta Ahorros"/>
    <s v="Tarjeta Crédito"/>
    <s v="Pagado"/>
  </r>
  <r>
    <x v="47"/>
    <x v="4"/>
    <s v="TX-104757"/>
    <x v="4"/>
    <x v="0"/>
    <x v="4"/>
    <n v="6854.06"/>
    <n v="0"/>
    <x v="4752"/>
    <x v="3"/>
    <s v="Tarjeta Crédito Empresarial"/>
    <s v="Tarjeta Crédito"/>
    <s v="Pendiente"/>
  </r>
  <r>
    <x v="230"/>
    <x v="11"/>
    <s v="TX-104758"/>
    <x v="3"/>
    <x v="0"/>
    <x v="0"/>
    <n v="11489.01"/>
    <n v="0"/>
    <x v="4753"/>
    <x v="3"/>
    <s v="Cuenta Ahorros"/>
    <s v="Tarjeta Crédito"/>
    <s v="Pagado"/>
  </r>
  <r>
    <x v="110"/>
    <x v="7"/>
    <s v="TX-104759"/>
    <x v="11"/>
    <x v="1"/>
    <x v="3"/>
    <n v="9742.57"/>
    <n v="1266.53"/>
    <x v="4754"/>
    <x v="0"/>
    <s v="Tarjeta Crédito Empresarial"/>
    <s v="Efectivo"/>
    <s v="Pendiente"/>
  </r>
  <r>
    <x v="227"/>
    <x v="11"/>
    <s v="TX-104760"/>
    <x v="8"/>
    <x v="0"/>
    <x v="5"/>
    <n v="2713.56"/>
    <n v="0"/>
    <x v="4755"/>
    <x v="3"/>
    <s v="Tarjeta Crédito Empresarial"/>
    <s v="Tarjeta Débito"/>
    <s v="Pagado"/>
  </r>
  <r>
    <x v="344"/>
    <x v="8"/>
    <s v="TX-104761"/>
    <x v="9"/>
    <x v="1"/>
    <x v="7"/>
    <n v="12714.83"/>
    <n v="1652.93"/>
    <x v="4756"/>
    <x v="3"/>
    <s v="Cuenta Corriente"/>
    <s v="Transferencia"/>
    <s v="Pagado"/>
  </r>
  <r>
    <x v="281"/>
    <x v="7"/>
    <s v="TX-104762"/>
    <x v="13"/>
    <x v="0"/>
    <x v="4"/>
    <n v="14115.47"/>
    <n v="0"/>
    <x v="4757"/>
    <x v="1"/>
    <s v="Cuenta Corriente"/>
    <s v="Tarjeta Crédito"/>
    <s v="Pagado"/>
  </r>
  <r>
    <x v="260"/>
    <x v="4"/>
    <s v="TX-104763"/>
    <x v="2"/>
    <x v="1"/>
    <x v="7"/>
    <n v="1535.46"/>
    <n v="199.61"/>
    <x v="4758"/>
    <x v="4"/>
    <s v="Tarjeta Crédito Empresarial"/>
    <s v="Efectivo"/>
    <s v="Pendiente"/>
  </r>
  <r>
    <x v="180"/>
    <x v="3"/>
    <s v="TX-104764"/>
    <x v="17"/>
    <x v="1"/>
    <x v="4"/>
    <n v="11644.47"/>
    <n v="1513.78"/>
    <x v="4759"/>
    <x v="0"/>
    <s v="Tarjeta Crédito Empresarial"/>
    <s v="Tarjeta Débito"/>
    <s v="Pendiente"/>
  </r>
  <r>
    <x v="205"/>
    <x v="3"/>
    <s v="TX-104765"/>
    <x v="15"/>
    <x v="1"/>
    <x v="7"/>
    <n v="12087.34"/>
    <n v="1571.35"/>
    <x v="4760"/>
    <x v="2"/>
    <s v="Tarjeta Crédito Empresarial"/>
    <s v="Tarjeta Crédito"/>
    <s v="Pagado"/>
  </r>
  <r>
    <x v="208"/>
    <x v="2"/>
    <s v="TX-104766"/>
    <x v="12"/>
    <x v="1"/>
    <x v="3"/>
    <n v="9535.4699999999993"/>
    <n v="1239.6099999999999"/>
    <x v="4761"/>
    <x v="3"/>
    <s v="Tarjeta Crédito Empresarial"/>
    <s v="Efectivo"/>
    <s v="Pagado"/>
  </r>
  <r>
    <x v="50"/>
    <x v="8"/>
    <s v="TX-104767"/>
    <x v="3"/>
    <x v="1"/>
    <x v="2"/>
    <n v="2055.7600000000002"/>
    <n v="267.25"/>
    <x v="4762"/>
    <x v="3"/>
    <s v="Cuenta Ahorros"/>
    <s v="Tarjeta Crédito"/>
    <s v="Pendiente"/>
  </r>
  <r>
    <x v="28"/>
    <x v="6"/>
    <s v="TX-104768"/>
    <x v="10"/>
    <x v="1"/>
    <x v="4"/>
    <n v="13900.24"/>
    <n v="1807.03"/>
    <x v="4763"/>
    <x v="2"/>
    <s v="Tarjeta Crédito Empresarial"/>
    <s v="Efectivo"/>
    <s v="Pendiente"/>
  </r>
  <r>
    <x v="10"/>
    <x v="0"/>
    <s v="TX-104769"/>
    <x v="8"/>
    <x v="1"/>
    <x v="5"/>
    <n v="6265.62"/>
    <n v="814.53"/>
    <x v="4764"/>
    <x v="4"/>
    <s v="Cuenta Corriente"/>
    <s v="Efectivo"/>
    <s v="Pagado"/>
  </r>
  <r>
    <x v="14"/>
    <x v="9"/>
    <s v="TX-104770"/>
    <x v="12"/>
    <x v="1"/>
    <x v="0"/>
    <n v="5260.87"/>
    <n v="683.91"/>
    <x v="4765"/>
    <x v="3"/>
    <s v="Cuenta Corriente"/>
    <s v="Tarjeta Débito"/>
    <s v="Pendiente"/>
  </r>
  <r>
    <x v="29"/>
    <x v="3"/>
    <s v="TX-104771"/>
    <x v="2"/>
    <x v="1"/>
    <x v="0"/>
    <n v="2687.79"/>
    <n v="349.41"/>
    <x v="4766"/>
    <x v="0"/>
    <s v="Cuenta Corriente"/>
    <s v="Tarjeta Débito"/>
    <s v="Pendiente"/>
  </r>
  <r>
    <x v="205"/>
    <x v="3"/>
    <s v="TX-104772"/>
    <x v="8"/>
    <x v="0"/>
    <x v="2"/>
    <n v="13760.1"/>
    <n v="0"/>
    <x v="4767"/>
    <x v="4"/>
    <s v="Tarjeta Crédito Empresarial"/>
    <s v="Efectivo"/>
    <s v="Pendiente"/>
  </r>
  <r>
    <x v="143"/>
    <x v="11"/>
    <s v="TX-104773"/>
    <x v="3"/>
    <x v="1"/>
    <x v="4"/>
    <n v="8974.09"/>
    <n v="1166.6300000000001"/>
    <x v="4768"/>
    <x v="1"/>
    <s v="Cuenta Corriente"/>
    <s v="Tarjeta Débito"/>
    <s v="Pendiente"/>
  </r>
  <r>
    <x v="31"/>
    <x v="6"/>
    <s v="TX-104774"/>
    <x v="14"/>
    <x v="1"/>
    <x v="2"/>
    <n v="6996.85"/>
    <n v="909.59"/>
    <x v="4769"/>
    <x v="3"/>
    <s v="Cuenta Corriente"/>
    <s v="Transferencia"/>
    <s v="Pagado"/>
  </r>
  <r>
    <x v="92"/>
    <x v="4"/>
    <s v="TX-104775"/>
    <x v="10"/>
    <x v="0"/>
    <x v="3"/>
    <n v="3524.62"/>
    <n v="0"/>
    <x v="4770"/>
    <x v="2"/>
    <s v="Cuenta Corriente"/>
    <s v="Tarjeta Débito"/>
    <s v="Pendiente"/>
  </r>
  <r>
    <x v="353"/>
    <x v="7"/>
    <s v="TX-104776"/>
    <x v="10"/>
    <x v="1"/>
    <x v="3"/>
    <n v="14558.93"/>
    <n v="1892.66"/>
    <x v="4771"/>
    <x v="4"/>
    <s v="Tarjeta Crédito Empresarial"/>
    <s v="Tarjeta Crédito"/>
    <s v="Pendiente"/>
  </r>
  <r>
    <x v="335"/>
    <x v="10"/>
    <s v="TX-104777"/>
    <x v="18"/>
    <x v="0"/>
    <x v="5"/>
    <n v="8906.65"/>
    <n v="0"/>
    <x v="4772"/>
    <x v="1"/>
    <s v="Cuenta Corriente"/>
    <s v="Tarjeta Débito"/>
    <s v="Pendiente"/>
  </r>
  <r>
    <x v="7"/>
    <x v="6"/>
    <s v="TX-104778"/>
    <x v="1"/>
    <x v="0"/>
    <x v="2"/>
    <n v="4071.31"/>
    <n v="0"/>
    <x v="4773"/>
    <x v="4"/>
    <s v="Cuenta Ahorros"/>
    <s v="Transferencia"/>
    <s v="Pendiente"/>
  </r>
  <r>
    <x v="254"/>
    <x v="5"/>
    <s v="TX-104779"/>
    <x v="5"/>
    <x v="0"/>
    <x v="6"/>
    <n v="701.17"/>
    <n v="0"/>
    <x v="4774"/>
    <x v="2"/>
    <s v="Tarjeta Crédito Empresarial"/>
    <s v="Tarjeta Crédito"/>
    <s v="Pagado"/>
  </r>
  <r>
    <x v="116"/>
    <x v="5"/>
    <s v="TX-104780"/>
    <x v="10"/>
    <x v="1"/>
    <x v="0"/>
    <n v="5040.33"/>
    <n v="655.24"/>
    <x v="4775"/>
    <x v="1"/>
    <s v="Cuenta Corriente"/>
    <s v="Tarjeta Débito"/>
    <s v="Pendiente"/>
  </r>
  <r>
    <x v="60"/>
    <x v="3"/>
    <s v="TX-104781"/>
    <x v="3"/>
    <x v="0"/>
    <x v="0"/>
    <n v="729.6"/>
    <n v="0"/>
    <x v="4776"/>
    <x v="3"/>
    <s v="Cuenta Corriente"/>
    <s v="Tarjeta Débito"/>
    <s v="Pagado"/>
  </r>
  <r>
    <x v="31"/>
    <x v="6"/>
    <s v="TX-104782"/>
    <x v="9"/>
    <x v="0"/>
    <x v="5"/>
    <n v="7125.4"/>
    <n v="0"/>
    <x v="4777"/>
    <x v="4"/>
    <s v="Cuenta Corriente"/>
    <s v="Tarjeta Crédito"/>
    <s v="Pagado"/>
  </r>
  <r>
    <x v="41"/>
    <x v="5"/>
    <s v="TX-104783"/>
    <x v="10"/>
    <x v="0"/>
    <x v="3"/>
    <n v="8458.01"/>
    <n v="0"/>
    <x v="4778"/>
    <x v="4"/>
    <s v="Cuenta Corriente"/>
    <s v="Tarjeta Crédito"/>
    <s v="Pendiente"/>
  </r>
  <r>
    <x v="266"/>
    <x v="0"/>
    <s v="TX-104784"/>
    <x v="7"/>
    <x v="1"/>
    <x v="6"/>
    <n v="8871.49"/>
    <n v="1153.29"/>
    <x v="4779"/>
    <x v="0"/>
    <s v="Cuenta Corriente"/>
    <s v="Tarjeta Crédito"/>
    <s v="Pagado"/>
  </r>
  <r>
    <x v="299"/>
    <x v="9"/>
    <s v="TX-104785"/>
    <x v="17"/>
    <x v="0"/>
    <x v="1"/>
    <n v="704.74"/>
    <n v="0"/>
    <x v="4780"/>
    <x v="2"/>
    <s v="Cuenta Ahorros"/>
    <s v="Tarjeta Débito"/>
    <s v="Pagado"/>
  </r>
  <r>
    <x v="220"/>
    <x v="1"/>
    <s v="TX-104786"/>
    <x v="6"/>
    <x v="1"/>
    <x v="3"/>
    <n v="9463.4699999999993"/>
    <n v="1230.25"/>
    <x v="4781"/>
    <x v="0"/>
    <s v="Tarjeta Crédito Empresarial"/>
    <s v="Tarjeta Crédito"/>
    <s v="Pagado"/>
  </r>
  <r>
    <x v="12"/>
    <x v="8"/>
    <s v="TX-104787"/>
    <x v="17"/>
    <x v="0"/>
    <x v="6"/>
    <n v="442.08"/>
    <n v="0"/>
    <x v="4782"/>
    <x v="2"/>
    <s v="Cuenta Corriente"/>
    <s v="Tarjeta Crédito"/>
    <s v="Pendiente"/>
  </r>
  <r>
    <x v="200"/>
    <x v="9"/>
    <s v="TX-104788"/>
    <x v="8"/>
    <x v="0"/>
    <x v="1"/>
    <n v="9700.61"/>
    <n v="0"/>
    <x v="4783"/>
    <x v="0"/>
    <s v="Cuenta Ahorros"/>
    <s v="Efectivo"/>
    <s v="Pagado"/>
  </r>
  <r>
    <x v="65"/>
    <x v="4"/>
    <s v="TX-104789"/>
    <x v="5"/>
    <x v="1"/>
    <x v="4"/>
    <n v="2766.14"/>
    <n v="359.6"/>
    <x v="4784"/>
    <x v="4"/>
    <s v="Cuenta Corriente"/>
    <s v="Transferencia"/>
    <s v="Pendiente"/>
  </r>
  <r>
    <x v="66"/>
    <x v="10"/>
    <s v="TX-104790"/>
    <x v="1"/>
    <x v="1"/>
    <x v="1"/>
    <n v="12407.91"/>
    <n v="1613.03"/>
    <x v="4785"/>
    <x v="1"/>
    <s v="Cuenta Corriente"/>
    <s v="Tarjeta Débito"/>
    <s v="Pendiente"/>
  </r>
  <r>
    <x v="96"/>
    <x v="2"/>
    <s v="TX-104791"/>
    <x v="3"/>
    <x v="1"/>
    <x v="2"/>
    <n v="12684.72"/>
    <n v="1649.01"/>
    <x v="4786"/>
    <x v="3"/>
    <s v="Cuenta Corriente"/>
    <s v="Efectivo"/>
    <s v="Pagado"/>
  </r>
  <r>
    <x v="238"/>
    <x v="5"/>
    <s v="TX-104792"/>
    <x v="14"/>
    <x v="1"/>
    <x v="5"/>
    <n v="8328.9"/>
    <n v="1082.76"/>
    <x v="4787"/>
    <x v="3"/>
    <s v="Cuenta Ahorros"/>
    <s v="Transferencia"/>
    <s v="Pagado"/>
  </r>
  <r>
    <x v="69"/>
    <x v="10"/>
    <s v="TX-104793"/>
    <x v="8"/>
    <x v="0"/>
    <x v="5"/>
    <n v="2227.36"/>
    <n v="0"/>
    <x v="4788"/>
    <x v="4"/>
    <s v="Cuenta Corriente"/>
    <s v="Tarjeta Crédito"/>
    <s v="Pagado"/>
  </r>
  <r>
    <x v="168"/>
    <x v="1"/>
    <s v="TX-104794"/>
    <x v="14"/>
    <x v="1"/>
    <x v="5"/>
    <n v="11621.27"/>
    <n v="1510.77"/>
    <x v="4789"/>
    <x v="3"/>
    <s v="Cuenta Corriente"/>
    <s v="Transferencia"/>
    <s v="Pagado"/>
  </r>
  <r>
    <x v="26"/>
    <x v="7"/>
    <s v="TX-104795"/>
    <x v="6"/>
    <x v="1"/>
    <x v="5"/>
    <n v="4008.12"/>
    <n v="521.05999999999995"/>
    <x v="4790"/>
    <x v="2"/>
    <s v="Cuenta Corriente"/>
    <s v="Efectivo"/>
    <s v="Pagado"/>
  </r>
  <r>
    <x v="107"/>
    <x v="3"/>
    <s v="TX-104796"/>
    <x v="3"/>
    <x v="1"/>
    <x v="5"/>
    <n v="9082.2800000000007"/>
    <n v="1180.7"/>
    <x v="4791"/>
    <x v="3"/>
    <s v="Tarjeta Crédito Empresarial"/>
    <s v="Efectivo"/>
    <s v="Pendiente"/>
  </r>
  <r>
    <x v="196"/>
    <x v="11"/>
    <s v="TX-104797"/>
    <x v="19"/>
    <x v="0"/>
    <x v="4"/>
    <n v="6148.09"/>
    <n v="0"/>
    <x v="4792"/>
    <x v="1"/>
    <s v="Cuenta Ahorros"/>
    <s v="Transferencia"/>
    <s v="Pendiente"/>
  </r>
  <r>
    <x v="111"/>
    <x v="4"/>
    <s v="TX-104798"/>
    <x v="2"/>
    <x v="0"/>
    <x v="0"/>
    <n v="5670.66"/>
    <n v="0"/>
    <x v="4793"/>
    <x v="3"/>
    <s v="Tarjeta Crédito Empresarial"/>
    <s v="Tarjeta Débito"/>
    <s v="Pagado"/>
  </r>
  <r>
    <x v="35"/>
    <x v="4"/>
    <s v="TX-104799"/>
    <x v="10"/>
    <x v="1"/>
    <x v="3"/>
    <n v="3727.46"/>
    <n v="484.57"/>
    <x v="4794"/>
    <x v="1"/>
    <s v="Cuenta Corriente"/>
    <s v="Tarjeta Débito"/>
    <s v="Pendiente"/>
  </r>
  <r>
    <x v="208"/>
    <x v="2"/>
    <s v="TX-104800"/>
    <x v="1"/>
    <x v="0"/>
    <x v="3"/>
    <n v="7074.75"/>
    <n v="0"/>
    <x v="4795"/>
    <x v="1"/>
    <s v="Cuenta Corriente"/>
    <s v="Efectivo"/>
    <s v="Pagado"/>
  </r>
  <r>
    <x v="360"/>
    <x v="6"/>
    <s v="TX-104801"/>
    <x v="16"/>
    <x v="1"/>
    <x v="4"/>
    <n v="4852.7"/>
    <n v="630.85"/>
    <x v="4796"/>
    <x v="0"/>
    <s v="Tarjeta Crédito Empresarial"/>
    <s v="Efectivo"/>
    <s v="Pendiente"/>
  </r>
  <r>
    <x v="297"/>
    <x v="11"/>
    <s v="TX-104802"/>
    <x v="12"/>
    <x v="1"/>
    <x v="4"/>
    <n v="2953.96"/>
    <n v="384.01"/>
    <x v="4797"/>
    <x v="4"/>
    <s v="Cuenta Corriente"/>
    <s v="Tarjeta Crédito"/>
    <s v="Pendiente"/>
  </r>
  <r>
    <x v="13"/>
    <x v="2"/>
    <s v="TX-104803"/>
    <x v="19"/>
    <x v="1"/>
    <x v="5"/>
    <n v="2831.79"/>
    <n v="368.13"/>
    <x v="4798"/>
    <x v="0"/>
    <s v="Cuenta Corriente"/>
    <s v="Tarjeta Débito"/>
    <s v="Pagado"/>
  </r>
  <r>
    <x v="257"/>
    <x v="7"/>
    <s v="TX-104804"/>
    <x v="11"/>
    <x v="0"/>
    <x v="5"/>
    <n v="10841.96"/>
    <n v="0"/>
    <x v="4799"/>
    <x v="2"/>
    <s v="Tarjeta Crédito Empresarial"/>
    <s v="Transferencia"/>
    <s v="Pendiente"/>
  </r>
  <r>
    <x v="179"/>
    <x v="1"/>
    <s v="TX-104805"/>
    <x v="6"/>
    <x v="1"/>
    <x v="4"/>
    <n v="13794.59"/>
    <n v="1793.3"/>
    <x v="4800"/>
    <x v="3"/>
    <s v="Cuenta Ahorros"/>
    <s v="Tarjeta Crédito"/>
    <s v="Pagado"/>
  </r>
  <r>
    <x v="83"/>
    <x v="2"/>
    <s v="TX-104806"/>
    <x v="9"/>
    <x v="0"/>
    <x v="5"/>
    <n v="2823.6"/>
    <n v="0"/>
    <x v="4801"/>
    <x v="2"/>
    <s v="Cuenta Ahorros"/>
    <s v="Efectivo"/>
    <s v="Pendiente"/>
  </r>
  <r>
    <x v="324"/>
    <x v="5"/>
    <s v="TX-104807"/>
    <x v="11"/>
    <x v="1"/>
    <x v="0"/>
    <n v="13580.58"/>
    <n v="1765.48"/>
    <x v="4802"/>
    <x v="2"/>
    <s v="Cuenta Corriente"/>
    <s v="Tarjeta Crédito"/>
    <s v="Pendiente"/>
  </r>
  <r>
    <x v="201"/>
    <x v="8"/>
    <s v="TX-104808"/>
    <x v="19"/>
    <x v="1"/>
    <x v="0"/>
    <n v="9658.7099999999991"/>
    <n v="1255.6300000000001"/>
    <x v="4803"/>
    <x v="2"/>
    <s v="Cuenta Corriente"/>
    <s v="Tarjeta Crédito"/>
    <s v="Pagado"/>
  </r>
  <r>
    <x v="167"/>
    <x v="8"/>
    <s v="TX-104809"/>
    <x v="4"/>
    <x v="1"/>
    <x v="0"/>
    <n v="10749.41"/>
    <n v="1397.42"/>
    <x v="4804"/>
    <x v="0"/>
    <s v="Tarjeta Crédito Empresarial"/>
    <s v="Tarjeta Crédito"/>
    <s v="Pagado"/>
  </r>
  <r>
    <x v="184"/>
    <x v="4"/>
    <s v="TX-104810"/>
    <x v="3"/>
    <x v="1"/>
    <x v="1"/>
    <n v="8710.6200000000008"/>
    <n v="1132.3800000000001"/>
    <x v="4805"/>
    <x v="2"/>
    <s v="Tarjeta Crédito Empresarial"/>
    <s v="Efectivo"/>
    <s v="Pendiente"/>
  </r>
  <r>
    <x v="162"/>
    <x v="11"/>
    <s v="TX-104811"/>
    <x v="10"/>
    <x v="1"/>
    <x v="6"/>
    <n v="12138.89"/>
    <n v="1578.06"/>
    <x v="4806"/>
    <x v="4"/>
    <s v="Cuenta Corriente"/>
    <s v="Tarjeta Débito"/>
    <s v="Pagado"/>
  </r>
  <r>
    <x v="185"/>
    <x v="0"/>
    <s v="TX-104812"/>
    <x v="0"/>
    <x v="0"/>
    <x v="1"/>
    <n v="8415.4"/>
    <n v="0"/>
    <x v="4807"/>
    <x v="0"/>
    <s v="Cuenta Ahorros"/>
    <s v="Tarjeta Crédito"/>
    <s v="Pendiente"/>
  </r>
  <r>
    <x v="280"/>
    <x v="9"/>
    <s v="TX-104813"/>
    <x v="13"/>
    <x v="0"/>
    <x v="7"/>
    <n v="10800.48"/>
    <n v="0"/>
    <x v="4808"/>
    <x v="4"/>
    <s v="Tarjeta Crédito Empresarial"/>
    <s v="Transferencia"/>
    <s v="Pendiente"/>
  </r>
  <r>
    <x v="290"/>
    <x v="6"/>
    <s v="TX-104814"/>
    <x v="3"/>
    <x v="0"/>
    <x v="6"/>
    <n v="668.03"/>
    <n v="0"/>
    <x v="4809"/>
    <x v="1"/>
    <s v="Tarjeta Crédito Empresarial"/>
    <s v="Tarjeta Débito"/>
    <s v="Pagado"/>
  </r>
  <r>
    <x v="359"/>
    <x v="5"/>
    <s v="TX-104815"/>
    <x v="10"/>
    <x v="1"/>
    <x v="6"/>
    <n v="12290.49"/>
    <n v="1597.76"/>
    <x v="4810"/>
    <x v="2"/>
    <s v="Tarjeta Crédito Empresarial"/>
    <s v="Tarjeta Crédito"/>
    <s v="Pagado"/>
  </r>
  <r>
    <x v="211"/>
    <x v="7"/>
    <s v="TX-104816"/>
    <x v="0"/>
    <x v="0"/>
    <x v="6"/>
    <n v="11096.02"/>
    <n v="0"/>
    <x v="4811"/>
    <x v="2"/>
    <s v="Cuenta Corriente"/>
    <s v="Tarjeta Débito"/>
    <s v="Pendiente"/>
  </r>
  <r>
    <x v="232"/>
    <x v="10"/>
    <s v="TX-104817"/>
    <x v="13"/>
    <x v="0"/>
    <x v="1"/>
    <n v="11799.98"/>
    <n v="0"/>
    <x v="4812"/>
    <x v="2"/>
    <s v="Cuenta Corriente"/>
    <s v="Tarjeta Crédito"/>
    <s v="Pendiente"/>
  </r>
  <r>
    <x v="218"/>
    <x v="4"/>
    <s v="TX-104818"/>
    <x v="13"/>
    <x v="1"/>
    <x v="0"/>
    <n v="3045.67"/>
    <n v="395.94"/>
    <x v="4813"/>
    <x v="4"/>
    <s v="Cuenta Ahorros"/>
    <s v="Tarjeta Crédito"/>
    <s v="Pagado"/>
  </r>
  <r>
    <x v="345"/>
    <x v="7"/>
    <s v="TX-104819"/>
    <x v="0"/>
    <x v="0"/>
    <x v="6"/>
    <n v="4096.28"/>
    <n v="0"/>
    <x v="4814"/>
    <x v="4"/>
    <s v="Cuenta Ahorros"/>
    <s v="Transferencia"/>
    <s v="Pendiente"/>
  </r>
  <r>
    <x v="299"/>
    <x v="9"/>
    <s v="TX-104820"/>
    <x v="9"/>
    <x v="1"/>
    <x v="0"/>
    <n v="7202.91"/>
    <n v="936.38"/>
    <x v="4815"/>
    <x v="4"/>
    <s v="Tarjeta Crédito Empresarial"/>
    <s v="Tarjeta Crédito"/>
    <s v="Pagado"/>
  </r>
  <r>
    <x v="81"/>
    <x v="3"/>
    <s v="TX-104821"/>
    <x v="0"/>
    <x v="1"/>
    <x v="6"/>
    <n v="10153.540000000001"/>
    <n v="1319.96"/>
    <x v="4816"/>
    <x v="0"/>
    <s v="Cuenta Corriente"/>
    <s v="Transferencia"/>
    <s v="Pendiente"/>
  </r>
  <r>
    <x v="208"/>
    <x v="2"/>
    <s v="TX-104822"/>
    <x v="1"/>
    <x v="1"/>
    <x v="5"/>
    <n v="14871.38"/>
    <n v="1933.28"/>
    <x v="4817"/>
    <x v="1"/>
    <s v="Cuenta Ahorros"/>
    <s v="Efectivo"/>
    <s v="Pendiente"/>
  </r>
  <r>
    <x v="73"/>
    <x v="6"/>
    <s v="TX-104823"/>
    <x v="4"/>
    <x v="0"/>
    <x v="1"/>
    <n v="6551.24"/>
    <n v="0"/>
    <x v="4818"/>
    <x v="1"/>
    <s v="Cuenta Ahorros"/>
    <s v="Tarjeta Crédito"/>
    <s v="Pagado"/>
  </r>
  <r>
    <x v="209"/>
    <x v="1"/>
    <s v="TX-104824"/>
    <x v="12"/>
    <x v="1"/>
    <x v="7"/>
    <n v="14740.84"/>
    <n v="1916.31"/>
    <x v="4819"/>
    <x v="1"/>
    <s v="Tarjeta Crédito Empresarial"/>
    <s v="Transferencia"/>
    <s v="Pagado"/>
  </r>
  <r>
    <x v="135"/>
    <x v="4"/>
    <s v="TX-104825"/>
    <x v="0"/>
    <x v="1"/>
    <x v="5"/>
    <n v="4450.17"/>
    <n v="578.52"/>
    <x v="4820"/>
    <x v="0"/>
    <s v="Cuenta Corriente"/>
    <s v="Tarjeta Crédito"/>
    <s v="Pendiente"/>
  </r>
  <r>
    <x v="230"/>
    <x v="11"/>
    <s v="TX-104826"/>
    <x v="16"/>
    <x v="1"/>
    <x v="2"/>
    <n v="11096.42"/>
    <n v="1442.53"/>
    <x v="4821"/>
    <x v="2"/>
    <s v="Tarjeta Crédito Empresarial"/>
    <s v="Transferencia"/>
    <s v="Pagado"/>
  </r>
  <r>
    <x v="361"/>
    <x v="0"/>
    <s v="TX-104827"/>
    <x v="17"/>
    <x v="1"/>
    <x v="1"/>
    <n v="9885.52"/>
    <n v="1285.1199999999999"/>
    <x v="4822"/>
    <x v="1"/>
    <s v="Cuenta Corriente"/>
    <s v="Tarjeta Débito"/>
    <s v="Pagado"/>
  </r>
  <r>
    <x v="102"/>
    <x v="6"/>
    <s v="TX-104828"/>
    <x v="2"/>
    <x v="1"/>
    <x v="1"/>
    <n v="4284.28"/>
    <n v="556.96"/>
    <x v="4823"/>
    <x v="4"/>
    <s v="Cuenta Corriente"/>
    <s v="Efectivo"/>
    <s v="Pendiente"/>
  </r>
  <r>
    <x v="194"/>
    <x v="8"/>
    <s v="TX-104829"/>
    <x v="9"/>
    <x v="1"/>
    <x v="5"/>
    <n v="1147.0999999999999"/>
    <n v="149.12"/>
    <x v="4824"/>
    <x v="3"/>
    <s v="Tarjeta Crédito Empresarial"/>
    <s v="Tarjeta Crédito"/>
    <s v="Pagado"/>
  </r>
  <r>
    <x v="257"/>
    <x v="7"/>
    <s v="TX-104830"/>
    <x v="0"/>
    <x v="0"/>
    <x v="6"/>
    <n v="11798.4"/>
    <n v="0"/>
    <x v="4825"/>
    <x v="3"/>
    <s v="Cuenta Ahorros"/>
    <s v="Efectivo"/>
    <s v="Pendiente"/>
  </r>
  <r>
    <x v="298"/>
    <x v="8"/>
    <s v="TX-104831"/>
    <x v="15"/>
    <x v="0"/>
    <x v="1"/>
    <n v="11572.96"/>
    <n v="0"/>
    <x v="4826"/>
    <x v="2"/>
    <s v="Tarjeta Crédito Empresarial"/>
    <s v="Transferencia"/>
    <s v="Pendiente"/>
  </r>
  <r>
    <x v="32"/>
    <x v="9"/>
    <s v="TX-104832"/>
    <x v="9"/>
    <x v="1"/>
    <x v="6"/>
    <n v="14061.64"/>
    <n v="1828.01"/>
    <x v="4827"/>
    <x v="1"/>
    <s v="Cuenta Corriente"/>
    <s v="Tarjeta Crédito"/>
    <s v="Pagado"/>
  </r>
  <r>
    <x v="83"/>
    <x v="2"/>
    <s v="TX-104833"/>
    <x v="16"/>
    <x v="0"/>
    <x v="7"/>
    <n v="823.67"/>
    <n v="0"/>
    <x v="4828"/>
    <x v="3"/>
    <s v="Cuenta Ahorros"/>
    <s v="Tarjeta Débito"/>
    <s v="Pendiente"/>
  </r>
  <r>
    <x v="229"/>
    <x v="5"/>
    <s v="TX-104834"/>
    <x v="1"/>
    <x v="0"/>
    <x v="2"/>
    <n v="1806.35"/>
    <n v="0"/>
    <x v="4829"/>
    <x v="1"/>
    <s v="Cuenta Corriente"/>
    <s v="Efectivo"/>
    <s v="Pagado"/>
  </r>
  <r>
    <x v="346"/>
    <x v="1"/>
    <s v="TX-104835"/>
    <x v="12"/>
    <x v="0"/>
    <x v="0"/>
    <n v="3985.51"/>
    <n v="0"/>
    <x v="4830"/>
    <x v="1"/>
    <s v="Cuenta Corriente"/>
    <s v="Efectivo"/>
    <s v="Pendiente"/>
  </r>
  <r>
    <x v="165"/>
    <x v="9"/>
    <s v="TX-104836"/>
    <x v="9"/>
    <x v="0"/>
    <x v="5"/>
    <n v="14208.37"/>
    <n v="0"/>
    <x v="4831"/>
    <x v="4"/>
    <s v="Cuenta Corriente"/>
    <s v="Transferencia"/>
    <s v="Pendiente"/>
  </r>
  <r>
    <x v="77"/>
    <x v="8"/>
    <s v="TX-104837"/>
    <x v="6"/>
    <x v="1"/>
    <x v="5"/>
    <n v="2227.1"/>
    <n v="289.52"/>
    <x v="4832"/>
    <x v="4"/>
    <s v="Cuenta Ahorros"/>
    <s v="Transferencia"/>
    <s v="Pendiente"/>
  </r>
  <r>
    <x v="39"/>
    <x v="8"/>
    <s v="TX-104838"/>
    <x v="16"/>
    <x v="0"/>
    <x v="1"/>
    <n v="8254.4599999999991"/>
    <n v="0"/>
    <x v="4833"/>
    <x v="3"/>
    <s v="Tarjeta Crédito Empresarial"/>
    <s v="Efectivo"/>
    <s v="Pagado"/>
  </r>
  <r>
    <x v="315"/>
    <x v="5"/>
    <s v="TX-104839"/>
    <x v="12"/>
    <x v="1"/>
    <x v="3"/>
    <n v="632.69000000000005"/>
    <n v="82.25"/>
    <x v="4834"/>
    <x v="3"/>
    <s v="Tarjeta Crédito Empresarial"/>
    <s v="Tarjeta Débito"/>
    <s v="Pagado"/>
  </r>
  <r>
    <x v="316"/>
    <x v="6"/>
    <s v="TX-104840"/>
    <x v="9"/>
    <x v="1"/>
    <x v="1"/>
    <n v="12179.49"/>
    <n v="1583.33"/>
    <x v="4835"/>
    <x v="0"/>
    <s v="Cuenta Corriente"/>
    <s v="Tarjeta Débito"/>
    <s v="Pendiente"/>
  </r>
  <r>
    <x v="272"/>
    <x v="8"/>
    <s v="TX-104841"/>
    <x v="19"/>
    <x v="1"/>
    <x v="5"/>
    <n v="7769.4"/>
    <n v="1010.02"/>
    <x v="4836"/>
    <x v="2"/>
    <s v="Tarjeta Crédito Empresarial"/>
    <s v="Transferencia"/>
    <s v="Pendiente"/>
  </r>
  <r>
    <x v="160"/>
    <x v="7"/>
    <s v="TX-104842"/>
    <x v="2"/>
    <x v="1"/>
    <x v="6"/>
    <n v="4007.09"/>
    <n v="520.91999999999996"/>
    <x v="4837"/>
    <x v="2"/>
    <s v="Tarjeta Crédito Empresarial"/>
    <s v="Tarjeta Crédito"/>
    <s v="Pagado"/>
  </r>
  <r>
    <x v="137"/>
    <x v="11"/>
    <s v="TX-104843"/>
    <x v="15"/>
    <x v="0"/>
    <x v="4"/>
    <n v="9689.39"/>
    <n v="0"/>
    <x v="4838"/>
    <x v="4"/>
    <s v="Tarjeta Crédito Empresarial"/>
    <s v="Efectivo"/>
    <s v="Pendiente"/>
  </r>
  <r>
    <x v="185"/>
    <x v="0"/>
    <s v="TX-104844"/>
    <x v="17"/>
    <x v="1"/>
    <x v="2"/>
    <n v="611.01"/>
    <n v="79.430000000000007"/>
    <x v="4839"/>
    <x v="4"/>
    <s v="Tarjeta Crédito Empresarial"/>
    <s v="Tarjeta Débito"/>
    <s v="Pendiente"/>
  </r>
  <r>
    <x v="136"/>
    <x v="11"/>
    <s v="TX-104845"/>
    <x v="9"/>
    <x v="1"/>
    <x v="1"/>
    <n v="11052.12"/>
    <n v="1436.78"/>
    <x v="4840"/>
    <x v="1"/>
    <s v="Cuenta Ahorros"/>
    <s v="Tarjeta Débito"/>
    <s v="Pendiente"/>
  </r>
  <r>
    <x v="363"/>
    <x v="11"/>
    <s v="TX-104846"/>
    <x v="13"/>
    <x v="1"/>
    <x v="1"/>
    <n v="7422.88"/>
    <n v="964.97"/>
    <x v="4841"/>
    <x v="4"/>
    <s v="Cuenta Ahorros"/>
    <s v="Transferencia"/>
    <s v="Pagado"/>
  </r>
  <r>
    <x v="144"/>
    <x v="0"/>
    <s v="TX-104847"/>
    <x v="18"/>
    <x v="1"/>
    <x v="0"/>
    <n v="11148.84"/>
    <n v="1449.35"/>
    <x v="4842"/>
    <x v="2"/>
    <s v="Cuenta Ahorros"/>
    <s v="Tarjeta Débito"/>
    <s v="Pagado"/>
  </r>
  <r>
    <x v="229"/>
    <x v="5"/>
    <s v="TX-104848"/>
    <x v="5"/>
    <x v="0"/>
    <x v="3"/>
    <n v="1304.26"/>
    <n v="0"/>
    <x v="4843"/>
    <x v="1"/>
    <s v="Tarjeta Crédito Empresarial"/>
    <s v="Tarjeta Débito"/>
    <s v="Pagado"/>
  </r>
  <r>
    <x v="238"/>
    <x v="5"/>
    <s v="TX-104849"/>
    <x v="6"/>
    <x v="1"/>
    <x v="6"/>
    <n v="11015.8"/>
    <n v="1432.05"/>
    <x v="4844"/>
    <x v="4"/>
    <s v="Cuenta Ahorros"/>
    <s v="Efectivo"/>
    <s v="Pagado"/>
  </r>
  <r>
    <x v="308"/>
    <x v="1"/>
    <s v="TX-104850"/>
    <x v="2"/>
    <x v="0"/>
    <x v="2"/>
    <n v="14664.4"/>
    <n v="0"/>
    <x v="4845"/>
    <x v="0"/>
    <s v="Cuenta Ahorros"/>
    <s v="Transferencia"/>
    <s v="Pagado"/>
  </r>
  <r>
    <x v="62"/>
    <x v="11"/>
    <s v="TX-104851"/>
    <x v="19"/>
    <x v="1"/>
    <x v="7"/>
    <n v="5896.65"/>
    <n v="766.56"/>
    <x v="4846"/>
    <x v="4"/>
    <s v="Cuenta Ahorros"/>
    <s v="Transferencia"/>
    <s v="Pendiente"/>
  </r>
  <r>
    <x v="291"/>
    <x v="3"/>
    <s v="TX-104852"/>
    <x v="5"/>
    <x v="1"/>
    <x v="6"/>
    <n v="708.45"/>
    <n v="92.1"/>
    <x v="4847"/>
    <x v="1"/>
    <s v="Tarjeta Crédito Empresarial"/>
    <s v="Efectivo"/>
    <s v="Pendiente"/>
  </r>
  <r>
    <x v="1"/>
    <x v="1"/>
    <s v="TX-104853"/>
    <x v="3"/>
    <x v="0"/>
    <x v="1"/>
    <n v="7915.58"/>
    <n v="0"/>
    <x v="4848"/>
    <x v="3"/>
    <s v="Cuenta Ahorros"/>
    <s v="Transferencia"/>
    <s v="Pagado"/>
  </r>
  <r>
    <x v="325"/>
    <x v="5"/>
    <s v="TX-104854"/>
    <x v="0"/>
    <x v="0"/>
    <x v="5"/>
    <n v="5442.57"/>
    <n v="0"/>
    <x v="4849"/>
    <x v="0"/>
    <s v="Tarjeta Crédito Empresarial"/>
    <s v="Transferencia"/>
    <s v="Pendiente"/>
  </r>
  <r>
    <x v="25"/>
    <x v="10"/>
    <s v="TX-104855"/>
    <x v="7"/>
    <x v="0"/>
    <x v="4"/>
    <n v="12009.78"/>
    <n v="0"/>
    <x v="4850"/>
    <x v="0"/>
    <s v="Tarjeta Crédito Empresarial"/>
    <s v="Tarjeta Crédito"/>
    <s v="Pagado"/>
  </r>
  <r>
    <x v="169"/>
    <x v="1"/>
    <s v="TX-104856"/>
    <x v="9"/>
    <x v="1"/>
    <x v="3"/>
    <n v="1034.19"/>
    <n v="134.44"/>
    <x v="4851"/>
    <x v="2"/>
    <s v="Cuenta Corriente"/>
    <s v="Tarjeta Débito"/>
    <s v="Pagado"/>
  </r>
  <r>
    <x v="145"/>
    <x v="11"/>
    <s v="TX-104857"/>
    <x v="7"/>
    <x v="1"/>
    <x v="2"/>
    <n v="11446.72"/>
    <n v="1488.07"/>
    <x v="4852"/>
    <x v="3"/>
    <s v="Tarjeta Crédito Empresarial"/>
    <s v="Tarjeta Crédito"/>
    <s v="Pagado"/>
  </r>
  <r>
    <x v="199"/>
    <x v="0"/>
    <s v="TX-104858"/>
    <x v="13"/>
    <x v="0"/>
    <x v="1"/>
    <n v="3593.3"/>
    <n v="0"/>
    <x v="4853"/>
    <x v="1"/>
    <s v="Cuenta Ahorros"/>
    <s v="Tarjeta Crédito"/>
    <s v="Pagado"/>
  </r>
  <r>
    <x v="265"/>
    <x v="1"/>
    <s v="TX-104859"/>
    <x v="6"/>
    <x v="0"/>
    <x v="7"/>
    <n v="5025.96"/>
    <n v="0"/>
    <x v="4854"/>
    <x v="3"/>
    <s v="Cuenta Ahorros"/>
    <s v="Tarjeta Débito"/>
    <s v="Pendiente"/>
  </r>
  <r>
    <x v="58"/>
    <x v="9"/>
    <s v="TX-104860"/>
    <x v="12"/>
    <x v="1"/>
    <x v="6"/>
    <n v="12286.95"/>
    <n v="1597.3"/>
    <x v="4855"/>
    <x v="4"/>
    <s v="Cuenta Corriente"/>
    <s v="Tarjeta Crédito"/>
    <s v="Pagado"/>
  </r>
  <r>
    <x v="163"/>
    <x v="10"/>
    <s v="TX-104861"/>
    <x v="11"/>
    <x v="0"/>
    <x v="1"/>
    <n v="13612.53"/>
    <n v="0"/>
    <x v="4856"/>
    <x v="3"/>
    <s v="Cuenta Corriente"/>
    <s v="Efectivo"/>
    <s v="Pendiente"/>
  </r>
  <r>
    <x v="93"/>
    <x v="3"/>
    <s v="TX-104862"/>
    <x v="4"/>
    <x v="0"/>
    <x v="7"/>
    <n v="12762.35"/>
    <n v="0"/>
    <x v="4857"/>
    <x v="1"/>
    <s v="Cuenta Ahorros"/>
    <s v="Tarjeta Débito"/>
    <s v="Pendiente"/>
  </r>
  <r>
    <x v="136"/>
    <x v="11"/>
    <s v="TX-104863"/>
    <x v="3"/>
    <x v="1"/>
    <x v="4"/>
    <n v="9937.81"/>
    <n v="1291.92"/>
    <x v="4858"/>
    <x v="2"/>
    <s v="Cuenta Corriente"/>
    <s v="Tarjeta Débito"/>
    <s v="Pendiente"/>
  </r>
  <r>
    <x v="246"/>
    <x v="10"/>
    <s v="TX-104864"/>
    <x v="11"/>
    <x v="1"/>
    <x v="5"/>
    <n v="897.98"/>
    <n v="116.74"/>
    <x v="4859"/>
    <x v="3"/>
    <s v="Tarjeta Crédito Empresarial"/>
    <s v="Transferencia"/>
    <s v="Pagado"/>
  </r>
  <r>
    <x v="46"/>
    <x v="4"/>
    <s v="TX-104865"/>
    <x v="4"/>
    <x v="1"/>
    <x v="1"/>
    <n v="1779.36"/>
    <n v="231.32"/>
    <x v="4860"/>
    <x v="4"/>
    <s v="Cuenta Corriente"/>
    <s v="Tarjeta Débito"/>
    <s v="Pagado"/>
  </r>
  <r>
    <x v="97"/>
    <x v="6"/>
    <s v="TX-104866"/>
    <x v="18"/>
    <x v="0"/>
    <x v="1"/>
    <n v="8979.33"/>
    <n v="0"/>
    <x v="4861"/>
    <x v="3"/>
    <s v="Tarjeta Crédito Empresarial"/>
    <s v="Efectivo"/>
    <s v="Pendiente"/>
  </r>
  <r>
    <x v="100"/>
    <x v="3"/>
    <s v="TX-104867"/>
    <x v="4"/>
    <x v="0"/>
    <x v="2"/>
    <n v="13305.04"/>
    <n v="0"/>
    <x v="4862"/>
    <x v="3"/>
    <s v="Tarjeta Crédito Empresarial"/>
    <s v="Transferencia"/>
    <s v="Pendiente"/>
  </r>
  <r>
    <x v="169"/>
    <x v="1"/>
    <s v="TX-104868"/>
    <x v="17"/>
    <x v="0"/>
    <x v="4"/>
    <n v="13442.14"/>
    <n v="0"/>
    <x v="4863"/>
    <x v="2"/>
    <s v="Cuenta Corriente"/>
    <s v="Tarjeta Crédito"/>
    <s v="Pendiente"/>
  </r>
  <r>
    <x v="212"/>
    <x v="8"/>
    <s v="TX-104869"/>
    <x v="15"/>
    <x v="1"/>
    <x v="5"/>
    <n v="10357.469999999999"/>
    <n v="1346.47"/>
    <x v="4864"/>
    <x v="1"/>
    <s v="Cuenta Corriente"/>
    <s v="Efectivo"/>
    <s v="Pagado"/>
  </r>
  <r>
    <x v="87"/>
    <x v="3"/>
    <s v="TX-104870"/>
    <x v="3"/>
    <x v="0"/>
    <x v="1"/>
    <n v="2582.13"/>
    <n v="0"/>
    <x v="4865"/>
    <x v="3"/>
    <s v="Tarjeta Crédito Empresarial"/>
    <s v="Tarjeta Débito"/>
    <s v="Pendiente"/>
  </r>
  <r>
    <x v="271"/>
    <x v="5"/>
    <s v="TX-104871"/>
    <x v="8"/>
    <x v="0"/>
    <x v="5"/>
    <n v="13547.42"/>
    <n v="0"/>
    <x v="4866"/>
    <x v="0"/>
    <s v="Tarjeta Crédito Empresarial"/>
    <s v="Tarjeta Crédito"/>
    <s v="Pendiente"/>
  </r>
  <r>
    <x v="148"/>
    <x v="8"/>
    <s v="TX-104872"/>
    <x v="17"/>
    <x v="1"/>
    <x v="0"/>
    <n v="10046.700000000001"/>
    <n v="1306.07"/>
    <x v="4867"/>
    <x v="2"/>
    <s v="Cuenta Ahorros"/>
    <s v="Tarjeta Débito"/>
    <s v="Pagado"/>
  </r>
  <r>
    <x v="81"/>
    <x v="3"/>
    <s v="TX-104873"/>
    <x v="14"/>
    <x v="1"/>
    <x v="4"/>
    <n v="8369.0499999999993"/>
    <n v="1087.98"/>
    <x v="4868"/>
    <x v="3"/>
    <s v="Tarjeta Crédito Empresarial"/>
    <s v="Tarjeta Crédito"/>
    <s v="Pendiente"/>
  </r>
  <r>
    <x v="186"/>
    <x v="3"/>
    <s v="TX-104874"/>
    <x v="12"/>
    <x v="1"/>
    <x v="7"/>
    <n v="13564.76"/>
    <n v="1763.42"/>
    <x v="4869"/>
    <x v="3"/>
    <s v="Tarjeta Crédito Empresarial"/>
    <s v="Transferencia"/>
    <s v="Pendiente"/>
  </r>
  <r>
    <x v="67"/>
    <x v="8"/>
    <s v="TX-104875"/>
    <x v="8"/>
    <x v="1"/>
    <x v="7"/>
    <n v="9062.61"/>
    <n v="1178.1400000000001"/>
    <x v="4870"/>
    <x v="1"/>
    <s v="Cuenta Corriente"/>
    <s v="Transferencia"/>
    <s v="Pagado"/>
  </r>
  <r>
    <x v="333"/>
    <x v="10"/>
    <s v="TX-104876"/>
    <x v="16"/>
    <x v="1"/>
    <x v="1"/>
    <n v="2418.8000000000002"/>
    <n v="314.44"/>
    <x v="4871"/>
    <x v="4"/>
    <s v="Tarjeta Crédito Empresarial"/>
    <s v="Efectivo"/>
    <s v="Pendiente"/>
  </r>
  <r>
    <x v="254"/>
    <x v="5"/>
    <s v="TX-104877"/>
    <x v="5"/>
    <x v="0"/>
    <x v="3"/>
    <n v="10880.46"/>
    <n v="0"/>
    <x v="4872"/>
    <x v="3"/>
    <s v="Cuenta Ahorros"/>
    <s v="Transferencia"/>
    <s v="Pagado"/>
  </r>
  <r>
    <x v="304"/>
    <x v="11"/>
    <s v="TX-104878"/>
    <x v="15"/>
    <x v="0"/>
    <x v="3"/>
    <n v="11040.48"/>
    <n v="0"/>
    <x v="4873"/>
    <x v="0"/>
    <s v="Cuenta Ahorros"/>
    <s v="Transferencia"/>
    <s v="Pagado"/>
  </r>
  <r>
    <x v="28"/>
    <x v="6"/>
    <s v="TX-104879"/>
    <x v="15"/>
    <x v="0"/>
    <x v="6"/>
    <n v="7609.83"/>
    <n v="0"/>
    <x v="4874"/>
    <x v="1"/>
    <s v="Tarjeta Crédito Empresarial"/>
    <s v="Tarjeta Débito"/>
    <s v="Pendiente"/>
  </r>
  <r>
    <x v="275"/>
    <x v="10"/>
    <s v="TX-104880"/>
    <x v="3"/>
    <x v="0"/>
    <x v="6"/>
    <n v="8307.85"/>
    <n v="0"/>
    <x v="4875"/>
    <x v="4"/>
    <s v="Tarjeta Crédito Empresarial"/>
    <s v="Tarjeta Crédito"/>
    <s v="Pendiente"/>
  </r>
  <r>
    <x v="94"/>
    <x v="7"/>
    <s v="TX-104881"/>
    <x v="9"/>
    <x v="0"/>
    <x v="6"/>
    <n v="315.55"/>
    <n v="0"/>
    <x v="4876"/>
    <x v="0"/>
    <s v="Tarjeta Crédito Empresarial"/>
    <s v="Efectivo"/>
    <s v="Pagado"/>
  </r>
  <r>
    <x v="265"/>
    <x v="1"/>
    <s v="TX-104882"/>
    <x v="9"/>
    <x v="0"/>
    <x v="3"/>
    <n v="9059.9599999999991"/>
    <n v="0"/>
    <x v="4877"/>
    <x v="0"/>
    <s v="Cuenta Corriente"/>
    <s v="Tarjeta Crédito"/>
    <s v="Pendiente"/>
  </r>
  <r>
    <x v="345"/>
    <x v="7"/>
    <s v="TX-104883"/>
    <x v="10"/>
    <x v="1"/>
    <x v="3"/>
    <n v="11915.15"/>
    <n v="1548.97"/>
    <x v="4878"/>
    <x v="4"/>
    <s v="Tarjeta Crédito Empresarial"/>
    <s v="Tarjeta Débito"/>
    <s v="Pagado"/>
  </r>
  <r>
    <x v="102"/>
    <x v="6"/>
    <s v="TX-104884"/>
    <x v="12"/>
    <x v="1"/>
    <x v="7"/>
    <n v="298.98"/>
    <n v="38.869999999999997"/>
    <x v="4879"/>
    <x v="3"/>
    <s v="Tarjeta Crédito Empresarial"/>
    <s v="Transferencia"/>
    <s v="Pendiente"/>
  </r>
  <r>
    <x v="361"/>
    <x v="0"/>
    <s v="TX-104885"/>
    <x v="4"/>
    <x v="0"/>
    <x v="1"/>
    <n v="1181.76"/>
    <n v="0"/>
    <x v="4880"/>
    <x v="0"/>
    <s v="Tarjeta Crédito Empresarial"/>
    <s v="Tarjeta Débito"/>
    <s v="Pagado"/>
  </r>
  <r>
    <x v="261"/>
    <x v="2"/>
    <s v="TX-104886"/>
    <x v="8"/>
    <x v="1"/>
    <x v="5"/>
    <n v="9112.3799999999992"/>
    <n v="1184.6099999999999"/>
    <x v="4881"/>
    <x v="0"/>
    <s v="Tarjeta Crédito Empresarial"/>
    <s v="Tarjeta Crédito"/>
    <s v="Pendiente"/>
  </r>
  <r>
    <x v="164"/>
    <x v="10"/>
    <s v="TX-104887"/>
    <x v="18"/>
    <x v="1"/>
    <x v="0"/>
    <n v="11692.16"/>
    <n v="1519.98"/>
    <x v="4882"/>
    <x v="0"/>
    <s v="Cuenta Corriente"/>
    <s v="Tarjeta Crédito"/>
    <s v="Pendiente"/>
  </r>
  <r>
    <x v="14"/>
    <x v="9"/>
    <s v="TX-104888"/>
    <x v="16"/>
    <x v="0"/>
    <x v="1"/>
    <n v="6894.95"/>
    <n v="0"/>
    <x v="4883"/>
    <x v="4"/>
    <s v="Tarjeta Crédito Empresarial"/>
    <s v="Tarjeta Débito"/>
    <s v="Pagado"/>
  </r>
  <r>
    <x v="168"/>
    <x v="1"/>
    <s v="TX-104889"/>
    <x v="19"/>
    <x v="0"/>
    <x v="1"/>
    <n v="9772.9599999999991"/>
    <n v="0"/>
    <x v="4884"/>
    <x v="1"/>
    <s v="Tarjeta Crédito Empresarial"/>
    <s v="Efectivo"/>
    <s v="Pendiente"/>
  </r>
  <r>
    <x v="74"/>
    <x v="9"/>
    <s v="TX-104890"/>
    <x v="8"/>
    <x v="0"/>
    <x v="1"/>
    <n v="566.77"/>
    <n v="0"/>
    <x v="4885"/>
    <x v="4"/>
    <s v="Tarjeta Crédito Empresarial"/>
    <s v="Tarjeta Crédito"/>
    <s v="Pendiente"/>
  </r>
  <r>
    <x v="353"/>
    <x v="7"/>
    <s v="TX-104891"/>
    <x v="10"/>
    <x v="1"/>
    <x v="3"/>
    <n v="12886.49"/>
    <n v="1675.24"/>
    <x v="4886"/>
    <x v="4"/>
    <s v="Cuenta Ahorros"/>
    <s v="Transferencia"/>
    <s v="Pendiente"/>
  </r>
  <r>
    <x v="312"/>
    <x v="3"/>
    <s v="TX-104892"/>
    <x v="9"/>
    <x v="0"/>
    <x v="4"/>
    <n v="1313.8"/>
    <n v="0"/>
    <x v="4887"/>
    <x v="3"/>
    <s v="Cuenta Ahorros"/>
    <s v="Tarjeta Débito"/>
    <s v="Pagado"/>
  </r>
  <r>
    <x v="37"/>
    <x v="11"/>
    <s v="TX-104893"/>
    <x v="7"/>
    <x v="0"/>
    <x v="2"/>
    <n v="9636.91"/>
    <n v="0"/>
    <x v="4888"/>
    <x v="4"/>
    <s v="Tarjeta Crédito Empresarial"/>
    <s v="Tarjeta Crédito"/>
    <s v="Pagado"/>
  </r>
  <r>
    <x v="13"/>
    <x v="2"/>
    <s v="TX-104894"/>
    <x v="17"/>
    <x v="0"/>
    <x v="2"/>
    <n v="6682.04"/>
    <n v="0"/>
    <x v="4889"/>
    <x v="1"/>
    <s v="Tarjeta Crédito Empresarial"/>
    <s v="Tarjeta Crédito"/>
    <s v="Pendiente"/>
  </r>
  <r>
    <x v="291"/>
    <x v="3"/>
    <s v="TX-104895"/>
    <x v="12"/>
    <x v="1"/>
    <x v="3"/>
    <n v="1071.31"/>
    <n v="139.27000000000001"/>
    <x v="4890"/>
    <x v="3"/>
    <s v="Cuenta Corriente"/>
    <s v="Efectivo"/>
    <s v="Pendiente"/>
  </r>
  <r>
    <x v="23"/>
    <x v="1"/>
    <s v="TX-104896"/>
    <x v="19"/>
    <x v="0"/>
    <x v="4"/>
    <n v="433.48"/>
    <n v="0"/>
    <x v="4891"/>
    <x v="3"/>
    <s v="Tarjeta Crédito Empresarial"/>
    <s v="Tarjeta Débito"/>
    <s v="Pendiente"/>
  </r>
  <r>
    <x v="116"/>
    <x v="5"/>
    <s v="TX-104897"/>
    <x v="4"/>
    <x v="1"/>
    <x v="6"/>
    <n v="13911.9"/>
    <n v="1808.55"/>
    <x v="4892"/>
    <x v="1"/>
    <s v="Cuenta Corriente"/>
    <s v="Efectivo"/>
    <s v="Pagado"/>
  </r>
  <r>
    <x v="220"/>
    <x v="1"/>
    <s v="TX-104898"/>
    <x v="13"/>
    <x v="0"/>
    <x v="3"/>
    <n v="4960.84"/>
    <n v="0"/>
    <x v="4893"/>
    <x v="4"/>
    <s v="Cuenta Corriente"/>
    <s v="Tarjeta Crédito"/>
    <s v="Pendiente"/>
  </r>
  <r>
    <x v="358"/>
    <x v="8"/>
    <s v="TX-104899"/>
    <x v="9"/>
    <x v="0"/>
    <x v="2"/>
    <n v="13294.92"/>
    <n v="0"/>
    <x v="4894"/>
    <x v="2"/>
    <s v="Tarjeta Crédito Empresarial"/>
    <s v="Transferencia"/>
    <s v="Pagado"/>
  </r>
  <r>
    <x v="338"/>
    <x v="7"/>
    <s v="TX-104900"/>
    <x v="15"/>
    <x v="0"/>
    <x v="3"/>
    <n v="14463.47"/>
    <n v="0"/>
    <x v="4895"/>
    <x v="0"/>
    <s v="Cuenta Corriente"/>
    <s v="Efectivo"/>
    <s v="Pendiente"/>
  </r>
  <r>
    <x v="242"/>
    <x v="4"/>
    <s v="TX-104901"/>
    <x v="7"/>
    <x v="1"/>
    <x v="7"/>
    <n v="5579.03"/>
    <n v="725.27"/>
    <x v="4896"/>
    <x v="2"/>
    <s v="Tarjeta Crédito Empresarial"/>
    <s v="Tarjeta Crédito"/>
    <s v="Pagado"/>
  </r>
  <r>
    <x v="3"/>
    <x v="3"/>
    <s v="TX-104902"/>
    <x v="9"/>
    <x v="1"/>
    <x v="7"/>
    <n v="5450.67"/>
    <n v="708.59"/>
    <x v="4897"/>
    <x v="2"/>
    <s v="Cuenta Corriente"/>
    <s v="Efectivo"/>
    <s v="Pendiente"/>
  </r>
  <r>
    <x v="18"/>
    <x v="9"/>
    <s v="TX-104903"/>
    <x v="14"/>
    <x v="1"/>
    <x v="4"/>
    <n v="6598.61"/>
    <n v="857.82"/>
    <x v="4898"/>
    <x v="2"/>
    <s v="Cuenta Ahorros"/>
    <s v="Efectivo"/>
    <s v="Pendiente"/>
  </r>
  <r>
    <x v="262"/>
    <x v="10"/>
    <s v="TX-104904"/>
    <x v="4"/>
    <x v="1"/>
    <x v="1"/>
    <n v="1067.53"/>
    <n v="138.78"/>
    <x v="4899"/>
    <x v="1"/>
    <s v="Cuenta Ahorros"/>
    <s v="Tarjeta Débito"/>
    <s v="Pendiente"/>
  </r>
  <r>
    <x v="96"/>
    <x v="2"/>
    <s v="TX-104905"/>
    <x v="9"/>
    <x v="1"/>
    <x v="6"/>
    <n v="13575.27"/>
    <n v="1764.79"/>
    <x v="4900"/>
    <x v="0"/>
    <s v="Cuenta Ahorros"/>
    <s v="Transferencia"/>
    <s v="Pendiente"/>
  </r>
  <r>
    <x v="163"/>
    <x v="10"/>
    <s v="TX-104906"/>
    <x v="9"/>
    <x v="0"/>
    <x v="0"/>
    <n v="418.56"/>
    <n v="0"/>
    <x v="4901"/>
    <x v="0"/>
    <s v="Tarjeta Crédito Empresarial"/>
    <s v="Efectivo"/>
    <s v="Pagado"/>
  </r>
  <r>
    <x v="361"/>
    <x v="0"/>
    <s v="TX-104907"/>
    <x v="17"/>
    <x v="0"/>
    <x v="5"/>
    <n v="12056.72"/>
    <n v="0"/>
    <x v="4902"/>
    <x v="4"/>
    <s v="Tarjeta Crédito Empresarial"/>
    <s v="Tarjeta Crédito"/>
    <s v="Pagado"/>
  </r>
  <r>
    <x v="358"/>
    <x v="8"/>
    <s v="TX-104908"/>
    <x v="7"/>
    <x v="0"/>
    <x v="1"/>
    <n v="8111.98"/>
    <n v="0"/>
    <x v="4903"/>
    <x v="1"/>
    <s v="Cuenta Corriente"/>
    <s v="Tarjeta Crédito"/>
    <s v="Pagado"/>
  </r>
  <r>
    <x v="236"/>
    <x v="0"/>
    <s v="TX-104909"/>
    <x v="16"/>
    <x v="0"/>
    <x v="7"/>
    <n v="12087.98"/>
    <n v="0"/>
    <x v="4904"/>
    <x v="3"/>
    <s v="Cuenta Ahorros"/>
    <s v="Efectivo"/>
    <s v="Pendiente"/>
  </r>
  <r>
    <x v="264"/>
    <x v="2"/>
    <s v="TX-104910"/>
    <x v="6"/>
    <x v="1"/>
    <x v="6"/>
    <n v="13344.21"/>
    <n v="1734.75"/>
    <x v="4905"/>
    <x v="1"/>
    <s v="Cuenta Corriente"/>
    <s v="Transferencia"/>
    <s v="Pendiente"/>
  </r>
  <r>
    <x v="314"/>
    <x v="11"/>
    <s v="TX-104911"/>
    <x v="15"/>
    <x v="0"/>
    <x v="2"/>
    <n v="3556.48"/>
    <n v="0"/>
    <x v="4906"/>
    <x v="1"/>
    <s v="Cuenta Corriente"/>
    <s v="Transferencia"/>
    <s v="Pendiente"/>
  </r>
  <r>
    <x v="80"/>
    <x v="3"/>
    <s v="TX-104912"/>
    <x v="5"/>
    <x v="1"/>
    <x v="2"/>
    <n v="5997.14"/>
    <n v="779.63"/>
    <x v="4907"/>
    <x v="3"/>
    <s v="Cuenta Ahorros"/>
    <s v="Tarjeta Débito"/>
    <s v="Pendiente"/>
  </r>
  <r>
    <x v="215"/>
    <x v="3"/>
    <s v="TX-104913"/>
    <x v="2"/>
    <x v="0"/>
    <x v="7"/>
    <n v="13204.38"/>
    <n v="0"/>
    <x v="4908"/>
    <x v="4"/>
    <s v="Tarjeta Crédito Empresarial"/>
    <s v="Transferencia"/>
    <s v="Pagado"/>
  </r>
  <r>
    <x v="136"/>
    <x v="11"/>
    <s v="TX-104914"/>
    <x v="9"/>
    <x v="0"/>
    <x v="5"/>
    <n v="1933.08"/>
    <n v="0"/>
    <x v="4909"/>
    <x v="1"/>
    <s v="Tarjeta Crédito Empresarial"/>
    <s v="Efectivo"/>
    <s v="Pendiente"/>
  </r>
  <r>
    <x v="199"/>
    <x v="0"/>
    <s v="TX-104915"/>
    <x v="6"/>
    <x v="1"/>
    <x v="3"/>
    <n v="12639.44"/>
    <n v="1643.13"/>
    <x v="4910"/>
    <x v="2"/>
    <s v="Tarjeta Crédito Empresarial"/>
    <s v="Tarjeta Crédito"/>
    <s v="Pendiente"/>
  </r>
  <r>
    <x v="160"/>
    <x v="7"/>
    <s v="TX-104916"/>
    <x v="3"/>
    <x v="0"/>
    <x v="6"/>
    <n v="10393.25"/>
    <n v="0"/>
    <x v="4911"/>
    <x v="2"/>
    <s v="Cuenta Corriente"/>
    <s v="Transferencia"/>
    <s v="Pagado"/>
  </r>
  <r>
    <x v="352"/>
    <x v="4"/>
    <s v="TX-104917"/>
    <x v="9"/>
    <x v="1"/>
    <x v="0"/>
    <n v="11670.85"/>
    <n v="1517.21"/>
    <x v="4912"/>
    <x v="2"/>
    <s v="Cuenta Ahorros"/>
    <s v="Tarjeta Crédito"/>
    <s v="Pagado"/>
  </r>
  <r>
    <x v="75"/>
    <x v="9"/>
    <s v="TX-104918"/>
    <x v="13"/>
    <x v="1"/>
    <x v="2"/>
    <n v="5220.63"/>
    <n v="678.68"/>
    <x v="4913"/>
    <x v="0"/>
    <s v="Cuenta Corriente"/>
    <s v="Tarjeta Débito"/>
    <s v="Pagado"/>
  </r>
  <r>
    <x v="72"/>
    <x v="6"/>
    <s v="TX-104919"/>
    <x v="19"/>
    <x v="0"/>
    <x v="2"/>
    <n v="6697"/>
    <n v="0"/>
    <x v="4914"/>
    <x v="3"/>
    <s v="Cuenta Ahorros"/>
    <s v="Transferencia"/>
    <s v="Pendiente"/>
  </r>
  <r>
    <x v="300"/>
    <x v="0"/>
    <s v="TX-104920"/>
    <x v="13"/>
    <x v="0"/>
    <x v="0"/>
    <n v="12409.28"/>
    <n v="0"/>
    <x v="4915"/>
    <x v="4"/>
    <s v="Cuenta Corriente"/>
    <s v="Efectivo"/>
    <s v="Pendiente"/>
  </r>
  <r>
    <x v="92"/>
    <x v="4"/>
    <s v="TX-104921"/>
    <x v="12"/>
    <x v="1"/>
    <x v="0"/>
    <n v="6033.7"/>
    <n v="784.38"/>
    <x v="4916"/>
    <x v="4"/>
    <s v="Cuenta Ahorros"/>
    <s v="Tarjeta Crédito"/>
    <s v="Pagado"/>
  </r>
  <r>
    <x v="219"/>
    <x v="2"/>
    <s v="TX-104922"/>
    <x v="3"/>
    <x v="1"/>
    <x v="0"/>
    <n v="10430.76"/>
    <n v="1356"/>
    <x v="4917"/>
    <x v="3"/>
    <s v="Cuenta Corriente"/>
    <s v="Transferencia"/>
    <s v="Pagado"/>
  </r>
  <r>
    <x v="38"/>
    <x v="6"/>
    <s v="TX-104923"/>
    <x v="17"/>
    <x v="0"/>
    <x v="7"/>
    <n v="4946.21"/>
    <n v="0"/>
    <x v="4918"/>
    <x v="3"/>
    <s v="Cuenta Ahorros"/>
    <s v="Tarjeta Crédito"/>
    <s v="Pendiente"/>
  </r>
  <r>
    <x v="137"/>
    <x v="11"/>
    <s v="TX-104924"/>
    <x v="10"/>
    <x v="1"/>
    <x v="2"/>
    <n v="10558.08"/>
    <n v="1372.55"/>
    <x v="4919"/>
    <x v="3"/>
    <s v="Cuenta Ahorros"/>
    <s v="Efectivo"/>
    <s v="Pagado"/>
  </r>
  <r>
    <x v="218"/>
    <x v="4"/>
    <s v="TX-104925"/>
    <x v="4"/>
    <x v="1"/>
    <x v="5"/>
    <n v="664.64"/>
    <n v="86.4"/>
    <x v="4920"/>
    <x v="4"/>
    <s v="Cuenta Ahorros"/>
    <s v="Tarjeta Crédito"/>
    <s v="Pendiente"/>
  </r>
  <r>
    <x v="143"/>
    <x v="11"/>
    <s v="TX-104926"/>
    <x v="12"/>
    <x v="0"/>
    <x v="7"/>
    <n v="9260.36"/>
    <n v="0"/>
    <x v="4921"/>
    <x v="4"/>
    <s v="Cuenta Ahorros"/>
    <s v="Efectivo"/>
    <s v="Pagado"/>
  </r>
  <r>
    <x v="149"/>
    <x v="11"/>
    <s v="TX-104927"/>
    <x v="17"/>
    <x v="0"/>
    <x v="4"/>
    <n v="13471.47"/>
    <n v="0"/>
    <x v="4922"/>
    <x v="3"/>
    <s v="Cuenta Corriente"/>
    <s v="Efectivo"/>
    <s v="Pagado"/>
  </r>
  <r>
    <x v="31"/>
    <x v="6"/>
    <s v="TX-104928"/>
    <x v="15"/>
    <x v="0"/>
    <x v="0"/>
    <n v="8489.83"/>
    <n v="0"/>
    <x v="4923"/>
    <x v="3"/>
    <s v="Cuenta Ahorros"/>
    <s v="Transferencia"/>
    <s v="Pendiente"/>
  </r>
  <r>
    <x v="21"/>
    <x v="2"/>
    <s v="TX-104929"/>
    <x v="19"/>
    <x v="0"/>
    <x v="5"/>
    <n v="9259.06"/>
    <n v="0"/>
    <x v="4924"/>
    <x v="3"/>
    <s v="Cuenta Corriente"/>
    <s v="Tarjeta Débito"/>
    <s v="Pendiente"/>
  </r>
  <r>
    <x v="313"/>
    <x v="6"/>
    <s v="TX-104930"/>
    <x v="17"/>
    <x v="1"/>
    <x v="6"/>
    <n v="799.51"/>
    <n v="103.94"/>
    <x v="4925"/>
    <x v="1"/>
    <s v="Tarjeta Crédito Empresarial"/>
    <s v="Tarjeta Débito"/>
    <s v="Pagado"/>
  </r>
  <r>
    <x v="269"/>
    <x v="0"/>
    <s v="TX-104931"/>
    <x v="11"/>
    <x v="0"/>
    <x v="5"/>
    <n v="13129.04"/>
    <n v="0"/>
    <x v="4926"/>
    <x v="4"/>
    <s v="Cuenta Corriente"/>
    <s v="Tarjeta Débito"/>
    <s v="Pagado"/>
  </r>
  <r>
    <x v="342"/>
    <x v="1"/>
    <s v="TX-104932"/>
    <x v="19"/>
    <x v="1"/>
    <x v="2"/>
    <n v="5567.76"/>
    <n v="723.81"/>
    <x v="4927"/>
    <x v="2"/>
    <s v="Tarjeta Crédito Empresarial"/>
    <s v="Tarjeta Crédito"/>
    <s v="Pendiente"/>
  </r>
  <r>
    <x v="361"/>
    <x v="0"/>
    <s v="TX-104933"/>
    <x v="7"/>
    <x v="1"/>
    <x v="3"/>
    <n v="8404.23"/>
    <n v="1092.55"/>
    <x v="4928"/>
    <x v="1"/>
    <s v="Tarjeta Crédito Empresarial"/>
    <s v="Transferencia"/>
    <s v="Pagado"/>
  </r>
  <r>
    <x v="351"/>
    <x v="9"/>
    <s v="TX-104934"/>
    <x v="9"/>
    <x v="1"/>
    <x v="1"/>
    <n v="12973.26"/>
    <n v="1686.52"/>
    <x v="4929"/>
    <x v="2"/>
    <s v="Cuenta Ahorros"/>
    <s v="Transferencia"/>
    <s v="Pagado"/>
  </r>
  <r>
    <x v="141"/>
    <x v="8"/>
    <s v="TX-104935"/>
    <x v="1"/>
    <x v="0"/>
    <x v="0"/>
    <n v="13768.92"/>
    <n v="0"/>
    <x v="4930"/>
    <x v="3"/>
    <s v="Cuenta Ahorros"/>
    <s v="Efectivo"/>
    <s v="Pendiente"/>
  </r>
  <r>
    <x v="299"/>
    <x v="9"/>
    <s v="TX-104936"/>
    <x v="14"/>
    <x v="1"/>
    <x v="2"/>
    <n v="1839.77"/>
    <n v="239.17"/>
    <x v="4931"/>
    <x v="2"/>
    <s v="Tarjeta Crédito Empresarial"/>
    <s v="Tarjeta Crédito"/>
    <s v="Pagado"/>
  </r>
  <r>
    <x v="28"/>
    <x v="6"/>
    <s v="TX-104937"/>
    <x v="6"/>
    <x v="1"/>
    <x v="3"/>
    <n v="12644.64"/>
    <n v="1643.8"/>
    <x v="4932"/>
    <x v="3"/>
    <s v="Tarjeta Crédito Empresarial"/>
    <s v="Transferencia"/>
    <s v="Pagado"/>
  </r>
  <r>
    <x v="206"/>
    <x v="9"/>
    <s v="TX-104938"/>
    <x v="17"/>
    <x v="1"/>
    <x v="7"/>
    <n v="9669.4599999999991"/>
    <n v="1257.03"/>
    <x v="4933"/>
    <x v="0"/>
    <s v="Cuenta Corriente"/>
    <s v="Transferencia"/>
    <s v="Pendiente"/>
  </r>
  <r>
    <x v="232"/>
    <x v="10"/>
    <s v="TX-104939"/>
    <x v="4"/>
    <x v="1"/>
    <x v="3"/>
    <n v="424.63"/>
    <n v="55.2"/>
    <x v="4934"/>
    <x v="3"/>
    <s v="Cuenta Corriente"/>
    <s v="Efectivo"/>
    <s v="Pagado"/>
  </r>
  <r>
    <x v="141"/>
    <x v="8"/>
    <s v="TX-104940"/>
    <x v="1"/>
    <x v="0"/>
    <x v="0"/>
    <n v="14850.93"/>
    <n v="0"/>
    <x v="4935"/>
    <x v="3"/>
    <s v="Tarjeta Crédito Empresarial"/>
    <s v="Efectivo"/>
    <s v="Pendiente"/>
  </r>
  <r>
    <x v="327"/>
    <x v="7"/>
    <s v="TX-104941"/>
    <x v="19"/>
    <x v="0"/>
    <x v="6"/>
    <n v="9493.42"/>
    <n v="0"/>
    <x v="4936"/>
    <x v="2"/>
    <s v="Tarjeta Crédito Empresarial"/>
    <s v="Efectivo"/>
    <s v="Pagado"/>
  </r>
  <r>
    <x v="300"/>
    <x v="0"/>
    <s v="TX-104942"/>
    <x v="0"/>
    <x v="1"/>
    <x v="3"/>
    <n v="548.91"/>
    <n v="71.36"/>
    <x v="4937"/>
    <x v="2"/>
    <s v="Cuenta Corriente"/>
    <s v="Tarjeta Crédito"/>
    <s v="Pagado"/>
  </r>
  <r>
    <x v="299"/>
    <x v="9"/>
    <s v="TX-104943"/>
    <x v="3"/>
    <x v="1"/>
    <x v="5"/>
    <n v="11926.09"/>
    <n v="1550.39"/>
    <x v="4938"/>
    <x v="1"/>
    <s v="Tarjeta Crédito Empresarial"/>
    <s v="Tarjeta Débito"/>
    <s v="Pendiente"/>
  </r>
  <r>
    <x v="95"/>
    <x v="4"/>
    <s v="TX-104944"/>
    <x v="9"/>
    <x v="0"/>
    <x v="1"/>
    <n v="4007.69"/>
    <n v="0"/>
    <x v="4939"/>
    <x v="0"/>
    <s v="Tarjeta Crédito Empresarial"/>
    <s v="Tarjeta Crédito"/>
    <s v="Pendiente"/>
  </r>
  <r>
    <x v="114"/>
    <x v="4"/>
    <s v="TX-104945"/>
    <x v="18"/>
    <x v="0"/>
    <x v="0"/>
    <n v="2486.6"/>
    <n v="0"/>
    <x v="4940"/>
    <x v="3"/>
    <s v="Cuenta Ahorros"/>
    <s v="Efectivo"/>
    <s v="Pendiente"/>
  </r>
  <r>
    <x v="85"/>
    <x v="0"/>
    <s v="TX-104946"/>
    <x v="1"/>
    <x v="1"/>
    <x v="6"/>
    <n v="3025.44"/>
    <n v="393.31"/>
    <x v="4941"/>
    <x v="3"/>
    <s v="Cuenta Corriente"/>
    <s v="Transferencia"/>
    <s v="Pendiente"/>
  </r>
  <r>
    <x v="238"/>
    <x v="5"/>
    <s v="TX-104947"/>
    <x v="13"/>
    <x v="0"/>
    <x v="1"/>
    <n v="9385.83"/>
    <n v="0"/>
    <x v="4942"/>
    <x v="2"/>
    <s v="Cuenta Corriente"/>
    <s v="Transferencia"/>
    <s v="Pendiente"/>
  </r>
  <r>
    <x v="235"/>
    <x v="7"/>
    <s v="TX-104948"/>
    <x v="4"/>
    <x v="1"/>
    <x v="4"/>
    <n v="10440.84"/>
    <n v="1357.31"/>
    <x v="4943"/>
    <x v="0"/>
    <s v="Cuenta Ahorros"/>
    <s v="Tarjeta Débito"/>
    <s v="Pagado"/>
  </r>
  <r>
    <x v="22"/>
    <x v="10"/>
    <s v="TX-104949"/>
    <x v="11"/>
    <x v="1"/>
    <x v="6"/>
    <n v="11616.27"/>
    <n v="1510.12"/>
    <x v="4944"/>
    <x v="2"/>
    <s v="Cuenta Ahorros"/>
    <s v="Tarjeta Débito"/>
    <s v="Pagado"/>
  </r>
  <r>
    <x v="258"/>
    <x v="7"/>
    <s v="TX-104950"/>
    <x v="6"/>
    <x v="1"/>
    <x v="0"/>
    <n v="6810.32"/>
    <n v="885.34"/>
    <x v="4945"/>
    <x v="3"/>
    <s v="Cuenta Corriente"/>
    <s v="Transferencia"/>
    <s v="Pendiente"/>
  </r>
  <r>
    <x v="361"/>
    <x v="0"/>
    <s v="TX-104951"/>
    <x v="2"/>
    <x v="0"/>
    <x v="6"/>
    <n v="3118.52"/>
    <n v="0"/>
    <x v="4946"/>
    <x v="1"/>
    <s v="Cuenta Ahorros"/>
    <s v="Efectivo"/>
    <s v="Pagado"/>
  </r>
  <r>
    <x v="172"/>
    <x v="2"/>
    <s v="TX-104952"/>
    <x v="9"/>
    <x v="1"/>
    <x v="6"/>
    <n v="10385.85"/>
    <n v="1350.16"/>
    <x v="4947"/>
    <x v="2"/>
    <s v="Cuenta Corriente"/>
    <s v="Tarjeta Crédito"/>
    <s v="Pagado"/>
  </r>
  <r>
    <x v="229"/>
    <x v="5"/>
    <s v="TX-104953"/>
    <x v="11"/>
    <x v="1"/>
    <x v="0"/>
    <n v="10670.73"/>
    <n v="1387.19"/>
    <x v="4948"/>
    <x v="1"/>
    <s v="Cuenta Corriente"/>
    <s v="Efectivo"/>
    <s v="Pagado"/>
  </r>
  <r>
    <x v="256"/>
    <x v="5"/>
    <s v="TX-104954"/>
    <x v="0"/>
    <x v="0"/>
    <x v="6"/>
    <n v="4601.08"/>
    <n v="0"/>
    <x v="4949"/>
    <x v="3"/>
    <s v="Tarjeta Crédito Empresarial"/>
    <s v="Tarjeta Débito"/>
    <s v="Pagado"/>
  </r>
  <r>
    <x v="163"/>
    <x v="10"/>
    <s v="TX-104955"/>
    <x v="4"/>
    <x v="1"/>
    <x v="1"/>
    <n v="13126.57"/>
    <n v="1706.45"/>
    <x v="4950"/>
    <x v="2"/>
    <s v="Tarjeta Crédito Empresarial"/>
    <s v="Tarjeta Crédito"/>
    <s v="Pagado"/>
  </r>
  <r>
    <x v="210"/>
    <x v="3"/>
    <s v="TX-104956"/>
    <x v="8"/>
    <x v="1"/>
    <x v="3"/>
    <n v="2234.31"/>
    <n v="290.45999999999998"/>
    <x v="4951"/>
    <x v="1"/>
    <s v="Cuenta Corriente"/>
    <s v="Tarjeta Crédito"/>
    <s v="Pendiente"/>
  </r>
  <r>
    <x v="233"/>
    <x v="1"/>
    <s v="TX-104957"/>
    <x v="14"/>
    <x v="0"/>
    <x v="1"/>
    <n v="986.81"/>
    <n v="0"/>
    <x v="4952"/>
    <x v="0"/>
    <s v="Cuenta Corriente"/>
    <s v="Tarjeta Débito"/>
    <s v="Pagado"/>
  </r>
  <r>
    <x v="42"/>
    <x v="8"/>
    <s v="TX-104958"/>
    <x v="16"/>
    <x v="0"/>
    <x v="2"/>
    <n v="7468.98"/>
    <n v="0"/>
    <x v="4953"/>
    <x v="3"/>
    <s v="Cuenta Corriente"/>
    <s v="Transferencia"/>
    <s v="Pendiente"/>
  </r>
  <r>
    <x v="151"/>
    <x v="9"/>
    <s v="TX-104959"/>
    <x v="14"/>
    <x v="0"/>
    <x v="1"/>
    <n v="9003.73"/>
    <n v="0"/>
    <x v="4954"/>
    <x v="4"/>
    <s v="Tarjeta Crédito Empresarial"/>
    <s v="Efectivo"/>
    <s v="Pagado"/>
  </r>
  <r>
    <x v="66"/>
    <x v="10"/>
    <s v="TX-104960"/>
    <x v="1"/>
    <x v="0"/>
    <x v="3"/>
    <n v="14943.72"/>
    <n v="0"/>
    <x v="4955"/>
    <x v="2"/>
    <s v="Tarjeta Crédito Empresarial"/>
    <s v="Transferencia"/>
    <s v="Pagado"/>
  </r>
  <r>
    <x v="197"/>
    <x v="7"/>
    <s v="TX-104961"/>
    <x v="1"/>
    <x v="1"/>
    <x v="5"/>
    <n v="10658.64"/>
    <n v="1385.62"/>
    <x v="4956"/>
    <x v="3"/>
    <s v="Cuenta Corriente"/>
    <s v="Efectivo"/>
    <s v="Pendiente"/>
  </r>
  <r>
    <x v="175"/>
    <x v="4"/>
    <s v="TX-104962"/>
    <x v="8"/>
    <x v="0"/>
    <x v="3"/>
    <n v="9775.5499999999993"/>
    <n v="0"/>
    <x v="199"/>
    <x v="4"/>
    <s v="Cuenta Corriente"/>
    <s v="Tarjeta Débito"/>
    <s v="Pendiente"/>
  </r>
  <r>
    <x v="215"/>
    <x v="3"/>
    <s v="TX-104963"/>
    <x v="18"/>
    <x v="0"/>
    <x v="0"/>
    <n v="4643.87"/>
    <n v="0"/>
    <x v="4957"/>
    <x v="4"/>
    <s v="Cuenta Corriente"/>
    <s v="Transferencia"/>
    <s v="Pendiente"/>
  </r>
  <r>
    <x v="247"/>
    <x v="11"/>
    <s v="TX-104964"/>
    <x v="2"/>
    <x v="1"/>
    <x v="6"/>
    <n v="14721.99"/>
    <n v="1913.86"/>
    <x v="4958"/>
    <x v="0"/>
    <s v="Tarjeta Crédito Empresarial"/>
    <s v="Transferencia"/>
    <s v="Pendiente"/>
  </r>
  <r>
    <x v="185"/>
    <x v="0"/>
    <s v="TX-104965"/>
    <x v="10"/>
    <x v="0"/>
    <x v="5"/>
    <n v="7894.39"/>
    <n v="0"/>
    <x v="4959"/>
    <x v="1"/>
    <s v="Tarjeta Crédito Empresarial"/>
    <s v="Tarjeta Débito"/>
    <s v="Pendiente"/>
  </r>
  <r>
    <x v="1"/>
    <x v="1"/>
    <s v="TX-104966"/>
    <x v="3"/>
    <x v="0"/>
    <x v="7"/>
    <n v="2727.96"/>
    <n v="0"/>
    <x v="4960"/>
    <x v="0"/>
    <s v="Cuenta Ahorros"/>
    <s v="Tarjeta Débito"/>
    <s v="Pendiente"/>
  </r>
  <r>
    <x v="280"/>
    <x v="9"/>
    <s v="TX-104967"/>
    <x v="18"/>
    <x v="1"/>
    <x v="6"/>
    <n v="8765.9599999999991"/>
    <n v="1139.57"/>
    <x v="4961"/>
    <x v="1"/>
    <s v="Tarjeta Crédito Empresarial"/>
    <s v="Transferencia"/>
    <s v="Pendiente"/>
  </r>
  <r>
    <x v="53"/>
    <x v="3"/>
    <s v="TX-104968"/>
    <x v="8"/>
    <x v="1"/>
    <x v="4"/>
    <n v="8914.69"/>
    <n v="1158.9100000000001"/>
    <x v="4962"/>
    <x v="4"/>
    <s v="Tarjeta Crédito Empresarial"/>
    <s v="Efectivo"/>
    <s v="Pendiente"/>
  </r>
  <r>
    <x v="110"/>
    <x v="7"/>
    <s v="TX-104969"/>
    <x v="3"/>
    <x v="1"/>
    <x v="5"/>
    <n v="1485.62"/>
    <n v="193.13"/>
    <x v="4963"/>
    <x v="4"/>
    <s v="Tarjeta Crédito Empresarial"/>
    <s v="Tarjeta Crédito"/>
    <s v="Pagado"/>
  </r>
  <r>
    <x v="23"/>
    <x v="1"/>
    <s v="TX-104970"/>
    <x v="4"/>
    <x v="0"/>
    <x v="5"/>
    <n v="8519.5400000000009"/>
    <n v="0"/>
    <x v="4964"/>
    <x v="4"/>
    <s v="Cuenta Corriente"/>
    <s v="Tarjeta Débito"/>
    <s v="Pagado"/>
  </r>
  <r>
    <x v="146"/>
    <x v="6"/>
    <s v="TX-104971"/>
    <x v="16"/>
    <x v="0"/>
    <x v="6"/>
    <n v="11635.25"/>
    <n v="0"/>
    <x v="4965"/>
    <x v="4"/>
    <s v="Tarjeta Crédito Empresarial"/>
    <s v="Tarjeta Crédito"/>
    <s v="Pagado"/>
  </r>
  <r>
    <x v="339"/>
    <x v="0"/>
    <s v="TX-104972"/>
    <x v="9"/>
    <x v="0"/>
    <x v="7"/>
    <n v="7759.63"/>
    <n v="0"/>
    <x v="4966"/>
    <x v="4"/>
    <s v="Cuenta Corriente"/>
    <s v="Tarjeta Crédito"/>
    <s v="Pendiente"/>
  </r>
  <r>
    <x v="23"/>
    <x v="1"/>
    <s v="TX-104973"/>
    <x v="16"/>
    <x v="0"/>
    <x v="0"/>
    <n v="955.33"/>
    <n v="0"/>
    <x v="4967"/>
    <x v="4"/>
    <s v="Cuenta Ahorros"/>
    <s v="Transferencia"/>
    <s v="Pagado"/>
  </r>
  <r>
    <x v="114"/>
    <x v="4"/>
    <s v="TX-104974"/>
    <x v="0"/>
    <x v="1"/>
    <x v="2"/>
    <n v="3203.46"/>
    <n v="416.45"/>
    <x v="4968"/>
    <x v="1"/>
    <s v="Cuenta Ahorros"/>
    <s v="Tarjeta Crédito"/>
    <s v="Pagado"/>
  </r>
  <r>
    <x v="297"/>
    <x v="11"/>
    <s v="TX-104975"/>
    <x v="9"/>
    <x v="1"/>
    <x v="7"/>
    <n v="9650.7999999999993"/>
    <n v="1254.5999999999999"/>
    <x v="4969"/>
    <x v="3"/>
    <s v="Cuenta Ahorros"/>
    <s v="Tarjeta Crédito"/>
    <s v="Pagado"/>
  </r>
  <r>
    <x v="320"/>
    <x v="2"/>
    <s v="TX-104976"/>
    <x v="6"/>
    <x v="0"/>
    <x v="1"/>
    <n v="14139.28"/>
    <n v="0"/>
    <x v="4970"/>
    <x v="1"/>
    <s v="Cuenta Corriente"/>
    <s v="Tarjeta Crédito"/>
    <s v="Pendiente"/>
  </r>
  <r>
    <x v="280"/>
    <x v="9"/>
    <s v="TX-104977"/>
    <x v="2"/>
    <x v="0"/>
    <x v="7"/>
    <n v="10452.68"/>
    <n v="0"/>
    <x v="4971"/>
    <x v="1"/>
    <s v="Tarjeta Crédito Empresarial"/>
    <s v="Efectivo"/>
    <s v="Pendiente"/>
  </r>
  <r>
    <x v="272"/>
    <x v="8"/>
    <s v="TX-104978"/>
    <x v="1"/>
    <x v="1"/>
    <x v="6"/>
    <n v="280.49"/>
    <n v="36.46"/>
    <x v="4972"/>
    <x v="1"/>
    <s v="Cuenta Ahorros"/>
    <s v="Efectivo"/>
    <s v="Pendiente"/>
  </r>
  <r>
    <x v="81"/>
    <x v="3"/>
    <s v="TX-104979"/>
    <x v="6"/>
    <x v="0"/>
    <x v="0"/>
    <n v="3305.61"/>
    <n v="0"/>
    <x v="4973"/>
    <x v="0"/>
    <s v="Cuenta Corriente"/>
    <s v="Transferencia"/>
    <s v="Pendiente"/>
  </r>
  <r>
    <x v="256"/>
    <x v="5"/>
    <s v="TX-104980"/>
    <x v="1"/>
    <x v="0"/>
    <x v="7"/>
    <n v="4746.96"/>
    <n v="0"/>
    <x v="4974"/>
    <x v="2"/>
    <s v="Tarjeta Crédito Empresarial"/>
    <s v="Tarjeta Débito"/>
    <s v="Pagado"/>
  </r>
  <r>
    <x v="62"/>
    <x v="11"/>
    <s v="TX-104981"/>
    <x v="1"/>
    <x v="1"/>
    <x v="5"/>
    <n v="13271.17"/>
    <n v="1725.25"/>
    <x v="4975"/>
    <x v="3"/>
    <s v="Tarjeta Crédito Empresarial"/>
    <s v="Tarjeta Crédito"/>
    <s v="Pagado"/>
  </r>
  <r>
    <x v="274"/>
    <x v="2"/>
    <s v="TX-104982"/>
    <x v="3"/>
    <x v="1"/>
    <x v="0"/>
    <n v="9751.75"/>
    <n v="1267.73"/>
    <x v="4976"/>
    <x v="4"/>
    <s v="Tarjeta Crédito Empresarial"/>
    <s v="Transferencia"/>
    <s v="Pendiente"/>
  </r>
  <r>
    <x v="198"/>
    <x v="0"/>
    <s v="TX-104983"/>
    <x v="5"/>
    <x v="1"/>
    <x v="3"/>
    <n v="13430.1"/>
    <n v="1745.91"/>
    <x v="4977"/>
    <x v="1"/>
    <s v="Cuenta Ahorros"/>
    <s v="Efectivo"/>
    <s v="Pendiente"/>
  </r>
  <r>
    <x v="159"/>
    <x v="0"/>
    <s v="TX-104984"/>
    <x v="7"/>
    <x v="0"/>
    <x v="1"/>
    <n v="7341.68"/>
    <n v="0"/>
    <x v="4978"/>
    <x v="0"/>
    <s v="Tarjeta Crédito Empresarial"/>
    <s v="Tarjeta Crédito"/>
    <s v="Pagado"/>
  </r>
  <r>
    <x v="12"/>
    <x v="8"/>
    <s v="TX-104985"/>
    <x v="1"/>
    <x v="0"/>
    <x v="7"/>
    <n v="8200.0300000000007"/>
    <n v="0"/>
    <x v="4979"/>
    <x v="4"/>
    <s v="Cuenta Corriente"/>
    <s v="Transferencia"/>
    <s v="Pagado"/>
  </r>
  <r>
    <x v="138"/>
    <x v="11"/>
    <s v="TX-104986"/>
    <x v="18"/>
    <x v="0"/>
    <x v="6"/>
    <n v="14039.93"/>
    <n v="0"/>
    <x v="4980"/>
    <x v="1"/>
    <s v="Cuenta Corriente"/>
    <s v="Tarjeta Débito"/>
    <s v="Pendiente"/>
  </r>
  <r>
    <x v="276"/>
    <x v="9"/>
    <s v="TX-104987"/>
    <x v="16"/>
    <x v="1"/>
    <x v="3"/>
    <n v="13057.62"/>
    <n v="1697.49"/>
    <x v="4981"/>
    <x v="2"/>
    <s v="Tarjeta Crédito Empresarial"/>
    <s v="Tarjeta Crédito"/>
    <s v="Pendiente"/>
  </r>
  <r>
    <x v="191"/>
    <x v="10"/>
    <s v="TX-104988"/>
    <x v="6"/>
    <x v="1"/>
    <x v="4"/>
    <n v="6952.21"/>
    <n v="903.79"/>
    <x v="4982"/>
    <x v="1"/>
    <s v="Cuenta Ahorros"/>
    <s v="Transferencia"/>
    <s v="Pagado"/>
  </r>
  <r>
    <x v="90"/>
    <x v="11"/>
    <s v="TX-104989"/>
    <x v="13"/>
    <x v="1"/>
    <x v="2"/>
    <n v="13340.13"/>
    <n v="1734.22"/>
    <x v="4983"/>
    <x v="0"/>
    <s v="Cuenta Ahorros"/>
    <s v="Tarjeta Crédito"/>
    <s v="Pendiente"/>
  </r>
  <r>
    <x v="37"/>
    <x v="11"/>
    <s v="TX-104990"/>
    <x v="0"/>
    <x v="1"/>
    <x v="7"/>
    <n v="12388.23"/>
    <n v="1610.47"/>
    <x v="4984"/>
    <x v="0"/>
    <s v="Cuenta Ahorros"/>
    <s v="Tarjeta Débito"/>
    <s v="Pendiente"/>
  </r>
  <r>
    <x v="296"/>
    <x v="8"/>
    <s v="TX-104991"/>
    <x v="12"/>
    <x v="0"/>
    <x v="0"/>
    <n v="6119.91"/>
    <n v="0"/>
    <x v="4985"/>
    <x v="3"/>
    <s v="Cuenta Ahorros"/>
    <s v="Tarjeta Crédito"/>
    <s v="Pendiente"/>
  </r>
  <r>
    <x v="286"/>
    <x v="11"/>
    <s v="TX-104992"/>
    <x v="18"/>
    <x v="1"/>
    <x v="2"/>
    <n v="6136.41"/>
    <n v="797.73"/>
    <x v="4986"/>
    <x v="4"/>
    <s v="Tarjeta Crédito Empresarial"/>
    <s v="Efectivo"/>
    <s v="Pendiente"/>
  </r>
  <r>
    <x v="141"/>
    <x v="8"/>
    <s v="TX-104993"/>
    <x v="9"/>
    <x v="0"/>
    <x v="7"/>
    <n v="4358.95"/>
    <n v="0"/>
    <x v="4987"/>
    <x v="1"/>
    <s v="Tarjeta Crédito Empresarial"/>
    <s v="Tarjeta Crédito"/>
    <s v="Pendiente"/>
  </r>
  <r>
    <x v="7"/>
    <x v="6"/>
    <s v="TX-104994"/>
    <x v="6"/>
    <x v="1"/>
    <x v="0"/>
    <n v="9651.17"/>
    <n v="1254.6500000000001"/>
    <x v="4988"/>
    <x v="3"/>
    <s v="Tarjeta Crédito Empresarial"/>
    <s v="Transferencia"/>
    <s v="Pendiente"/>
  </r>
  <r>
    <x v="204"/>
    <x v="7"/>
    <s v="TX-104995"/>
    <x v="13"/>
    <x v="0"/>
    <x v="4"/>
    <n v="1857.57"/>
    <n v="0"/>
    <x v="4989"/>
    <x v="2"/>
    <s v="Cuenta Ahorros"/>
    <s v="Tarjeta Crédito"/>
    <s v="Pendiente"/>
  </r>
  <r>
    <x v="102"/>
    <x v="6"/>
    <s v="TX-104996"/>
    <x v="2"/>
    <x v="0"/>
    <x v="1"/>
    <n v="10872.01"/>
    <n v="0"/>
    <x v="4990"/>
    <x v="3"/>
    <s v="Cuenta Ahorros"/>
    <s v="Efectivo"/>
    <s v="Pagado"/>
  </r>
  <r>
    <x v="308"/>
    <x v="1"/>
    <s v="TX-104997"/>
    <x v="8"/>
    <x v="0"/>
    <x v="0"/>
    <n v="450.67"/>
    <n v="0"/>
    <x v="4991"/>
    <x v="3"/>
    <s v="Cuenta Ahorros"/>
    <s v="Tarjeta Débito"/>
    <s v="Pagado"/>
  </r>
  <r>
    <x v="280"/>
    <x v="9"/>
    <s v="TX-104998"/>
    <x v="18"/>
    <x v="1"/>
    <x v="7"/>
    <n v="2622.72"/>
    <n v="340.95"/>
    <x v="4992"/>
    <x v="0"/>
    <s v="Cuenta Corriente"/>
    <s v="Transferencia"/>
    <s v="Pagado"/>
  </r>
  <r>
    <x v="147"/>
    <x v="3"/>
    <s v="TX-104999"/>
    <x v="7"/>
    <x v="0"/>
    <x v="5"/>
    <n v="3912.08"/>
    <n v="0"/>
    <x v="4993"/>
    <x v="2"/>
    <s v="Cuenta Ahorros"/>
    <s v="Tarjeta Débito"/>
    <s v="Pendien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E1CAE-C356-4CD7-BDBB-8121B8887EFE}" name="TablaDinámica3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outline="1" outlineData="1" compactData="0" multipleFieldFilters="0" chartFormat="3" rowHeaderCaption="Top 10 Clientes por Ingreso">
  <location ref="G21:H42" firstHeaderRow="1" firstDataRow="1" firstDataCol="1" rowPageCount="1" colPageCount="1"/>
  <pivotFields count="14">
    <pivotField compact="0" numFmtId="164" showAll="0"/>
    <pivotField compact="0" showAll="0"/>
    <pivotField compact="0" showAll="0"/>
    <pivotField axis="axisRow" compact="0" showAll="0" sortType="descending">
      <items count="21">
        <item x="11"/>
        <item x="18"/>
        <item x="10"/>
        <item x="14"/>
        <item x="19"/>
        <item x="7"/>
        <item x="3"/>
        <item x="4"/>
        <item x="5"/>
        <item x="0"/>
        <item x="1"/>
        <item x="16"/>
        <item x="2"/>
        <item x="6"/>
        <item x="17"/>
        <item x="12"/>
        <item x="13"/>
        <item x="15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multipleItemSelectionAllowed="1" showAll="0">
      <items count="3">
        <item x="0"/>
        <item x="1"/>
        <item t="default"/>
      </items>
    </pivotField>
    <pivotField compact="0" showAll="0">
      <items count="9">
        <item x="5"/>
        <item x="6"/>
        <item x="7"/>
        <item x="3"/>
        <item x="0"/>
        <item x="4"/>
        <item x="2"/>
        <item x="1"/>
        <item t="default"/>
      </items>
    </pivotField>
    <pivotField compact="0" numFmtId="165" showAll="0"/>
    <pivotField compact="0" numFmtId="165" showAll="0"/>
    <pivotField dataField="1" compact="0" numFmtId="165" showAll="0"/>
    <pivotField compact="0" showAll="0"/>
    <pivotField compact="0" showAll="0"/>
    <pivotField compact="0" showAll="0"/>
    <pivotField compact="0" showAll="0"/>
    <pivotField compact="0" showAll="0" defaultSubtotal="0"/>
  </pivotFields>
  <rowFields count="1">
    <field x="3"/>
  </rowFields>
  <rowItems count="21">
    <i>
      <x v="5"/>
    </i>
    <i>
      <x v="2"/>
    </i>
    <i>
      <x v="7"/>
    </i>
    <i>
      <x v="16"/>
    </i>
    <i>
      <x v="14"/>
    </i>
    <i>
      <x v="19"/>
    </i>
    <i>
      <x v="18"/>
    </i>
    <i>
      <x v="4"/>
    </i>
    <i>
      <x v="13"/>
    </i>
    <i>
      <x v="6"/>
    </i>
    <i>
      <x v="10"/>
    </i>
    <i>
      <x v="1"/>
    </i>
    <i>
      <x v="3"/>
    </i>
    <i>
      <x v="17"/>
    </i>
    <i>
      <x v="9"/>
    </i>
    <i>
      <x v="12"/>
    </i>
    <i>
      <x v="11"/>
    </i>
    <i>
      <x v="15"/>
    </i>
    <i>
      <x v="8"/>
    </i>
    <i>
      <x/>
    </i>
    <i t="grand">
      <x/>
    </i>
  </rowItems>
  <colItems count="1">
    <i/>
  </colItems>
  <pageFields count="1">
    <pageField fld="4" hier="-1"/>
  </pageFields>
  <dataFields count="1">
    <dataField name="Suma de Monto_Total" fld="8" baseField="0" baseItem="0" numFmtId="165"/>
  </dataFields>
  <formats count="1">
    <format dxfId="7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C1DEA-6554-42E4-8419-50433987097E}" name="TablaDinámica2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outline="1" outlineData="1" compactData="0" multipleFieldFilters="0" chartFormat="3" rowHeaderCaption="Gastos por Categoría">
  <location ref="G8:H17" firstHeaderRow="1" firstDataRow="1" firstDataCol="1" rowPageCount="1" colPageCount="1"/>
  <pivotFields count="14">
    <pivotField compact="0" numFmtId="164" showAll="0"/>
    <pivotField compact="0" showAll="0"/>
    <pivotField compact="0" showAll="0"/>
    <pivotField compact="0" showAll="0">
      <items count="21">
        <item x="11"/>
        <item x="18"/>
        <item x="10"/>
        <item x="14"/>
        <item x="19"/>
        <item x="7"/>
        <item x="3"/>
        <item x="4"/>
        <item x="5"/>
        <item x="0"/>
        <item x="1"/>
        <item x="16"/>
        <item x="2"/>
        <item x="6"/>
        <item x="17"/>
        <item x="12"/>
        <item x="13"/>
        <item x="15"/>
        <item x="8"/>
        <item x="9"/>
        <item t="default"/>
      </items>
    </pivotField>
    <pivotField axis="axisPage" compact="0" multipleItemSelectionAllowed="1" showAll="0">
      <items count="3">
        <item x="0"/>
        <item x="1"/>
        <item t="default"/>
      </items>
    </pivotField>
    <pivotField axis="axisRow" compact="0" showAll="0">
      <items count="9">
        <item x="5"/>
        <item x="6"/>
        <item x="7"/>
        <item x="3"/>
        <item x="0"/>
        <item x="4"/>
        <item x="2"/>
        <item x="1"/>
        <item t="default"/>
      </items>
    </pivotField>
    <pivotField compact="0" numFmtId="165" showAll="0"/>
    <pivotField compact="0" numFmtId="165" showAll="0"/>
    <pivotField dataField="1" compact="0" numFmtId="165" showAll="0"/>
    <pivotField compact="0" showAll="0"/>
    <pivotField compact="0" showAll="0"/>
    <pivotField compact="0" showAll="0"/>
    <pivotField compact="0" showAll="0"/>
    <pivotField compact="0" showAll="0" defaultSubtota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4" hier="-1"/>
  </pageFields>
  <dataFields count="1">
    <dataField name="Gastos por Categoría" fld="8" baseField="0" baseItem="0" numFmtId="165"/>
  </dataFields>
  <formats count="1">
    <format dxfId="8">
      <pivotArea outline="0" collapsedLevelsAreSubtotals="1" fieldPosition="0"/>
    </format>
  </formats>
  <chartFormats count="9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2309F8-6F26-49B6-8C11-91EBF2BC3190}" name="TablaDinámica1" cacheId="1" applyNumberFormats="0" applyBorderFormats="0" applyFontFormats="0" applyPatternFormats="0" applyAlignmentFormats="0" applyWidthHeightFormats="1" dataCaption="Valores" updatedVersion="7" minRefreshableVersion="3" useAutoFormatting="1" colGrandTotals="0" itemPrintTitles="1" createdVersion="7" indent="0" compact="0" outline="1" outlineData="1" compactData="0" multipleFieldFilters="0" chartFormat="3">
  <location ref="B6:D20" firstHeaderRow="1" firstDataRow="2" firstDataCol="1"/>
  <pivotFields count="14">
    <pivotField compact="0" numFmtId="164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compact="0" subtotalTop="0" showAll="0">
      <items count="13">
        <item x="1"/>
        <item x="0"/>
        <item x="2"/>
        <item x="7"/>
        <item x="4"/>
        <item x="9"/>
        <item x="3"/>
        <item x="8"/>
        <item x="11"/>
        <item x="10"/>
        <item x="6"/>
        <item x="5"/>
        <item t="default"/>
      </items>
    </pivotField>
    <pivotField compact="0" subtotalTop="0" showAll="0"/>
    <pivotField compact="0" subtotalTop="0" showAll="0">
      <items count="21">
        <item x="11"/>
        <item x="18"/>
        <item x="10"/>
        <item x="14"/>
        <item x="19"/>
        <item x="7"/>
        <item x="3"/>
        <item x="4"/>
        <item x="5"/>
        <item x="0"/>
        <item x="1"/>
        <item x="16"/>
        <item x="2"/>
        <item x="6"/>
        <item x="17"/>
        <item x="12"/>
        <item x="13"/>
        <item x="15"/>
        <item x="8"/>
        <item x="9"/>
        <item t="default"/>
      </items>
    </pivotField>
    <pivotField axis="axisCol" compact="0" subtotalTop="0" showAll="0">
      <items count="3">
        <item x="0"/>
        <item x="1"/>
        <item t="default"/>
      </items>
    </pivotField>
    <pivotField compact="0" subtotalTop="0" showAll="0">
      <items count="9">
        <item x="5"/>
        <item x="6"/>
        <item x="7"/>
        <item x="3"/>
        <item x="0"/>
        <item x="4"/>
        <item x="2"/>
        <item x="1"/>
        <item t="default"/>
      </items>
    </pivotField>
    <pivotField compact="0" numFmtId="165" subtotalTop="0" showAll="0"/>
    <pivotField compact="0" numFmtId="165" subtotalTop="0" showAll="0"/>
    <pivotField dataField="1" compact="0" numFmtId="165" subtotalTop="0" showAll="0">
      <items count="4995">
        <item x="1611"/>
        <item x="1323"/>
        <item x="2696"/>
        <item x="4018"/>
        <item x="2620"/>
        <item x="970"/>
        <item x="282"/>
        <item x="3632"/>
        <item x="4082"/>
        <item x="2888"/>
        <item x="1358"/>
        <item x="4527"/>
        <item x="389"/>
        <item x="3795"/>
        <item x="3363"/>
        <item x="4572"/>
        <item x="605"/>
        <item x="2075"/>
        <item x="1945"/>
        <item x="365"/>
        <item x="334"/>
        <item x="3227"/>
        <item x="1865"/>
        <item x="3302"/>
        <item x="936"/>
        <item x="3804"/>
        <item x="3385"/>
        <item x="3657"/>
        <item x="3557"/>
        <item x="882"/>
        <item x="3065"/>
        <item x="3112"/>
        <item x="3942"/>
        <item x="2124"/>
        <item x="2074"/>
        <item x="2412"/>
        <item x="302"/>
        <item x="2708"/>
        <item x="1673"/>
        <item x="507"/>
        <item x="4320"/>
        <item x="4378"/>
        <item x="2165"/>
        <item x="1093"/>
        <item x="28"/>
        <item x="2843"/>
        <item x="1039"/>
        <item x="2644"/>
        <item x="4245"/>
        <item x="4725"/>
        <item x="4132"/>
        <item x="2272"/>
        <item x="400"/>
        <item x="4356"/>
        <item x="3604"/>
        <item x="1963"/>
        <item x="1068"/>
        <item x="3102"/>
        <item x="3215"/>
        <item x="4642"/>
        <item x="2121"/>
        <item x="1922"/>
        <item x="4719"/>
        <item x="2402"/>
        <item x="542"/>
        <item x="1451"/>
        <item x="3842"/>
        <item x="2197"/>
        <item x="1694"/>
        <item x="795"/>
        <item x="744"/>
        <item x="1565"/>
        <item x="3521"/>
        <item x="233"/>
        <item x="3432"/>
        <item x="4497"/>
        <item x="2551"/>
        <item x="1843"/>
        <item x="1428"/>
        <item x="4876"/>
        <item x="4972"/>
        <item x="1074"/>
        <item x="2692"/>
        <item x="228"/>
        <item x="4879"/>
        <item x="2869"/>
        <item x="3019"/>
        <item x="2036"/>
        <item x="2661"/>
        <item x="468"/>
        <item x="1772"/>
        <item x="2684"/>
        <item x="2290"/>
        <item x="4035"/>
        <item x="4558"/>
        <item x="1119"/>
        <item x="4213"/>
        <item x="4512"/>
        <item x="3236"/>
        <item x="2056"/>
        <item x="129"/>
        <item x="746"/>
        <item x="191"/>
        <item x="323"/>
        <item x="3419"/>
        <item x="1679"/>
        <item x="2278"/>
        <item x="2101"/>
        <item x="1855"/>
        <item x="4048"/>
        <item x="2168"/>
        <item x="1282"/>
        <item x="130"/>
        <item x="4510"/>
        <item x="17"/>
        <item x="2627"/>
        <item x="3416"/>
        <item x="4901"/>
        <item x="1532"/>
        <item x="4680"/>
        <item x="2388"/>
        <item x="4891"/>
        <item x="2535"/>
        <item x="1680"/>
        <item x="4782"/>
        <item x="3280"/>
        <item x="2474"/>
        <item x="3210"/>
        <item x="3403"/>
        <item x="4022"/>
        <item x="2156"/>
        <item x="2706"/>
        <item x="2303"/>
        <item x="4991"/>
        <item x="1470"/>
        <item x="786"/>
        <item x="993"/>
        <item x="2717"/>
        <item x="1366"/>
        <item x="3939"/>
        <item x="1262"/>
        <item x="1460"/>
        <item x="989"/>
        <item x="150"/>
        <item x="1804"/>
        <item x="4934"/>
        <item x="1161"/>
        <item x="53"/>
        <item x="2544"/>
        <item x="3790"/>
        <item x="1773"/>
        <item x="3213"/>
        <item x="2133"/>
        <item x="1020"/>
        <item x="4282"/>
        <item x="3075"/>
        <item x="3130"/>
        <item x="4368"/>
        <item x="3585"/>
        <item x="2194"/>
        <item x="2997"/>
        <item x="700"/>
        <item x="2110"/>
        <item x="3162"/>
        <item x="107"/>
        <item x="3802"/>
        <item x="2579"/>
        <item x="122"/>
        <item x="2007"/>
        <item x="3369"/>
        <item x="3417"/>
        <item x="2163"/>
        <item x="1354"/>
        <item x="4372"/>
        <item x="909"/>
        <item x="681"/>
        <item x="4885"/>
        <item x="4223"/>
        <item x="3097"/>
        <item x="4279"/>
        <item x="1556"/>
        <item x="2436"/>
        <item x="4398"/>
        <item x="1839"/>
        <item x="2178"/>
        <item x="159"/>
        <item x="841"/>
        <item x="2211"/>
        <item x="1208"/>
        <item x="4715"/>
        <item x="344"/>
        <item x="3525"/>
        <item x="4165"/>
        <item x="3810"/>
        <item x="4673"/>
        <item x="4937"/>
        <item x="4559"/>
        <item x="3580"/>
        <item x="1307"/>
        <item x="4662"/>
        <item x="3989"/>
        <item x="524"/>
        <item x="3163"/>
        <item x="3271"/>
        <item x="1109"/>
        <item x="2624"/>
        <item x="608"/>
        <item x="4515"/>
        <item x="4809"/>
        <item x="791"/>
        <item x="2891"/>
        <item x="2026"/>
        <item x="4360"/>
        <item x="4125"/>
        <item x="1753"/>
        <item x="4585"/>
        <item x="3001"/>
        <item x="510"/>
        <item x="4839"/>
        <item x="4774"/>
        <item x="39"/>
        <item x="3070"/>
        <item x="4780"/>
        <item x="1887"/>
        <item x="32"/>
        <item x="1474"/>
        <item x="3117"/>
        <item x="1223"/>
        <item x="4834"/>
        <item x="2892"/>
        <item x="3400"/>
        <item x="1066"/>
        <item x="3549"/>
        <item x="2266"/>
        <item x="1303"/>
        <item x="4776"/>
        <item x="551"/>
        <item x="2190"/>
        <item x="3708"/>
        <item x="4184"/>
        <item x="1234"/>
        <item x="727"/>
        <item x="949"/>
        <item x="4920"/>
        <item x="1813"/>
        <item x="4157"/>
        <item x="3315"/>
        <item x="4103"/>
        <item x="415"/>
        <item x="1752"/>
        <item x="991"/>
        <item x="4056"/>
        <item x="1444"/>
        <item x="2328"/>
        <item x="1490"/>
        <item x="3574"/>
        <item x="1981"/>
        <item x="4319"/>
        <item x="145"/>
        <item x="1114"/>
        <item x="4847"/>
        <item x="4087"/>
        <item x="22"/>
        <item x="40"/>
        <item x="565"/>
        <item x="4602"/>
        <item x="518"/>
        <item x="3504"/>
        <item x="1104"/>
        <item x="4828"/>
        <item x="3571"/>
        <item x="2516"/>
        <item x="2064"/>
        <item x="1058"/>
        <item x="3457"/>
        <item x="3512"/>
        <item x="2348"/>
        <item x="1835"/>
        <item x="3208"/>
        <item x="1883"/>
        <item x="83"/>
        <item x="4419"/>
        <item x="3142"/>
        <item x="689"/>
        <item x="2379"/>
        <item x="136"/>
        <item x="1412"/>
        <item x="4925"/>
        <item x="47"/>
        <item x="2687"/>
        <item x="1625"/>
        <item x="4454"/>
        <item x="3530"/>
        <item x="3978"/>
        <item x="4318"/>
        <item x="2670"/>
        <item x="3540"/>
        <item x="3635"/>
        <item x="1176"/>
        <item x="4649"/>
        <item x="722"/>
        <item x="112"/>
        <item x="1761"/>
        <item x="108"/>
        <item x="4967"/>
        <item x="2233"/>
        <item x="3694"/>
        <item x="1304"/>
        <item x="3022"/>
        <item x="1098"/>
        <item x="726"/>
        <item x="2340"/>
        <item x="4446"/>
        <item x="51"/>
        <item x="650"/>
        <item x="4952"/>
        <item x="4003"/>
        <item x="613"/>
        <item x="2658"/>
        <item x="4307"/>
        <item x="3905"/>
        <item x="4565"/>
        <item x="3074"/>
        <item x="3920"/>
        <item x="4859"/>
        <item x="869"/>
        <item x="4205"/>
        <item x="2314"/>
        <item x="3807"/>
        <item x="25"/>
        <item x="1483"/>
        <item x="655"/>
        <item x="1961"/>
        <item x="1553"/>
        <item x="1425"/>
        <item x="3924"/>
        <item x="2787"/>
        <item x="1486"/>
        <item x="3609"/>
        <item x="3685"/>
        <item x="3202"/>
        <item x="3015"/>
        <item x="3788"/>
        <item x="2603"/>
        <item x="3567"/>
        <item x="1255"/>
        <item x="4341"/>
        <item x="623"/>
        <item x="2040"/>
        <item x="1005"/>
        <item x="3670"/>
        <item x="2971"/>
        <item x="4432"/>
        <item x="1132"/>
        <item x="4657"/>
        <item x="3011"/>
        <item x="4065"/>
        <item x="2468"/>
        <item x="4674"/>
        <item x="3652"/>
        <item x="3763"/>
        <item x="678"/>
        <item x="3563"/>
        <item x="3041"/>
        <item x="3323"/>
        <item x="1458"/>
        <item x="2824"/>
        <item x="1971"/>
        <item x="801"/>
        <item x="4506"/>
        <item x="4851"/>
        <item x="2639"/>
        <item x="2079"/>
        <item x="4880"/>
        <item x="1921"/>
        <item x="1569"/>
        <item x="132"/>
        <item x="2789"/>
        <item x="4212"/>
        <item x="4234"/>
        <item x="4899"/>
        <item x="49"/>
        <item x="1966"/>
        <item x="4890"/>
        <item x="668"/>
        <item x="3927"/>
        <item x="3518"/>
        <item x="3484"/>
        <item x="300"/>
        <item x="2675"/>
        <item x="3350"/>
        <item x="3237"/>
        <item x="4407"/>
        <item x="1138"/>
        <item x="872"/>
        <item x="2763"/>
        <item x="1656"/>
        <item x="1749"/>
        <item x="3683"/>
        <item x="960"/>
        <item x="4824"/>
        <item x="4313"/>
        <item x="1000"/>
        <item x="4843"/>
        <item x="790"/>
        <item x="3707"/>
        <item x="1693"/>
        <item x="1409"/>
        <item x="4887"/>
        <item x="3785"/>
        <item x="3332"/>
        <item x="1049"/>
        <item x="760"/>
        <item x="3851"/>
        <item x="4495"/>
        <item x="2147"/>
        <item x="4156"/>
        <item x="3201"/>
        <item x="850"/>
        <item x="3378"/>
        <item x="4216"/>
        <item x="410"/>
        <item x="2088"/>
        <item x="316"/>
        <item x="2601"/>
        <item x="4306"/>
        <item x="3794"/>
        <item x="3720"/>
        <item x="1629"/>
        <item x="3328"/>
        <item x="1681"/>
        <item x="4"/>
        <item x="1820"/>
        <item x="1517"/>
        <item x="1941"/>
        <item x="103"/>
        <item x="2360"/>
        <item x="1269"/>
        <item x="243"/>
        <item x="1850"/>
        <item x="2350"/>
        <item x="3353"/>
        <item x="546"/>
        <item x="1558"/>
        <item x="2553"/>
        <item x="4701"/>
        <item x="3367"/>
        <item x="4180"/>
        <item x="1624"/>
        <item x="2807"/>
        <item x="2681"/>
        <item x="924"/>
        <item x="2940"/>
        <item x="2228"/>
        <item x="663"/>
        <item x="4207"/>
        <item x="762"/>
        <item x="3194"/>
        <item x="3821"/>
        <item x="3120"/>
        <item x="2336"/>
        <item x="3600"/>
        <item x="2339"/>
        <item x="1454"/>
        <item x="240"/>
        <item x="1484"/>
        <item x="598"/>
        <item x="3103"/>
        <item x="3823"/>
        <item x="2265"/>
        <item x="639"/>
        <item x="3627"/>
        <item x="3662"/>
        <item x="2568"/>
        <item x="1776"/>
        <item x="2702"/>
        <item x="3441"/>
        <item x="3690"/>
        <item x="898"/>
        <item x="1397"/>
        <item x="793"/>
        <item x="809"/>
        <item x="2856"/>
        <item x="2923"/>
        <item x="2755"/>
        <item x="3244"/>
        <item x="4670"/>
        <item x="2487"/>
        <item x="2797"/>
        <item x="2581"/>
        <item x="3426"/>
        <item x="1573"/>
        <item x="1189"/>
        <item x="4078"/>
        <item x="303"/>
        <item x="2633"/>
        <item x="3180"/>
        <item x="3061"/>
        <item x="1940"/>
        <item x="1348"/>
        <item x="3343"/>
        <item x="1784"/>
        <item x="85"/>
        <item x="728"/>
        <item x="2593"/>
        <item x="3966"/>
        <item x="1794"/>
        <item x="3562"/>
        <item x="1318"/>
        <item x="4685"/>
        <item x="1549"/>
        <item x="2566"/>
        <item x="104"/>
        <item x="2490"/>
        <item x="2969"/>
        <item x="4963"/>
        <item x="908"/>
        <item x="1969"/>
        <item x="2427"/>
        <item x="111"/>
        <item x="4014"/>
        <item x="2548"/>
        <item x="3943"/>
        <item x="153"/>
        <item x="635"/>
        <item x="1382"/>
        <item x="33"/>
        <item x="4023"/>
        <item x="558"/>
        <item x="3368"/>
        <item x="2047"/>
        <item x="4758"/>
        <item x="4501"/>
        <item x="381"/>
        <item x="616"/>
        <item x="4351"/>
        <item x="2514"/>
        <item x="1844"/>
        <item x="1331"/>
        <item x="406"/>
        <item x="4711"/>
        <item x="2505"/>
        <item x="3860"/>
        <item x="2115"/>
        <item x="271"/>
        <item x="2374"/>
        <item x="105"/>
        <item x="473"/>
        <item x="4390"/>
        <item x="4123"/>
        <item x="4355"/>
        <item x="4115"/>
        <item x="2016"/>
        <item x="4829"/>
        <item x="1988"/>
        <item x="2897"/>
        <item x="1140"/>
        <item x="3229"/>
        <item x="823"/>
        <item x="3384"/>
        <item x="1148"/>
        <item x="3161"/>
        <item x="3408"/>
        <item x="2188"/>
        <item x="3501"/>
        <item x="4183"/>
        <item x="860"/>
        <item x="3983"/>
        <item x="1134"/>
        <item x="734"/>
        <item x="308"/>
        <item x="2619"/>
        <item x="900"/>
        <item x="4989"/>
        <item x="4108"/>
        <item x="1684"/>
        <item x="248"/>
        <item x="499"/>
        <item x="1508"/>
        <item x="4653"/>
        <item x="4714"/>
        <item x="3762"/>
        <item x="1821"/>
        <item x="759"/>
        <item x="3472"/>
        <item x="2373"/>
        <item x="545"/>
        <item x="4403"/>
        <item x="2979"/>
        <item x="1777"/>
        <item x="1507"/>
        <item x="2858"/>
        <item x="674"/>
        <item x="3012"/>
        <item x="4909"/>
        <item x="3431"/>
        <item x="90"/>
        <item x="1050"/>
        <item x="4203"/>
        <item x="4001"/>
        <item x="4096"/>
        <item x="2145"/>
        <item x="3468"/>
        <item x="4644"/>
        <item x="2403"/>
        <item x="2067"/>
        <item x="2828"/>
        <item x="1810"/>
        <item x="3745"/>
        <item x="2729"/>
        <item x="263"/>
        <item x="2226"/>
        <item x="3189"/>
        <item x="573"/>
        <item x="2363"/>
        <item x="563"/>
        <item x="4045"/>
        <item x="2730"/>
        <item x="4088"/>
        <item x="1751"/>
        <item x="4444"/>
        <item x="4860"/>
        <item x="1485"/>
        <item x="2935"/>
        <item x="4742"/>
        <item x="454"/>
        <item x="645"/>
        <item x="3900"/>
        <item x="2149"/>
        <item x="2369"/>
        <item x="3576"/>
        <item x="1333"/>
        <item x="1181"/>
        <item x="3084"/>
        <item x="1649"/>
        <item x="3381"/>
        <item x="580"/>
        <item x="829"/>
        <item x="832"/>
        <item x="4278"/>
        <item x="669"/>
        <item x="4143"/>
        <item x="4717"/>
        <item x="3487"/>
        <item x="348"/>
        <item x="4931"/>
        <item x="2136"/>
        <item x="1588"/>
        <item x="1992"/>
        <item x="2760"/>
        <item x="3364"/>
        <item x="197"/>
        <item x="3737"/>
        <item x="3872"/>
        <item x="3724"/>
        <item x="1720"/>
        <item x="1107"/>
        <item x="2577"/>
        <item x="3697"/>
        <item x="917"/>
        <item x="939"/>
        <item x="3603"/>
        <item x="1706"/>
        <item x="1287"/>
        <item x="4695"/>
        <item x="564"/>
        <item x="2899"/>
        <item x="1064"/>
        <item x="123"/>
        <item x="584"/>
        <item x="3814"/>
        <item x="1528"/>
        <item x="2956"/>
        <item x="2055"/>
        <item x="942"/>
        <item x="2588"/>
        <item x="115"/>
        <item x="3045"/>
        <item x="1324"/>
        <item x="3131"/>
        <item x="1803"/>
        <item x="976"/>
        <item x="3281"/>
        <item x="3000"/>
        <item x="15"/>
        <item x="4788"/>
        <item x="2961"/>
        <item x="4688"/>
        <item x="1374"/>
        <item x="3686"/>
        <item x="2378"/>
        <item x="3570"/>
        <item x="1500"/>
        <item x="1727"/>
        <item x="1216"/>
        <item x="4030"/>
        <item x="901"/>
        <item x="2590"/>
        <item x="4508"/>
        <item x="3449"/>
        <item x="2508"/>
        <item x="1481"/>
        <item x="1423"/>
        <item x="356"/>
        <item x="1756"/>
        <item x="1294"/>
        <item x="2441"/>
        <item x="1799"/>
        <item x="4762"/>
        <item x="3234"/>
        <item x="2332"/>
        <item x="2003"/>
        <item x="2999"/>
        <item x="1380"/>
        <item x="3096"/>
        <item x="2210"/>
        <item x="1874"/>
        <item x="3434"/>
        <item x="4330"/>
        <item x="3877"/>
        <item x="1866"/>
        <item x="3316"/>
        <item x="701"/>
        <item x="627"/>
        <item x="4395"/>
        <item x="1190"/>
        <item x="2193"/>
        <item x="4513"/>
        <item x="4073"/>
        <item x="3961"/>
        <item x="636"/>
        <item x="1250"/>
        <item x="1550"/>
        <item x="2615"/>
        <item x="3206"/>
        <item x="2674"/>
        <item x="3907"/>
        <item x="3168"/>
        <item x="1031"/>
        <item x="3270"/>
        <item x="4493"/>
        <item x="1976"/>
        <item x="2642"/>
        <item x="3005"/>
        <item x="2333"/>
        <item x="2683"/>
        <item x="1797"/>
        <item x="2248"/>
        <item x="983"/>
        <item x="4631"/>
        <item x="4036"/>
        <item x="2524"/>
        <item x="2114"/>
        <item x="4679"/>
        <item x="2198"/>
        <item x="1415"/>
        <item x="2094"/>
        <item x="965"/>
        <item x="4940"/>
        <item x="785"/>
        <item x="2001"/>
        <item x="2918"/>
        <item x="2018"/>
        <item x="1469"/>
        <item x="2583"/>
        <item x="2841"/>
        <item x="1183"/>
        <item x="4534"/>
        <item x="3423"/>
        <item x="988"/>
        <item x="4832"/>
        <item x="2817"/>
        <item x="4951"/>
        <item x="275"/>
        <item x="4303"/>
        <item x="133"/>
        <item x="3857"/>
        <item x="1141"/>
        <item x="2311"/>
        <item x="3371"/>
        <item x="3049"/>
        <item x="45"/>
        <item x="2204"/>
        <item x="367"/>
        <item x="472"/>
        <item x="1260"/>
        <item x="894"/>
        <item x="2486"/>
        <item x="2538"/>
        <item x="3241"/>
        <item x="2425"/>
        <item x="4664"/>
        <item x="3284"/>
        <item x="375"/>
        <item x="72"/>
        <item x="4865"/>
        <item x="3629"/>
        <item x="3951"/>
        <item x="4259"/>
        <item x="4230"/>
        <item x="2902"/>
        <item x="2093"/>
        <item x="3638"/>
        <item x="2482"/>
        <item x="2180"/>
        <item x="1062"/>
        <item x="958"/>
        <item x="4151"/>
        <item x="1441"/>
        <item x="3055"/>
        <item x="2914"/>
        <item x="4137"/>
        <item x="3197"/>
        <item x="3254"/>
        <item x="2017"/>
        <item x="2967"/>
        <item x="903"/>
        <item x="3444"/>
        <item x="753"/>
        <item x="3160"/>
        <item x="4579"/>
        <item x="403"/>
        <item x="1616"/>
        <item x="2011"/>
        <item x="1828"/>
        <item x="2329"/>
        <item x="4136"/>
        <item x="4146"/>
        <item x="128"/>
        <item x="3645"/>
        <item x="1160"/>
        <item x="621"/>
        <item x="2219"/>
        <item x="3979"/>
        <item x="3605"/>
        <item x="2575"/>
        <item x="2460"/>
        <item x="3126"/>
        <item x="1015"/>
        <item x="1278"/>
        <item x="1401"/>
        <item x="3995"/>
        <item x="758"/>
        <item x="855"/>
        <item x="4755"/>
        <item x="1996"/>
        <item x="3704"/>
        <item x="821"/>
        <item x="492"/>
        <item x="3299"/>
        <item x="4960"/>
        <item x="3329"/>
        <item x="238"/>
        <item x="4871"/>
        <item x="3639"/>
        <item x="4507"/>
        <item x="925"/>
        <item x="3006"/>
        <item x="1818"/>
        <item x="3089"/>
        <item x="2269"/>
        <item x="1937"/>
        <item x="2432"/>
        <item x="715"/>
        <item x="326"/>
        <item x="2185"/>
        <item x="3148"/>
        <item x="927"/>
        <item x="1768"/>
        <item x="3572"/>
        <item x="463"/>
        <item x="2071"/>
        <item x="1745"/>
        <item x="204"/>
        <item x="4801"/>
        <item x="3203"/>
        <item x="2384"/>
        <item x="2060"/>
        <item x="4586"/>
        <item x="2559"/>
        <item x="3664"/>
        <item x="1741"/>
        <item x="3796"/>
        <item x="929"/>
        <item x="1783"/>
        <item x="2884"/>
        <item x="4229"/>
        <item x="482"/>
        <item x="2000"/>
        <item x="3482"/>
        <item x="4181"/>
        <item x="1295"/>
        <item x="3505"/>
        <item x="4221"/>
        <item x="181"/>
        <item x="1424"/>
        <item x="2150"/>
        <item x="3056"/>
        <item x="2430"/>
        <item x="3688"/>
        <item x="4190"/>
        <item x="42"/>
        <item x="246"/>
        <item x="1403"/>
        <item x="3800"/>
        <item x="2904"/>
        <item x="690"/>
        <item x="562"/>
        <item x="3289"/>
        <item x="3178"/>
        <item x="202"/>
        <item x="3176"/>
        <item x="3666"/>
        <item x="4261"/>
        <item x="1112"/>
        <item x="175"/>
        <item x="2267"/>
        <item x="4434"/>
        <item x="643"/>
        <item x="4992"/>
        <item x="3775"/>
        <item x="1018"/>
        <item x="2877"/>
        <item x="2085"/>
        <item x="4712"/>
        <item x="418"/>
        <item x="452"/>
        <item x="2458"/>
        <item x="4085"/>
        <item x="2224"/>
        <item x="4361"/>
        <item x="1627"/>
        <item x="1033"/>
        <item x="1950"/>
        <item x="1392"/>
        <item x="2082"/>
        <item x="1003"/>
        <item x="1036"/>
        <item x="4766"/>
        <item x="168"/>
        <item x="1935"/>
        <item x="3985"/>
        <item x="2033"/>
        <item x="3536"/>
        <item x="4509"/>
        <item x="747"/>
        <item x="973"/>
        <item x="448"/>
        <item x="2392"/>
        <item x="866"/>
        <item x="3397"/>
        <item x="3502"/>
        <item x="4520"/>
        <item x="2119"/>
        <item x="617"/>
        <item x="3975"/>
        <item x="69"/>
        <item x="2523"/>
        <item x="2309"/>
        <item x="2053"/>
        <item x="2757"/>
        <item x="27"/>
        <item x="1498"/>
        <item x="1449"/>
        <item x="2597"/>
        <item x="4402"/>
        <item x="2539"/>
        <item x="1503"/>
        <item x="4946"/>
        <item x="409"/>
        <item x="1938"/>
        <item x="576"/>
        <item x="3658"/>
        <item x="4784"/>
        <item x="1974"/>
        <item x="4201"/>
        <item x="2488"/>
        <item x="868"/>
        <item x="842"/>
        <item x="2298"/>
        <item x="1880"/>
        <item x="4197"/>
        <item x="1070"/>
        <item x="4247"/>
        <item x="1960"/>
        <item x="1499"/>
        <item x="555"/>
        <item x="1472"/>
        <item x="529"/>
        <item x="2393"/>
        <item x="2106"/>
        <item x="1312"/>
        <item x="2485"/>
        <item x="3411"/>
        <item x="2231"/>
        <item x="670"/>
        <item x="1089"/>
        <item x="544"/>
        <item x="4267"/>
        <item x="695"/>
        <item x="907"/>
        <item x="1936"/>
        <item x="3919"/>
        <item x="2716"/>
        <item x="4548"/>
        <item x="1204"/>
        <item x="4549"/>
        <item x="3264"/>
        <item x="2324"/>
        <item x="4798"/>
        <item x="981"/>
        <item x="3513"/>
        <item x="4121"/>
        <item x="4490"/>
        <item x="3669"/>
        <item x="610"/>
        <item x="3573"/>
        <item x="990"/>
        <item x="4542"/>
        <item x="1055"/>
        <item x="3252"/>
        <item x="918"/>
        <item x="3987"/>
        <item x="224"/>
        <item x="3410"/>
        <item x="840"/>
        <item x="3693"/>
        <item x="945"/>
        <item x="2264"/>
        <item x="1845"/>
        <item x="3047"/>
        <item x="2808"/>
        <item x="3705"/>
        <item x="3485"/>
        <item x="718"/>
        <item x="2604"/>
        <item x="2493"/>
        <item x="3543"/>
        <item x="4297"/>
        <item x="68"/>
        <item x="3421"/>
        <item x="2850"/>
        <item x="3620"/>
        <item x="4973"/>
        <item x="2728"/>
        <item x="1612"/>
        <item x="1201"/>
        <item x="4179"/>
        <item x="3956"/>
        <item x="2455"/>
        <item x="987"/>
        <item x="4603"/>
        <item x="2444"/>
        <item x="4797"/>
        <item x="4451"/>
        <item x="2203"/>
        <item x="481"/>
        <item x="1607"/>
        <item x="3053"/>
        <item x="2083"/>
        <item x="3330"/>
        <item x="2771"/>
        <item x="800"/>
        <item x="513"/>
        <item x="2776"/>
        <item x="1618"/>
        <item x="3017"/>
        <item x="533"/>
        <item x="805"/>
        <item x="3442"/>
        <item x="3520"/>
        <item x="0"/>
        <item x="4705"/>
        <item x="2004"/>
        <item x="1480"/>
        <item x="4235"/>
        <item x="4006"/>
        <item x="2491"/>
        <item x="4354"/>
        <item x="4750"/>
        <item x="2171"/>
        <item x="194"/>
        <item x="1748"/>
        <item x="4941"/>
        <item x="1479"/>
        <item x="3338"/>
        <item x="2243"/>
        <item x="3855"/>
        <item x="1986"/>
        <item x="4729"/>
        <item x="4813"/>
        <item x="4411"/>
        <item x="4154"/>
        <item x="2091"/>
        <item x="241"/>
        <item x="2154"/>
        <item x="3863"/>
        <item x="1515"/>
        <item x="1279"/>
        <item x="1873"/>
        <item x="2939"/>
        <item x="1964"/>
        <item x="1973"/>
        <item x="1101"/>
        <item x="31"/>
        <item x="3269"/>
        <item x="2205"/>
        <item x="1087"/>
        <item x="1650"/>
        <item x="127"/>
        <item x="3970"/>
        <item x="2407"/>
        <item x="4770"/>
        <item x="4222"/>
        <item x="1801"/>
        <item x="4244"/>
        <item x="3181"/>
        <item x="262"/>
        <item x="2853"/>
        <item x="2481"/>
        <item x="3278"/>
        <item x="892"/>
        <item x="1265"/>
        <item x="427"/>
        <item x="1594"/>
        <item x="1253"/>
        <item x="3848"/>
        <item x="4906"/>
        <item x="3314"/>
        <item x="578"/>
        <item x="4147"/>
        <item x="720"/>
        <item x="2947"/>
        <item x="4162"/>
        <item x="4615"/>
        <item x="1746"/>
        <item x="2906"/>
        <item x="3395"/>
        <item x="4100"/>
        <item x="4421"/>
        <item x="4853"/>
        <item x="2189"/>
        <item x="2699"/>
        <item x="3988"/>
        <item x="4968"/>
        <item x="2726"/>
        <item x="2662"/>
        <item x="431"/>
        <item x="698"/>
        <item x="1672"/>
        <item x="2385"/>
        <item x="2693"/>
        <item x="4596"/>
        <item x="3899"/>
        <item x="705"/>
        <item x="2545"/>
        <item x="3787"/>
        <item x="1829"/>
        <item x="1886"/>
        <item x="813"/>
        <item x="4044"/>
        <item x="3425"/>
        <item x="4248"/>
        <item x="2785"/>
        <item x="4291"/>
        <item x="2484"/>
        <item x="1781"/>
        <item x="3538"/>
        <item x="4381"/>
        <item x="4012"/>
        <item x="3307"/>
        <item x="2602"/>
        <item x="1343"/>
        <item x="2200"/>
        <item x="4570"/>
        <item x="4387"/>
        <item x="4561"/>
        <item x="4060"/>
        <item x="2241"/>
        <item x="232"/>
        <item x="3398"/>
        <item x="180"/>
        <item x="1984"/>
        <item x="1811"/>
        <item x="1060"/>
        <item x="4211"/>
        <item x="1077"/>
        <item x="861"/>
        <item x="328"/>
        <item x="3218"/>
        <item x="858"/>
        <item x="1034"/>
        <item x="174"/>
        <item x="2216"/>
        <item x="3475"/>
        <item x="3709"/>
        <item x="1564"/>
        <item x="1763"/>
        <item x="4482"/>
        <item x="696"/>
        <item x="2704"/>
        <item x="1006"/>
        <item x="1595"/>
        <item x="1995"/>
        <item x="2029"/>
        <item x="3063"/>
        <item x="2936"/>
        <item x="4389"/>
        <item x="3613"/>
        <item x="3465"/>
        <item x="4050"/>
        <item x="1047"/>
        <item x="2089"/>
        <item x="3948"/>
        <item x="4258"/>
        <item x="2183"/>
        <item x="1953"/>
        <item x="1311"/>
        <item x="526"/>
        <item x="521"/>
        <item x="1927"/>
        <item x="3362"/>
        <item x="4225"/>
        <item x="1061"/>
        <item x="3649"/>
        <item x="4396"/>
        <item x="4142"/>
        <item x="2283"/>
        <item x="2338"/>
        <item x="3285"/>
        <item x="3973"/>
        <item x="1762"/>
        <item x="4993"/>
        <item x="297"/>
        <item x="1227"/>
        <item x="3360"/>
        <item x="357"/>
        <item x="2678"/>
        <item x="2199"/>
        <item x="1446"/>
        <item x="3393"/>
        <item x="2968"/>
        <item x="4709"/>
        <item x="360"/>
        <item x="3034"/>
        <item x="3648"/>
        <item x="2796"/>
        <item x="3960"/>
        <item x="716"/>
        <item x="2489"/>
        <item x="1327"/>
        <item x="4830"/>
        <item x="1129"/>
        <item x="3435"/>
        <item x="1648"/>
        <item x="4618"/>
        <item x="1585"/>
        <item x="3198"/>
        <item x="89"/>
        <item x="1923"/>
        <item x="4939"/>
        <item x="9"/>
        <item x="2779"/>
        <item x="1997"/>
        <item x="3300"/>
        <item x="3007"/>
        <item x="4706"/>
        <item x="1696"/>
        <item x="2498"/>
        <item x="1544"/>
        <item x="4129"/>
        <item x="36"/>
        <item x="2497"/>
        <item x="865"/>
        <item x="320"/>
        <item x="8"/>
        <item x="170"/>
        <item x="3769"/>
        <item x="3871"/>
        <item x="4593"/>
        <item x="399"/>
        <item x="4773"/>
        <item x="4633"/>
        <item x="1713"/>
        <item x="788"/>
        <item x="2555"/>
        <item x="4722"/>
        <item x="4620"/>
        <item x="1598"/>
        <item x="4315"/>
        <item x="3333"/>
        <item x="4736"/>
        <item x="4814"/>
        <item x="2254"/>
        <item x="2021"/>
        <item x="299"/>
        <item x="4676"/>
        <item x="557"/>
        <item x="1600"/>
        <item x="4733"/>
        <item x="527"/>
        <item x="1540"/>
        <item x="1056"/>
        <item x="234"/>
        <item x="1644"/>
        <item x="3841"/>
        <item x="65"/>
        <item x="4481"/>
        <item x="2470"/>
        <item x="3445"/>
        <item x="19"/>
        <item x="3146"/>
        <item x="2342"/>
        <item x="2098"/>
        <item x="1283"/>
        <item x="910"/>
        <item x="216"/>
        <item x="2286"/>
        <item x="3529"/>
        <item x="293"/>
        <item x="886"/>
        <item x="2964"/>
        <item x="871"/>
        <item x="1913"/>
        <item x="3105"/>
        <item x="4266"/>
        <item x="4794"/>
        <item x="1497"/>
        <item x="1363"/>
        <item x="3913"/>
        <item x="1206"/>
        <item x="629"/>
        <item x="3028"/>
        <item x="2790"/>
        <item x="1493"/>
        <item x="4491"/>
        <item x="3776"/>
        <item x="3822"/>
        <item x="4466"/>
        <item x="2606"/>
        <item x="2202"/>
        <item x="4316"/>
        <item x="3890"/>
        <item x="3147"/>
        <item x="3946"/>
        <item x="852"/>
        <item x="3598"/>
        <item x="3869"/>
        <item x="1505"/>
        <item x="2756"/>
        <item x="3107"/>
        <item x="4331"/>
        <item x="4399"/>
        <item x="3402"/>
        <item x="1686"/>
        <item x="2571"/>
        <item x="351"/>
        <item x="597"/>
        <item x="1827"/>
        <item x="3219"/>
        <item x="3370"/>
        <item x="4624"/>
        <item x="1898"/>
        <item x="1248"/>
        <item x="2883"/>
        <item x="3324"/>
        <item x="3909"/>
        <item x="2920"/>
        <item x="195"/>
        <item x="4987"/>
        <item x="2414"/>
        <item x="3059"/>
        <item x="4380"/>
        <item x="1589"/>
        <item x="4744"/>
        <item x="1242"/>
        <item x="2925"/>
        <item x="1268"/>
        <item x="3963"/>
        <item x="407"/>
        <item x="3374"/>
        <item x="737"/>
        <item x="3679"/>
        <item x="4690"/>
        <item x="4531"/>
        <item x="874"/>
        <item x="2682"/>
        <item x="3993"/>
        <item x="301"/>
        <item x="1243"/>
        <item x="2304"/>
        <item x="3980"/>
        <item x="94"/>
        <item x="158"/>
        <item x="1037"/>
        <item x="1207"/>
        <item x="1639"/>
        <item x="2580"/>
        <item x="1664"/>
        <item x="4253"/>
        <item x="2111"/>
        <item x="1210"/>
        <item x="2358"/>
        <item x="3021"/>
        <item x="1159"/>
        <item x="1621"/>
        <item x="4720"/>
        <item x="3365"/>
        <item x="2656"/>
        <item x="2032"/>
        <item x="1730"/>
        <item x="474"/>
        <item x="514"/>
        <item x="1011"/>
        <item x="4350"/>
        <item x="1636"/>
        <item x="4699"/>
        <item x="1404"/>
        <item x="1414"/>
        <item x="3819"/>
        <item x="2494"/>
        <item x="2893"/>
        <item x="2909"/>
        <item x="4837"/>
        <item x="1563"/>
        <item x="4790"/>
        <item x="466"/>
        <item x="2406"/>
        <item x="3749"/>
        <item x="1744"/>
        <item x="3175"/>
        <item x="1939"/>
        <item x="1079"/>
        <item x="3938"/>
        <item x="887"/>
        <item x="3440"/>
        <item x="219"/>
        <item x="2945"/>
        <item x="4645"/>
        <item x="682"/>
        <item x="2855"/>
        <item x="1635"/>
        <item x="1633"/>
        <item x="3837"/>
        <item x="2280"/>
        <item x="1787"/>
        <item x="948"/>
        <item x="4949"/>
        <item x="2295"/>
        <item x="37"/>
        <item x="2874"/>
        <item x="2950"/>
        <item x="2409"/>
        <item x="3452"/>
        <item x="3957"/>
        <item x="4021"/>
        <item x="2125"/>
        <item x="3770"/>
        <item x="2913"/>
        <item x="3601"/>
        <item x="4025"/>
        <item x="4652"/>
        <item x="1806"/>
        <item x="4957"/>
        <item x="552"/>
        <item x="2557"/>
        <item x="3377"/>
        <item x="125"/>
        <item x="2875"/>
        <item x="2515"/>
        <item x="4237"/>
        <item x="3325"/>
        <item x="4131"/>
        <item x="3298"/>
        <item x="923"/>
        <item x="849"/>
        <item x="3387"/>
        <item x="2996"/>
        <item x="1171"/>
        <item x="3715"/>
        <item x="899"/>
        <item x="1477"/>
        <item x="1274"/>
        <item x="3556"/>
        <item x="87"/>
        <item x="2977"/>
        <item x="3083"/>
        <item x="3551"/>
        <item x="363"/>
        <item x="1890"/>
        <item x="3158"/>
        <item x="4974"/>
        <item x="3396"/>
        <item x="2221"/>
        <item x="684"/>
        <item x="2793"/>
        <item x="1778"/>
        <item x="2724"/>
        <item x="804"/>
        <item x="706"/>
        <item x="2921"/>
        <item x="2653"/>
        <item x="4192"/>
        <item x="1124"/>
        <item x="2697"/>
        <item x="944"/>
        <item x="2037"/>
        <item x="259"/>
        <item x="1862"/>
        <item x="4597"/>
        <item x="3474"/>
        <item x="2380"/>
        <item x="4600"/>
        <item x="2636"/>
        <item x="2207"/>
        <item x="4382"/>
        <item x="2531"/>
        <item x="408"/>
        <item x="4823"/>
        <item x="497"/>
        <item x="1732"/>
        <item x="2284"/>
        <item x="2528"/>
        <item x="2344"/>
        <item x="3809"/>
        <item x="1755"/>
        <item x="148"/>
        <item x="3799"/>
        <item x="3843"/>
        <item x="3111"/>
        <item x="4097"/>
        <item x="43"/>
        <item x="4437"/>
        <item x="2279"/>
        <item x="3493"/>
        <item x="1889"/>
        <item x="847"/>
        <item x="1413"/>
        <item x="4122"/>
        <item x="1814"/>
        <item x="3347"/>
        <item x="4918"/>
        <item x="4605"/>
        <item x="2059"/>
        <item x="4651"/>
        <item x="4352"/>
        <item x="4893"/>
        <item x="1567"/>
        <item x="995"/>
        <item x="2294"/>
        <item x="4168"/>
        <item x="3532"/>
        <item x="536"/>
        <item x="2158"/>
        <item x="1352"/>
        <item x="2364"/>
        <item x="1993"/>
        <item x="4071"/>
        <item x="4128"/>
        <item x="520"/>
        <item x="4127"/>
        <item x="2426"/>
        <item x="3954"/>
        <item x="3892"/>
        <item x="893"/>
        <item x="854"/>
        <item x="4854"/>
        <item x="401"/>
        <item x="66"/>
        <item x="4820"/>
        <item x="1665"/>
        <item x="2244"/>
        <item x="1151"/>
        <item x="1613"/>
        <item x="4034"/>
        <item x="3404"/>
        <item x="3944"/>
        <item x="4226"/>
        <item x="738"/>
        <item x="288"/>
        <item x="4538"/>
        <item x="2834"/>
        <item x="2028"/>
        <item x="2714"/>
        <item x="3560"/>
        <item x="4533"/>
        <item x="2530"/>
        <item x="1652"/>
        <item x="2192"/>
        <item x="1030"/>
        <item x="4406"/>
        <item x="934"/>
        <item x="2104"/>
        <item x="3522"/>
        <item x="1800"/>
        <item x="2354"/>
        <item x="4646"/>
        <item x="3177"/>
        <item x="1357"/>
        <item x="3593"/>
        <item x="2849"/>
        <item x="2476"/>
        <item x="2448"/>
        <item x="2668"/>
        <item x="664"/>
        <item x="3420"/>
        <item x="572"/>
        <item x="1168"/>
        <item x="2811"/>
        <item x="4013"/>
        <item x="324"/>
        <item x="1203"/>
        <item x="354"/>
        <item x="4447"/>
        <item x="2257"/>
        <item x="3728"/>
        <item x="3682"/>
        <item x="4289"/>
        <item x="1067"/>
        <item x="3859"/>
        <item x="1219"/>
        <item x="1670"/>
        <item x="257"/>
        <item x="3265"/>
        <item x="265"/>
        <item x="4107"/>
        <item x="837"/>
        <item x="3830"/>
        <item x="3152"/>
        <item x="4273"/>
        <item x="2102"/>
        <item x="1205"/>
        <item x="3856"/>
        <item x="3596"/>
        <item x="2827"/>
        <item x="34"/>
        <item x="1002"/>
        <item x="4422"/>
        <item x="171"/>
        <item x="141"/>
        <item x="1473"/>
        <item x="2955"/>
        <item x="1224"/>
        <item x="1014"/>
        <item x="1336"/>
        <item x="1582"/>
        <item x="1531"/>
        <item x="1903"/>
        <item x="1184"/>
        <item x="258"/>
        <item x="2416"/>
        <item x="586"/>
        <item x="1571"/>
        <item x="4518"/>
        <item x="808"/>
        <item x="284"/>
        <item x="2794"/>
        <item x="3246"/>
        <item x="997"/>
        <item x="713"/>
        <item x="2871"/>
        <item x="456"/>
        <item x="3462"/>
        <item x="702"/>
        <item x="2737"/>
        <item x="3106"/>
        <item x="582"/>
        <item x="525"/>
        <item x="1512"/>
        <item x="267"/>
        <item x="3908"/>
        <item x="3221"/>
        <item x="3764"/>
        <item x="2496"/>
        <item x="4371"/>
        <item x="2453"/>
        <item x="3486"/>
        <item x="3806"/>
        <item x="661"/>
        <item x="4081"/>
        <item x="4199"/>
        <item x="4300"/>
        <item x="3906"/>
        <item x="2631"/>
        <item x="2783"/>
        <item x="2560"/>
        <item x="3054"/>
        <item x="4408"/>
        <item x="368"/>
        <item x="867"/>
        <item x="2213"/>
        <item x="4748"/>
        <item x="1965"/>
        <item x="4119"/>
        <item x="4524"/>
        <item x="3038"/>
        <item x="4849"/>
        <item x="3773"/>
        <item x="2370"/>
        <item x="3750"/>
        <item x="2802"/>
        <item x="2521"/>
        <item x="2212"/>
        <item x="341"/>
        <item x="2664"/>
        <item x="4623"/>
        <item x="975"/>
        <item x="1365"/>
        <item x="2347"/>
        <item x="1099"/>
        <item x="4732"/>
        <item x="4796"/>
        <item x="999"/>
        <item x="4636"/>
        <item x="3539"/>
        <item x="139"/>
        <item x="3406"/>
        <item x="1854"/>
        <item x="4000"/>
        <item x="2386"/>
        <item x="251"/>
        <item x="859"/>
        <item x="2652"/>
        <item x="1438"/>
        <item x="4539"/>
        <item x="732"/>
        <item x="2533"/>
        <item x="478"/>
        <item x="424"/>
        <item x="2070"/>
        <item x="495"/>
        <item x="3057"/>
        <item x="1440"/>
        <item x="3109"/>
        <item x="4439"/>
        <item x="2048"/>
        <item x="1733"/>
        <item x="2052"/>
        <item x="624"/>
        <item x="772"/>
        <item x="4557"/>
        <item x="101"/>
        <item x="3714"/>
        <item x="843"/>
        <item x="4141"/>
        <item x="124"/>
        <item x="2852"/>
        <item x="2099"/>
        <item x="2774"/>
        <item x="3760"/>
        <item x="2365"/>
        <item x="4120"/>
        <item x="4656"/>
        <item x="2732"/>
        <item x="110"/>
        <item x="2513"/>
        <item x="1765"/>
        <item x="2073"/>
        <item x="704"/>
        <item x="378"/>
        <item x="660"/>
        <item x="1548"/>
        <item x="2592"/>
        <item x="2844"/>
        <item x="276"/>
        <item x="2319"/>
        <item x="787"/>
        <item x="4793"/>
        <item x="2623"/>
        <item x="4604"/>
        <item x="3167"/>
        <item x="3825"/>
        <item x="3915"/>
        <item x="4775"/>
        <item x="1920"/>
        <item x="3248"/>
        <item x="1448"/>
        <item x="3334"/>
        <item x="2689"/>
        <item x="540"/>
        <item x="2105"/>
        <item x="1917"/>
        <item x="2685"/>
        <item x="229"/>
        <item x="1604"/>
        <item x="2830"/>
        <item x="692"/>
        <item x="3288"/>
        <item x="3611"/>
        <item x="3348"/>
        <item x="3372"/>
        <item x="226"/>
        <item x="1514"/>
        <item x="3003"/>
        <item x="2334"/>
        <item x="1355"/>
        <item x="2638"/>
        <item x="1328"/>
        <item x="4563"/>
        <item x="1570"/>
        <item x="755"/>
        <item x="2143"/>
        <item x="4353"/>
        <item x="2251"/>
        <item x="3009"/>
        <item x="2720"/>
        <item x="559"/>
        <item x="675"/>
        <item x="3336"/>
        <item x="2259"/>
        <item x="2966"/>
        <item x="4028"/>
        <item x="1241"/>
        <item x="2946"/>
        <item x="1122"/>
        <item x="4343"/>
        <item x="2981"/>
        <item x="185"/>
        <item x="2576"/>
        <item x="1572"/>
        <item x="3179"/>
        <item x="4417"/>
        <item x="1759"/>
        <item x="1259"/>
        <item x="4256"/>
        <item x="590"/>
        <item x="2408"/>
        <item x="2201"/>
        <item x="1406"/>
        <item x="1853"/>
        <item x="3145"/>
        <item x="3852"/>
        <item x="4370"/>
        <item x="4428"/>
        <item x="751"/>
        <item x="517"/>
        <item x="1872"/>
        <item x="4066"/>
        <item x="4086"/>
        <item x="4281"/>
        <item x="1700"/>
        <item x="4575"/>
        <item x="3703"/>
        <item x="3531"/>
        <item x="4913"/>
        <item x="1162"/>
        <item x="2313"/>
        <item x="1117"/>
        <item x="2822"/>
        <item x="641"/>
        <item x="327"/>
        <item x="2542"/>
        <item x="2109"/>
        <item x="3610"/>
        <item x="1934"/>
        <item x="619"/>
        <item x="4697"/>
        <item x="4641"/>
        <item x="4765"/>
        <item x="3262"/>
        <item x="2595"/>
        <item x="1985"/>
        <item x="121"/>
        <item x="677"/>
        <item x="2941"/>
        <item x="4632"/>
        <item x="3349"/>
        <item x="1342"/>
        <item x="38"/>
        <item x="4170"/>
        <item x="1338"/>
        <item x="1666"/>
        <item x="2325"/>
        <item x="264"/>
        <item x="2934"/>
        <item x="1075"/>
        <item x="2321"/>
        <item x="1703"/>
        <item x="3438"/>
        <item x="3267"/>
        <item x="2637"/>
        <item x="1009"/>
        <item x="1293"/>
        <item x="4089"/>
        <item x="4416"/>
        <item x="508"/>
        <item x="3914"/>
        <item x="2814"/>
        <item x="3187"/>
        <item x="1692"/>
        <item x="1059"/>
        <item x="1662"/>
        <item x="1433"/>
        <item x="1022"/>
        <item x="4577"/>
        <item x="4630"/>
        <item x="3320"/>
        <item x="4340"/>
        <item x="819"/>
        <item x="2540"/>
        <item x="2676"/>
        <item x="2318"/>
        <item x="2301"/>
        <item x="4479"/>
        <item x="3845"/>
        <item x="2057"/>
        <item x="3077"/>
        <item x="1878"/>
        <item x="3901"/>
        <item x="4985"/>
        <item x="2281"/>
        <item x="4126"/>
        <item x="3587"/>
        <item x="2153"/>
        <item x="3002"/>
        <item x="449"/>
        <item x="3274"/>
        <item x="1562"/>
        <item x="2809"/>
        <item x="950"/>
        <item x="4792"/>
        <item x="81"/>
        <item x="1718"/>
        <item x="4388"/>
        <item x="4897"/>
        <item x="3999"/>
        <item x="3592"/>
        <item x="4076"/>
        <item x="462"/>
        <item x="4373"/>
        <item x="165"/>
        <item x="498"/>
        <item x="2209"/>
        <item x="4517"/>
        <item x="543"/>
        <item x="2159"/>
        <item x="4327"/>
        <item x="2529"/>
        <item x="2746"/>
        <item x="3740"/>
        <item x="3382"/>
        <item x="425"/>
        <item x="2987"/>
        <item x="3483"/>
        <item x="3140"/>
        <item x="3110"/>
        <item x="1442"/>
        <item x="2367"/>
        <item x="3722"/>
        <item x="606"/>
        <item x="1596"/>
        <item x="2608"/>
        <item x="2010"/>
        <item x="2173"/>
        <item x="3188"/>
        <item x="2578"/>
        <item x="3358"/>
        <item x="1345"/>
        <item x="784"/>
        <item x="1568"/>
        <item x="3277"/>
        <item x="1719"/>
        <item x="3733"/>
        <item x="1426"/>
        <item x="2845"/>
        <item x="963"/>
        <item x="4927"/>
        <item x="1222"/>
        <item x="1710"/>
        <item x="3671"/>
        <item x="1785"/>
        <item x="1198"/>
        <item x="4271"/>
        <item x="3524"/>
        <item x="3667"/>
        <item x="4896"/>
        <item x="3165"/>
        <item x="2116"/>
        <item x="1904"/>
        <item x="372"/>
        <item x="2764"/>
        <item x="4474"/>
        <item x="2709"/>
        <item x="982"/>
        <item x="1463"/>
        <item x="247"/>
        <item x="350"/>
        <item x="1723"/>
        <item x="4349"/>
        <item x="3439"/>
        <item x="3849"/>
        <item x="730"/>
        <item x="4477"/>
        <item x="933"/>
        <item x="13"/>
        <item x="2483"/>
        <item x="291"/>
        <item x="1321"/>
        <item x="1615"/>
        <item x="2461"/>
        <item x="3692"/>
        <item x="3496"/>
        <item x="2096"/>
        <item x="3744"/>
        <item x="221"/>
        <item x="2225"/>
        <item x="114"/>
        <item x="2931"/>
        <item x="3303"/>
        <item x="2614"/>
        <item x="4726"/>
        <item x="2992"/>
        <item x="2991"/>
        <item x="836"/>
        <item x="55"/>
        <item x="3318"/>
        <item x="2307"/>
        <item x="1683"/>
        <item x="1475"/>
        <item x="2381"/>
        <item x="3"/>
        <item x="3008"/>
        <item x="4634"/>
        <item x="397"/>
        <item x="4135"/>
        <item x="1135"/>
        <item x="2989"/>
        <item x="1955"/>
        <item x="4465"/>
        <item x="98"/>
        <item x="3509"/>
        <item x="11"/>
        <item x="1909"/>
        <item x="4039"/>
        <item x="3375"/>
        <item x="50"/>
        <item x="4393"/>
        <item x="4334"/>
        <item x="2707"/>
        <item x="742"/>
        <item x="1766"/>
        <item x="3994"/>
        <item x="966"/>
        <item x="2632"/>
        <item x="4818"/>
        <item x="1561"/>
        <item x="4083"/>
        <item x="3295"/>
        <item x="4298"/>
        <item x="1860"/>
        <item x="725"/>
        <item x="2547"/>
        <item x="2749"/>
        <item x="3739"/>
        <item x="1393"/>
        <item x="3888"/>
        <item x="3832"/>
        <item x="2495"/>
        <item x="4111"/>
        <item x="2005"/>
        <item x="3700"/>
        <item x="1788"/>
        <item x="2911"/>
        <item x="2065"/>
        <item x="2609"/>
        <item x="1488"/>
        <item x="4113"/>
        <item x="4329"/>
        <item x="3535"/>
        <item x="4541"/>
        <item x="3624"/>
        <item x="2854"/>
        <item x="2275"/>
        <item x="4363"/>
        <item x="1128"/>
        <item x="3040"/>
        <item x="4288"/>
        <item x="3127"/>
        <item x="4846"/>
        <item x="4150"/>
        <item x="3086"/>
        <item x="3923"/>
        <item x="2352"/>
        <item x="4304"/>
        <item x="566"/>
        <item x="4889"/>
        <item x="4189"/>
        <item x="3884"/>
        <item x="1298"/>
        <item x="3207"/>
        <item x="1896"/>
        <item x="4681"/>
        <item x="2634"/>
        <item x="4095"/>
        <item x="4914"/>
        <item x="2273"/>
        <item x="3018"/>
        <item x="3955"/>
        <item x="940"/>
        <item x="88"/>
        <item x="4614"/>
        <item x="3154"/>
        <item x="515"/>
        <item x="938"/>
        <item x="4473"/>
        <item x="310"/>
        <item x="2896"/>
        <item x="3436"/>
        <item x="2988"/>
        <item x="4576"/>
        <item x="3039"/>
        <item x="652"/>
        <item x="1280"/>
        <item x="4114"/>
        <item x="4907"/>
        <item x="4672"/>
        <item x="2761"/>
        <item x="394"/>
        <item x="3588"/>
        <item x="4182"/>
        <item x="538"/>
        <item x="2327"/>
        <item x="2795"/>
        <item x="830"/>
        <item x="2821"/>
        <item x="1292"/>
        <item x="16"/>
        <item x="3839"/>
        <item x="3345"/>
        <item x="4731"/>
        <item x="3337"/>
        <item x="4092"/>
        <item x="4916"/>
        <item x="4492"/>
        <item x="2866"/>
        <item x="2456"/>
        <item x="769"/>
        <item x="569"/>
        <item x="2152"/>
        <item x="1153"/>
        <item x="2118"/>
        <item x="1926"/>
        <item x="4613"/>
        <item x="1714"/>
        <item x="82"/>
        <item x="4752"/>
        <item x="3868"/>
        <item x="644"/>
        <item x="1306"/>
        <item x="3801"/>
        <item x="1731"/>
        <item x="2534"/>
        <item x="4425"/>
        <item x="626"/>
        <item x="4883"/>
        <item x="3116"/>
        <item x="2759"/>
        <item x="3812"/>
        <item x="2857"/>
        <item x="2876"/>
        <item x="2558"/>
        <item x="2646"/>
        <item x="235"/>
        <item x="1543"/>
        <item x="1864"/>
        <item x="1669"/>
        <item x="3304"/>
        <item x="96"/>
        <item x="2446"/>
        <item x="3394"/>
        <item x="4986"/>
        <item x="4405"/>
        <item x="1858"/>
        <item x="1389"/>
        <item x="1217"/>
        <item x="3076"/>
        <item x="1288"/>
        <item x="3726"/>
        <item x="3898"/>
        <item x="3242"/>
        <item x="4116"/>
        <item x="2900"/>
        <item x="1509"/>
        <item x="1239"/>
        <item x="213"/>
        <item x="2647"/>
        <item x="1083"/>
        <item x="362"/>
        <item x="3082"/>
        <item x="1518"/>
        <item x="3196"/>
        <item x="1529"/>
        <item x="1791"/>
        <item x="2754"/>
        <item x="1632"/>
        <item x="2423"/>
        <item x="1388"/>
        <item x="620"/>
        <item x="376"/>
        <item x="1606"/>
        <item x="1225"/>
        <item x="1420"/>
        <item x="2781"/>
        <item x="2743"/>
        <item x="1073"/>
        <item x="20"/>
        <item x="1630"/>
        <item x="2782"/>
        <item x="198"/>
        <item x="761"/>
        <item x="3617"/>
        <item x="2798"/>
        <item x="3014"/>
        <item x="2023"/>
        <item x="4188"/>
        <item x="1394"/>
        <item x="3846"/>
        <item x="3803"/>
        <item x="4464"/>
        <item x="3917"/>
        <item x="3816"/>
        <item x="4795"/>
        <item x="4764"/>
        <item x="56"/>
        <item x="2063"/>
        <item x="568"/>
        <item x="1133"/>
        <item x="4554"/>
        <item x="3173"/>
        <item x="4265"/>
        <item x="2806"/>
        <item x="630"/>
        <item x="1559"/>
        <item x="200"/>
        <item x="953"/>
        <item x="4384"/>
        <item x="1536"/>
        <item x="888"/>
        <item x="4777"/>
        <item x="3732"/>
        <item x="2680"/>
        <item x="4430"/>
        <item x="541"/>
        <item x="1421"/>
        <item x="4484"/>
        <item x="3401"/>
        <item x="3792"/>
        <item x="4485"/>
        <item x="686"/>
        <item x="1271"/>
        <item x="2359"/>
        <item x="339"/>
        <item x="2949"/>
        <item x="3263"/>
        <item x="1174"/>
        <item x="2672"/>
        <item x="4033"/>
        <item x="815"/>
        <item x="4227"/>
        <item x="2952"/>
        <item x="3554"/>
        <item x="266"/>
        <item x="2377"/>
        <item x="1989"/>
        <item x="4453"/>
        <item x="4233"/>
        <item x="4740"/>
        <item x="3721"/>
        <item x="4627"/>
        <item x="4290"/>
        <item x="3673"/>
        <item x="1816"/>
        <item x="2195"/>
        <item x="3916"/>
        <item x="3654"/>
        <item x="954"/>
        <item x="3958"/>
        <item x="2890"/>
        <item x="1289"/>
        <item x="3755"/>
        <item x="4094"/>
        <item x="1088"/>
        <item x="178"/>
        <item x="2767"/>
        <item x="776"/>
        <item x="2786"/>
        <item x="126"/>
        <item x="64"/>
        <item x="4978"/>
        <item x="3373"/>
        <item x="2472"/>
        <item x="4061"/>
        <item x="735"/>
        <item x="4573"/>
        <item x="4026"/>
        <item x="93"/>
        <item x="2526"/>
        <item x="3225"/>
        <item x="685"/>
        <item x="4295"/>
        <item x="3534"/>
        <item x="12"/>
        <item x="601"/>
        <item x="895"/>
        <item x="1273"/>
        <item x="1587"/>
        <item x="131"/>
        <item x="745"/>
        <item x="3533"/>
        <item x="4145"/>
        <item x="657"/>
        <item x="1782"/>
        <item x="160"/>
        <item x="278"/>
        <item x="1024"/>
        <item x="750"/>
        <item x="3717"/>
        <item x="1120"/>
        <item x="4898"/>
        <item x="4595"/>
        <item x="3925"/>
        <item x="2081"/>
        <item x="314"/>
        <item x="4953"/>
        <item x="4647"/>
        <item x="1213"/>
        <item x="337"/>
        <item x="4592"/>
        <item x="285"/>
        <item x="3547"/>
        <item x="3409"/>
        <item x="1980"/>
        <item x="3182"/>
        <item x="831"/>
        <item x="347"/>
        <item x="1726"/>
        <item x="1419"/>
        <item x="3768"/>
        <item x="1195"/>
        <item x="3935"/>
        <item x="2503"/>
        <item x="1735"/>
        <item x="3463"/>
        <item x="3192"/>
        <item x="3458"/>
        <item x="638"/>
        <item x="1199"/>
        <item x="1326"/>
        <item x="4260"/>
        <item x="3312"/>
        <item x="3451"/>
        <item x="4194"/>
        <item x="3643"/>
        <item x="2291"/>
        <item x="845"/>
        <item x="2246"/>
        <item x="2066"/>
        <item x="3121"/>
        <item x="2872"/>
        <item x="2086"/>
        <item x="4236"/>
        <item x="4024"/>
        <item x="3651"/>
        <item x="3424"/>
        <item x="3558"/>
        <item x="683"/>
        <item x="2701"/>
        <item x="4746"/>
        <item x="4215"/>
        <item x="2799"/>
        <item x="4874"/>
        <item x="2605"/>
        <item x="4152"/>
        <item x="4661"/>
        <item x="3098"/>
        <item x="2398"/>
        <item x="4333"/>
        <item x="2080"/>
        <item x="4275"/>
        <item x="1443"/>
        <item x="358"/>
        <item x="151"/>
        <item x="1019"/>
        <item x="3174"/>
        <item x="244"/>
        <item x="3023"/>
        <item x="75"/>
        <item x="73"/>
        <item x="884"/>
        <item x="4414"/>
        <item x="3889"/>
        <item x="2043"/>
        <item x="1445"/>
        <item x="330"/>
        <item x="4571"/>
        <item x="4149"/>
        <item x="256"/>
        <item x="2972"/>
        <item x="535"/>
        <item x="2146"/>
        <item x="4689"/>
        <item x="680"/>
        <item x="4945"/>
        <item x="4429"/>
        <item x="1796"/>
        <item x="4158"/>
        <item x="1575"/>
        <item x="1770"/>
        <item x="3093"/>
        <item x="2710"/>
        <item x="106"/>
        <item x="3476"/>
        <item x="352"/>
        <item x="3287"/>
        <item x="3380"/>
        <item x="2008"/>
        <item x="817"/>
        <item x="662"/>
        <item x="1004"/>
        <item x="296"/>
        <item x="1229"/>
        <item x="891"/>
        <item x="1754"/>
        <item x="774"/>
        <item x="3511"/>
        <item x="4966"/>
        <item x="349"/>
        <item x="2965"/>
        <item x="2449"/>
        <item x="434"/>
        <item x="4738"/>
        <item x="4070"/>
        <item x="3729"/>
        <item x="2985"/>
        <item x="3090"/>
        <item x="2722"/>
        <item x="3224"/>
        <item x="4257"/>
        <item x="1027"/>
        <item x="4587"/>
        <item x="1654"/>
        <item x="4059"/>
        <item x="1667"/>
        <item x="2870"/>
        <item x="1230"/>
        <item x="665"/>
        <item x="2415"/>
        <item x="1524"/>
        <item x="488"/>
        <item x="1623"/>
        <item x="3414"/>
        <item x="4982"/>
        <item x="2234"/>
        <item x="311"/>
        <item x="851"/>
        <item x="1329"/>
        <item x="3479"/>
        <item x="3681"/>
        <item x="2276"/>
        <item x="1944"/>
        <item x="477"/>
        <item x="1525"/>
        <item x="4487"/>
        <item x="215"/>
        <item x="4231"/>
        <item x="3710"/>
        <item x="537"/>
        <item x="633"/>
        <item x="2667"/>
        <item x="1775"/>
        <item x="4959"/>
        <item x="592"/>
        <item x="1270"/>
        <item x="549"/>
        <item x="4721"/>
        <item x="4769"/>
        <item x="2478"/>
        <item x="1530"/>
        <item x="3746"/>
        <item x="4848"/>
        <item x="206"/>
        <item x="1539"/>
        <item x="172"/>
        <item x="4374"/>
        <item x="2982"/>
        <item x="1367"/>
        <item x="3757"/>
        <item x="905"/>
        <item x="4283"/>
        <item x="561"/>
        <item x="2050"/>
        <item x="3783"/>
        <item x="1628"/>
        <item x="2748"/>
        <item x="3490"/>
        <item x="2839"/>
        <item x="2613"/>
        <item x="3701"/>
        <item x="4546"/>
        <item x="593"/>
        <item x="1522"/>
        <item x="4578"/>
        <item x="634"/>
        <item x="814"/>
        <item x="2924"/>
        <item x="984"/>
        <item x="1586"/>
        <item x="80"/>
        <item x="547"/>
        <item x="1605"/>
        <item x="4675"/>
        <item x="1495"/>
        <item x="1547"/>
        <item x="4172"/>
        <item x="1708"/>
        <item x="4617"/>
        <item x="446"/>
        <item x="609"/>
        <item x="3965"/>
        <item x="2800"/>
        <item x="3183"/>
        <item x="479"/>
        <item x="3156"/>
        <item x="1908"/>
        <item x="2220"/>
        <item x="1789"/>
        <item x="2469"/>
        <item x="371"/>
        <item x="4401"/>
        <item x="3922"/>
        <item x="3507"/>
        <item x="4153"/>
        <item x="1261"/>
        <item x="1212"/>
        <item x="4159"/>
        <item x="1715"/>
        <item x="4478"/>
        <item x="978"/>
        <item x="467"/>
        <item x="4708"/>
        <item x="4903"/>
        <item x="3099"/>
        <item x="4310"/>
        <item x="218"/>
        <item x="4385"/>
        <item x="2420"/>
        <item x="3043"/>
        <item x="2051"/>
        <item x="4815"/>
        <item x="2537"/>
        <item x="1377"/>
        <item x="2563"/>
        <item x="496"/>
        <item x="2984"/>
        <item x="4040"/>
        <item x="1491"/>
        <item x="1231"/>
        <item x="943"/>
        <item x="2155"/>
        <item x="818"/>
        <item x="3352"/>
        <item x="3541"/>
        <item x="2712"/>
        <item x="3228"/>
        <item x="4177"/>
        <item x="2927"/>
        <item x="317"/>
        <item x="2733"/>
        <item x="4979"/>
        <item x="4175"/>
        <item x="2182"/>
        <item x="3742"/>
        <item x="1634"/>
        <item x="2993"/>
        <item x="912"/>
        <item x="3698"/>
        <item x="4833"/>
        <item x="2562"/>
        <item x="2013"/>
        <item x="1812"/>
        <item x="3824"/>
        <item x="3972"/>
        <item x="1734"/>
        <item x="4456"/>
        <item x="2863"/>
        <item x="270"/>
        <item x="919"/>
        <item x="1975"/>
        <item x="169"/>
        <item x="941"/>
        <item x="1439"/>
        <item x="1527"/>
        <item x="3258"/>
        <item x="493"/>
        <item x="4532"/>
        <item x="1150"/>
        <item x="4875"/>
        <item x="1994"/>
        <item x="236"/>
        <item x="4441"/>
        <item x="3020"/>
        <item x="3297"/>
        <item x="3883"/>
        <item x="2842"/>
        <item x="1319"/>
        <item x="1429"/>
        <item x="4545"/>
        <item x="2422"/>
        <item x="3359"/>
        <item x="4138"/>
        <item x="2765"/>
        <item x="1021"/>
        <item x="4569"/>
        <item x="532"/>
        <item x="3260"/>
        <item x="4324"/>
        <item x="1802"/>
        <item x="402"/>
        <item x="4841"/>
        <item x="2439"/>
        <item x="186"/>
        <item x="1146"/>
        <item x="140"/>
        <item x="3850"/>
        <item x="485"/>
        <item x="1417"/>
        <item x="2069"/>
        <item x="1028"/>
        <item x="46"/>
        <item x="4807"/>
        <item x="3253"/>
        <item x="2196"/>
        <item x="3391"/>
        <item x="631"/>
        <item x="3811"/>
        <item x="3456"/>
        <item x="3205"/>
        <item x="3606"/>
        <item x="2878"/>
        <item x="2357"/>
        <item x="640"/>
        <item x="2815"/>
        <item x="1040"/>
        <item x="1398"/>
        <item x="1943"/>
        <item x="4778"/>
        <item x="956"/>
        <item x="930"/>
        <item x="2232"/>
        <item x="1211"/>
        <item x="4322"/>
        <item x="1078"/>
        <item x="211"/>
        <item x="4254"/>
        <item x="3751"/>
        <item x="167"/>
        <item x="4923"/>
        <item x="4214"/>
        <item x="4621"/>
        <item x="778"/>
        <item x="1987"/>
        <item x="1489"/>
        <item x="4964"/>
        <item x="1542"/>
        <item x="2512"/>
        <item x="1277"/>
        <item x="203"/>
        <item x="3952"/>
        <item x="3862"/>
        <item x="2752"/>
        <item x="3079"/>
        <item x="1017"/>
        <item x="1139"/>
        <item x="1826"/>
        <item x="113"/>
        <item x="1674"/>
        <item x="2649"/>
        <item x="2376"/>
        <item x="3910"/>
        <item x="3537"/>
        <item x="3514"/>
        <item x="3322"/>
        <item x="671"/>
        <item x="1370"/>
        <item x="464"/>
        <item x="2736"/>
        <item x="1"/>
        <item x="2654"/>
        <item x="1977"/>
        <item x="1689"/>
        <item x="1123"/>
        <item x="587"/>
        <item x="1131"/>
        <item x="1334"/>
        <item x="3618"/>
        <item x="3833"/>
        <item x="1267"/>
        <item x="2901"/>
        <item x="166"/>
        <item x="1041"/>
        <item x="3025"/>
        <item x="3101"/>
        <item x="1226"/>
        <item x="3941"/>
        <item x="826"/>
        <item x="2766"/>
        <item x="2826"/>
        <item x="1188"/>
        <item x="1657"/>
        <item x="2550"/>
        <item x="3240"/>
        <item x="3569"/>
        <item x="10"/>
        <item x="4486"/>
        <item x="1468"/>
        <item x="3990"/>
        <item x="4067"/>
        <item x="1914"/>
        <item x="2731"/>
        <item x="4169"/>
        <item x="642"/>
        <item x="1838"/>
        <item x="2087"/>
        <item x="2721"/>
        <item x="3882"/>
        <item x="3448"/>
        <item x="4217"/>
        <item x="4457"/>
        <item x="1082"/>
        <item x="3068"/>
        <item x="2351"/>
        <item x="4663"/>
        <item x="3561"/>
        <item x="4011"/>
        <item x="2473"/>
        <item x="3184"/>
        <item x="4240"/>
        <item x="3519"/>
        <item x="2751"/>
        <item x="2341"/>
        <item x="2479"/>
        <item x="3565"/>
        <item x="260"/>
        <item x="1085"/>
        <item x="4836"/>
        <item x="4687"/>
        <item x="1096"/>
        <item x="1842"/>
        <item x="2108"/>
        <item x="1400"/>
        <item x="4239"/>
        <item x="2323"/>
        <item x="173"/>
        <item x="2249"/>
        <item x="881"/>
        <item x="450"/>
        <item x="3674"/>
        <item x="1597"/>
        <item x="1933"/>
        <item x="382"/>
        <item x="4220"/>
        <item x="2780"/>
        <item x="4449"/>
        <item x="770"/>
        <item x="429"/>
        <item x="441"/>
        <item x="4716"/>
        <item x="2326"/>
        <item x="4599"/>
        <item x="2611"/>
        <item x="1655"/>
        <item x="2586"/>
        <item x="4302"/>
        <item x="3169"/>
        <item x="4703"/>
        <item x="1695"/>
        <item x="3217"/>
        <item x="618"/>
        <item x="2677"/>
        <item x="4772"/>
        <item x="3275"/>
        <item x="2943"/>
        <item x="3741"/>
        <item x="4440"/>
        <item x="188"/>
        <item x="2953"/>
        <item x="3327"/>
        <item x="731"/>
        <item x="460"/>
        <item x="3904"/>
        <item x="3677"/>
        <item x="3141"/>
        <item x="4042"/>
        <item x="3046"/>
        <item x="322"/>
        <item x="1080"/>
        <item x="1232"/>
        <item x="4191"/>
        <item x="4049"/>
        <item x="3004"/>
        <item x="436"/>
        <item x="2355"/>
        <item x="1675"/>
        <item x="1221"/>
        <item x="2097"/>
        <item x="4861"/>
        <item x="183"/>
        <item x="1982"/>
        <item x="574"/>
        <item x="937"/>
        <item x="1465"/>
        <item x="4954"/>
        <item x="4475"/>
        <item x="1427"/>
        <item x="3962"/>
        <item x="2835"/>
        <item x="816"/>
        <item x="2466"/>
        <item x="3902"/>
        <item x="3834"/>
        <item x="3805"/>
        <item x="2517"/>
        <item x="1214"/>
        <item x="1291"/>
        <item x="1121"/>
        <item x="571"/>
        <item x="4877"/>
        <item x="3579"/>
        <item x="2129"/>
        <item x="1362"/>
        <item x="1928"/>
        <item x="1948"/>
        <item x="1798"/>
        <item x="2390"/>
        <item x="2938"/>
        <item x="2346"/>
        <item x="4117"/>
        <item x="500"/>
        <item x="2464"/>
        <item x="1447"/>
        <item x="21"/>
        <item x="2507"/>
        <item x="4090"/>
        <item x="3637"/>
        <item x="1511"/>
        <item x="3689"/>
        <item x="1196"/>
        <item x="3793"/>
        <item x="1375"/>
        <item x="332"/>
        <item x="3036"/>
        <item x="3200"/>
        <item x="3631"/>
        <item x="3190"/>
        <item x="4555"/>
        <item x="864"/>
        <item x="4455"/>
        <item x="373"/>
        <item x="2090"/>
        <item x="4362"/>
        <item x="3166"/>
        <item x="2312"/>
        <item x="512"/>
        <item x="1545"/>
        <item x="1296"/>
        <item x="2833"/>
        <item x="3559"/>
        <item x="3712"/>
        <item x="2135"/>
        <item x="3191"/>
        <item x="2433"/>
        <item x="3940"/>
        <item x="3967"/>
        <item x="1046"/>
        <item x="4345"/>
        <item x="2747"/>
        <item x="321"/>
        <item x="3767"/>
        <item x="1476"/>
        <item x="2910"/>
        <item x="602"/>
        <item x="4091"/>
        <item x="3062"/>
        <item x="3255"/>
        <item x="2031"/>
        <item x="2527"/>
        <item x="154"/>
        <item x="4669"/>
        <item x="2134"/>
        <item x="4009"/>
        <item x="1125"/>
        <item x="3926"/>
        <item x="1717"/>
        <item x="1682"/>
        <item x="4924"/>
        <item x="4921"/>
        <item x="622"/>
        <item x="4377"/>
        <item x="4540"/>
        <item x="4224"/>
        <item x="1707"/>
        <item x="2229"/>
        <item x="3469"/>
        <item x="1894"/>
        <item x="1263"/>
        <item x="4567"/>
        <item x="2137"/>
        <item x="1910"/>
        <item x="2862"/>
        <item x="1519"/>
        <item x="3467"/>
        <item x="2240"/>
        <item x="480"/>
        <item x="2772"/>
        <item x="3813"/>
        <item x="4743"/>
        <item x="4424"/>
        <item x="2042"/>
        <item x="1533"/>
        <item x="4017"/>
        <item x="3897"/>
        <item x="2650"/>
        <item x="2440"/>
        <item x="2434"/>
        <item x="2718"/>
        <item x="2237"/>
        <item x="2410"/>
        <item x="2277"/>
        <item x="4171"/>
        <item x="741"/>
        <item x="2847"/>
        <item x="443"/>
        <item x="2046"/>
        <item x="4942"/>
        <item x="694"/>
        <item x="4598"/>
        <item x="2820"/>
        <item x="2917"/>
        <item x="3968"/>
        <item x="1577"/>
        <item x="2700"/>
        <item x="1103"/>
        <item x="2587"/>
        <item x="287"/>
        <item x="4787"/>
        <item x="475"/>
        <item x="2951"/>
        <item x="556"/>
        <item x="1825"/>
        <item x="885"/>
        <item x="3357"/>
        <item x="554"/>
        <item x="2382"/>
        <item x="4734"/>
        <item x="1541"/>
        <item x="4204"/>
        <item x="3351"/>
        <item x="1725"/>
        <item x="100"/>
        <item x="2054"/>
        <item x="796"/>
        <item x="220"/>
        <item x="1315"/>
        <item x="2825"/>
        <item x="2775"/>
        <item x="3133"/>
        <item x="489"/>
        <item x="4868"/>
        <item x="4704"/>
        <item x="3699"/>
        <item x="2739"/>
        <item x="754"/>
        <item x="4124"/>
        <item x="3546"/>
        <item x="2315"/>
        <item x="411"/>
        <item x="4588"/>
        <item x="2371"/>
        <item x="3895"/>
        <item x="1144"/>
        <item x="470"/>
        <item x="2174"/>
        <item x="135"/>
        <item x="503"/>
        <item x="1337"/>
        <item x="4936"/>
        <item x="2335"/>
        <item x="4928"/>
        <item x="3310"/>
        <item x="4582"/>
        <item x="3446"/>
        <item x="2641"/>
        <item x="1191"/>
        <item x="1959"/>
        <item x="4270"/>
        <item x="1332"/>
        <item x="3713"/>
        <item x="2851"/>
        <item x="2666"/>
        <item x="2554"/>
        <item x="794"/>
        <item x="1871"/>
        <item x="2948"/>
        <item x="3743"/>
        <item x="3185"/>
        <item x="3873"/>
        <item x="4296"/>
        <item x="4435"/>
        <item x="255"/>
        <item x="1677"/>
        <item x="1127"/>
        <item x="2034"/>
        <item x="70"/>
        <item x="2616"/>
        <item x="1330"/>
        <item x="2245"/>
        <item x="4166"/>
        <item x="2462"/>
        <item x="3306"/>
        <item x="3294"/>
        <item x="1823"/>
        <item x="4210"/>
        <item x="1244"/>
        <item x="2239"/>
        <item x="97"/>
        <item x="708"/>
        <item x="3847"/>
        <item x="269"/>
        <item x="2504"/>
        <item x="1339"/>
        <item x="2651"/>
        <item x="2929"/>
        <item x="4262"/>
        <item x="2424"/>
        <item x="1737"/>
        <item x="239"/>
        <item x="996"/>
        <item x="4521"/>
        <item x="4888"/>
        <item x="2962"/>
        <item x="2024"/>
        <item x="2930"/>
        <item x="3029"/>
        <item x="336"/>
        <item x="201"/>
        <item x="839"/>
        <item x="4251"/>
        <item x="509"/>
        <item x="1251"/>
        <item x="2758"/>
        <item x="781"/>
        <item x="1391"/>
        <item x="4589"/>
        <item x="4505"/>
        <item x="4838"/>
        <item x="1092"/>
        <item x="3581"/>
        <item x="4783"/>
        <item x="703"/>
        <item x="2027"/>
        <item x="2252"/>
        <item x="1281"/>
        <item x="2236"/>
        <item x="2132"/>
        <item x="548"/>
        <item x="3464"/>
        <item x="775"/>
        <item x="2337"/>
        <item x="4392"/>
        <item x="632"/>
        <item x="2861"/>
        <item x="3675"/>
        <item x="2655"/>
        <item x="433"/>
        <item x="2400"/>
        <item x="1360"/>
        <item x="1286"/>
        <item x="4884"/>
        <item x="2957"/>
        <item x="199"/>
        <item x="3151"/>
        <item x="59"/>
        <item x="3186"/>
        <item x="3668"/>
        <item x="4639"/>
        <item x="2120"/>
        <item x="1736"/>
        <item x="2330"/>
        <item x="3672"/>
        <item x="471"/>
        <item x="1822"/>
        <item x="3119"/>
        <item x="1455"/>
        <item x="628"/>
        <item x="658"/>
        <item x="897"/>
        <item x="212"/>
        <item x="2612"/>
        <item x="3660"/>
        <item x="3555"/>
        <item x="4415"/>
        <item x="4805"/>
        <item x="2665"/>
        <item x="4723"/>
        <item x="1249"/>
        <item x="2428"/>
        <item x="4069"/>
        <item x="3577"/>
        <item x="1911"/>
        <item x="1115"/>
        <item x="3388"/>
        <item x="1929"/>
        <item x="4202"/>
        <item x="1106"/>
        <item x="2452"/>
        <item x="4961"/>
        <item x="1052"/>
        <item x="2140"/>
        <item x="190"/>
        <item x="599"/>
        <item x="333"/>
        <item x="3950"/>
        <item x="697"/>
        <item x="491"/>
        <item x="1313"/>
        <item x="2445"/>
        <item x="625"/>
        <item x="4105"/>
        <item x="3894"/>
        <item x="2881"/>
        <item x="3366"/>
        <item x="579"/>
        <item x="4335"/>
        <item x="4321"/>
        <item x="2565"/>
        <item x="1317"/>
        <item x="41"/>
        <item x="4391"/>
        <item x="290"/>
        <item x="1353"/>
        <item x="2803"/>
        <item x="3292"/>
        <item x="3383"/>
        <item x="691"/>
        <item x="1551"/>
        <item x="896"/>
        <item x="2413"/>
        <item x="325"/>
        <item x="2292"/>
        <item x="286"/>
        <item x="1846"/>
        <item x="369"/>
        <item x="4779"/>
        <item x="1299"/>
        <item x="3765"/>
        <item x="1043"/>
        <item x="3622"/>
        <item x="54"/>
        <item x="2745"/>
        <item x="2630"/>
        <item x="957"/>
        <item x="2015"/>
        <item x="1967"/>
        <item x="870"/>
        <item x="1187"/>
        <item x="6"/>
        <item x="1769"/>
        <item x="812"/>
        <item x="4962"/>
        <item x="2886"/>
        <item x="217"/>
        <item x="1185"/>
        <item x="1805"/>
        <item x="3331"/>
        <item x="2585"/>
        <item x="596"/>
        <item x="1155"/>
        <item x="1641"/>
        <item x="189"/>
        <item x="2727"/>
        <item x="4038"/>
        <item x="932"/>
        <item x="1972"/>
        <item x="4768"/>
        <item x="318"/>
        <item x="4186"/>
        <item x="2908"/>
        <item x="1372"/>
        <item x="2012"/>
        <item x="2723"/>
        <item x="863"/>
        <item x="3625"/>
        <item x="1238"/>
        <item x="1492"/>
        <item x="3510"/>
        <item x="1100"/>
        <item x="2310"/>
        <item x="4611"/>
        <item x="2695"/>
        <item x="421"/>
        <item x="4055"/>
        <item x="4274"/>
        <item x="803"/>
        <item x="210"/>
        <item x="4287"/>
        <item x="4242"/>
        <item x="134"/>
        <item x="4686"/>
        <item x="2142"/>
        <item x="4870"/>
        <item x="3155"/>
        <item x="4710"/>
        <item x="4791"/>
        <item x="985"/>
        <item x="2567"/>
        <item x="4427"/>
        <item x="3340"/>
        <item x="1925"/>
        <item x="846"/>
        <item x="355"/>
        <item x="516"/>
        <item x="2019"/>
        <item x="1780"/>
        <item x="2215"/>
        <item x="4881"/>
        <item x="1385"/>
        <item x="4739"/>
        <item x="4426"/>
        <item x="3361"/>
        <item x="3139"/>
        <item x="312"/>
        <item x="1245"/>
        <item x="1513"/>
        <item x="4499"/>
        <item x="3725"/>
        <item x="4622"/>
        <item x="2302"/>
        <item x="3844"/>
        <item x="76"/>
        <item x="4607"/>
        <item x="2130"/>
        <item x="1554"/>
        <item x="3756"/>
        <item x="1202"/>
        <item x="4338"/>
        <item x="3591"/>
        <item x="3912"/>
        <item x="2915"/>
        <item x="1808"/>
        <item x="4730"/>
        <item x="4063"/>
        <item x="95"/>
        <item x="3342"/>
        <item x="3193"/>
        <item x="1142"/>
        <item x="4420"/>
        <item x="1978"/>
        <item x="3865"/>
        <item x="1240"/>
        <item x="4911"/>
        <item x="2922"/>
        <item x="4106"/>
        <item x="4700"/>
        <item x="3339"/>
        <item x="585"/>
        <item x="4074"/>
        <item x="4412"/>
        <item x="977"/>
        <item x="1819"/>
        <item x="453"/>
        <item x="1983"/>
        <item x="2396"/>
        <item x="1193"/>
        <item x="712"/>
        <item x="2625"/>
        <item x="3159"/>
        <item x="1912"/>
        <item x="1111"/>
        <item x="1916"/>
        <item x="1378"/>
        <item x="4971"/>
        <item x="4516"/>
        <item x="2368"/>
        <item x="62"/>
        <item x="24"/>
        <item x="4650"/>
        <item x="1535"/>
        <item x="4702"/>
        <item x="1418"/>
        <item x="461"/>
        <item x="1884"/>
        <item x="1979"/>
        <item x="1341"/>
        <item x="3136"/>
        <item x="4046"/>
        <item x="1349"/>
        <item x="3723"/>
        <item x="4344"/>
        <item x="2320"/>
        <item x="4359"/>
        <item x="947"/>
        <item x="483"/>
        <item x="1817"/>
        <item x="3984"/>
        <item x="455"/>
        <item x="2932"/>
        <item x="4696"/>
        <item x="4130"/>
        <item x="4250"/>
        <item x="67"/>
        <item x="979"/>
        <item x="2873"/>
        <item x="2437"/>
        <item x="3718"/>
        <item x="3124"/>
        <item x="1879"/>
        <item x="4468"/>
        <item x="1086"/>
        <item x="2463"/>
        <item x="3817"/>
        <item x="3878"/>
        <item x="2214"/>
        <item x="2626"/>
        <item x="192"/>
        <item x="3827"/>
        <item x="4397"/>
        <item x="880"/>
        <item x="2742"/>
        <item x="3067"/>
        <item x="3630"/>
        <item x="1346"/>
        <item x="74"/>
        <item x="1407"/>
        <item x="279"/>
        <item x="1807"/>
        <item x="1891"/>
        <item x="1729"/>
        <item x="1178"/>
        <item x="986"/>
        <item x="969"/>
        <item x="1157"/>
        <item x="1502"/>
        <item x="1523"/>
        <item x="4276"/>
        <item x="3195"/>
        <item x="2457"/>
        <item x="2222"/>
        <item x="4547"/>
        <item x="2690"/>
        <item x="1881"/>
        <item x="3575"/>
        <item x="3477"/>
        <item x="4671"/>
        <item x="1402"/>
        <item x="2573"/>
        <item x="395"/>
        <item x="4781"/>
        <item x="1143"/>
        <item x="2077"/>
        <item x="353"/>
        <item x="2078"/>
        <item x="1335"/>
        <item x="242"/>
        <item x="736"/>
        <item x="1792"/>
        <item x="1351"/>
        <item x="749"/>
        <item x="3784"/>
        <item x="875"/>
        <item x="4707"/>
        <item x="253"/>
        <item x="4019"/>
        <item x="2107"/>
        <item x="827"/>
        <item x="3866"/>
        <item x="4562"/>
        <item x="2076"/>
        <item x="2161"/>
        <item x="3064"/>
        <item x="1895"/>
        <item x="4109"/>
        <item x="2306"/>
        <item x="1025"/>
        <item x="711"/>
        <item x="4761"/>
        <item x="1314"/>
        <item x="1156"/>
        <item x="1482"/>
        <item x="2045"/>
        <item x="539"/>
        <item x="1702"/>
        <item x="3885"/>
        <item x="928"/>
        <item x="3279"/>
        <item x="1742"/>
        <item x="4808"/>
        <item x="3013"/>
        <item x="1163"/>
        <item x="2610"/>
        <item x="3291"/>
        <item x="4566"/>
        <item x="305"/>
        <item x="4638"/>
        <item x="4551"/>
        <item x="4544"/>
        <item x="2421"/>
        <item x="335"/>
        <item x="4799"/>
        <item x="2250"/>
        <item x="1252"/>
        <item x="1390"/>
        <item x="3548"/>
        <item x="2598"/>
        <item x="4990"/>
        <item x="261"/>
        <item x="494"/>
        <item x="4872"/>
        <item x="4749"/>
        <item x="766"/>
        <item x="4448"/>
        <item x="890"/>
        <item x="911"/>
        <item x="2141"/>
        <item x="2006"/>
        <item x="4969"/>
        <item x="4988"/>
        <item x="3947"/>
        <item x="2509"/>
        <item x="3138"/>
        <item x="2657"/>
        <item x="4803"/>
        <item x="163"/>
        <item x="4461"/>
        <item x="3073"/>
        <item x="2274"/>
        <item x="2570"/>
        <item x="3964"/>
        <item x="4933"/>
        <item x="1704"/>
        <item x="3582"/>
        <item x="4410"/>
        <item x="2959"/>
        <item x="3094"/>
        <item x="1660"/>
        <item x="1947"/>
        <item x="2002"/>
        <item x="422"/>
        <item x="142"/>
        <item x="1786"/>
        <item x="1779"/>
        <item x="3471"/>
        <item x="773"/>
        <item x="3266"/>
        <item x="1344"/>
        <item x="2297"/>
        <item x="2139"/>
        <item x="230"/>
        <item x="156"/>
        <item x="4564"/>
        <item x="883"/>
        <item x="4754"/>
        <item x="4530"/>
        <item x="2443"/>
        <item x="4976"/>
        <item x="3481"/>
        <item x="2937"/>
        <item x="4737"/>
        <item x="4873"/>
        <item x="3122"/>
        <item x="4284"/>
        <item x="3759"/>
        <item x="1824"/>
        <item x="1416"/>
        <item x="3820"/>
        <item x="444"/>
        <item x="2740"/>
        <item x="4144"/>
        <item x="811"/>
        <item x="4498"/>
        <item x="442"/>
        <item x="1436"/>
        <item x="4543"/>
        <item x="748"/>
        <item x="1739"/>
        <item x="4187"/>
        <item x="2235"/>
        <item x="4054"/>
        <item x="915"/>
        <item x="3659"/>
        <item x="4811"/>
        <item x="214"/>
        <item x="2753"/>
        <item x="1942"/>
        <item x="2435"/>
        <item x="611"/>
        <item x="2025"/>
        <item x="595"/>
        <item x="3427"/>
        <item x="3676"/>
        <item x="2170"/>
        <item x="3091"/>
        <item x="4008"/>
        <item x="3231"/>
        <item x="1094"/>
        <item x="319"/>
        <item x="3840"/>
        <item x="4104"/>
        <item x="926"/>
        <item x="4305"/>
        <item x="4364"/>
        <item x="4822"/>
        <item x="3296"/>
        <item x="3928"/>
        <item x="782"/>
        <item x="2035"/>
        <item x="2805"/>
        <item x="1462"/>
        <item x="1316"/>
        <item x="833"/>
        <item x="2288"/>
        <item x="1136"/>
        <item x="1371"/>
        <item x="4228"/>
        <item x="522"/>
        <item x="3828"/>
        <item x="2404"/>
        <item x="3786"/>
        <item x="607"/>
        <item x="739"/>
        <item x="3831"/>
        <item x="162"/>
        <item x="3934"/>
        <item x="4209"/>
        <item x="4858"/>
        <item x="2889"/>
        <item x="3777"/>
        <item x="2659"/>
        <item x="144"/>
        <item x="370"/>
        <item x="2816"/>
        <item x="3835"/>
        <item x="3308"/>
        <item x="2810"/>
        <item x="2750"/>
        <item x="1300"/>
        <item x="4041"/>
        <item x="3528"/>
        <item x="1010"/>
        <item x="281"/>
        <item x="4198"/>
        <item x="889"/>
        <item x="646"/>
        <item x="2679"/>
        <item x="2995"/>
        <item x="4075"/>
        <item x="52"/>
        <item x="1149"/>
        <item x="3959"/>
        <item x="3754"/>
        <item x="3736"/>
        <item x="3290"/>
        <item x="2263"/>
        <item x="3607"/>
        <item x="1399"/>
        <item x="4867"/>
        <item x="1815"/>
        <item x="1538"/>
        <item x="1179"/>
        <item x="767"/>
        <item x="1494"/>
        <item x="615"/>
        <item x="417"/>
        <item x="2"/>
        <item x="2285"/>
        <item x="3696"/>
        <item x="2926"/>
        <item x="179"/>
        <item x="1237"/>
        <item x="4450"/>
        <item x="2299"/>
        <item x="1376"/>
        <item x="3386"/>
        <item x="2500"/>
        <item x="1145"/>
        <item x="4084"/>
        <item x="838"/>
        <item x="3798"/>
        <item x="1220"/>
        <item x="26"/>
        <item x="432"/>
        <item x="3933"/>
        <item x="184"/>
        <item x="4102"/>
        <item x="458"/>
        <item x="4816"/>
        <item x="1790"/>
        <item x="3044"/>
        <item x="4110"/>
        <item x="679"/>
        <item x="4753"/>
        <item x="366"/>
        <item x="688"/>
        <item x="2117"/>
        <item x="2819"/>
        <item x="651"/>
        <item x="4500"/>
        <item x="3108"/>
        <item x="687"/>
        <item x="2859"/>
        <item x="649"/>
        <item x="176"/>
        <item x="4423"/>
        <item x="2954"/>
        <item x="3836"/>
        <item x="4658"/>
        <item x="862"/>
        <item x="3430"/>
        <item x="1065"/>
        <item x="3903"/>
        <item x="3931"/>
        <item x="3590"/>
        <item x="208"/>
        <item x="756"/>
        <item x="3058"/>
        <item x="802"/>
        <item x="2356"/>
        <item x="2933"/>
        <item x="1247"/>
        <item x="1194"/>
        <item x="4826"/>
        <item x="4174"/>
        <item x="3066"/>
        <item x="4659"/>
        <item x="295"/>
        <item x="3081"/>
        <item x="2518"/>
        <item x="1640"/>
        <item x="2300"/>
        <item x="1711"/>
        <item x="922"/>
        <item x="1467"/>
        <item x="1676"/>
        <item x="3492"/>
        <item x="469"/>
        <item x="4369"/>
        <item x="4160"/>
        <item x="4965"/>
        <item x="2738"/>
        <item x="1892"/>
        <item x="4263"/>
        <item x="152"/>
        <item x="2477"/>
        <item x="3595"/>
        <item x="4031"/>
        <item x="531"/>
        <item x="3887"/>
        <item x="1432"/>
        <item x="4332"/>
        <item x="2282"/>
        <item x="3222"/>
        <item x="1705"/>
        <item x="78"/>
        <item x="1924"/>
        <item x="1646"/>
        <item x="530"/>
        <item x="1957"/>
        <item x="4864"/>
        <item x="3069"/>
        <item x="856"/>
        <item x="398"/>
        <item x="4366"/>
        <item x="4268"/>
        <item x="4200"/>
        <item x="1998"/>
        <item x="4947"/>
        <item x="3149"/>
        <item x="2792"/>
        <item x="834"/>
        <item x="3123"/>
        <item x="1504"/>
        <item x="1859"/>
        <item x="4601"/>
        <item x="3992"/>
        <item x="3114"/>
        <item x="4917"/>
        <item x="4668"/>
        <item x="4277"/>
        <item x="1631"/>
        <item x="1228"/>
        <item x="4943"/>
        <item x="4825"/>
        <item x="4812"/>
        <item x="740"/>
        <item x="342"/>
        <item x="3293"/>
        <item x="2838"/>
        <item x="1012"/>
        <item x="3838"/>
        <item x="4293"/>
        <item x="3286"/>
        <item x="3233"/>
        <item x="2022"/>
        <item x="3612"/>
        <item x="2628"/>
        <item x="1738"/>
        <item x="3641"/>
        <item x="2480"/>
        <item x="2164"/>
        <item x="4682"/>
        <item x="1622"/>
        <item x="2177"/>
        <item x="2640"/>
        <item x="1435"/>
        <item x="58"/>
        <item x="1038"/>
        <item x="1209"/>
        <item x="2405"/>
        <item x="4326"/>
        <item x="2762"/>
        <item x="1906"/>
        <item x="1461"/>
        <item x="412"/>
        <item x="430"/>
        <item x="3171"/>
        <item x="116"/>
        <item x="2072"/>
        <item x="294"/>
        <item x="254"/>
        <item x="4193"/>
        <item x="2128"/>
        <item x="1236"/>
        <item x="1552"/>
        <item x="4919"/>
        <item x="2960"/>
        <item x="3129"/>
        <item x="3771"/>
        <item x="1411"/>
        <item x="60"/>
        <item x="1721"/>
        <item x="1836"/>
        <item x="2492"/>
        <item x="2942"/>
        <item x="2253"/>
        <item x="3719"/>
        <item x="4339"/>
        <item x="4312"/>
        <item x="4016"/>
        <item x="2836"/>
        <item x="1137"/>
        <item x="3782"/>
        <item x="3875"/>
        <item x="2465"/>
        <item x="3313"/>
        <item x="2669"/>
        <item x="2546"/>
        <item x="3212"/>
        <item x="379"/>
        <item x="1728"/>
        <item x="4850"/>
        <item x="2813"/>
        <item x="3829"/>
        <item x="1990"/>
        <item x="4308"/>
        <item x="2447"/>
        <item x="2186"/>
        <item x="1888"/>
        <item x="161"/>
        <item x="3087"/>
        <item x="3399"/>
        <item x="2629"/>
        <item x="3052"/>
        <item x="3969"/>
        <item x="4452"/>
        <item x="2944"/>
        <item x="380"/>
        <item x="4956"/>
        <item x="4529"/>
        <item x="4537"/>
        <item x="2912"/>
        <item x="3953"/>
        <item x="1182"/>
        <item x="656"/>
        <item x="4902"/>
        <item x="396"/>
        <item x="4948"/>
        <item x="998"/>
        <item x="2970"/>
        <item x="3243"/>
        <item x="177"/>
        <item x="2791"/>
        <item x="4904"/>
        <item x="2823"/>
        <item x="2584"/>
        <item x="4694"/>
        <item x="4480"/>
        <item x="1116"/>
        <item x="4051"/>
        <item x="1076"/>
        <item x="3100"/>
        <item x="2187"/>
        <item x="3614"/>
        <item x="853"/>
        <item x="3991"/>
        <item x="783"/>
        <item x="931"/>
        <item x="1678"/>
        <item x="1851"/>
        <item x="3453"/>
        <item x="4504"/>
        <item x="3104"/>
        <item x="2973"/>
        <item x="4804"/>
        <item x="4556"/>
        <item x="4735"/>
        <item x="1870"/>
        <item x="4163"/>
        <item x="2621"/>
        <item x="4249"/>
        <item x="4519"/>
        <item x="2349"/>
        <item x="1757"/>
        <item x="1592"/>
        <item x="4394"/>
        <item x="4692"/>
        <item x="3031"/>
        <item x="2963"/>
        <item x="3199"/>
        <item x="3981"/>
        <item x="4243"/>
        <item x="1832"/>
        <item x="4616"/>
        <item x="1091"/>
        <item x="4698"/>
        <item x="3268"/>
        <item x="4460"/>
        <item x="1861"/>
        <item x="249"/>
        <item x="1557"/>
        <item x="2238"/>
        <item x="3661"/>
        <item x="1809"/>
        <item x="962"/>
        <item x="147"/>
        <item x="666"/>
        <item x="385"/>
        <item x="1907"/>
        <item x="2157"/>
        <item x="835"/>
        <item x="2169"/>
        <item x="3918"/>
        <item x="3150"/>
        <item x="4264"/>
        <item x="1048"/>
        <item x="3283"/>
        <item x="1593"/>
        <item x="447"/>
        <item x="560"/>
        <item x="3389"/>
        <item x="873"/>
        <item x="1830"/>
        <item x="2694"/>
        <item x="2206"/>
        <item x="4683"/>
        <item x="4328"/>
        <item x="2454"/>
        <item x="1186"/>
        <item x="591"/>
        <item x="2660"/>
        <item x="2541"/>
        <item x="707"/>
        <item x="2191"/>
        <item x="1233"/>
        <item x="390"/>
        <item x="4376"/>
        <item x="1084"/>
        <item x="501"/>
        <item x="1774"/>
        <item x="3500"/>
        <item x="699"/>
        <item x="654"/>
        <item x="2829"/>
        <item x="2719"/>
        <item x="1434"/>
        <item x="4098"/>
        <item x="2038"/>
        <item x="3459"/>
        <item x="393"/>
        <item x="3691"/>
        <item x="4643"/>
        <item x="2331"/>
        <item x="1831"/>
        <item x="4915"/>
        <item x="1591"/>
        <item x="764"/>
        <item x="1152"/>
        <item x="4178"/>
        <item x="1750"/>
        <item x="117"/>
        <item x="4581"/>
        <item x="4718"/>
        <item x="1962"/>
        <item x="1603"/>
        <item x="3488"/>
        <item x="1320"/>
        <item x="4844"/>
        <item x="3949"/>
        <item x="2260"/>
        <item x="1653"/>
        <item x="1045"/>
        <item x="157"/>
        <item x="79"/>
        <item x="4358"/>
        <item x="252"/>
        <item x="2039"/>
        <item x="1170"/>
        <item x="426"/>
        <item x="4840"/>
        <item x="553"/>
        <item x="1102"/>
        <item x="752"/>
        <item x="1619"/>
        <item x="3665"/>
        <item x="2262"/>
        <item x="2268"/>
        <item x="3874"/>
        <item x="1849"/>
        <item x="2848"/>
        <item x="4400"/>
        <item x="2442"/>
        <item x="86"/>
        <item x="1614"/>
        <item x="2784"/>
        <item x="1795"/>
        <item x="2622"/>
        <item x="3586"/>
        <item x="4821"/>
        <item x="1063"/>
        <item x="2261"/>
        <item x="2589"/>
        <item x="1302"/>
        <item x="2777"/>
        <item x="2865"/>
        <item x="2431"/>
        <item x="1118"/>
        <item x="1305"/>
        <item x="383"/>
        <item x="4842"/>
        <item x="792"/>
        <item x="1266"/>
        <item x="4032"/>
        <item x="3415"/>
        <item x="693"/>
        <item x="3220"/>
        <item x="3235"/>
        <item x="1154"/>
        <item x="3526"/>
        <item x="1044"/>
        <item x="2100"/>
        <item x="4383"/>
        <item x="1834"/>
        <item x="3623"/>
        <item x="345"/>
        <item x="3564"/>
        <item x="486"/>
        <item x="3977"/>
        <item x="2296"/>
        <item x="414"/>
        <item x="4438"/>
        <item x="2645"/>
        <item x="4552"/>
        <item x="3125"/>
        <item x="4489"/>
        <item x="505"/>
        <item x="2713"/>
        <item x="2223"/>
        <item x="3818"/>
        <item x="1698"/>
        <item x="3230"/>
        <item x="2401"/>
        <item x="4068"/>
        <item x="4357"/>
        <item x="2711"/>
        <item x="3346"/>
        <item x="2643"/>
        <item x="2705"/>
        <item x="3752"/>
        <item x="3711"/>
        <item x="4433"/>
        <item x="1126"/>
        <item x="2343"/>
        <item x="1054"/>
        <item x="3356"/>
        <item x="3037"/>
        <item x="3932"/>
        <item x="1431"/>
        <item x="1991"/>
        <item x="4751"/>
        <item x="1856"/>
        <item x="3976"/>
        <item x="384"/>
        <item x="61"/>
        <item x="3727"/>
        <item x="906"/>
        <item x="992"/>
        <item x="4206"/>
        <item x="4857"/>
        <item x="4079"/>
        <item x="1626"/>
        <item x="306"/>
        <item x="2471"/>
        <item x="4347"/>
        <item x="4660"/>
        <item x="4043"/>
        <item x="205"/>
        <item x="3880"/>
        <item x="4053"/>
        <item x="4442"/>
        <item x="4238"/>
        <item x="2049"/>
        <item x="2552"/>
        <item x="1566"/>
        <item x="5"/>
        <item x="4208"/>
        <item x="2846"/>
        <item x="4666"/>
        <item x="4608"/>
        <item x="1257"/>
        <item x="1309"/>
        <item x="4139"/>
        <item x="1437"/>
        <item x="3033"/>
        <item x="3113"/>
        <item x="2974"/>
        <item x="2919"/>
        <item x="3930"/>
        <item x="3911"/>
        <item x="3815"/>
        <item x="3429"/>
        <item x="968"/>
        <item x="2831"/>
        <item x="3247"/>
        <item x="4099"/>
        <item x="2770"/>
        <item x="4526"/>
        <item x="1857"/>
        <item x="2389"/>
        <item x="1487"/>
        <item x="4064"/>
        <item x="3450"/>
        <item x="227"/>
        <item x="2536"/>
        <item x="3344"/>
        <item x="1384"/>
        <item x="4852"/>
        <item x="1506"/>
        <item x="3032"/>
        <item x="2375"/>
        <item x="4404"/>
        <item x="810"/>
        <item x="23"/>
        <item x="1246"/>
        <item x="4005"/>
        <item x="413"/>
        <item x="3647"/>
        <item x="1740"/>
        <item x="2618"/>
        <item x="2127"/>
        <item x="4528"/>
        <item x="2907"/>
        <item x="4560"/>
        <item x="779"/>
        <item x="1847"/>
        <item x="534"/>
        <item x="2353"/>
        <item x="435"/>
        <item x="4077"/>
        <item x="3599"/>
        <item x="1919"/>
        <item x="570"/>
        <item x="743"/>
        <item x="1602"/>
        <item x="3257"/>
        <item x="277"/>
        <item x="2986"/>
        <item x="3095"/>
        <item x="511"/>
        <item x="1264"/>
        <item x="1026"/>
        <item x="1007"/>
        <item x="1381"/>
        <item x="1177"/>
        <item x="3238"/>
        <item x="1885"/>
        <item x="4625"/>
        <item x="3134"/>
        <item x="1560"/>
        <item x="4494"/>
        <item x="1105"/>
        <item x="2041"/>
        <item x="714"/>
        <item x="3447"/>
        <item x="1852"/>
        <item x="1837"/>
        <item x="4002"/>
        <item x="4944"/>
        <item x="4926"/>
        <item x="4789"/>
        <item x="974"/>
        <item x="3881"/>
        <item x="4747"/>
        <item x="3974"/>
        <item x="4648"/>
        <item x="2308"/>
        <item x="4606"/>
        <item x="4375"/>
        <item x="3239"/>
        <item x="2361"/>
        <item x="4759"/>
        <item x="4511"/>
        <item x="2801"/>
        <item x="807"/>
        <item x="3998"/>
        <item x="3311"/>
        <item x="4072"/>
        <item x="2978"/>
        <item x="3392"/>
        <item x="3656"/>
        <item x="3986"/>
        <item x="1158"/>
        <item x="723"/>
        <item x="600"/>
        <item x="2151"/>
        <item x="603"/>
        <item x="4912"/>
        <item x="4458"/>
        <item x="4629"/>
        <item x="29"/>
        <item x="4285"/>
        <item x="710"/>
        <item x="4908"/>
        <item x="1647"/>
        <item x="4882"/>
        <item x="1882"/>
        <item x="2475"/>
        <item x="3779"/>
        <item x="307"/>
        <item x="1510"/>
        <item x="1659"/>
        <item x="1035"/>
        <item x="1192"/>
        <item x="2167"/>
        <item x="405"/>
        <item x="315"/>
        <item x="3170"/>
        <item x="757"/>
        <item x="3758"/>
        <item x="2305"/>
        <item x="3929"/>
        <item x="994"/>
        <item x="4894"/>
        <item x="2574"/>
        <item x="4677"/>
        <item x="4862"/>
        <item x="1450"/>
        <item x="3781"/>
        <item x="3542"/>
        <item x="2698"/>
        <item x="2894"/>
        <item x="951"/>
        <item x="765"/>
        <item x="364"/>
        <item x="2293"/>
        <item x="331"/>
        <item x="2148"/>
        <item x="2688"/>
        <item x="445"/>
        <item x="4269"/>
        <item x="1663"/>
        <item x="4591"/>
        <item x="2429"/>
        <item x="3735"/>
        <item x="109"/>
        <item x="4550"/>
        <item x="1521"/>
        <item x="3730"/>
        <item x="4580"/>
        <item x="2864"/>
        <item x="3226"/>
        <item x="3497"/>
        <item x="2599"/>
        <item x="3774"/>
        <item x="4418"/>
        <item x="1899"/>
        <item x="3144"/>
        <item x="4196"/>
        <item x="1956"/>
        <item x="2837"/>
        <item x="3276"/>
        <item x="3321"/>
        <item x="3118"/>
        <item x="2397"/>
        <item x="1422"/>
        <item x="237"/>
        <item x="2543"/>
        <item x="387"/>
        <item x="4337"/>
        <item x="4463"/>
        <item x="1555"/>
        <item x="3454"/>
        <item x="4443"/>
        <item x="4863"/>
        <item x="1350"/>
        <item x="504"/>
        <item x="2287"/>
        <item x="3433"/>
        <item x="4080"/>
        <item x="48"/>
        <item x="4878"/>
        <item x="44"/>
        <item x="4922"/>
        <item x="637"/>
        <item x="2735"/>
        <item x="4938"/>
        <item x="955"/>
        <item x="459"/>
        <item x="1032"/>
        <item x="3553"/>
        <item x="4342"/>
        <item x="4522"/>
        <item x="1258"/>
        <item x="2768"/>
        <item x="2898"/>
        <item x="2703"/>
        <item x="419"/>
        <item x="1546"/>
        <item x="4294"/>
        <item x="2459"/>
        <item x="438"/>
        <item x="1478"/>
        <item x="3597"/>
        <item x="1697"/>
        <item x="3261"/>
        <item x="4866"/>
        <item x="3702"/>
        <item x="1620"/>
        <item x="523"/>
        <item x="465"/>
        <item x="2092"/>
        <item x="4195"/>
        <item x="3678"/>
        <item x="3259"/>
        <item x="3515"/>
        <item x="4590"/>
        <item x="3687"/>
        <item x="2773"/>
        <item x="3390"/>
        <item x="3583"/>
        <item x="4856"/>
        <item x="1954"/>
        <item x="1042"/>
        <item x="4610"/>
        <item x="1968"/>
        <item x="3412"/>
        <item x="187"/>
        <item x="4665"/>
        <item x="2411"/>
        <item x="4155"/>
        <item x="440"/>
        <item x="3050"/>
        <item x="4760"/>
        <item x="1609"/>
        <item x="1369"/>
        <item x="3826"/>
        <item x="1643"/>
        <item x="4535"/>
        <item x="1767"/>
        <item x="2561"/>
        <item x="2506"/>
        <item x="3232"/>
        <item x="3731"/>
        <item x="1361"/>
        <item x="1671"/>
        <item x="309"/>
        <item x="1408"/>
        <item x="4413"/>
        <item x="789"/>
        <item x="799"/>
        <item x="4806"/>
        <item x="2734"/>
        <item x="4161"/>
        <item x="3808"/>
        <item x="313"/>
        <item x="2467"/>
        <item x="2691"/>
        <item x="2879"/>
        <item x="2419"/>
        <item x="1095"/>
        <item x="2316"/>
        <item x="2635"/>
        <item x="1364"/>
        <item x="4767"/>
        <item x="2510"/>
        <item x="4835"/>
        <item x="2255"/>
        <item x="3789"/>
        <item x="1256"/>
        <item x="4062"/>
        <item x="4930"/>
        <item x="119"/>
        <item x="3578"/>
        <item x="1501"/>
        <item x="3626"/>
        <item x="1743"/>
        <item x="2387"/>
        <item x="1722"/>
        <item x="3305"/>
        <item x="423"/>
        <item x="4093"/>
        <item x="3640"/>
        <item x="913"/>
        <item x="4367"/>
        <item x="1386"/>
        <item x="1430"/>
        <item x="273"/>
        <item x="1013"/>
        <item x="298"/>
        <item x="4459"/>
        <item x="2549"/>
        <item x="2009"/>
        <item x="2895"/>
        <item x="1590"/>
        <item x="1452"/>
        <item x="980"/>
        <item x="824"/>
        <item x="971"/>
        <item x="2916"/>
        <item x="223"/>
        <item x="2362"/>
        <item x="2271"/>
        <item x="1285"/>
        <item x="2501"/>
        <item x="2499"/>
        <item x="487"/>
        <item x="1520"/>
        <item x="4583"/>
        <item x="3418"/>
        <item x="2289"/>
        <item x="4678"/>
        <item x="1276"/>
        <item x="1053"/>
        <item x="4855"/>
        <item x="2395"/>
        <item x="3355"/>
        <item x="4810"/>
        <item x="35"/>
        <item x="2519"/>
        <item x="777"/>
        <item x="3653"/>
        <item x="583"/>
        <item x="1057"/>
        <item x="84"/>
        <item x="1687"/>
        <item x="2418"/>
        <item x="2511"/>
        <item x="612"/>
        <item x="3494"/>
        <item x="921"/>
        <item x="946"/>
        <item x="4148"/>
        <item x="3761"/>
        <item x="149"/>
        <item x="1373"/>
        <item x="961"/>
        <item x="3354"/>
        <item x="2903"/>
        <item x="2270"/>
        <item x="2176"/>
        <item x="391"/>
        <item x="4133"/>
        <item x="4167"/>
        <item x="4984"/>
        <item x="2175"/>
        <item x="4713"/>
        <item x="2103"/>
        <item x="2741"/>
        <item x="437"/>
        <item x="4785"/>
        <item x="1918"/>
        <item x="3135"/>
        <item x="3092"/>
        <item x="3407"/>
        <item x="4980"/>
        <item x="1668"/>
        <item x="4553"/>
        <item x="798"/>
        <item x="3051"/>
        <item x="771"/>
        <item x="1897"/>
        <item x="3326"/>
        <item x="209"/>
        <item x="3256"/>
        <item x="3035"/>
        <item x="3628"/>
        <item x="3621"/>
        <item x="3716"/>
        <item x="439"/>
        <item x="4007"/>
        <item x="967"/>
        <item x="4640"/>
        <item x="30"/>
        <item x="3422"/>
        <item x="2980"/>
        <item x="4292"/>
        <item x="3791"/>
        <item x="3896"/>
        <item x="1840"/>
        <item x="920"/>
        <item x="876"/>
        <item x="3157"/>
        <item x="4757"/>
        <item x="3143"/>
        <item x="4514"/>
        <item x="4970"/>
        <item x="1072"/>
        <item x="4483"/>
        <item x="4140"/>
        <item x="1325"/>
        <item x="1574"/>
        <item x="2160"/>
        <item x="673"/>
        <item x="3506"/>
        <item x="2840"/>
        <item x="879"/>
        <item x="1848"/>
        <item x="3249"/>
        <item x="1301"/>
        <item x="614"/>
        <item x="3078"/>
        <item x="4348"/>
        <item x="2663"/>
        <item x="3016"/>
        <item x="1200"/>
        <item x="3748"/>
        <item x="2885"/>
        <item x="359"/>
        <item x="1869"/>
        <item x="4831"/>
        <item x="717"/>
        <item x="4323"/>
        <item x="1166"/>
        <item x="3498"/>
        <item x="3413"/>
        <item x="2058"/>
        <item x="1900"/>
        <item x="57"/>
        <item x="3379"/>
        <item x="2061"/>
        <item x="3644"/>
        <item x="2068"/>
        <item x="4503"/>
        <item x="4619"/>
        <item x="806"/>
        <item x="1396"/>
        <item x="4386"/>
        <item x="2502"/>
        <item x="1471"/>
        <item x="4445"/>
        <item x="4185"/>
        <item x="768"/>
        <item x="1173"/>
        <item x="1526"/>
        <item x="3335"/>
        <item x="4027"/>
        <item x="4910"/>
        <item x="3245"/>
        <item x="3508"/>
        <item x="4058"/>
        <item x="274"/>
        <item x="4932"/>
        <item x="2391"/>
        <item x="2399"/>
        <item x="164"/>
        <item x="2438"/>
        <item x="1023"/>
        <item x="3753"/>
        <item x="1147"/>
        <item x="118"/>
        <item x="1215"/>
        <item x="1747"/>
        <item x="3214"/>
        <item x="92"/>
        <item x="3566"/>
        <item x="388"/>
        <item x="3080"/>
        <item x="2126"/>
        <item x="4786"/>
        <item x="1359"/>
        <item x="1764"/>
        <item x="1310"/>
        <item x="404"/>
        <item x="3470"/>
        <item x="3010"/>
        <item x="4756"/>
        <item x="3650"/>
        <item x="4431"/>
        <item x="780"/>
        <item x="1347"/>
        <item x="577"/>
        <item x="420"/>
        <item x="3455"/>
        <item x="1690"/>
        <item x="1322"/>
        <item x="1090"/>
        <item x="1340"/>
        <item x="4728"/>
        <item x="1290"/>
        <item x="4654"/>
        <item x="3615"/>
        <item x="1081"/>
        <item x="2030"/>
        <item x="506"/>
        <item x="2451"/>
        <item x="3608"/>
        <item x="2525"/>
        <item x="377"/>
        <item x="1699"/>
        <item x="588"/>
        <item x="4112"/>
        <item x="451"/>
        <item x="1008"/>
        <item x="1701"/>
        <item x="3495"/>
        <item x="2882"/>
        <item x="392"/>
        <item x="1453"/>
        <item x="4173"/>
        <item x="4895"/>
        <item x="1001"/>
        <item x="3936"/>
        <item x="250"/>
        <item x="4525"/>
        <item x="3516"/>
        <item x="71"/>
        <item x="916"/>
        <item x="3861"/>
        <item x="3858"/>
        <item x="102"/>
        <item x="3461"/>
        <item x="4272"/>
        <item x="2617"/>
        <item x="120"/>
        <item x="667"/>
        <item x="3684"/>
        <item x="4741"/>
        <item x="329"/>
        <item x="648"/>
        <item x="1218"/>
        <item x="4052"/>
        <item x="1833"/>
        <item x="2569"/>
        <item x="4134"/>
        <item x="1771"/>
        <item x="4470"/>
        <item x="2564"/>
        <item x="4886"/>
        <item x="338"/>
        <item x="4745"/>
        <item x="1875"/>
        <item x="1537"/>
        <item x="1197"/>
        <item x="3633"/>
        <item x="2366"/>
        <item x="581"/>
        <item x="346"/>
        <item x="3602"/>
        <item x="1459"/>
        <item x="3854"/>
        <item x="1272"/>
        <item x="3568"/>
        <item x="2867"/>
        <item x="4301"/>
        <item x="1169"/>
        <item x="914"/>
        <item x="1576"/>
        <item x="3772"/>
        <item x="1876"/>
        <item x="3341"/>
        <item x="2887"/>
        <item x="476"/>
        <item x="528"/>
        <item x="3489"/>
        <item x="820"/>
        <item x="2113"/>
        <item x="4727"/>
        <item x="828"/>
        <item x="1051"/>
        <item x="245"/>
        <item x="2345"/>
        <item x="2179"/>
        <item x="4691"/>
        <item x="4929"/>
        <item x="1685"/>
        <item x="653"/>
        <item x="4845"/>
        <item x="1175"/>
        <item x="272"/>
        <item x="3503"/>
        <item x="724"/>
        <item x="4667"/>
        <item x="3376"/>
        <item x="2804"/>
        <item x="3443"/>
        <item x="3172"/>
        <item x="2600"/>
        <item x="386"/>
        <item x="361"/>
        <item x="3886"/>
        <item x="2532"/>
        <item x="1579"/>
        <item x="4626"/>
        <item x="1724"/>
        <item x="4684"/>
        <item x="2958"/>
        <item x="3132"/>
        <item x="2138"/>
        <item x="1457"/>
        <item x="4476"/>
        <item x="4981"/>
        <item x="3734"/>
        <item x="1410"/>
        <item x="4232"/>
        <item x="91"/>
        <item x="3072"/>
        <item x="676"/>
        <item x="2769"/>
        <item x="3655"/>
        <item x="1405"/>
        <item x="1254"/>
        <item x="2998"/>
        <item x="3499"/>
        <item x="1599"/>
        <item x="457"/>
        <item x="825"/>
        <item x="4176"/>
        <item x="155"/>
        <item x="959"/>
        <item x="2172"/>
        <item x="4523"/>
        <item x="2725"/>
        <item x="283"/>
        <item x="4299"/>
        <item x="4950"/>
        <item x="2062"/>
        <item x="3527"/>
        <item x="7"/>
        <item x="4935"/>
        <item x="3282"/>
        <item x="1466"/>
        <item x="3030"/>
        <item x="1113"/>
        <item x="4637"/>
        <item x="904"/>
        <item x="1608"/>
        <item x="4004"/>
        <item x="4574"/>
        <item x="1688"/>
        <item x="2184"/>
        <item x="2983"/>
        <item x="4280"/>
        <item x="2144"/>
        <item x="14"/>
        <item x="2788"/>
        <item x="1356"/>
        <item x="3128"/>
        <item x="659"/>
        <item x="4584"/>
        <item x="1016"/>
        <item x="2258"/>
        <item x="4118"/>
        <item x="280"/>
        <item x="3071"/>
        <item x="4955"/>
        <item x="4409"/>
        <item x="63"/>
        <item x="3971"/>
        <item x="3301"/>
        <item x="2044"/>
        <item x="3780"/>
        <item x="4309"/>
        <item x="1645"/>
        <item x="3550"/>
        <item x="3544"/>
        <item x="3204"/>
        <item x="3405"/>
        <item x="4047"/>
        <item x="4252"/>
        <item x="2322"/>
        <item x="3695"/>
        <item x="4241"/>
        <item x="4975"/>
        <item x="1464"/>
        <item x="4379"/>
        <item x="4037"/>
        <item x="1180"/>
        <item x="1868"/>
        <item x="1999"/>
        <item x="2372"/>
        <item x="1901"/>
        <item x="3273"/>
        <item x="2230"/>
        <item x="575"/>
        <item x="3945"/>
        <item x="490"/>
        <item x="3209"/>
        <item x="3797"/>
        <item x="2607"/>
        <item x="4983"/>
        <item x="4905"/>
        <item x="4568"/>
        <item x="2778"/>
        <item x="3921"/>
        <item x="1877"/>
        <item x="2744"/>
        <item x="2976"/>
        <item x="935"/>
        <item x="2591"/>
        <item x="2218"/>
        <item x="2112"/>
        <item x="1275"/>
        <item x="4655"/>
        <item x="1952"/>
        <item x="3766"/>
        <item x="4010"/>
        <item x="3211"/>
        <item x="3778"/>
        <item x="4977"/>
        <item x="2582"/>
        <item x="4246"/>
        <item x="1902"/>
        <item x="4469"/>
        <item x="1308"/>
        <item x="2832"/>
        <item x="2095"/>
        <item x="1601"/>
        <item x="3466"/>
        <item x="3319"/>
        <item x="1793"/>
        <item x="848"/>
        <item x="4436"/>
        <item x="3584"/>
        <item x="2556"/>
        <item x="1383"/>
        <item x="3616"/>
        <item x="3478"/>
        <item x="4869"/>
        <item x="604"/>
        <item x="4900"/>
        <item x="4802"/>
        <item x="4029"/>
        <item x="3317"/>
        <item x="4311"/>
        <item x="18"/>
        <item x="416"/>
        <item x="2242"/>
        <item x="1970"/>
        <item x="3747"/>
        <item x="4325"/>
        <item x="4462"/>
        <item x="3437"/>
        <item x="2671"/>
        <item x="1905"/>
        <item x="2208"/>
        <item x="4467"/>
        <item x="77"/>
        <item x="857"/>
        <item x="137"/>
        <item x="3937"/>
        <item x="3870"/>
        <item x="3982"/>
        <item x="2905"/>
        <item x="589"/>
        <item x="1071"/>
        <item x="374"/>
        <item x="99"/>
        <item x="193"/>
        <item x="1165"/>
        <item x="4057"/>
        <item x="4015"/>
        <item x="3048"/>
        <item x="3517"/>
        <item x="2990"/>
        <item x="3460"/>
        <item x="2928"/>
        <item x="594"/>
        <item x="4635"/>
        <item x="1583"/>
        <item x="4314"/>
        <item x="4800"/>
        <item x="1456"/>
        <item x="1395"/>
        <item x="729"/>
        <item x="2162"/>
        <item x="2522"/>
        <item x="3523"/>
        <item x="304"/>
        <item x="3024"/>
        <item x="3153"/>
        <item x="3680"/>
        <item x="3027"/>
        <item x="2123"/>
        <item x="2648"/>
        <item x="4255"/>
        <item x="343"/>
        <item x="1610"/>
        <item x="1712"/>
        <item x="3137"/>
        <item x="3879"/>
        <item x="4763"/>
        <item x="2594"/>
        <item x="878"/>
        <item x="1496"/>
        <item x="4892"/>
        <item x="1235"/>
        <item x="709"/>
        <item x="1946"/>
        <item x="4724"/>
        <item x="1760"/>
        <item x="647"/>
        <item x="1110"/>
        <item x="3026"/>
        <item x="877"/>
        <item x="3428"/>
        <item x="2417"/>
        <item x="3545"/>
        <item x="1097"/>
        <item x="2131"/>
        <item x="3272"/>
        <item x="822"/>
        <item x="2084"/>
        <item x="225"/>
        <item x="4827"/>
        <item x="1863"/>
        <item x="2166"/>
        <item x="2317"/>
        <item x="2868"/>
        <item x="3642"/>
        <item x="1578"/>
        <item x="2394"/>
        <item x="2818"/>
        <item x="1167"/>
        <item x="3853"/>
        <item x="1651"/>
        <item x="952"/>
        <item x="2860"/>
        <item x="1867"/>
        <item x="2217"/>
        <item x="964"/>
        <item x="2572"/>
        <item x="3996"/>
        <item x="231"/>
        <item x="182"/>
        <item x="1709"/>
        <item x="3876"/>
        <item x="1638"/>
        <item x="3891"/>
        <item x="3115"/>
        <item x="1930"/>
        <item x="3042"/>
        <item x="2686"/>
        <item x="143"/>
        <item x="1164"/>
        <item x="1379"/>
        <item x="519"/>
        <item x="1584"/>
        <item x="1931"/>
        <item x="4496"/>
        <item x="2715"/>
        <item x="3864"/>
        <item x="1130"/>
        <item x="3491"/>
        <item x="4336"/>
        <item x="3619"/>
        <item x="1716"/>
        <item x="3223"/>
        <item x="3867"/>
        <item x="1617"/>
        <item x="4536"/>
        <item x="2520"/>
        <item x="844"/>
        <item x="2994"/>
        <item x="196"/>
        <item x="2227"/>
        <item x="3646"/>
        <item x="4219"/>
        <item x="972"/>
        <item x="4317"/>
        <item x="2880"/>
        <item x="3085"/>
        <item x="207"/>
        <item x="1029"/>
        <item x="1691"/>
        <item x="4218"/>
        <item x="3164"/>
        <item x="4286"/>
        <item x="502"/>
        <item x="1637"/>
        <item x="4164"/>
        <item x="3060"/>
        <item x="1893"/>
        <item x="268"/>
        <item x="733"/>
        <item x="3738"/>
        <item x="146"/>
        <item x="1951"/>
        <item x="3893"/>
        <item x="1368"/>
        <item x="1172"/>
        <item x="2247"/>
        <item x="222"/>
        <item x="1758"/>
        <item x="2122"/>
        <item x="3634"/>
        <item x="1642"/>
        <item x="2181"/>
        <item x="4771"/>
        <item x="2256"/>
        <item x="3480"/>
        <item x="2450"/>
        <item x="4488"/>
        <item x="797"/>
        <item x="340"/>
        <item x="484"/>
        <item x="672"/>
        <item x="567"/>
        <item x="4693"/>
        <item x="292"/>
        <item x="721"/>
        <item x="1581"/>
        <item x="3589"/>
        <item x="1841"/>
        <item x="3997"/>
        <item x="2020"/>
        <item x="763"/>
        <item x="1069"/>
        <item x="1915"/>
        <item x="1516"/>
        <item x="550"/>
        <item x="2014"/>
        <item x="3594"/>
        <item x="4020"/>
        <item x="1932"/>
        <item x="428"/>
        <item x="2975"/>
        <item x="1108"/>
        <item x="4609"/>
        <item x="1580"/>
        <item x="4958"/>
        <item x="4502"/>
        <item x="1958"/>
        <item x="2812"/>
        <item x="4346"/>
        <item x="138"/>
        <item x="4819"/>
        <item x="1658"/>
        <item x="4628"/>
        <item x="4594"/>
        <item x="3706"/>
        <item x="3216"/>
        <item x="289"/>
        <item x="1284"/>
        <item x="2596"/>
        <item x="3250"/>
        <item x="3636"/>
        <item x="1297"/>
        <item x="4817"/>
        <item x="3309"/>
        <item x="3663"/>
        <item x="4365"/>
        <item x="2673"/>
        <item x="1661"/>
        <item x="1949"/>
        <item x="4612"/>
        <item x="2383"/>
        <item x="719"/>
        <item x="902"/>
        <item x="3088"/>
        <item x="4101"/>
        <item x="3552"/>
        <item x="3473"/>
        <item x="4472"/>
        <item x="1534"/>
        <item x="4471"/>
        <item x="1387"/>
        <item x="3251"/>
        <item t="default"/>
      </items>
    </pivotField>
    <pivotField compact="0" subtotalTop="0" showAll="0"/>
    <pivotField compact="0" subtotalTop="0" showAll="0"/>
    <pivotField compact="0" subtotalTop="0" showAll="0"/>
    <pivotField compact="0" subtotalTop="0" showAll="0"/>
    <pivotField compact="0"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2">
    <i>
      <x/>
    </i>
    <i>
      <x v="1"/>
    </i>
  </colItems>
  <dataFields count="1">
    <dataField name="Gasto VS Ingreso" fld="8" baseField="0" baseItem="0" numFmtId="165"/>
  </dataFields>
  <formats count="1">
    <format dxfId="9">
      <pivotArea outline="0" collapsedLevelsAreSubtotals="1" fieldPosition="0"/>
    </format>
  </formats>
  <chartFormats count="4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6CF718-FF52-4E2A-A77F-4246C0091B39}" name="TablaDinámica4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outline="1" outlineData="1" compactData="0" multipleFieldFilters="0" rowHeaderCaption="Movimientos Por Banco">
  <location ref="B22:D28" firstHeaderRow="0" firstDataRow="1" firstDataCol="1"/>
  <pivotFields count="14">
    <pivotField compact="0" numFmtId="164" showAll="0"/>
    <pivotField compact="0" showAll="0"/>
    <pivotField dataField="1" compact="0" showAll="0"/>
    <pivotField compact="0" showAll="0">
      <items count="21">
        <item x="11"/>
        <item x="18"/>
        <item x="10"/>
        <item x="14"/>
        <item x="19"/>
        <item x="7"/>
        <item x="3"/>
        <item x="4"/>
        <item x="5"/>
        <item x="0"/>
        <item x="1"/>
        <item x="16"/>
        <item x="2"/>
        <item x="6"/>
        <item x="17"/>
        <item x="12"/>
        <item x="13"/>
        <item x="15"/>
        <item x="8"/>
        <item x="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5"/>
        <item x="6"/>
        <item x="7"/>
        <item x="3"/>
        <item x="0"/>
        <item x="4"/>
        <item x="2"/>
        <item x="1"/>
        <item t="default"/>
      </items>
    </pivotField>
    <pivotField compact="0" numFmtId="165" showAll="0"/>
    <pivotField compact="0" numFmtId="165" showAll="0"/>
    <pivotField dataField="1" compact="0" numFmtId="165" showAll="0"/>
    <pivotField axis="axisRow" compact="0" showAll="0">
      <items count="6">
        <item x="3"/>
        <item x="2"/>
        <item x="4"/>
        <item x="0"/>
        <item x="1"/>
        <item t="default"/>
      </items>
    </pivotField>
    <pivotField compact="0" showAll="0"/>
    <pivotField compact="0" showAll="0"/>
    <pivotField compact="0" showAll="0"/>
    <pivotField compact="0" showAll="0" defaultSubtota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Monto_Total" fld="8" baseField="0" baseItem="0" numFmtId="165"/>
    <dataField name="Cuenta de ID_Transaccion" fld="2" subtotal="count" baseField="0" baseItem="0"/>
  </dataFields>
  <formats count="1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Transaccion" xr10:uid="{C9919C71-4B89-4C55-B4B8-0BDA156E682E}" sourceName="Tipo_Transaccion">
  <pivotTables>
    <pivotTable tabId="4" name="TablaDinámica1"/>
    <pivotTable tabId="4" name="TablaDinámica2"/>
    <pivotTable tabId="4" name="TablaDinámica3"/>
    <pivotTable tabId="4" name="TablaDinámica4"/>
  </pivotTables>
  <data>
    <tabular pivotCacheId="216655579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1B500F6F-CF24-4D26-A600-CAC089B26DCE}" sourceName="Categoria">
  <pivotTables>
    <pivotTable tabId="4" name="TablaDinámica2"/>
    <pivotTable tabId="4" name="TablaDinámica1"/>
    <pivotTable tabId="4" name="TablaDinámica3"/>
    <pivotTable tabId="4" name="TablaDinámica4"/>
  </pivotTables>
  <data>
    <tabular pivotCacheId="216655579">
      <items count="8">
        <i x="5" s="1"/>
        <i x="6" s="1"/>
        <i x="7" s="1"/>
        <i x="3" s="1"/>
        <i x="0" s="1"/>
        <i x="4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1F102D54-F477-4719-8C65-47297C8AECF0}" sourceName="Cliente">
  <pivotTables>
    <pivotTable tabId="4" name="TablaDinámica3"/>
    <pivotTable tabId="4" name="TablaDinámica1"/>
    <pivotTable tabId="4" name="TablaDinámica2"/>
    <pivotTable tabId="4" name="TablaDinámica4"/>
  </pivotTables>
  <data>
    <tabular pivotCacheId="216655579">
      <items count="20">
        <i x="11" s="1"/>
        <i x="18" s="1"/>
        <i x="10" s="1"/>
        <i x="14" s="1"/>
        <i x="19" s="1"/>
        <i x="7" s="1"/>
        <i x="3" s="1"/>
        <i x="4" s="1"/>
        <i x="5" s="1"/>
        <i x="0" s="1"/>
        <i x="1" s="1"/>
        <i x="16" s="1"/>
        <i x="2" s="1"/>
        <i x="6" s="1"/>
        <i x="17" s="1"/>
        <i x="12" s="1"/>
        <i x="13" s="1"/>
        <i x="15" s="1"/>
        <i x="8" s="1"/>
        <i x="9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_Transaccion" xr10:uid="{5D8A30F9-57A8-4EDC-BFB5-37C832E869DF}" cache="SegmentaciónDeDatos_Tipo_Transaccion" caption="Tipo_Transaccion" rowHeight="234950"/>
  <slicer name="Categoria" xr10:uid="{EF7B60E8-53D1-44F0-A972-87E75440D7DC}" cache="SegmentaciónDeDatos_Categoria" caption="Categoria" columnCount="4" rowHeight="234950"/>
  <slicer name="Cliente" xr10:uid="{968D5214-5C18-4A7F-968F-610DF2CD36CE}" cache="SegmentaciónDeDatos_Cliente" caption="Cliente" columnCount="6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F66DF-C753-44C1-AB2A-8D65E603E5B0}" name="Tabla1" displayName="Tabla1" ref="A1:M5001" totalsRowShown="0" headerRowDxfId="77" headerRowBorderDxfId="76" tableBorderDxfId="75">
  <autoFilter ref="A1:M5001" xr:uid="{F68F66DF-C753-44C1-AB2A-8D65E603E5B0}"/>
  <tableColumns count="13">
    <tableColumn id="1" xr3:uid="{584569E0-5D76-4B96-A2E4-02C54D21397A}" name="Fecha" dataDxfId="74"/>
    <tableColumn id="13" xr3:uid="{A761E797-CC2D-46E3-812E-AC1B319B2283}" name="Mes" dataDxfId="73">
      <calculatedColumnFormula>TEXT(Tabla1[[#This Row],[Fecha]],"MMMM")</calculatedColumnFormula>
    </tableColumn>
    <tableColumn id="2" xr3:uid="{1F55809F-DD7C-472C-8E56-84C1EEFE5CDE}" name="ID_Transaccion"/>
    <tableColumn id="3" xr3:uid="{BB14E4AA-D976-485E-AB6E-074C0E0E2B41}" name="Cliente"/>
    <tableColumn id="4" xr3:uid="{447C993F-650C-4486-AD98-3FA51598BB88}" name="Tipo_Transaccion"/>
    <tableColumn id="5" xr3:uid="{AAC7276A-3EB4-4D5C-9D60-A7F3D8C1CEDE}" name="Categoria"/>
    <tableColumn id="6" xr3:uid="{0F4F06B9-D1B5-46B6-AA73-FD0386C5A56A}" name="Monto_Base" dataDxfId="72"/>
    <tableColumn id="7" xr3:uid="{B691BFAF-4820-4426-9F05-D285A474F8A4}" name="Impuesto" dataDxfId="71"/>
    <tableColumn id="8" xr3:uid="{B5DAADDB-4ACD-439A-8C8C-2C086E2D6213}" name="Monto_Total" dataDxfId="70">
      <calculatedColumnFormula>SUM(Tabla1[[#This Row],[Monto_Base]],H2)</calculatedColumnFormula>
    </tableColumn>
    <tableColumn id="9" xr3:uid="{7C7D6D29-12F8-45CF-9C21-623021C1F5EC}" name="Banco"/>
    <tableColumn id="10" xr3:uid="{AFA454EE-D584-428A-867C-CC4365B78E8A}" name="Cuenta"/>
    <tableColumn id="11" xr3:uid="{5F6B927D-8C0D-49C6-B18A-BB64BB697E99}" name="Forma_Pago"/>
    <tableColumn id="12" xr3:uid="{F1C9223B-9B95-44DC-8482-E55DBB14500F}" name="Es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1"/>
  <sheetViews>
    <sheetView topLeftCell="A2" workbookViewId="0">
      <selection activeCell="A2" sqref="A2"/>
    </sheetView>
  </sheetViews>
  <sheetFormatPr baseColWidth="10" defaultColWidth="8.88671875" defaultRowHeight="14.4" x14ac:dyDescent="0.3"/>
  <cols>
    <col min="1" max="1" width="18" bestFit="1" customWidth="1"/>
    <col min="2" max="2" width="18.21875" bestFit="1" customWidth="1"/>
    <col min="3" max="3" width="25.109375" bestFit="1" customWidth="1"/>
    <col min="4" max="4" width="20.109375" bestFit="1" customWidth="1"/>
    <col min="5" max="5" width="13.44140625" bestFit="1" customWidth="1"/>
    <col min="6" max="6" width="16.109375" bestFit="1" customWidth="1"/>
    <col min="7" max="7" width="13.44140625" bestFit="1" customWidth="1"/>
    <col min="8" max="8" width="16.44140625" bestFit="1" customWidth="1"/>
    <col min="9" max="9" width="17.6640625" bestFit="1" customWidth="1"/>
    <col min="10" max="10" width="23.44140625" bestFit="1" customWidth="1"/>
    <col min="11" max="12" width="16" bestFit="1" customWidth="1"/>
    <col min="13" max="13" width="11.109375" bestFit="1" customWidth="1"/>
  </cols>
  <sheetData>
    <row r="1" spans="1:13" x14ac:dyDescent="0.3">
      <c r="A1" s="2" t="s">
        <v>0</v>
      </c>
      <c r="B1" s="2" t="s">
        <v>5057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">
      <c r="A2" s="1">
        <v>45344</v>
      </c>
      <c r="B2" s="6" t="str">
        <f>TEXT(Tabla1[[#This Row],[Fecha]],"MMMM")</f>
        <v>febrero</v>
      </c>
      <c r="C2" t="s">
        <v>12</v>
      </c>
      <c r="D2" t="s">
        <v>5012</v>
      </c>
      <c r="E2" t="s">
        <v>5032</v>
      </c>
      <c r="F2" t="s">
        <v>5034</v>
      </c>
      <c r="G2" s="3">
        <v>3387</v>
      </c>
      <c r="H2" s="3">
        <v>0</v>
      </c>
      <c r="I2" s="3">
        <f>SUM(Tabla1[[#This Row],[Monto_Base]],H2)</f>
        <v>3387</v>
      </c>
      <c r="J2" t="s">
        <v>5042</v>
      </c>
      <c r="K2" t="s">
        <v>5047</v>
      </c>
      <c r="L2" t="s">
        <v>5050</v>
      </c>
      <c r="M2" t="s">
        <v>5054</v>
      </c>
    </row>
    <row r="3" spans="1:13" x14ac:dyDescent="0.3">
      <c r="A3" s="1">
        <v>45305</v>
      </c>
      <c r="B3" s="1" t="str">
        <f>TEXT(Tabla1[[#This Row],[Fecha]],"MMMM")</f>
        <v>enero</v>
      </c>
      <c r="C3" t="s">
        <v>13</v>
      </c>
      <c r="D3" t="s">
        <v>5013</v>
      </c>
      <c r="E3" t="s">
        <v>5033</v>
      </c>
      <c r="F3" t="s">
        <v>5034</v>
      </c>
      <c r="G3" s="3">
        <v>7605.06</v>
      </c>
      <c r="H3" s="3">
        <v>988.66</v>
      </c>
      <c r="I3" s="3">
        <f>SUM(Tabla1[[#This Row],[Monto_Base]],H3)</f>
        <v>8593.7200000000012</v>
      </c>
      <c r="J3" t="s">
        <v>5042</v>
      </c>
      <c r="K3" t="s">
        <v>5047</v>
      </c>
      <c r="L3" t="s">
        <v>5050</v>
      </c>
      <c r="M3" t="s">
        <v>5054</v>
      </c>
    </row>
    <row r="4" spans="1:13" x14ac:dyDescent="0.3">
      <c r="A4" s="1">
        <v>45373</v>
      </c>
      <c r="B4" s="1" t="str">
        <f>TEXT(Tabla1[[#This Row],[Fecha]],"MMMM")</f>
        <v>marzo</v>
      </c>
      <c r="C4" t="s">
        <v>14</v>
      </c>
      <c r="D4" t="s">
        <v>5014</v>
      </c>
      <c r="E4" t="s">
        <v>5032</v>
      </c>
      <c r="F4" t="s">
        <v>5035</v>
      </c>
      <c r="G4" s="3">
        <v>11394.17</v>
      </c>
      <c r="H4" s="3">
        <v>0</v>
      </c>
      <c r="I4" s="3">
        <f>SUM(Tabla1[[#This Row],[Monto_Base]],H4)</f>
        <v>11394.17</v>
      </c>
      <c r="J4" t="s">
        <v>5043</v>
      </c>
      <c r="K4" t="s">
        <v>5048</v>
      </c>
      <c r="L4" t="s">
        <v>5051</v>
      </c>
      <c r="M4" t="s">
        <v>5054</v>
      </c>
    </row>
    <row r="5" spans="1:13" x14ac:dyDescent="0.3">
      <c r="A5" s="1">
        <v>45475</v>
      </c>
      <c r="B5" s="1" t="str">
        <f>TEXT(Tabla1[[#This Row],[Fecha]],"MMMM")</f>
        <v>julio</v>
      </c>
      <c r="C5" t="s">
        <v>15</v>
      </c>
      <c r="D5" t="s">
        <v>5015</v>
      </c>
      <c r="E5" t="s">
        <v>5033</v>
      </c>
      <c r="F5" t="s">
        <v>5036</v>
      </c>
      <c r="G5" s="3">
        <v>5729.91</v>
      </c>
      <c r="H5" s="3">
        <v>744.89</v>
      </c>
      <c r="I5" s="3">
        <f>SUM(Tabla1[[#This Row],[Monto_Base]],H5)</f>
        <v>6474.8</v>
      </c>
      <c r="J5" t="s">
        <v>5044</v>
      </c>
      <c r="K5" t="s">
        <v>5049</v>
      </c>
      <c r="L5" t="s">
        <v>5051</v>
      </c>
      <c r="M5" t="s">
        <v>5054</v>
      </c>
    </row>
    <row r="6" spans="1:13" x14ac:dyDescent="0.3">
      <c r="A6" s="1">
        <v>45442</v>
      </c>
      <c r="B6" s="1" t="str">
        <f>TEXT(Tabla1[[#This Row],[Fecha]],"MMMM")</f>
        <v>mayo</v>
      </c>
      <c r="C6" t="s">
        <v>16</v>
      </c>
      <c r="D6" t="s">
        <v>5016</v>
      </c>
      <c r="E6" t="s">
        <v>5033</v>
      </c>
      <c r="F6" t="s">
        <v>5037</v>
      </c>
      <c r="G6" s="3">
        <v>1228.06</v>
      </c>
      <c r="H6" s="3">
        <v>159.65</v>
      </c>
      <c r="I6" s="3">
        <f>SUM(Tabla1[[#This Row],[Monto_Base]],H6)</f>
        <v>1387.71</v>
      </c>
      <c r="J6" t="s">
        <v>5042</v>
      </c>
      <c r="K6" t="s">
        <v>5048</v>
      </c>
      <c r="L6" t="s">
        <v>5052</v>
      </c>
      <c r="M6" t="s">
        <v>5054</v>
      </c>
    </row>
    <row r="7" spans="1:13" x14ac:dyDescent="0.3">
      <c r="A7" s="1">
        <v>45343</v>
      </c>
      <c r="B7" s="1" t="str">
        <f>TEXT(Tabla1[[#This Row],[Fecha]],"MMMM")</f>
        <v>febrero</v>
      </c>
      <c r="C7" t="s">
        <v>17</v>
      </c>
      <c r="D7" t="s">
        <v>5017</v>
      </c>
      <c r="E7" t="s">
        <v>5032</v>
      </c>
      <c r="F7" t="s">
        <v>5036</v>
      </c>
      <c r="G7" s="3">
        <v>12837</v>
      </c>
      <c r="H7" s="3">
        <v>0</v>
      </c>
      <c r="I7" s="3">
        <f>SUM(Tabla1[[#This Row],[Monto_Base]],H7)</f>
        <v>12837</v>
      </c>
      <c r="J7" t="s">
        <v>5043</v>
      </c>
      <c r="K7" t="s">
        <v>5048</v>
      </c>
      <c r="L7" t="s">
        <v>5050</v>
      </c>
      <c r="M7" t="s">
        <v>5055</v>
      </c>
    </row>
    <row r="8" spans="1:13" x14ac:dyDescent="0.3">
      <c r="A8" s="1">
        <v>45651</v>
      </c>
      <c r="B8" s="1" t="str">
        <f>TEXT(Tabla1[[#This Row],[Fecha]],"MMMM")</f>
        <v>diciembre</v>
      </c>
      <c r="C8" t="s">
        <v>18</v>
      </c>
      <c r="D8" t="s">
        <v>5015</v>
      </c>
      <c r="E8" t="s">
        <v>5032</v>
      </c>
      <c r="F8" t="s">
        <v>5034</v>
      </c>
      <c r="G8" s="3">
        <v>10069.120000000001</v>
      </c>
      <c r="H8" s="3">
        <v>0</v>
      </c>
      <c r="I8" s="3">
        <f>SUM(Tabla1[[#This Row],[Monto_Base]],H8)</f>
        <v>10069.120000000001</v>
      </c>
      <c r="J8" t="s">
        <v>5045</v>
      </c>
      <c r="K8" t="s">
        <v>5049</v>
      </c>
      <c r="L8" t="s">
        <v>5052</v>
      </c>
      <c r="M8" t="s">
        <v>5054</v>
      </c>
    </row>
    <row r="9" spans="1:13" x14ac:dyDescent="0.3">
      <c r="A9" s="1">
        <v>45619</v>
      </c>
      <c r="B9" s="1" t="str">
        <f>TEXT(Tabla1[[#This Row],[Fecha]],"MMMM")</f>
        <v>noviembre</v>
      </c>
      <c r="C9" t="s">
        <v>19</v>
      </c>
      <c r="D9" t="s">
        <v>5018</v>
      </c>
      <c r="E9" t="s">
        <v>5032</v>
      </c>
      <c r="F9" t="s">
        <v>5038</v>
      </c>
      <c r="G9" s="3">
        <v>14843.37</v>
      </c>
      <c r="H9" s="3">
        <v>0</v>
      </c>
      <c r="I9" s="3">
        <f>SUM(Tabla1[[#This Row],[Monto_Base]],H9)</f>
        <v>14843.37</v>
      </c>
      <c r="J9" t="s">
        <v>5042</v>
      </c>
      <c r="K9" t="s">
        <v>5047</v>
      </c>
      <c r="L9" t="s">
        <v>5051</v>
      </c>
      <c r="M9" t="s">
        <v>5054</v>
      </c>
    </row>
    <row r="10" spans="1:13" x14ac:dyDescent="0.3">
      <c r="A10" s="1">
        <v>45400</v>
      </c>
      <c r="B10" s="1" t="str">
        <f>TEXT(Tabla1[[#This Row],[Fecha]],"MMMM")</f>
        <v>abril</v>
      </c>
      <c r="C10" t="s">
        <v>20</v>
      </c>
      <c r="D10" t="s">
        <v>5012</v>
      </c>
      <c r="E10" t="s">
        <v>5032</v>
      </c>
      <c r="F10" t="s">
        <v>5037</v>
      </c>
      <c r="G10" s="3">
        <v>4052.73</v>
      </c>
      <c r="H10" s="3">
        <v>0</v>
      </c>
      <c r="I10" s="3">
        <f>SUM(Tabla1[[#This Row],[Monto_Base]],H10)</f>
        <v>4052.73</v>
      </c>
      <c r="J10" t="s">
        <v>5042</v>
      </c>
      <c r="K10" t="s">
        <v>5049</v>
      </c>
      <c r="L10" t="s">
        <v>5051</v>
      </c>
      <c r="M10" t="s">
        <v>5054</v>
      </c>
    </row>
    <row r="11" spans="1:13" x14ac:dyDescent="0.3">
      <c r="A11" s="1">
        <v>45418</v>
      </c>
      <c r="B11" s="1" t="str">
        <f>TEXT(Tabla1[[#This Row],[Fecha]],"MMMM")</f>
        <v>mayo</v>
      </c>
      <c r="C11" t="s">
        <v>21</v>
      </c>
      <c r="D11" t="s">
        <v>5019</v>
      </c>
      <c r="E11" t="s">
        <v>5032</v>
      </c>
      <c r="F11" t="s">
        <v>5039</v>
      </c>
      <c r="G11" s="3">
        <v>4009.96</v>
      </c>
      <c r="H11" s="3">
        <v>0</v>
      </c>
      <c r="I11" s="3">
        <f>SUM(Tabla1[[#This Row],[Monto_Base]],H11)</f>
        <v>4009.96</v>
      </c>
      <c r="J11" t="s">
        <v>5042</v>
      </c>
      <c r="K11" t="s">
        <v>5049</v>
      </c>
      <c r="L11" t="s">
        <v>5051</v>
      </c>
      <c r="M11" t="s">
        <v>5055</v>
      </c>
    </row>
    <row r="12" spans="1:13" x14ac:dyDescent="0.3">
      <c r="A12" s="1">
        <v>45338</v>
      </c>
      <c r="B12" s="1" t="str">
        <f>TEXT(Tabla1[[#This Row],[Fecha]],"MMMM")</f>
        <v>febrero</v>
      </c>
      <c r="C12" t="s">
        <v>22</v>
      </c>
      <c r="D12" t="s">
        <v>5020</v>
      </c>
      <c r="E12" t="s">
        <v>5033</v>
      </c>
      <c r="F12" t="s">
        <v>5039</v>
      </c>
      <c r="G12" s="3">
        <v>7667.42</v>
      </c>
      <c r="H12" s="3">
        <v>996.76</v>
      </c>
      <c r="I12" s="3">
        <f>SUM(Tabla1[[#This Row],[Monto_Base]],H12)</f>
        <v>8664.18</v>
      </c>
      <c r="J12" t="s">
        <v>5045</v>
      </c>
      <c r="K12" t="s">
        <v>5047</v>
      </c>
      <c r="L12" t="s">
        <v>5052</v>
      </c>
      <c r="M12" t="s">
        <v>5054</v>
      </c>
    </row>
    <row r="13" spans="1:13" x14ac:dyDescent="0.3">
      <c r="A13" s="1">
        <v>45531</v>
      </c>
      <c r="B13" s="1" t="str">
        <f>TEXT(Tabla1[[#This Row],[Fecha]],"MMMM")</f>
        <v>agosto</v>
      </c>
      <c r="C13" t="s">
        <v>23</v>
      </c>
      <c r="D13" t="s">
        <v>5014</v>
      </c>
      <c r="E13" t="s">
        <v>5033</v>
      </c>
      <c r="F13" t="s">
        <v>5037</v>
      </c>
      <c r="G13" s="3">
        <v>5755.21</v>
      </c>
      <c r="H13" s="3">
        <v>748.18</v>
      </c>
      <c r="I13" s="3">
        <f>SUM(Tabla1[[#This Row],[Monto_Base]],H13)</f>
        <v>6503.39</v>
      </c>
      <c r="J13" t="s">
        <v>5042</v>
      </c>
      <c r="K13" t="s">
        <v>5048</v>
      </c>
      <c r="L13" t="s">
        <v>5053</v>
      </c>
      <c r="M13" t="s">
        <v>5054</v>
      </c>
    </row>
    <row r="14" spans="1:13" x14ac:dyDescent="0.3">
      <c r="A14" s="1">
        <v>45524</v>
      </c>
      <c r="B14" s="1" t="str">
        <f>TEXT(Tabla1[[#This Row],[Fecha]],"MMMM")</f>
        <v>agosto</v>
      </c>
      <c r="C14" t="s">
        <v>24</v>
      </c>
      <c r="D14" t="s">
        <v>5020</v>
      </c>
      <c r="E14" t="s">
        <v>5033</v>
      </c>
      <c r="F14" t="s">
        <v>5038</v>
      </c>
      <c r="G14" s="3">
        <v>6549.74</v>
      </c>
      <c r="H14" s="3">
        <v>851.47</v>
      </c>
      <c r="I14" s="3">
        <f>SUM(Tabla1[[#This Row],[Monto_Base]],H14)</f>
        <v>7401.21</v>
      </c>
      <c r="J14" t="s">
        <v>5045</v>
      </c>
      <c r="K14" t="s">
        <v>5049</v>
      </c>
      <c r="L14" t="s">
        <v>5051</v>
      </c>
      <c r="M14" t="s">
        <v>5054</v>
      </c>
    </row>
    <row r="15" spans="1:13" x14ac:dyDescent="0.3">
      <c r="A15" s="1">
        <v>45374</v>
      </c>
      <c r="B15" s="1" t="str">
        <f>TEXT(Tabla1[[#This Row],[Fecha]],"MMMM")</f>
        <v>marzo</v>
      </c>
      <c r="C15" t="s">
        <v>25</v>
      </c>
      <c r="D15" t="s">
        <v>5021</v>
      </c>
      <c r="E15" t="s">
        <v>5033</v>
      </c>
      <c r="F15" t="s">
        <v>5039</v>
      </c>
      <c r="G15" s="3">
        <v>5640.01</v>
      </c>
      <c r="H15" s="3">
        <v>733.2</v>
      </c>
      <c r="I15" s="3">
        <f>SUM(Tabla1[[#This Row],[Monto_Base]],H15)</f>
        <v>6373.21</v>
      </c>
      <c r="J15" t="s">
        <v>5042</v>
      </c>
      <c r="K15" t="s">
        <v>5049</v>
      </c>
      <c r="L15" t="s">
        <v>5053</v>
      </c>
      <c r="M15" t="s">
        <v>5055</v>
      </c>
    </row>
    <row r="16" spans="1:13" x14ac:dyDescent="0.3">
      <c r="A16" s="1">
        <v>45449</v>
      </c>
      <c r="B16" s="1" t="str">
        <f>TEXT(Tabla1[[#This Row],[Fecha]],"MMMM")</f>
        <v>junio</v>
      </c>
      <c r="C16" t="s">
        <v>26</v>
      </c>
      <c r="D16" t="s">
        <v>5022</v>
      </c>
      <c r="E16" t="s">
        <v>5033</v>
      </c>
      <c r="F16" t="s">
        <v>5040</v>
      </c>
      <c r="G16" s="3">
        <v>13186.89</v>
      </c>
      <c r="H16" s="3">
        <v>1714.3</v>
      </c>
      <c r="I16" s="3">
        <f>SUM(Tabla1[[#This Row],[Monto_Base]],H16)</f>
        <v>14901.189999999999</v>
      </c>
      <c r="J16" t="s">
        <v>5046</v>
      </c>
      <c r="K16" t="s">
        <v>5047</v>
      </c>
      <c r="L16" t="s">
        <v>5052</v>
      </c>
      <c r="M16" t="s">
        <v>5054</v>
      </c>
    </row>
    <row r="17" spans="1:13" x14ac:dyDescent="0.3">
      <c r="A17" s="1">
        <v>45535</v>
      </c>
      <c r="B17" s="1" t="str">
        <f>TEXT(Tabla1[[#This Row],[Fecha]],"MMMM")</f>
        <v>agosto</v>
      </c>
      <c r="C17" t="s">
        <v>27</v>
      </c>
      <c r="D17" t="s">
        <v>5018</v>
      </c>
      <c r="E17" t="s">
        <v>5033</v>
      </c>
      <c r="F17" t="s">
        <v>5039</v>
      </c>
      <c r="G17" s="3">
        <v>1969.45</v>
      </c>
      <c r="H17" s="3">
        <v>256.02999999999997</v>
      </c>
      <c r="I17" s="3">
        <f>SUM(Tabla1[[#This Row],[Monto_Base]],H17)</f>
        <v>2225.48</v>
      </c>
      <c r="J17" t="s">
        <v>5042</v>
      </c>
      <c r="K17" t="s">
        <v>5047</v>
      </c>
      <c r="L17" t="s">
        <v>5051</v>
      </c>
      <c r="M17" t="s">
        <v>5055</v>
      </c>
    </row>
    <row r="18" spans="1:13" x14ac:dyDescent="0.3">
      <c r="A18" s="1">
        <v>45635</v>
      </c>
      <c r="B18" s="1" t="str">
        <f>TEXT(Tabla1[[#This Row],[Fecha]],"MMMM")</f>
        <v>diciembre</v>
      </c>
      <c r="C18" t="s">
        <v>28</v>
      </c>
      <c r="D18" t="s">
        <v>5023</v>
      </c>
      <c r="E18" t="s">
        <v>5033</v>
      </c>
      <c r="F18" t="s">
        <v>5038</v>
      </c>
      <c r="G18" s="3">
        <v>6014.93</v>
      </c>
      <c r="H18" s="3">
        <v>781.94</v>
      </c>
      <c r="I18" s="3">
        <f>SUM(Tabla1[[#This Row],[Monto_Base]],H18)</f>
        <v>6796.8700000000008</v>
      </c>
      <c r="J18" t="s">
        <v>5044</v>
      </c>
      <c r="K18" t="s">
        <v>5048</v>
      </c>
      <c r="L18" t="s">
        <v>5050</v>
      </c>
      <c r="M18" t="s">
        <v>5054</v>
      </c>
    </row>
    <row r="19" spans="1:13" x14ac:dyDescent="0.3">
      <c r="A19" s="1">
        <v>45575</v>
      </c>
      <c r="B19" s="1" t="str">
        <f>TEXT(Tabla1[[#This Row],[Fecha]],"MMMM")</f>
        <v>octubre</v>
      </c>
      <c r="C19" t="s">
        <v>29</v>
      </c>
      <c r="D19" t="s">
        <v>5017</v>
      </c>
      <c r="E19" t="s">
        <v>5033</v>
      </c>
      <c r="F19" t="s">
        <v>5040</v>
      </c>
      <c r="G19" s="3">
        <v>364.46</v>
      </c>
      <c r="H19" s="3">
        <v>47.38</v>
      </c>
      <c r="I19" s="3">
        <f>SUM(Tabla1[[#This Row],[Monto_Base]],H19)</f>
        <v>411.84</v>
      </c>
      <c r="J19" t="s">
        <v>5046</v>
      </c>
      <c r="K19" t="s">
        <v>5049</v>
      </c>
      <c r="L19" t="s">
        <v>5052</v>
      </c>
      <c r="M19" t="s">
        <v>5054</v>
      </c>
    </row>
    <row r="20" spans="1:13" x14ac:dyDescent="0.3">
      <c r="A20" s="1">
        <v>45461</v>
      </c>
      <c r="B20" s="1" t="str">
        <f>TEXT(Tabla1[[#This Row],[Fecha]],"MMMM")</f>
        <v>junio</v>
      </c>
      <c r="C20" t="s">
        <v>30</v>
      </c>
      <c r="D20" t="s">
        <v>5012</v>
      </c>
      <c r="E20" t="s">
        <v>5033</v>
      </c>
      <c r="F20" t="s">
        <v>5036</v>
      </c>
      <c r="G20" s="3">
        <v>13586.03</v>
      </c>
      <c r="H20" s="3">
        <v>1766.18</v>
      </c>
      <c r="I20" s="3">
        <f>SUM(Tabla1[[#This Row],[Monto_Base]],H20)</f>
        <v>15352.210000000001</v>
      </c>
      <c r="J20" t="s">
        <v>5045</v>
      </c>
      <c r="K20" t="s">
        <v>5049</v>
      </c>
      <c r="L20" t="s">
        <v>5052</v>
      </c>
      <c r="M20" t="s">
        <v>5055</v>
      </c>
    </row>
    <row r="21" spans="1:13" x14ac:dyDescent="0.3">
      <c r="A21" s="1">
        <v>45534</v>
      </c>
      <c r="B21" s="1" t="str">
        <f>TEXT(Tabla1[[#This Row],[Fecha]],"MMMM")</f>
        <v>agosto</v>
      </c>
      <c r="C21" t="s">
        <v>31</v>
      </c>
      <c r="D21" t="s">
        <v>5024</v>
      </c>
      <c r="E21" t="s">
        <v>5033</v>
      </c>
      <c r="F21" t="s">
        <v>5041</v>
      </c>
      <c r="G21" s="3">
        <v>3682.81</v>
      </c>
      <c r="H21" s="3">
        <v>478.77</v>
      </c>
      <c r="I21" s="3">
        <f>SUM(Tabla1[[#This Row],[Monto_Base]],H21)</f>
        <v>4161.58</v>
      </c>
      <c r="J21" t="s">
        <v>5043</v>
      </c>
      <c r="K21" t="s">
        <v>5047</v>
      </c>
      <c r="L21" t="s">
        <v>5053</v>
      </c>
      <c r="M21" t="s">
        <v>5054</v>
      </c>
    </row>
    <row r="22" spans="1:13" x14ac:dyDescent="0.3">
      <c r="A22" s="1">
        <v>45319</v>
      </c>
      <c r="B22" s="1" t="str">
        <f>TEXT(Tabla1[[#This Row],[Fecha]],"MMMM")</f>
        <v>enero</v>
      </c>
      <c r="C22" t="s">
        <v>32</v>
      </c>
      <c r="D22" t="s">
        <v>5020</v>
      </c>
      <c r="E22" t="s">
        <v>5032</v>
      </c>
      <c r="F22" t="s">
        <v>5037</v>
      </c>
      <c r="G22" s="3">
        <v>7032.02</v>
      </c>
      <c r="H22" s="3">
        <v>0</v>
      </c>
      <c r="I22" s="3">
        <f>SUM(Tabla1[[#This Row],[Monto_Base]],H22)</f>
        <v>7032.02</v>
      </c>
      <c r="J22" t="s">
        <v>5045</v>
      </c>
      <c r="K22" t="s">
        <v>5047</v>
      </c>
      <c r="L22" t="s">
        <v>5050</v>
      </c>
      <c r="M22" t="s">
        <v>5055</v>
      </c>
    </row>
    <row r="23" spans="1:13" x14ac:dyDescent="0.3">
      <c r="A23" s="1">
        <v>45363</v>
      </c>
      <c r="B23" s="1" t="str">
        <f>TEXT(Tabla1[[#This Row],[Fecha]],"MMMM")</f>
        <v>marzo</v>
      </c>
      <c r="C23" t="s">
        <v>33</v>
      </c>
      <c r="D23" t="s">
        <v>5017</v>
      </c>
      <c r="E23" t="s">
        <v>5033</v>
      </c>
      <c r="F23" t="s">
        <v>5034</v>
      </c>
      <c r="G23" s="3">
        <v>8067.47</v>
      </c>
      <c r="H23" s="3">
        <v>1048.77</v>
      </c>
      <c r="I23" s="3">
        <f>SUM(Tabla1[[#This Row],[Monto_Base]],H23)</f>
        <v>9116.24</v>
      </c>
      <c r="J23" t="s">
        <v>5043</v>
      </c>
      <c r="K23" t="s">
        <v>5047</v>
      </c>
      <c r="L23" t="s">
        <v>5051</v>
      </c>
      <c r="M23" t="s">
        <v>5055</v>
      </c>
    </row>
    <row r="24" spans="1:13" x14ac:dyDescent="0.3">
      <c r="A24" s="1">
        <v>45568</v>
      </c>
      <c r="B24" s="1" t="str">
        <f>TEXT(Tabla1[[#This Row],[Fecha]],"MMMM")</f>
        <v>octubre</v>
      </c>
      <c r="C24" t="s">
        <v>34</v>
      </c>
      <c r="D24" t="s">
        <v>5013</v>
      </c>
      <c r="E24" t="s">
        <v>5032</v>
      </c>
      <c r="F24" t="s">
        <v>5036</v>
      </c>
      <c r="G24" s="3">
        <v>806.3</v>
      </c>
      <c r="H24" s="3">
        <v>0</v>
      </c>
      <c r="I24" s="3">
        <f>SUM(Tabla1[[#This Row],[Monto_Base]],H24)</f>
        <v>806.3</v>
      </c>
      <c r="J24" t="s">
        <v>5045</v>
      </c>
      <c r="K24" t="s">
        <v>5047</v>
      </c>
      <c r="L24" t="s">
        <v>5052</v>
      </c>
      <c r="M24" t="s">
        <v>5054</v>
      </c>
    </row>
    <row r="25" spans="1:13" x14ac:dyDescent="0.3">
      <c r="A25" s="1">
        <v>45322</v>
      </c>
      <c r="B25" s="1" t="str">
        <f>TEXT(Tabla1[[#This Row],[Fecha]],"MMMM")</f>
        <v>enero</v>
      </c>
      <c r="C25" t="s">
        <v>35</v>
      </c>
      <c r="D25" t="s">
        <v>5025</v>
      </c>
      <c r="E25" t="s">
        <v>5032</v>
      </c>
      <c r="F25" t="s">
        <v>5034</v>
      </c>
      <c r="G25" s="3">
        <v>12976.52</v>
      </c>
      <c r="H25" s="3">
        <v>0</v>
      </c>
      <c r="I25" s="3">
        <f>SUM(Tabla1[[#This Row],[Monto_Base]],H25)</f>
        <v>12976.52</v>
      </c>
      <c r="J25" t="s">
        <v>5046</v>
      </c>
      <c r="K25" t="s">
        <v>5048</v>
      </c>
      <c r="L25" t="s">
        <v>5053</v>
      </c>
      <c r="M25" t="s">
        <v>5055</v>
      </c>
    </row>
    <row r="26" spans="1:13" x14ac:dyDescent="0.3">
      <c r="A26" s="1">
        <v>45576</v>
      </c>
      <c r="B26" s="1" t="str">
        <f>TEXT(Tabla1[[#This Row],[Fecha]],"MMMM")</f>
        <v>octubre</v>
      </c>
      <c r="C26" t="s">
        <v>36</v>
      </c>
      <c r="D26" t="s">
        <v>5025</v>
      </c>
      <c r="E26" t="s">
        <v>5032</v>
      </c>
      <c r="F26" t="s">
        <v>5037</v>
      </c>
      <c r="G26" s="3">
        <v>10464.040000000001</v>
      </c>
      <c r="H26" s="3">
        <v>0</v>
      </c>
      <c r="I26" s="3">
        <f>SUM(Tabla1[[#This Row],[Monto_Base]],H26)</f>
        <v>10464.040000000001</v>
      </c>
      <c r="J26" t="s">
        <v>5043</v>
      </c>
      <c r="K26" t="s">
        <v>5047</v>
      </c>
      <c r="L26" t="s">
        <v>5052</v>
      </c>
      <c r="M26" t="s">
        <v>5055</v>
      </c>
    </row>
    <row r="27" spans="1:13" x14ac:dyDescent="0.3">
      <c r="A27" s="1">
        <v>45591</v>
      </c>
      <c r="B27" s="1" t="str">
        <f>TEXT(Tabla1[[#This Row],[Fecha]],"MMMM")</f>
        <v>octubre</v>
      </c>
      <c r="C27" t="s">
        <v>37</v>
      </c>
      <c r="D27" t="s">
        <v>5012</v>
      </c>
      <c r="E27" t="s">
        <v>5033</v>
      </c>
      <c r="F27" t="s">
        <v>5040</v>
      </c>
      <c r="G27" s="3">
        <v>904.62</v>
      </c>
      <c r="H27" s="3">
        <v>117.6</v>
      </c>
      <c r="I27" s="3">
        <f>SUM(Tabla1[[#This Row],[Monto_Base]],H27)</f>
        <v>1022.22</v>
      </c>
      <c r="J27" t="s">
        <v>5043</v>
      </c>
      <c r="K27" t="s">
        <v>5049</v>
      </c>
      <c r="L27" t="s">
        <v>5052</v>
      </c>
      <c r="M27" t="s">
        <v>5054</v>
      </c>
    </row>
    <row r="28" spans="1:13" x14ac:dyDescent="0.3">
      <c r="A28" s="1">
        <v>45412</v>
      </c>
      <c r="B28" s="1" t="str">
        <f>TEXT(Tabla1[[#This Row],[Fecha]],"MMMM")</f>
        <v>abril</v>
      </c>
      <c r="C28" t="s">
        <v>38</v>
      </c>
      <c r="D28" t="s">
        <v>5026</v>
      </c>
      <c r="E28" t="s">
        <v>5033</v>
      </c>
      <c r="F28" t="s">
        <v>5036</v>
      </c>
      <c r="G28" s="3">
        <v>10144.43</v>
      </c>
      <c r="H28" s="3">
        <v>1318.78</v>
      </c>
      <c r="I28" s="3">
        <f>SUM(Tabla1[[#This Row],[Monto_Base]],H28)</f>
        <v>11463.210000000001</v>
      </c>
      <c r="J28" t="s">
        <v>5043</v>
      </c>
      <c r="K28" t="s">
        <v>5047</v>
      </c>
      <c r="L28" t="s">
        <v>5052</v>
      </c>
      <c r="M28" t="s">
        <v>5054</v>
      </c>
    </row>
    <row r="29" spans="1:13" x14ac:dyDescent="0.3">
      <c r="A29" s="1">
        <v>45452</v>
      </c>
      <c r="B29" s="1" t="str">
        <f>TEXT(Tabla1[[#This Row],[Fecha]],"MMMM")</f>
        <v>junio</v>
      </c>
      <c r="C29" t="s">
        <v>39</v>
      </c>
      <c r="D29" t="s">
        <v>5027</v>
      </c>
      <c r="E29" t="s">
        <v>5032</v>
      </c>
      <c r="F29" t="s">
        <v>5038</v>
      </c>
      <c r="G29" s="3">
        <v>3103.68</v>
      </c>
      <c r="H29" s="3">
        <v>0</v>
      </c>
      <c r="I29" s="3">
        <f>SUM(Tabla1[[#This Row],[Monto_Base]],H29)</f>
        <v>3103.68</v>
      </c>
      <c r="J29" t="s">
        <v>5046</v>
      </c>
      <c r="K29" t="s">
        <v>5048</v>
      </c>
      <c r="L29" t="s">
        <v>5050</v>
      </c>
      <c r="M29" t="s">
        <v>5054</v>
      </c>
    </row>
    <row r="30" spans="1:13" x14ac:dyDescent="0.3">
      <c r="A30" s="1">
        <v>45610</v>
      </c>
      <c r="B30" s="1" t="str">
        <f>TEXT(Tabla1[[#This Row],[Fecha]],"MMMM")</f>
        <v>noviembre</v>
      </c>
      <c r="C30" t="s">
        <v>40</v>
      </c>
      <c r="D30" t="s">
        <v>5025</v>
      </c>
      <c r="E30" t="s">
        <v>5032</v>
      </c>
      <c r="F30" t="s">
        <v>5036</v>
      </c>
      <c r="G30" s="3">
        <v>189.27</v>
      </c>
      <c r="H30" s="3">
        <v>0</v>
      </c>
      <c r="I30" s="3">
        <f>SUM(Tabla1[[#This Row],[Monto_Base]],H30)</f>
        <v>189.27</v>
      </c>
      <c r="J30" t="s">
        <v>5042</v>
      </c>
      <c r="K30" t="s">
        <v>5047</v>
      </c>
      <c r="L30" t="s">
        <v>5053</v>
      </c>
      <c r="M30" t="s">
        <v>5054</v>
      </c>
    </row>
    <row r="31" spans="1:13" x14ac:dyDescent="0.3">
      <c r="A31" s="1">
        <v>45481</v>
      </c>
      <c r="B31" s="1" t="str">
        <f>TEXT(Tabla1[[#This Row],[Fecha]],"MMMM")</f>
        <v>julio</v>
      </c>
      <c r="C31" t="s">
        <v>41</v>
      </c>
      <c r="D31" t="s">
        <v>5028</v>
      </c>
      <c r="E31" t="s">
        <v>5032</v>
      </c>
      <c r="F31" t="s">
        <v>5036</v>
      </c>
      <c r="G31" s="3">
        <v>13195.09</v>
      </c>
      <c r="H31" s="3">
        <v>0</v>
      </c>
      <c r="I31" s="3">
        <f>SUM(Tabla1[[#This Row],[Monto_Base]],H31)</f>
        <v>13195.09</v>
      </c>
      <c r="J31" t="s">
        <v>5044</v>
      </c>
      <c r="K31" t="s">
        <v>5047</v>
      </c>
      <c r="L31" t="s">
        <v>5050</v>
      </c>
      <c r="M31" t="s">
        <v>5055</v>
      </c>
    </row>
    <row r="32" spans="1:13" x14ac:dyDescent="0.3">
      <c r="A32" s="1">
        <v>45360</v>
      </c>
      <c r="B32" s="1" t="str">
        <f>TEXT(Tabla1[[#This Row],[Fecha]],"MMMM")</f>
        <v>marzo</v>
      </c>
      <c r="C32" t="s">
        <v>42</v>
      </c>
      <c r="D32" t="s">
        <v>5023</v>
      </c>
      <c r="E32" t="s">
        <v>5032</v>
      </c>
      <c r="F32" t="s">
        <v>5036</v>
      </c>
      <c r="G32" s="3">
        <v>14087</v>
      </c>
      <c r="H32" s="3">
        <v>0</v>
      </c>
      <c r="I32" s="3">
        <f>SUM(Tabla1[[#This Row],[Monto_Base]],H32)</f>
        <v>14087</v>
      </c>
      <c r="J32" t="s">
        <v>5044</v>
      </c>
      <c r="K32" t="s">
        <v>5047</v>
      </c>
      <c r="L32" t="s">
        <v>5053</v>
      </c>
      <c r="M32" t="s">
        <v>5054</v>
      </c>
    </row>
    <row r="33" spans="1:13" x14ac:dyDescent="0.3">
      <c r="A33" s="1">
        <v>45616</v>
      </c>
      <c r="B33" s="1" t="str">
        <f>TEXT(Tabla1[[#This Row],[Fecha]],"MMMM")</f>
        <v>noviembre</v>
      </c>
      <c r="C33" t="s">
        <v>43</v>
      </c>
      <c r="D33" t="s">
        <v>5029</v>
      </c>
      <c r="E33" t="s">
        <v>5033</v>
      </c>
      <c r="F33" t="s">
        <v>5040</v>
      </c>
      <c r="G33" s="3">
        <v>3093.78</v>
      </c>
      <c r="H33" s="3">
        <v>402.19</v>
      </c>
      <c r="I33" s="3">
        <f>SUM(Tabla1[[#This Row],[Monto_Base]],H33)</f>
        <v>3495.9700000000003</v>
      </c>
      <c r="J33" t="s">
        <v>5044</v>
      </c>
      <c r="K33" t="s">
        <v>5049</v>
      </c>
      <c r="L33" t="s">
        <v>5050</v>
      </c>
      <c r="M33" t="s">
        <v>5055</v>
      </c>
    </row>
    <row r="34" spans="1:13" x14ac:dyDescent="0.3">
      <c r="A34" s="1">
        <v>45462</v>
      </c>
      <c r="B34" s="1" t="str">
        <f>TEXT(Tabla1[[#This Row],[Fecha]],"MMMM")</f>
        <v>junio</v>
      </c>
      <c r="C34" t="s">
        <v>44</v>
      </c>
      <c r="D34" t="s">
        <v>5013</v>
      </c>
      <c r="E34" t="s">
        <v>5032</v>
      </c>
      <c r="F34" t="s">
        <v>5038</v>
      </c>
      <c r="G34" s="3">
        <v>709.1</v>
      </c>
      <c r="H34" s="3">
        <v>0</v>
      </c>
      <c r="I34" s="3">
        <f>SUM(Tabla1[[#This Row],[Monto_Base]],H34)</f>
        <v>709.1</v>
      </c>
      <c r="J34" t="s">
        <v>5046</v>
      </c>
      <c r="K34" t="s">
        <v>5049</v>
      </c>
      <c r="L34" t="s">
        <v>5051</v>
      </c>
      <c r="M34" t="s">
        <v>5054</v>
      </c>
    </row>
    <row r="35" spans="1:13" x14ac:dyDescent="0.3">
      <c r="A35" s="1">
        <v>45645</v>
      </c>
      <c r="B35" s="1" t="str">
        <f>TEXT(Tabla1[[#This Row],[Fecha]],"MMMM")</f>
        <v>diciembre</v>
      </c>
      <c r="C35" t="s">
        <v>45</v>
      </c>
      <c r="D35" t="s">
        <v>5016</v>
      </c>
      <c r="E35" t="s">
        <v>5032</v>
      </c>
      <c r="F35" t="s">
        <v>5035</v>
      </c>
      <c r="G35" s="3">
        <v>1722.51</v>
      </c>
      <c r="H35" s="3">
        <v>0</v>
      </c>
      <c r="I35" s="3">
        <f>SUM(Tabla1[[#This Row],[Monto_Base]],H35)</f>
        <v>1722.51</v>
      </c>
      <c r="J35" t="s">
        <v>5046</v>
      </c>
      <c r="K35" t="s">
        <v>5049</v>
      </c>
      <c r="L35" t="s">
        <v>5053</v>
      </c>
      <c r="M35" t="s">
        <v>5055</v>
      </c>
    </row>
    <row r="36" spans="1:13" x14ac:dyDescent="0.3">
      <c r="A36" s="1">
        <v>45312</v>
      </c>
      <c r="B36" s="1" t="str">
        <f>TEXT(Tabla1[[#This Row],[Fecha]],"MMMM")</f>
        <v>enero</v>
      </c>
      <c r="C36" t="s">
        <v>46</v>
      </c>
      <c r="D36" t="s">
        <v>5027</v>
      </c>
      <c r="E36" t="s">
        <v>5033</v>
      </c>
      <c r="F36" t="s">
        <v>5035</v>
      </c>
      <c r="G36" s="3">
        <v>4658.46</v>
      </c>
      <c r="H36" s="3">
        <v>605.6</v>
      </c>
      <c r="I36" s="3">
        <f>SUM(Tabla1[[#This Row],[Monto_Base]],H36)</f>
        <v>5264.06</v>
      </c>
      <c r="J36" t="s">
        <v>5044</v>
      </c>
      <c r="K36" t="s">
        <v>5047</v>
      </c>
      <c r="L36" t="s">
        <v>5052</v>
      </c>
      <c r="M36" t="s">
        <v>5054</v>
      </c>
    </row>
    <row r="37" spans="1:13" x14ac:dyDescent="0.3">
      <c r="A37" s="1">
        <v>45413</v>
      </c>
      <c r="B37" s="1" t="str">
        <f>TEXT(Tabla1[[#This Row],[Fecha]],"MMMM")</f>
        <v>mayo</v>
      </c>
      <c r="C37" t="s">
        <v>47</v>
      </c>
      <c r="D37" t="s">
        <v>5016</v>
      </c>
      <c r="E37" t="s">
        <v>5032</v>
      </c>
      <c r="F37" t="s">
        <v>5039</v>
      </c>
      <c r="G37" s="3">
        <v>13890.17</v>
      </c>
      <c r="H37" s="3">
        <v>0</v>
      </c>
      <c r="I37" s="3">
        <f>SUM(Tabla1[[#This Row],[Monto_Base]],H37)</f>
        <v>13890.17</v>
      </c>
      <c r="J37" t="s">
        <v>5046</v>
      </c>
      <c r="K37" t="s">
        <v>5047</v>
      </c>
      <c r="L37" t="s">
        <v>5050</v>
      </c>
      <c r="M37" t="s">
        <v>5054</v>
      </c>
    </row>
    <row r="38" spans="1:13" x14ac:dyDescent="0.3">
      <c r="A38" s="1">
        <v>45651</v>
      </c>
      <c r="B38" s="1" t="str">
        <f>TEXT(Tabla1[[#This Row],[Fecha]],"MMMM")</f>
        <v>diciembre</v>
      </c>
      <c r="C38" t="s">
        <v>48</v>
      </c>
      <c r="D38" t="s">
        <v>5015</v>
      </c>
      <c r="E38" t="s">
        <v>5032</v>
      </c>
      <c r="F38" t="s">
        <v>5034</v>
      </c>
      <c r="G38" s="3">
        <v>4038.75</v>
      </c>
      <c r="H38" s="3">
        <v>0</v>
      </c>
      <c r="I38" s="3">
        <f>SUM(Tabla1[[#This Row],[Monto_Base]],H38)</f>
        <v>4038.75</v>
      </c>
      <c r="J38" t="s">
        <v>5045</v>
      </c>
      <c r="K38" t="s">
        <v>5048</v>
      </c>
      <c r="L38" t="s">
        <v>5053</v>
      </c>
      <c r="M38" t="s">
        <v>5055</v>
      </c>
    </row>
    <row r="39" spans="1:13" x14ac:dyDescent="0.3">
      <c r="A39" s="1">
        <v>45408</v>
      </c>
      <c r="B39" s="1" t="str">
        <f>TEXT(Tabla1[[#This Row],[Fecha]],"MMMM")</f>
        <v>abril</v>
      </c>
      <c r="C39" t="s">
        <v>49</v>
      </c>
      <c r="D39" t="s">
        <v>5017</v>
      </c>
      <c r="E39" t="s">
        <v>5032</v>
      </c>
      <c r="F39" t="s">
        <v>5040</v>
      </c>
      <c r="G39" s="3">
        <v>4612.6000000000004</v>
      </c>
      <c r="H39" s="3">
        <v>0</v>
      </c>
      <c r="I39" s="3">
        <f>SUM(Tabla1[[#This Row],[Monto_Base]],H39)</f>
        <v>4612.6000000000004</v>
      </c>
      <c r="J39" t="s">
        <v>5046</v>
      </c>
      <c r="K39" t="s">
        <v>5047</v>
      </c>
      <c r="L39" t="s">
        <v>5052</v>
      </c>
      <c r="M39" t="s">
        <v>5055</v>
      </c>
    </row>
    <row r="40" spans="1:13" x14ac:dyDescent="0.3">
      <c r="A40" s="1">
        <v>45552</v>
      </c>
      <c r="B40" s="1" t="str">
        <f>TEXT(Tabla1[[#This Row],[Fecha]],"MMMM")</f>
        <v>septiembre</v>
      </c>
      <c r="C40" t="s">
        <v>50</v>
      </c>
      <c r="D40" t="s">
        <v>5029</v>
      </c>
      <c r="E40" t="s">
        <v>5033</v>
      </c>
      <c r="F40" t="s">
        <v>5038</v>
      </c>
      <c r="G40" s="3">
        <v>5299.63</v>
      </c>
      <c r="H40" s="3">
        <v>688.95</v>
      </c>
      <c r="I40" s="3">
        <f>SUM(Tabla1[[#This Row],[Monto_Base]],H40)</f>
        <v>5988.58</v>
      </c>
      <c r="J40" t="s">
        <v>5043</v>
      </c>
      <c r="K40" t="s">
        <v>5049</v>
      </c>
      <c r="L40" t="s">
        <v>5051</v>
      </c>
      <c r="M40" t="s">
        <v>5054</v>
      </c>
    </row>
    <row r="41" spans="1:13" x14ac:dyDescent="0.3">
      <c r="A41" s="1">
        <v>45597</v>
      </c>
      <c r="B41" s="1" t="str">
        <f>TEXT(Tabla1[[#This Row],[Fecha]],"MMMM")</f>
        <v>noviembre</v>
      </c>
      <c r="C41" t="s">
        <v>51</v>
      </c>
      <c r="D41" t="s">
        <v>5021</v>
      </c>
      <c r="E41" t="s">
        <v>5033</v>
      </c>
      <c r="F41" t="s">
        <v>5038</v>
      </c>
      <c r="G41" s="3">
        <v>621.95000000000005</v>
      </c>
      <c r="H41" s="3">
        <v>80.849999999999994</v>
      </c>
      <c r="I41" s="3">
        <f>SUM(Tabla1[[#This Row],[Monto_Base]],H41)</f>
        <v>702.80000000000007</v>
      </c>
      <c r="J41" t="s">
        <v>5043</v>
      </c>
      <c r="K41" t="s">
        <v>5048</v>
      </c>
      <c r="L41" t="s">
        <v>5051</v>
      </c>
      <c r="M41" t="s">
        <v>5055</v>
      </c>
    </row>
    <row r="42" spans="1:13" x14ac:dyDescent="0.3">
      <c r="A42" s="1">
        <v>45515</v>
      </c>
      <c r="B42" s="1" t="str">
        <f>TEXT(Tabla1[[#This Row],[Fecha]],"MMMM")</f>
        <v>agosto</v>
      </c>
      <c r="C42" t="s">
        <v>52</v>
      </c>
      <c r="D42" t="s">
        <v>5027</v>
      </c>
      <c r="E42" t="s">
        <v>5033</v>
      </c>
      <c r="F42" t="s">
        <v>5038</v>
      </c>
      <c r="G42" s="3">
        <v>713.58</v>
      </c>
      <c r="H42" s="3">
        <v>92.77</v>
      </c>
      <c r="I42" s="3">
        <f>SUM(Tabla1[[#This Row],[Monto_Base]],H42)</f>
        <v>806.35</v>
      </c>
      <c r="J42" t="s">
        <v>5045</v>
      </c>
      <c r="K42" t="s">
        <v>5049</v>
      </c>
      <c r="L42" t="s">
        <v>5052</v>
      </c>
      <c r="M42" t="s">
        <v>5055</v>
      </c>
    </row>
    <row r="43" spans="1:13" x14ac:dyDescent="0.3">
      <c r="A43" s="1">
        <v>45355</v>
      </c>
      <c r="B43" s="1" t="str">
        <f>TEXT(Tabla1[[#This Row],[Fecha]],"MMMM")</f>
        <v>marzo</v>
      </c>
      <c r="C43" t="s">
        <v>53</v>
      </c>
      <c r="D43" t="s">
        <v>5030</v>
      </c>
      <c r="E43" t="s">
        <v>5032</v>
      </c>
      <c r="F43" t="s">
        <v>5040</v>
      </c>
      <c r="G43" s="3">
        <v>9967.64</v>
      </c>
      <c r="H43" s="3">
        <v>0</v>
      </c>
      <c r="I43" s="3">
        <f>SUM(Tabla1[[#This Row],[Monto_Base]],H43)</f>
        <v>9967.64</v>
      </c>
      <c r="J43" t="s">
        <v>5044</v>
      </c>
      <c r="K43" t="s">
        <v>5049</v>
      </c>
      <c r="L43" t="s">
        <v>5051</v>
      </c>
      <c r="M43" t="s">
        <v>5055</v>
      </c>
    </row>
    <row r="44" spans="1:13" x14ac:dyDescent="0.3">
      <c r="A44" s="1">
        <v>45632</v>
      </c>
      <c r="B44" s="1" t="str">
        <f>TEXT(Tabla1[[#This Row],[Fecha]],"MMMM")</f>
        <v>diciembre</v>
      </c>
      <c r="C44" t="s">
        <v>54</v>
      </c>
      <c r="D44" t="s">
        <v>5019</v>
      </c>
      <c r="E44" t="s">
        <v>5032</v>
      </c>
      <c r="F44" t="s">
        <v>5039</v>
      </c>
      <c r="G44" s="3">
        <v>2918.01</v>
      </c>
      <c r="H44" s="3">
        <v>0</v>
      </c>
      <c r="I44" s="3">
        <f>SUM(Tabla1[[#This Row],[Monto_Base]],H44)</f>
        <v>2918.01</v>
      </c>
      <c r="J44" t="s">
        <v>5043</v>
      </c>
      <c r="K44" t="s">
        <v>5049</v>
      </c>
      <c r="L44" t="s">
        <v>5052</v>
      </c>
      <c r="M44" t="s">
        <v>5055</v>
      </c>
    </row>
    <row r="45" spans="1:13" x14ac:dyDescent="0.3">
      <c r="A45" s="1">
        <v>45512</v>
      </c>
      <c r="B45" s="1" t="str">
        <f>TEXT(Tabla1[[#This Row],[Fecha]],"MMMM")</f>
        <v>agosto</v>
      </c>
      <c r="C45" t="s">
        <v>55</v>
      </c>
      <c r="D45" t="s">
        <v>5016</v>
      </c>
      <c r="E45" t="s">
        <v>5033</v>
      </c>
      <c r="F45" t="s">
        <v>5038</v>
      </c>
      <c r="G45" s="3">
        <v>4339.3599999999997</v>
      </c>
      <c r="H45" s="3">
        <v>564.12</v>
      </c>
      <c r="I45" s="3">
        <f>SUM(Tabla1[[#This Row],[Monto_Base]],H45)</f>
        <v>4903.4799999999996</v>
      </c>
      <c r="J45" t="s">
        <v>5042</v>
      </c>
      <c r="K45" t="s">
        <v>5049</v>
      </c>
      <c r="L45" t="s">
        <v>5051</v>
      </c>
      <c r="M45" t="s">
        <v>5055</v>
      </c>
    </row>
    <row r="46" spans="1:13" x14ac:dyDescent="0.3">
      <c r="A46" s="1">
        <v>45378</v>
      </c>
      <c r="B46" s="1" t="str">
        <f>TEXT(Tabla1[[#This Row],[Fecha]],"MMMM")</f>
        <v>marzo</v>
      </c>
      <c r="C46" t="s">
        <v>56</v>
      </c>
      <c r="D46" t="s">
        <v>5025</v>
      </c>
      <c r="E46" t="s">
        <v>5033</v>
      </c>
      <c r="F46" t="s">
        <v>5041</v>
      </c>
      <c r="G46" s="3">
        <v>11916.34</v>
      </c>
      <c r="H46" s="3">
        <v>1549.12</v>
      </c>
      <c r="I46" s="3">
        <f>SUM(Tabla1[[#This Row],[Monto_Base]],H46)</f>
        <v>13465.46</v>
      </c>
      <c r="J46" t="s">
        <v>5045</v>
      </c>
      <c r="K46" t="s">
        <v>5048</v>
      </c>
      <c r="L46" t="s">
        <v>5051</v>
      </c>
      <c r="M46" t="s">
        <v>5054</v>
      </c>
    </row>
    <row r="47" spans="1:13" x14ac:dyDescent="0.3">
      <c r="A47" s="1">
        <v>45315</v>
      </c>
      <c r="B47" s="1" t="str">
        <f>TEXT(Tabla1[[#This Row],[Fecha]],"MMMM")</f>
        <v>enero</v>
      </c>
      <c r="C47" t="s">
        <v>57</v>
      </c>
      <c r="D47" t="s">
        <v>5021</v>
      </c>
      <c r="E47" t="s">
        <v>5033</v>
      </c>
      <c r="F47" t="s">
        <v>5034</v>
      </c>
      <c r="G47" s="3">
        <v>2252.94</v>
      </c>
      <c r="H47" s="3">
        <v>292.88</v>
      </c>
      <c r="I47" s="3">
        <f>SUM(Tabla1[[#This Row],[Monto_Base]],H47)</f>
        <v>2545.8200000000002</v>
      </c>
      <c r="J47" t="s">
        <v>5046</v>
      </c>
      <c r="K47" t="s">
        <v>5048</v>
      </c>
      <c r="L47" t="s">
        <v>5053</v>
      </c>
      <c r="M47" t="s">
        <v>5055</v>
      </c>
    </row>
    <row r="48" spans="1:13" x14ac:dyDescent="0.3">
      <c r="A48" s="1">
        <v>45416</v>
      </c>
      <c r="B48" s="1" t="str">
        <f>TEXT(Tabla1[[#This Row],[Fecha]],"MMMM")</f>
        <v>mayo</v>
      </c>
      <c r="C48" t="s">
        <v>58</v>
      </c>
      <c r="D48" t="s">
        <v>5014</v>
      </c>
      <c r="E48" t="s">
        <v>5033</v>
      </c>
      <c r="F48" t="s">
        <v>5037</v>
      </c>
      <c r="G48" s="3">
        <v>7440.94</v>
      </c>
      <c r="H48" s="3">
        <v>967.32</v>
      </c>
      <c r="I48" s="3">
        <f>SUM(Tabla1[[#This Row],[Monto_Base]],H48)</f>
        <v>8408.26</v>
      </c>
      <c r="J48" t="s">
        <v>5046</v>
      </c>
      <c r="K48" t="s">
        <v>5049</v>
      </c>
      <c r="L48" t="s">
        <v>5053</v>
      </c>
      <c r="M48" t="s">
        <v>5054</v>
      </c>
    </row>
    <row r="49" spans="1:13" x14ac:dyDescent="0.3">
      <c r="A49" s="1">
        <v>45419</v>
      </c>
      <c r="B49" s="1" t="str">
        <f>TEXT(Tabla1[[#This Row],[Fecha]],"MMMM")</f>
        <v>mayo</v>
      </c>
      <c r="C49" t="s">
        <v>59</v>
      </c>
      <c r="D49" t="s">
        <v>5024</v>
      </c>
      <c r="E49" t="s">
        <v>5033</v>
      </c>
      <c r="F49" t="s">
        <v>5041</v>
      </c>
      <c r="G49" s="3">
        <v>800.76</v>
      </c>
      <c r="H49" s="3">
        <v>104.1</v>
      </c>
      <c r="I49" s="3">
        <f>SUM(Tabla1[[#This Row],[Monto_Base]],H49)</f>
        <v>904.86</v>
      </c>
      <c r="J49" t="s">
        <v>5045</v>
      </c>
      <c r="K49" t="s">
        <v>5048</v>
      </c>
      <c r="L49" t="s">
        <v>5052</v>
      </c>
      <c r="M49" t="s">
        <v>5055</v>
      </c>
    </row>
    <row r="50" spans="1:13" x14ac:dyDescent="0.3">
      <c r="A50" s="1">
        <v>45535</v>
      </c>
      <c r="B50" s="1" t="str">
        <f>TEXT(Tabla1[[#This Row],[Fecha]],"MMMM")</f>
        <v>agosto</v>
      </c>
      <c r="C50" t="s">
        <v>60</v>
      </c>
      <c r="D50" t="s">
        <v>5025</v>
      </c>
      <c r="E50" t="s">
        <v>5032</v>
      </c>
      <c r="F50" t="s">
        <v>5041</v>
      </c>
      <c r="G50" s="3">
        <v>13463.26</v>
      </c>
      <c r="H50" s="3">
        <v>0</v>
      </c>
      <c r="I50" s="3">
        <f>SUM(Tabla1[[#This Row],[Monto_Base]],H50)</f>
        <v>13463.26</v>
      </c>
      <c r="J50" t="s">
        <v>5043</v>
      </c>
      <c r="K50" t="s">
        <v>5048</v>
      </c>
      <c r="L50" t="s">
        <v>5052</v>
      </c>
      <c r="M50" t="s">
        <v>5055</v>
      </c>
    </row>
    <row r="51" spans="1:13" x14ac:dyDescent="0.3">
      <c r="A51" s="1">
        <v>45438</v>
      </c>
      <c r="B51" s="1" t="str">
        <f>TEXT(Tabla1[[#This Row],[Fecha]],"MMMM")</f>
        <v>mayo</v>
      </c>
      <c r="C51" t="s">
        <v>61</v>
      </c>
      <c r="D51" t="s">
        <v>5024</v>
      </c>
      <c r="E51" t="s">
        <v>5032</v>
      </c>
      <c r="F51" t="s">
        <v>5041</v>
      </c>
      <c r="G51" s="3">
        <v>1208.3800000000001</v>
      </c>
      <c r="H51" s="3">
        <v>0</v>
      </c>
      <c r="I51" s="3">
        <f>SUM(Tabla1[[#This Row],[Monto_Base]],H51)</f>
        <v>1208.3800000000001</v>
      </c>
      <c r="J51" t="s">
        <v>5046</v>
      </c>
      <c r="K51" t="s">
        <v>5048</v>
      </c>
      <c r="L51" t="s">
        <v>5051</v>
      </c>
      <c r="M51" t="s">
        <v>5055</v>
      </c>
    </row>
    <row r="52" spans="1:13" x14ac:dyDescent="0.3">
      <c r="A52" s="1">
        <v>45370</v>
      </c>
      <c r="B52" s="1" t="str">
        <f>TEXT(Tabla1[[#This Row],[Fecha]],"MMMM")</f>
        <v>marzo</v>
      </c>
      <c r="C52" t="s">
        <v>62</v>
      </c>
      <c r="D52" t="s">
        <v>5026</v>
      </c>
      <c r="E52" t="s">
        <v>5033</v>
      </c>
      <c r="F52" t="s">
        <v>5034</v>
      </c>
      <c r="G52" s="3">
        <v>5776.38</v>
      </c>
      <c r="H52" s="3">
        <v>750.93</v>
      </c>
      <c r="I52" s="3">
        <f>SUM(Tabla1[[#This Row],[Monto_Base]],H52)</f>
        <v>6527.31</v>
      </c>
      <c r="J52" t="s">
        <v>5046</v>
      </c>
      <c r="K52" t="s">
        <v>5047</v>
      </c>
      <c r="L52" t="s">
        <v>5050</v>
      </c>
      <c r="M52" t="s">
        <v>5055</v>
      </c>
    </row>
    <row r="53" spans="1:13" x14ac:dyDescent="0.3">
      <c r="A53" s="1">
        <v>45507</v>
      </c>
      <c r="B53" s="1" t="str">
        <f>TEXT(Tabla1[[#This Row],[Fecha]],"MMMM")</f>
        <v>agosto</v>
      </c>
      <c r="C53" t="s">
        <v>63</v>
      </c>
      <c r="D53" t="s">
        <v>5016</v>
      </c>
      <c r="E53" t="s">
        <v>5032</v>
      </c>
      <c r="F53" t="s">
        <v>5037</v>
      </c>
      <c r="G53" s="3">
        <v>980.87</v>
      </c>
      <c r="H53" s="3">
        <v>0</v>
      </c>
      <c r="I53" s="3">
        <f>SUM(Tabla1[[#This Row],[Monto_Base]],H53)</f>
        <v>980.87</v>
      </c>
      <c r="J53" t="s">
        <v>5043</v>
      </c>
      <c r="K53" t="s">
        <v>5049</v>
      </c>
      <c r="L53" t="s">
        <v>5053</v>
      </c>
      <c r="M53" t="s">
        <v>5055</v>
      </c>
    </row>
    <row r="54" spans="1:13" x14ac:dyDescent="0.3">
      <c r="A54" s="1">
        <v>45506</v>
      </c>
      <c r="B54" s="1" t="str">
        <f>TEXT(Tabla1[[#This Row],[Fecha]],"MMMM")</f>
        <v>agosto</v>
      </c>
      <c r="C54" t="s">
        <v>64</v>
      </c>
      <c r="D54" t="s">
        <v>5022</v>
      </c>
      <c r="E54" t="s">
        <v>5032</v>
      </c>
      <c r="F54" t="s">
        <v>5038</v>
      </c>
      <c r="G54" s="3">
        <v>11314.45</v>
      </c>
      <c r="H54" s="3">
        <v>0</v>
      </c>
      <c r="I54" s="3">
        <f>SUM(Tabla1[[#This Row],[Monto_Base]],H54)</f>
        <v>11314.45</v>
      </c>
      <c r="J54" t="s">
        <v>5042</v>
      </c>
      <c r="K54" t="s">
        <v>5049</v>
      </c>
      <c r="L54" t="s">
        <v>5052</v>
      </c>
      <c r="M54" t="s">
        <v>5055</v>
      </c>
    </row>
    <row r="55" spans="1:13" x14ac:dyDescent="0.3">
      <c r="A55" s="1">
        <v>45464</v>
      </c>
      <c r="B55" s="1" t="str">
        <f>TEXT(Tabla1[[#This Row],[Fecha]],"MMMM")</f>
        <v>junio</v>
      </c>
      <c r="C55" t="s">
        <v>65</v>
      </c>
      <c r="D55" t="s">
        <v>5021</v>
      </c>
      <c r="E55" t="s">
        <v>5032</v>
      </c>
      <c r="F55" t="s">
        <v>5041</v>
      </c>
      <c r="G55" s="3">
        <v>483.92</v>
      </c>
      <c r="H55" s="3">
        <v>0</v>
      </c>
      <c r="I55" s="3">
        <f>SUM(Tabla1[[#This Row],[Monto_Base]],H55)</f>
        <v>483.92</v>
      </c>
      <c r="J55" t="s">
        <v>5043</v>
      </c>
      <c r="K55" t="s">
        <v>5049</v>
      </c>
      <c r="L55" t="s">
        <v>5052</v>
      </c>
      <c r="M55" t="s">
        <v>5055</v>
      </c>
    </row>
    <row r="56" spans="1:13" x14ac:dyDescent="0.3">
      <c r="A56" s="1">
        <v>45631</v>
      </c>
      <c r="B56" s="1" t="str">
        <f>TEXT(Tabla1[[#This Row],[Fecha]],"MMMM")</f>
        <v>diciembre</v>
      </c>
      <c r="C56" t="s">
        <v>66</v>
      </c>
      <c r="D56" t="s">
        <v>5031</v>
      </c>
      <c r="E56" t="s">
        <v>5033</v>
      </c>
      <c r="F56" t="s">
        <v>5037</v>
      </c>
      <c r="G56" s="3">
        <v>8898.7999999999993</v>
      </c>
      <c r="H56" s="3">
        <v>1156.8399999999999</v>
      </c>
      <c r="I56" s="3">
        <f>SUM(Tabla1[[#This Row],[Monto_Base]],H56)</f>
        <v>10055.64</v>
      </c>
      <c r="J56" t="s">
        <v>5045</v>
      </c>
      <c r="K56" t="s">
        <v>5047</v>
      </c>
      <c r="L56" t="s">
        <v>5050</v>
      </c>
      <c r="M56" t="s">
        <v>5054</v>
      </c>
    </row>
    <row r="57" spans="1:13" x14ac:dyDescent="0.3">
      <c r="A57" s="1">
        <v>45400</v>
      </c>
      <c r="B57" s="1" t="str">
        <f>TEXT(Tabla1[[#This Row],[Fecha]],"MMMM")</f>
        <v>abril</v>
      </c>
      <c r="C57" t="s">
        <v>67</v>
      </c>
      <c r="D57" t="s">
        <v>5028</v>
      </c>
      <c r="E57" t="s">
        <v>5033</v>
      </c>
      <c r="F57" t="s">
        <v>5038</v>
      </c>
      <c r="G57" s="3">
        <v>5717.6</v>
      </c>
      <c r="H57" s="3">
        <v>743.29</v>
      </c>
      <c r="I57" s="3">
        <f>SUM(Tabla1[[#This Row],[Monto_Base]],H57)</f>
        <v>6460.89</v>
      </c>
      <c r="J57" t="s">
        <v>5043</v>
      </c>
      <c r="K57" t="s">
        <v>5048</v>
      </c>
      <c r="L57" t="s">
        <v>5051</v>
      </c>
      <c r="M57" t="s">
        <v>5055</v>
      </c>
    </row>
    <row r="58" spans="1:13" x14ac:dyDescent="0.3">
      <c r="A58" s="1">
        <v>45568</v>
      </c>
      <c r="B58" s="1" t="str">
        <f>TEXT(Tabla1[[#This Row],[Fecha]],"MMMM")</f>
        <v>octubre</v>
      </c>
      <c r="C58" t="s">
        <v>68</v>
      </c>
      <c r="D58" t="s">
        <v>5019</v>
      </c>
      <c r="E58" t="s">
        <v>5032</v>
      </c>
      <c r="F58" t="s">
        <v>5036</v>
      </c>
      <c r="G58" s="3">
        <v>7081.09</v>
      </c>
      <c r="H58" s="3">
        <v>0</v>
      </c>
      <c r="I58" s="3">
        <f>SUM(Tabla1[[#This Row],[Monto_Base]],H58)</f>
        <v>7081.09</v>
      </c>
      <c r="J58" t="s">
        <v>5045</v>
      </c>
      <c r="K58" t="s">
        <v>5048</v>
      </c>
      <c r="L58" t="s">
        <v>5052</v>
      </c>
      <c r="M58" t="s">
        <v>5054</v>
      </c>
    </row>
    <row r="59" spans="1:13" x14ac:dyDescent="0.3">
      <c r="A59" s="1">
        <v>45610</v>
      </c>
      <c r="B59" s="1" t="str">
        <f>TEXT(Tabla1[[#This Row],[Fecha]],"MMMM")</f>
        <v>noviembre</v>
      </c>
      <c r="C59" t="s">
        <v>69</v>
      </c>
      <c r="D59" t="s">
        <v>5012</v>
      </c>
      <c r="E59" t="s">
        <v>5033</v>
      </c>
      <c r="F59" t="s">
        <v>5034</v>
      </c>
      <c r="G59" s="3">
        <v>12596.47</v>
      </c>
      <c r="H59" s="3">
        <v>1637.54</v>
      </c>
      <c r="I59" s="3">
        <f>SUM(Tabla1[[#This Row],[Monto_Base]],H59)</f>
        <v>14234.009999999998</v>
      </c>
      <c r="J59" t="s">
        <v>5046</v>
      </c>
      <c r="K59" t="s">
        <v>5047</v>
      </c>
      <c r="L59" t="s">
        <v>5052</v>
      </c>
      <c r="M59" t="s">
        <v>5055</v>
      </c>
    </row>
    <row r="60" spans="1:13" x14ac:dyDescent="0.3">
      <c r="A60" s="1">
        <v>45480</v>
      </c>
      <c r="B60" s="1" t="str">
        <f>TEXT(Tabla1[[#This Row],[Fecha]],"MMMM")</f>
        <v>julio</v>
      </c>
      <c r="C60" t="s">
        <v>70</v>
      </c>
      <c r="D60" t="s">
        <v>5031</v>
      </c>
      <c r="E60" t="s">
        <v>5033</v>
      </c>
      <c r="F60" t="s">
        <v>5041</v>
      </c>
      <c r="G60" s="3">
        <v>10507</v>
      </c>
      <c r="H60" s="3">
        <v>1365.91</v>
      </c>
      <c r="I60" s="3">
        <f>SUM(Tabla1[[#This Row],[Monto_Base]],H60)</f>
        <v>11872.91</v>
      </c>
      <c r="J60" t="s">
        <v>5046</v>
      </c>
      <c r="K60" t="s">
        <v>5049</v>
      </c>
      <c r="L60" t="s">
        <v>5053</v>
      </c>
      <c r="M60" t="s">
        <v>5054</v>
      </c>
    </row>
    <row r="61" spans="1:13" x14ac:dyDescent="0.3">
      <c r="A61" s="1">
        <v>45484</v>
      </c>
      <c r="B61" s="1" t="str">
        <f>TEXT(Tabla1[[#This Row],[Fecha]],"MMMM")</f>
        <v>julio</v>
      </c>
      <c r="C61" t="s">
        <v>71</v>
      </c>
      <c r="D61" t="s">
        <v>5030</v>
      </c>
      <c r="E61" t="s">
        <v>5033</v>
      </c>
      <c r="F61" t="s">
        <v>5038</v>
      </c>
      <c r="G61" s="3">
        <v>8658.16</v>
      </c>
      <c r="H61" s="3">
        <v>1125.56</v>
      </c>
      <c r="I61" s="3">
        <f>SUM(Tabla1[[#This Row],[Monto_Base]],H61)</f>
        <v>9783.7199999999993</v>
      </c>
      <c r="J61" t="s">
        <v>5043</v>
      </c>
      <c r="K61" t="s">
        <v>5049</v>
      </c>
      <c r="L61" t="s">
        <v>5052</v>
      </c>
      <c r="M61" t="s">
        <v>5054</v>
      </c>
    </row>
    <row r="62" spans="1:13" x14ac:dyDescent="0.3">
      <c r="A62" s="1">
        <v>45581</v>
      </c>
      <c r="B62" s="1" t="str">
        <f>TEXT(Tabla1[[#This Row],[Fecha]],"MMMM")</f>
        <v>octubre</v>
      </c>
      <c r="C62" t="s">
        <v>72</v>
      </c>
      <c r="D62" t="s">
        <v>5013</v>
      </c>
      <c r="E62" t="s">
        <v>5032</v>
      </c>
      <c r="F62" t="s">
        <v>5036</v>
      </c>
      <c r="G62" s="3">
        <v>11953.6</v>
      </c>
      <c r="H62" s="3">
        <v>0</v>
      </c>
      <c r="I62" s="3">
        <f>SUM(Tabla1[[#This Row],[Monto_Base]],H62)</f>
        <v>11953.6</v>
      </c>
      <c r="J62" t="s">
        <v>5045</v>
      </c>
      <c r="K62" t="s">
        <v>5048</v>
      </c>
      <c r="L62" t="s">
        <v>5050</v>
      </c>
      <c r="M62" t="s">
        <v>5055</v>
      </c>
    </row>
    <row r="63" spans="1:13" x14ac:dyDescent="0.3">
      <c r="A63" s="1">
        <v>45542</v>
      </c>
      <c r="B63" s="1" t="str">
        <f>TEXT(Tabla1[[#This Row],[Fecha]],"MMMM")</f>
        <v>septiembre</v>
      </c>
      <c r="C63" t="s">
        <v>73</v>
      </c>
      <c r="D63" t="s">
        <v>5023</v>
      </c>
      <c r="E63" t="s">
        <v>5032</v>
      </c>
      <c r="F63" t="s">
        <v>5035</v>
      </c>
      <c r="G63" s="3">
        <v>12751.16</v>
      </c>
      <c r="H63" s="3">
        <v>0</v>
      </c>
      <c r="I63" s="3">
        <f>SUM(Tabla1[[#This Row],[Monto_Base]],H63)</f>
        <v>12751.16</v>
      </c>
      <c r="J63" t="s">
        <v>5045</v>
      </c>
      <c r="K63" t="s">
        <v>5048</v>
      </c>
      <c r="L63" t="s">
        <v>5051</v>
      </c>
      <c r="M63" t="s">
        <v>5055</v>
      </c>
    </row>
    <row r="64" spans="1:13" x14ac:dyDescent="0.3">
      <c r="A64" s="1">
        <v>45567</v>
      </c>
      <c r="B64" s="1" t="str">
        <f>TEXT(Tabla1[[#This Row],[Fecha]],"MMMM")</f>
        <v>octubre</v>
      </c>
      <c r="C64" t="s">
        <v>74</v>
      </c>
      <c r="D64" t="s">
        <v>5027</v>
      </c>
      <c r="E64" t="s">
        <v>5033</v>
      </c>
      <c r="F64" t="s">
        <v>5038</v>
      </c>
      <c r="G64" s="3">
        <v>9257.89</v>
      </c>
      <c r="H64" s="3">
        <v>1203.53</v>
      </c>
      <c r="I64" s="3">
        <f>SUM(Tabla1[[#This Row],[Monto_Base]],H64)</f>
        <v>10461.42</v>
      </c>
      <c r="J64" t="s">
        <v>5043</v>
      </c>
      <c r="K64" t="s">
        <v>5048</v>
      </c>
      <c r="L64" t="s">
        <v>5050</v>
      </c>
      <c r="M64" t="s">
        <v>5055</v>
      </c>
    </row>
    <row r="65" spans="1:13" x14ac:dyDescent="0.3">
      <c r="A65" s="1">
        <v>45416</v>
      </c>
      <c r="B65" s="1" t="str">
        <f>TEXT(Tabla1[[#This Row],[Fecha]],"MMMM")</f>
        <v>mayo</v>
      </c>
      <c r="C65" t="s">
        <v>75</v>
      </c>
      <c r="D65" t="s">
        <v>5024</v>
      </c>
      <c r="E65" t="s">
        <v>5033</v>
      </c>
      <c r="F65" t="s">
        <v>5038</v>
      </c>
      <c r="G65" s="3">
        <v>13230.39</v>
      </c>
      <c r="H65" s="3">
        <v>1719.95</v>
      </c>
      <c r="I65" s="3">
        <f>SUM(Tabla1[[#This Row],[Monto_Base]],H65)</f>
        <v>14950.34</v>
      </c>
      <c r="J65" t="s">
        <v>5043</v>
      </c>
      <c r="K65" t="s">
        <v>5049</v>
      </c>
      <c r="L65" t="s">
        <v>5050</v>
      </c>
      <c r="M65" t="s">
        <v>5055</v>
      </c>
    </row>
    <row r="66" spans="1:13" x14ac:dyDescent="0.3">
      <c r="A66" s="1">
        <v>45473</v>
      </c>
      <c r="B66" s="1" t="str">
        <f>TEXT(Tabla1[[#This Row],[Fecha]],"MMMM")</f>
        <v>junio</v>
      </c>
      <c r="C66" t="s">
        <v>76</v>
      </c>
      <c r="D66" t="s">
        <v>5018</v>
      </c>
      <c r="E66" t="s">
        <v>5032</v>
      </c>
      <c r="F66" t="s">
        <v>5039</v>
      </c>
      <c r="G66" s="3">
        <v>7338.87</v>
      </c>
      <c r="H66" s="3">
        <v>0</v>
      </c>
      <c r="I66" s="3">
        <f>SUM(Tabla1[[#This Row],[Monto_Base]],H66)</f>
        <v>7338.87</v>
      </c>
      <c r="J66" t="s">
        <v>5044</v>
      </c>
      <c r="K66" t="s">
        <v>5048</v>
      </c>
      <c r="L66" t="s">
        <v>5051</v>
      </c>
      <c r="M66" t="s">
        <v>5055</v>
      </c>
    </row>
    <row r="67" spans="1:13" x14ac:dyDescent="0.3">
      <c r="A67" s="1">
        <v>45500</v>
      </c>
      <c r="B67" s="1" t="str">
        <f>TEXT(Tabla1[[#This Row],[Fecha]],"MMMM")</f>
        <v>julio</v>
      </c>
      <c r="C67" t="s">
        <v>77</v>
      </c>
      <c r="D67" t="s">
        <v>5023</v>
      </c>
      <c r="E67" t="s">
        <v>5033</v>
      </c>
      <c r="F67" t="s">
        <v>5036</v>
      </c>
      <c r="G67" s="3">
        <v>3658.27</v>
      </c>
      <c r="H67" s="3">
        <v>475.58</v>
      </c>
      <c r="I67" s="3">
        <f>SUM(Tabla1[[#This Row],[Monto_Base]],H67)</f>
        <v>4133.8500000000004</v>
      </c>
      <c r="J67" t="s">
        <v>5043</v>
      </c>
      <c r="K67" t="s">
        <v>5049</v>
      </c>
      <c r="L67" t="s">
        <v>5052</v>
      </c>
      <c r="M67" t="s">
        <v>5055</v>
      </c>
    </row>
    <row r="68" spans="1:13" x14ac:dyDescent="0.3">
      <c r="A68" s="1">
        <v>45499</v>
      </c>
      <c r="B68" s="1" t="str">
        <f>TEXT(Tabla1[[#This Row],[Fecha]],"MMMM")</f>
        <v>julio</v>
      </c>
      <c r="C68" t="s">
        <v>78</v>
      </c>
      <c r="D68" t="s">
        <v>5025</v>
      </c>
      <c r="E68" t="s">
        <v>5033</v>
      </c>
      <c r="F68" t="s">
        <v>5036</v>
      </c>
      <c r="G68" s="3">
        <v>4448.82</v>
      </c>
      <c r="H68" s="3">
        <v>578.35</v>
      </c>
      <c r="I68" s="3">
        <f>SUM(Tabla1[[#This Row],[Monto_Base]],H68)</f>
        <v>5027.17</v>
      </c>
      <c r="J68" t="s">
        <v>5046</v>
      </c>
      <c r="K68" t="s">
        <v>5048</v>
      </c>
      <c r="L68" t="s">
        <v>5051</v>
      </c>
      <c r="M68" t="s">
        <v>5055</v>
      </c>
    </row>
    <row r="69" spans="1:13" x14ac:dyDescent="0.3">
      <c r="A69" s="1">
        <v>45430</v>
      </c>
      <c r="B69" s="1" t="str">
        <f>TEXT(Tabla1[[#This Row],[Fecha]],"MMMM")</f>
        <v>mayo</v>
      </c>
      <c r="C69" t="s">
        <v>79</v>
      </c>
      <c r="D69" t="s">
        <v>5019</v>
      </c>
      <c r="E69" t="s">
        <v>5032</v>
      </c>
      <c r="F69" t="s">
        <v>5040</v>
      </c>
      <c r="G69" s="3">
        <v>10557.68</v>
      </c>
      <c r="H69" s="3">
        <v>0</v>
      </c>
      <c r="I69" s="3">
        <f>SUM(Tabla1[[#This Row],[Monto_Base]],H69)</f>
        <v>10557.68</v>
      </c>
      <c r="J69" t="s">
        <v>5044</v>
      </c>
      <c r="K69" t="s">
        <v>5048</v>
      </c>
      <c r="L69" t="s">
        <v>5052</v>
      </c>
      <c r="M69" t="s">
        <v>5054</v>
      </c>
    </row>
    <row r="70" spans="1:13" x14ac:dyDescent="0.3">
      <c r="A70" s="1">
        <v>45539</v>
      </c>
      <c r="B70" s="1" t="str">
        <f>TEXT(Tabla1[[#This Row],[Fecha]],"MMMM")</f>
        <v>septiembre</v>
      </c>
      <c r="C70" t="s">
        <v>80</v>
      </c>
      <c r="D70" t="s">
        <v>5015</v>
      </c>
      <c r="E70" t="s">
        <v>5033</v>
      </c>
      <c r="F70" t="s">
        <v>5039</v>
      </c>
      <c r="G70" s="3">
        <v>2913.54</v>
      </c>
      <c r="H70" s="3">
        <v>378.76</v>
      </c>
      <c r="I70" s="3">
        <f>SUM(Tabla1[[#This Row],[Monto_Base]],H70)</f>
        <v>3292.3</v>
      </c>
      <c r="J70" t="s">
        <v>5044</v>
      </c>
      <c r="K70" t="s">
        <v>5049</v>
      </c>
      <c r="L70" t="s">
        <v>5051</v>
      </c>
      <c r="M70" t="s">
        <v>5054</v>
      </c>
    </row>
    <row r="71" spans="1:13" x14ac:dyDescent="0.3">
      <c r="A71" s="1">
        <v>45299</v>
      </c>
      <c r="B71" s="1" t="str">
        <f>TEXT(Tabla1[[#This Row],[Fecha]],"MMMM")</f>
        <v>enero</v>
      </c>
      <c r="C71" t="s">
        <v>81</v>
      </c>
      <c r="D71" t="s">
        <v>5021</v>
      </c>
      <c r="E71" t="s">
        <v>5033</v>
      </c>
      <c r="F71" t="s">
        <v>5040</v>
      </c>
      <c r="G71" s="3">
        <v>2732.65</v>
      </c>
      <c r="H71" s="3">
        <v>355.24</v>
      </c>
      <c r="I71" s="3">
        <f>SUM(Tabla1[[#This Row],[Monto_Base]],H71)</f>
        <v>3087.8900000000003</v>
      </c>
      <c r="J71" t="s">
        <v>5042</v>
      </c>
      <c r="K71" t="s">
        <v>5047</v>
      </c>
      <c r="L71" t="s">
        <v>5051</v>
      </c>
      <c r="M71" t="s">
        <v>5054</v>
      </c>
    </row>
    <row r="72" spans="1:13" x14ac:dyDescent="0.3">
      <c r="A72" s="1">
        <v>45543</v>
      </c>
      <c r="B72" s="1" t="str">
        <f>TEXT(Tabla1[[#This Row],[Fecha]],"MMMM")</f>
        <v>septiembre</v>
      </c>
      <c r="C72" t="s">
        <v>82</v>
      </c>
      <c r="D72" t="s">
        <v>5023</v>
      </c>
      <c r="E72" t="s">
        <v>5032</v>
      </c>
      <c r="F72" t="s">
        <v>5039</v>
      </c>
      <c r="G72" s="3">
        <v>9586.15</v>
      </c>
      <c r="H72" s="3">
        <v>0</v>
      </c>
      <c r="I72" s="3">
        <f>SUM(Tabla1[[#This Row],[Monto_Base]],H72)</f>
        <v>9586.15</v>
      </c>
      <c r="J72" t="s">
        <v>5045</v>
      </c>
      <c r="K72" t="s">
        <v>5047</v>
      </c>
      <c r="L72" t="s">
        <v>5051</v>
      </c>
      <c r="M72" t="s">
        <v>5055</v>
      </c>
    </row>
    <row r="73" spans="1:13" x14ac:dyDescent="0.3">
      <c r="A73" s="1">
        <v>45421</v>
      </c>
      <c r="B73" s="1" t="str">
        <f>TEXT(Tabla1[[#This Row],[Fecha]],"MMMM")</f>
        <v>mayo</v>
      </c>
      <c r="C73" t="s">
        <v>83</v>
      </c>
      <c r="D73" t="s">
        <v>5025</v>
      </c>
      <c r="E73" t="s">
        <v>5032</v>
      </c>
      <c r="F73" t="s">
        <v>5039</v>
      </c>
      <c r="G73" s="3">
        <v>14484.19</v>
      </c>
      <c r="H73" s="3">
        <v>0</v>
      </c>
      <c r="I73" s="3">
        <f>SUM(Tabla1[[#This Row],[Monto_Base]],H73)</f>
        <v>14484.19</v>
      </c>
      <c r="J73" t="s">
        <v>5043</v>
      </c>
      <c r="K73" t="s">
        <v>5047</v>
      </c>
      <c r="L73" t="s">
        <v>5053</v>
      </c>
      <c r="M73" t="s">
        <v>5055</v>
      </c>
    </row>
    <row r="74" spans="1:13" x14ac:dyDescent="0.3">
      <c r="A74" s="1">
        <v>45580</v>
      </c>
      <c r="B74" s="1" t="str">
        <f>TEXT(Tabla1[[#This Row],[Fecha]],"MMMM")</f>
        <v>octubre</v>
      </c>
      <c r="C74" t="s">
        <v>84</v>
      </c>
      <c r="D74" t="s">
        <v>5030</v>
      </c>
      <c r="E74" t="s">
        <v>5033</v>
      </c>
      <c r="F74" t="s">
        <v>5039</v>
      </c>
      <c r="G74" s="3">
        <v>2280.5</v>
      </c>
      <c r="H74" s="3">
        <v>296.47000000000003</v>
      </c>
      <c r="I74" s="3">
        <f>SUM(Tabla1[[#This Row],[Monto_Base]],H74)</f>
        <v>2576.9700000000003</v>
      </c>
      <c r="J74" t="s">
        <v>5044</v>
      </c>
      <c r="K74" t="s">
        <v>5047</v>
      </c>
      <c r="L74" t="s">
        <v>5052</v>
      </c>
      <c r="M74" t="s">
        <v>5054</v>
      </c>
    </row>
    <row r="75" spans="1:13" x14ac:dyDescent="0.3">
      <c r="A75" s="1">
        <v>45518</v>
      </c>
      <c r="B75" s="1" t="str">
        <f>TEXT(Tabla1[[#This Row],[Fecha]],"MMMM")</f>
        <v>agosto</v>
      </c>
      <c r="C75" t="s">
        <v>85</v>
      </c>
      <c r="D75" t="s">
        <v>5014</v>
      </c>
      <c r="E75" t="s">
        <v>5033</v>
      </c>
      <c r="F75" t="s">
        <v>5037</v>
      </c>
      <c r="G75" s="3">
        <v>6785.19</v>
      </c>
      <c r="H75" s="3">
        <v>882.07</v>
      </c>
      <c r="I75" s="3">
        <f>SUM(Tabla1[[#This Row],[Monto_Base]],H75)</f>
        <v>7667.2599999999993</v>
      </c>
      <c r="J75" t="s">
        <v>5044</v>
      </c>
      <c r="K75" t="s">
        <v>5049</v>
      </c>
      <c r="L75" t="s">
        <v>5050</v>
      </c>
      <c r="M75" t="s">
        <v>5055</v>
      </c>
    </row>
    <row r="76" spans="1:13" x14ac:dyDescent="0.3">
      <c r="A76" s="1">
        <v>45427</v>
      </c>
      <c r="B76" s="1" t="str">
        <f>TEXT(Tabla1[[#This Row],[Fecha]],"MMMM")</f>
        <v>mayo</v>
      </c>
      <c r="C76" t="s">
        <v>86</v>
      </c>
      <c r="D76" t="s">
        <v>5031</v>
      </c>
      <c r="E76" t="s">
        <v>5033</v>
      </c>
      <c r="F76" t="s">
        <v>5034</v>
      </c>
      <c r="G76" s="3">
        <v>9401.4500000000007</v>
      </c>
      <c r="H76" s="3">
        <v>1222.19</v>
      </c>
      <c r="I76" s="3">
        <f>SUM(Tabla1[[#This Row],[Monto_Base]],H76)</f>
        <v>10623.640000000001</v>
      </c>
      <c r="J76" t="s">
        <v>5045</v>
      </c>
      <c r="K76" t="s">
        <v>5047</v>
      </c>
      <c r="L76" t="s">
        <v>5052</v>
      </c>
      <c r="M76" t="s">
        <v>5054</v>
      </c>
    </row>
    <row r="77" spans="1:13" x14ac:dyDescent="0.3">
      <c r="A77" s="1">
        <v>45596</v>
      </c>
      <c r="B77" s="1" t="str">
        <f>TEXT(Tabla1[[#This Row],[Fecha]],"MMMM")</f>
        <v>octubre</v>
      </c>
      <c r="C77" t="s">
        <v>87</v>
      </c>
      <c r="D77" t="s">
        <v>5026</v>
      </c>
      <c r="E77" t="s">
        <v>5033</v>
      </c>
      <c r="F77" t="s">
        <v>5037</v>
      </c>
      <c r="G77" s="3">
        <v>6785.03</v>
      </c>
      <c r="H77" s="3">
        <v>882.05</v>
      </c>
      <c r="I77" s="3">
        <f>SUM(Tabla1[[#This Row],[Monto_Base]],H77)</f>
        <v>7667.08</v>
      </c>
      <c r="J77" t="s">
        <v>5043</v>
      </c>
      <c r="K77" t="s">
        <v>5048</v>
      </c>
      <c r="L77" t="s">
        <v>5053</v>
      </c>
      <c r="M77" t="s">
        <v>5054</v>
      </c>
    </row>
    <row r="78" spans="1:13" x14ac:dyDescent="0.3">
      <c r="A78" s="1">
        <v>45427</v>
      </c>
      <c r="B78" s="1" t="str">
        <f>TEXT(Tabla1[[#This Row],[Fecha]],"MMMM")</f>
        <v>mayo</v>
      </c>
      <c r="C78" t="s">
        <v>88</v>
      </c>
      <c r="D78" t="s">
        <v>5029</v>
      </c>
      <c r="E78" t="s">
        <v>5032</v>
      </c>
      <c r="F78" t="s">
        <v>5036</v>
      </c>
      <c r="G78" s="3">
        <v>10326.4</v>
      </c>
      <c r="H78" s="3">
        <v>0</v>
      </c>
      <c r="I78" s="3">
        <f>SUM(Tabla1[[#This Row],[Monto_Base]],H78)</f>
        <v>10326.4</v>
      </c>
      <c r="J78" t="s">
        <v>5042</v>
      </c>
      <c r="K78" t="s">
        <v>5049</v>
      </c>
      <c r="L78" t="s">
        <v>5052</v>
      </c>
      <c r="M78" t="s">
        <v>5055</v>
      </c>
    </row>
    <row r="79" spans="1:13" x14ac:dyDescent="0.3">
      <c r="A79" s="1">
        <v>45364</v>
      </c>
      <c r="B79" s="1" t="str">
        <f>TEXT(Tabla1[[#This Row],[Fecha]],"MMMM")</f>
        <v>marzo</v>
      </c>
      <c r="C79" t="s">
        <v>89</v>
      </c>
      <c r="D79" t="s">
        <v>5023</v>
      </c>
      <c r="E79" t="s">
        <v>5033</v>
      </c>
      <c r="F79" t="s">
        <v>5039</v>
      </c>
      <c r="G79" s="3">
        <v>13630.75</v>
      </c>
      <c r="H79" s="3">
        <v>1772</v>
      </c>
      <c r="I79" s="3">
        <f>SUM(Tabla1[[#This Row],[Monto_Base]],H79)</f>
        <v>15402.75</v>
      </c>
      <c r="J79" t="s">
        <v>5045</v>
      </c>
      <c r="K79" t="s">
        <v>5047</v>
      </c>
      <c r="L79" t="s">
        <v>5052</v>
      </c>
      <c r="M79" t="s">
        <v>5055</v>
      </c>
    </row>
    <row r="80" spans="1:13" x14ac:dyDescent="0.3">
      <c r="A80" s="1">
        <v>45650</v>
      </c>
      <c r="B80" s="1" t="str">
        <f>TEXT(Tabla1[[#This Row],[Fecha]],"MMMM")</f>
        <v>diciembre</v>
      </c>
      <c r="C80" t="s">
        <v>90</v>
      </c>
      <c r="D80" t="s">
        <v>5025</v>
      </c>
      <c r="E80" t="s">
        <v>5033</v>
      </c>
      <c r="F80" t="s">
        <v>5041</v>
      </c>
      <c r="G80" s="3">
        <v>10345.74</v>
      </c>
      <c r="H80" s="3">
        <v>1344.95</v>
      </c>
      <c r="I80" s="3">
        <f>SUM(Tabla1[[#This Row],[Monto_Base]],H80)</f>
        <v>11690.69</v>
      </c>
      <c r="J80" t="s">
        <v>5043</v>
      </c>
      <c r="K80" t="s">
        <v>5048</v>
      </c>
      <c r="L80" t="s">
        <v>5050</v>
      </c>
      <c r="M80" t="s">
        <v>5055</v>
      </c>
    </row>
    <row r="81" spans="1:13" x14ac:dyDescent="0.3">
      <c r="A81" s="1">
        <v>45601</v>
      </c>
      <c r="B81" s="1" t="str">
        <f>TEXT(Tabla1[[#This Row],[Fecha]],"MMMM")</f>
        <v>noviembre</v>
      </c>
      <c r="C81" t="s">
        <v>91</v>
      </c>
      <c r="D81" t="s">
        <v>5031</v>
      </c>
      <c r="E81" t="s">
        <v>5033</v>
      </c>
      <c r="F81" t="s">
        <v>5037</v>
      </c>
      <c r="G81" s="3">
        <v>11031.28</v>
      </c>
      <c r="H81" s="3">
        <v>1434.07</v>
      </c>
      <c r="I81" s="3">
        <f>SUM(Tabla1[[#This Row],[Monto_Base]],H81)</f>
        <v>12465.35</v>
      </c>
      <c r="J81" t="s">
        <v>5044</v>
      </c>
      <c r="K81" t="s">
        <v>5047</v>
      </c>
      <c r="L81" t="s">
        <v>5053</v>
      </c>
      <c r="M81" t="s">
        <v>5054</v>
      </c>
    </row>
    <row r="82" spans="1:13" x14ac:dyDescent="0.3">
      <c r="A82" s="1">
        <v>45625</v>
      </c>
      <c r="B82" s="1" t="str">
        <f>TEXT(Tabla1[[#This Row],[Fecha]],"MMMM")</f>
        <v>noviembre</v>
      </c>
      <c r="C82" t="s">
        <v>92</v>
      </c>
      <c r="D82" t="s">
        <v>5021</v>
      </c>
      <c r="E82" t="s">
        <v>5033</v>
      </c>
      <c r="F82" t="s">
        <v>5039</v>
      </c>
      <c r="G82" s="3">
        <v>7083.99</v>
      </c>
      <c r="H82" s="3">
        <v>920.92</v>
      </c>
      <c r="I82" s="3">
        <f>SUM(Tabla1[[#This Row],[Monto_Base]],H82)</f>
        <v>8004.91</v>
      </c>
      <c r="J82" t="s">
        <v>5043</v>
      </c>
      <c r="K82" t="s">
        <v>5048</v>
      </c>
      <c r="L82" t="s">
        <v>5052</v>
      </c>
      <c r="M82" t="s">
        <v>5055</v>
      </c>
    </row>
    <row r="83" spans="1:13" x14ac:dyDescent="0.3">
      <c r="A83" s="1">
        <v>45456</v>
      </c>
      <c r="B83" s="1" t="str">
        <f>TEXT(Tabla1[[#This Row],[Fecha]],"MMMM")</f>
        <v>junio</v>
      </c>
      <c r="C83" t="s">
        <v>93</v>
      </c>
      <c r="D83" t="s">
        <v>5030</v>
      </c>
      <c r="E83" t="s">
        <v>5032</v>
      </c>
      <c r="F83" t="s">
        <v>5040</v>
      </c>
      <c r="G83" s="3">
        <v>6154.8</v>
      </c>
      <c r="H83" s="3">
        <v>0</v>
      </c>
      <c r="I83" s="3">
        <f>SUM(Tabla1[[#This Row],[Monto_Base]],H83)</f>
        <v>6154.8</v>
      </c>
      <c r="J83" t="s">
        <v>5045</v>
      </c>
      <c r="K83" t="s">
        <v>5047</v>
      </c>
      <c r="L83" t="s">
        <v>5051</v>
      </c>
      <c r="M83" t="s">
        <v>5055</v>
      </c>
    </row>
    <row r="84" spans="1:13" x14ac:dyDescent="0.3">
      <c r="A84" s="1">
        <v>45453</v>
      </c>
      <c r="B84" s="1" t="str">
        <f>TEXT(Tabla1[[#This Row],[Fecha]],"MMMM")</f>
        <v>junio</v>
      </c>
      <c r="C84" t="s">
        <v>94</v>
      </c>
      <c r="D84" t="s">
        <v>5029</v>
      </c>
      <c r="E84" t="s">
        <v>5032</v>
      </c>
      <c r="F84" t="s">
        <v>5035</v>
      </c>
      <c r="G84" s="3">
        <v>6849.65</v>
      </c>
      <c r="H84" s="3">
        <v>0</v>
      </c>
      <c r="I84" s="3">
        <f>SUM(Tabla1[[#This Row],[Monto_Base]],H84)</f>
        <v>6849.65</v>
      </c>
      <c r="J84" t="s">
        <v>5044</v>
      </c>
      <c r="K84" t="s">
        <v>5048</v>
      </c>
      <c r="L84" t="s">
        <v>5053</v>
      </c>
      <c r="M84" t="s">
        <v>5055</v>
      </c>
    </row>
    <row r="85" spans="1:13" x14ac:dyDescent="0.3">
      <c r="A85" s="1">
        <v>45557</v>
      </c>
      <c r="B85" s="1" t="str">
        <f>TEXT(Tabla1[[#This Row],[Fecha]],"MMMM")</f>
        <v>septiembre</v>
      </c>
      <c r="C85" t="s">
        <v>95</v>
      </c>
      <c r="D85" t="s">
        <v>5023</v>
      </c>
      <c r="E85" t="s">
        <v>5032</v>
      </c>
      <c r="F85" t="s">
        <v>5037</v>
      </c>
      <c r="G85" s="3">
        <v>860.35</v>
      </c>
      <c r="H85" s="3">
        <v>0</v>
      </c>
      <c r="I85" s="3">
        <f>SUM(Tabla1[[#This Row],[Monto_Base]],H85)</f>
        <v>860.35</v>
      </c>
      <c r="J85" t="s">
        <v>5044</v>
      </c>
      <c r="K85" t="s">
        <v>5049</v>
      </c>
      <c r="L85" t="s">
        <v>5050</v>
      </c>
      <c r="M85" t="s">
        <v>5055</v>
      </c>
    </row>
    <row r="86" spans="1:13" x14ac:dyDescent="0.3">
      <c r="A86" s="1">
        <v>45516</v>
      </c>
      <c r="B86" s="1" t="str">
        <f>TEXT(Tabla1[[#This Row],[Fecha]],"MMMM")</f>
        <v>agosto</v>
      </c>
      <c r="C86" t="s">
        <v>96</v>
      </c>
      <c r="D86" t="s">
        <v>5017</v>
      </c>
      <c r="E86" t="s">
        <v>5032</v>
      </c>
      <c r="F86" t="s">
        <v>5039</v>
      </c>
      <c r="G86" s="3">
        <v>13918.71</v>
      </c>
      <c r="H86" s="3">
        <v>0</v>
      </c>
      <c r="I86" s="3">
        <f>SUM(Tabla1[[#This Row],[Monto_Base]],H86)</f>
        <v>13918.71</v>
      </c>
      <c r="J86" t="s">
        <v>5043</v>
      </c>
      <c r="K86" t="s">
        <v>5047</v>
      </c>
      <c r="L86" t="s">
        <v>5053</v>
      </c>
      <c r="M86" t="s">
        <v>5054</v>
      </c>
    </row>
    <row r="87" spans="1:13" x14ac:dyDescent="0.3">
      <c r="A87" s="1">
        <v>45350</v>
      </c>
      <c r="B87" s="1" t="str">
        <f>TEXT(Tabla1[[#This Row],[Fecha]],"MMMM")</f>
        <v>febrero</v>
      </c>
      <c r="C87" t="s">
        <v>97</v>
      </c>
      <c r="D87" t="s">
        <v>5021</v>
      </c>
      <c r="E87" t="s">
        <v>5033</v>
      </c>
      <c r="F87" t="s">
        <v>5037</v>
      </c>
      <c r="G87" s="3">
        <v>1443.48</v>
      </c>
      <c r="H87" s="3">
        <v>187.65</v>
      </c>
      <c r="I87" s="3">
        <f>SUM(Tabla1[[#This Row],[Monto_Base]],H87)</f>
        <v>1631.13</v>
      </c>
      <c r="J87" t="s">
        <v>5043</v>
      </c>
      <c r="K87" t="s">
        <v>5047</v>
      </c>
      <c r="L87" t="s">
        <v>5052</v>
      </c>
      <c r="M87" t="s">
        <v>5055</v>
      </c>
    </row>
    <row r="88" spans="1:13" x14ac:dyDescent="0.3">
      <c r="A88" s="1">
        <v>45533</v>
      </c>
      <c r="B88" s="1" t="str">
        <f>TEXT(Tabla1[[#This Row],[Fecha]],"MMMM")</f>
        <v>agosto</v>
      </c>
      <c r="C88" t="s">
        <v>98</v>
      </c>
      <c r="D88" t="s">
        <v>5016</v>
      </c>
      <c r="E88" t="s">
        <v>5032</v>
      </c>
      <c r="F88" t="s">
        <v>5037</v>
      </c>
      <c r="G88" s="3">
        <v>12529.12</v>
      </c>
      <c r="H88" s="3">
        <v>0</v>
      </c>
      <c r="I88" s="3">
        <f>SUM(Tabla1[[#This Row],[Monto_Base]],H88)</f>
        <v>12529.12</v>
      </c>
      <c r="J88" t="s">
        <v>5046</v>
      </c>
      <c r="K88" t="s">
        <v>5048</v>
      </c>
      <c r="L88" t="s">
        <v>5052</v>
      </c>
      <c r="M88" t="s">
        <v>5055</v>
      </c>
    </row>
    <row r="89" spans="1:13" x14ac:dyDescent="0.3">
      <c r="A89" s="1">
        <v>45504</v>
      </c>
      <c r="B89" s="1" t="str">
        <f>TEXT(Tabla1[[#This Row],[Fecha]],"MMMM")</f>
        <v>julio</v>
      </c>
      <c r="C89" t="s">
        <v>99</v>
      </c>
      <c r="D89" t="s">
        <v>5031</v>
      </c>
      <c r="E89" t="s">
        <v>5033</v>
      </c>
      <c r="F89" t="s">
        <v>5036</v>
      </c>
      <c r="G89" s="3">
        <v>4179.8999999999996</v>
      </c>
      <c r="H89" s="3">
        <v>543.39</v>
      </c>
      <c r="I89" s="3">
        <f>SUM(Tabla1[[#This Row],[Monto_Base]],H89)</f>
        <v>4723.29</v>
      </c>
      <c r="J89" t="s">
        <v>5044</v>
      </c>
      <c r="K89" t="s">
        <v>5049</v>
      </c>
      <c r="L89" t="s">
        <v>5051</v>
      </c>
      <c r="M89" t="s">
        <v>5054</v>
      </c>
    </row>
    <row r="90" spans="1:13" x14ac:dyDescent="0.3">
      <c r="A90" s="1">
        <v>45539</v>
      </c>
      <c r="B90" s="1" t="str">
        <f>TEXT(Tabla1[[#This Row],[Fecha]],"MMMM")</f>
        <v>septiembre</v>
      </c>
      <c r="C90" t="s">
        <v>100</v>
      </c>
      <c r="D90" t="s">
        <v>5029</v>
      </c>
      <c r="E90" t="s">
        <v>5032</v>
      </c>
      <c r="F90" t="s">
        <v>5039</v>
      </c>
      <c r="G90" s="3">
        <v>6725.88</v>
      </c>
      <c r="H90" s="3">
        <v>0</v>
      </c>
      <c r="I90" s="3">
        <f>SUM(Tabla1[[#This Row],[Monto_Base]],H90)</f>
        <v>6725.88</v>
      </c>
      <c r="J90" t="s">
        <v>5044</v>
      </c>
      <c r="K90" t="s">
        <v>5048</v>
      </c>
      <c r="L90" t="s">
        <v>5050</v>
      </c>
      <c r="M90" t="s">
        <v>5055</v>
      </c>
    </row>
    <row r="91" spans="1:13" x14ac:dyDescent="0.3">
      <c r="A91" s="1">
        <v>45502</v>
      </c>
      <c r="B91" s="1" t="str">
        <f>TEXT(Tabla1[[#This Row],[Fecha]],"MMMM")</f>
        <v>julio</v>
      </c>
      <c r="C91" t="s">
        <v>101</v>
      </c>
      <c r="D91" t="s">
        <v>5024</v>
      </c>
      <c r="E91" t="s">
        <v>5033</v>
      </c>
      <c r="F91" t="s">
        <v>5037</v>
      </c>
      <c r="G91" s="3">
        <v>3541.76</v>
      </c>
      <c r="H91" s="3">
        <v>460.43</v>
      </c>
      <c r="I91" s="3">
        <f>SUM(Tabla1[[#This Row],[Monto_Base]],H91)</f>
        <v>4002.19</v>
      </c>
      <c r="J91" t="s">
        <v>5045</v>
      </c>
      <c r="K91" t="s">
        <v>5048</v>
      </c>
      <c r="L91" t="s">
        <v>5050</v>
      </c>
      <c r="M91" t="s">
        <v>5055</v>
      </c>
    </row>
    <row r="92" spans="1:13" x14ac:dyDescent="0.3">
      <c r="A92" s="1">
        <v>45594</v>
      </c>
      <c r="B92" s="1" t="str">
        <f>TEXT(Tabla1[[#This Row],[Fecha]],"MMMM")</f>
        <v>octubre</v>
      </c>
      <c r="C92" t="s">
        <v>102</v>
      </c>
      <c r="D92" t="s">
        <v>5028</v>
      </c>
      <c r="E92" t="s">
        <v>5032</v>
      </c>
      <c r="F92" t="s">
        <v>5035</v>
      </c>
      <c r="G92" s="3">
        <v>1937.38</v>
      </c>
      <c r="H92" s="3">
        <v>0</v>
      </c>
      <c r="I92" s="3">
        <f>SUM(Tabla1[[#This Row],[Monto_Base]],H92)</f>
        <v>1937.38</v>
      </c>
      <c r="J92" t="s">
        <v>5044</v>
      </c>
      <c r="K92" t="s">
        <v>5047</v>
      </c>
      <c r="L92" t="s">
        <v>5050</v>
      </c>
      <c r="M92" t="s">
        <v>5054</v>
      </c>
    </row>
    <row r="93" spans="1:13" x14ac:dyDescent="0.3">
      <c r="A93" s="1">
        <v>45371</v>
      </c>
      <c r="B93" s="1" t="str">
        <f>TEXT(Tabla1[[#This Row],[Fecha]],"MMMM")</f>
        <v>marzo</v>
      </c>
      <c r="C93" t="s">
        <v>103</v>
      </c>
      <c r="D93" t="s">
        <v>5022</v>
      </c>
      <c r="E93" t="s">
        <v>5033</v>
      </c>
      <c r="F93" t="s">
        <v>5037</v>
      </c>
      <c r="G93" s="3">
        <v>13070.45</v>
      </c>
      <c r="H93" s="3">
        <v>1699.16</v>
      </c>
      <c r="I93" s="3">
        <f>SUM(Tabla1[[#This Row],[Monto_Base]],H93)</f>
        <v>14769.61</v>
      </c>
      <c r="J93" t="s">
        <v>5045</v>
      </c>
      <c r="K93" t="s">
        <v>5048</v>
      </c>
      <c r="L93" t="s">
        <v>5051</v>
      </c>
      <c r="M93" t="s">
        <v>5055</v>
      </c>
    </row>
    <row r="94" spans="1:13" x14ac:dyDescent="0.3">
      <c r="A94" s="1">
        <v>45612</v>
      </c>
      <c r="B94" s="1" t="str">
        <f>TEXT(Tabla1[[#This Row],[Fecha]],"MMMM")</f>
        <v>noviembre</v>
      </c>
      <c r="C94" t="s">
        <v>104</v>
      </c>
      <c r="D94" t="s">
        <v>5030</v>
      </c>
      <c r="E94" t="s">
        <v>5032</v>
      </c>
      <c r="F94" t="s">
        <v>5037</v>
      </c>
      <c r="G94" s="3">
        <v>14314.39</v>
      </c>
      <c r="H94" s="3">
        <v>0</v>
      </c>
      <c r="I94" s="3">
        <f>SUM(Tabla1[[#This Row],[Monto_Base]],H94)</f>
        <v>14314.39</v>
      </c>
      <c r="J94" t="s">
        <v>5043</v>
      </c>
      <c r="K94" t="s">
        <v>5049</v>
      </c>
      <c r="L94" t="s">
        <v>5053</v>
      </c>
      <c r="M94" t="s">
        <v>5054</v>
      </c>
    </row>
    <row r="95" spans="1:13" x14ac:dyDescent="0.3">
      <c r="A95" s="1">
        <v>45342</v>
      </c>
      <c r="B95" s="1" t="str">
        <f>TEXT(Tabla1[[#This Row],[Fecha]],"MMMM")</f>
        <v>febrero</v>
      </c>
      <c r="C95" t="s">
        <v>105</v>
      </c>
      <c r="D95" t="s">
        <v>5021</v>
      </c>
      <c r="E95" t="s">
        <v>5033</v>
      </c>
      <c r="F95" t="s">
        <v>5036</v>
      </c>
      <c r="G95" s="3">
        <v>6537.87</v>
      </c>
      <c r="H95" s="3">
        <v>849.92</v>
      </c>
      <c r="I95" s="3">
        <f>SUM(Tabla1[[#This Row],[Monto_Base]],H95)</f>
        <v>7387.79</v>
      </c>
      <c r="J95" t="s">
        <v>5045</v>
      </c>
      <c r="K95" t="s">
        <v>5048</v>
      </c>
      <c r="L95" t="s">
        <v>5052</v>
      </c>
      <c r="M95" t="s">
        <v>5055</v>
      </c>
    </row>
    <row r="96" spans="1:13" x14ac:dyDescent="0.3">
      <c r="A96" s="1">
        <v>45483</v>
      </c>
      <c r="B96" s="1" t="str">
        <f>TEXT(Tabla1[[#This Row],[Fecha]],"MMMM")</f>
        <v>julio</v>
      </c>
      <c r="C96" t="s">
        <v>106</v>
      </c>
      <c r="D96" t="s">
        <v>5012</v>
      </c>
      <c r="E96" t="s">
        <v>5032</v>
      </c>
      <c r="F96" t="s">
        <v>5035</v>
      </c>
      <c r="G96" s="3">
        <v>4435.8500000000004</v>
      </c>
      <c r="H96" s="3">
        <v>0</v>
      </c>
      <c r="I96" s="3">
        <f>SUM(Tabla1[[#This Row],[Monto_Base]],H96)</f>
        <v>4435.8500000000004</v>
      </c>
      <c r="J96" t="s">
        <v>5043</v>
      </c>
      <c r="K96" t="s">
        <v>5047</v>
      </c>
      <c r="L96" t="s">
        <v>5052</v>
      </c>
      <c r="M96" t="s">
        <v>5055</v>
      </c>
    </row>
    <row r="97" spans="1:13" x14ac:dyDescent="0.3">
      <c r="A97" s="1">
        <v>45487</v>
      </c>
      <c r="B97" s="1" t="str">
        <f>TEXT(Tabla1[[#This Row],[Fecha]],"MMMM")</f>
        <v>julio</v>
      </c>
      <c r="C97" t="s">
        <v>107</v>
      </c>
      <c r="D97" t="s">
        <v>5026</v>
      </c>
      <c r="E97" t="s">
        <v>5033</v>
      </c>
      <c r="F97" t="s">
        <v>5036</v>
      </c>
      <c r="G97" s="3">
        <v>9161.9</v>
      </c>
      <c r="H97" s="3">
        <v>1191.05</v>
      </c>
      <c r="I97" s="3">
        <f>SUM(Tabla1[[#This Row],[Monto_Base]],H97)</f>
        <v>10352.949999999999</v>
      </c>
      <c r="J97" t="s">
        <v>5042</v>
      </c>
      <c r="K97" t="s">
        <v>5049</v>
      </c>
      <c r="L97" t="s">
        <v>5052</v>
      </c>
      <c r="M97" t="s">
        <v>5055</v>
      </c>
    </row>
    <row r="98" spans="1:13" x14ac:dyDescent="0.3">
      <c r="A98" s="1">
        <v>45633</v>
      </c>
      <c r="B98" s="1" t="str">
        <f>TEXT(Tabla1[[#This Row],[Fecha]],"MMMM")</f>
        <v>diciembre</v>
      </c>
      <c r="C98" t="s">
        <v>108</v>
      </c>
      <c r="D98" t="s">
        <v>5017</v>
      </c>
      <c r="E98" t="s">
        <v>5032</v>
      </c>
      <c r="F98" t="s">
        <v>5038</v>
      </c>
      <c r="G98" s="3">
        <v>6920.58</v>
      </c>
      <c r="H98" s="3">
        <v>0</v>
      </c>
      <c r="I98" s="3">
        <f>SUM(Tabla1[[#This Row],[Monto_Base]],H98)</f>
        <v>6920.58</v>
      </c>
      <c r="J98" t="s">
        <v>5045</v>
      </c>
      <c r="K98" t="s">
        <v>5048</v>
      </c>
      <c r="L98" t="s">
        <v>5051</v>
      </c>
      <c r="M98" t="s">
        <v>5054</v>
      </c>
    </row>
    <row r="99" spans="1:13" x14ac:dyDescent="0.3">
      <c r="A99" s="1">
        <v>45509</v>
      </c>
      <c r="B99" s="1" t="str">
        <f>TEXT(Tabla1[[#This Row],[Fecha]],"MMMM")</f>
        <v>agosto</v>
      </c>
      <c r="C99" t="s">
        <v>109</v>
      </c>
      <c r="D99" t="s">
        <v>5018</v>
      </c>
      <c r="E99" t="s">
        <v>5032</v>
      </c>
      <c r="F99" t="s">
        <v>5038</v>
      </c>
      <c r="G99" s="3">
        <v>9602.1299999999992</v>
      </c>
      <c r="H99" s="3">
        <v>0</v>
      </c>
      <c r="I99" s="3">
        <f>SUM(Tabla1[[#This Row],[Monto_Base]],H99)</f>
        <v>9602.1299999999992</v>
      </c>
      <c r="J99" t="s">
        <v>5044</v>
      </c>
      <c r="K99" t="s">
        <v>5048</v>
      </c>
      <c r="L99" t="s">
        <v>5051</v>
      </c>
      <c r="M99" t="s">
        <v>5054</v>
      </c>
    </row>
    <row r="100" spans="1:13" x14ac:dyDescent="0.3">
      <c r="A100" s="1">
        <v>45475</v>
      </c>
      <c r="B100" s="1" t="str">
        <f>TEXT(Tabla1[[#This Row],[Fecha]],"MMMM")</f>
        <v>julio</v>
      </c>
      <c r="C100" t="s">
        <v>110</v>
      </c>
      <c r="D100" t="s">
        <v>5025</v>
      </c>
      <c r="E100" t="s">
        <v>5033</v>
      </c>
      <c r="F100" t="s">
        <v>5034</v>
      </c>
      <c r="G100" s="3">
        <v>5751.4</v>
      </c>
      <c r="H100" s="3">
        <v>747.68</v>
      </c>
      <c r="I100" s="3">
        <f>SUM(Tabla1[[#This Row],[Monto_Base]],H100)</f>
        <v>6499.08</v>
      </c>
      <c r="J100" t="s">
        <v>5042</v>
      </c>
      <c r="K100" t="s">
        <v>5048</v>
      </c>
      <c r="L100" t="s">
        <v>5051</v>
      </c>
      <c r="M100" t="s">
        <v>5054</v>
      </c>
    </row>
    <row r="101" spans="1:13" x14ac:dyDescent="0.3">
      <c r="A101" s="1">
        <v>45546</v>
      </c>
      <c r="B101" s="1" t="str">
        <f>TEXT(Tabla1[[#This Row],[Fecha]],"MMMM")</f>
        <v>septiembre</v>
      </c>
      <c r="C101" t="s">
        <v>111</v>
      </c>
      <c r="D101" t="s">
        <v>5029</v>
      </c>
      <c r="E101" t="s">
        <v>5033</v>
      </c>
      <c r="F101" t="s">
        <v>5035</v>
      </c>
      <c r="G101" s="3">
        <v>13663.72</v>
      </c>
      <c r="H101" s="3">
        <v>1776.28</v>
      </c>
      <c r="I101" s="3">
        <f>SUM(Tabla1[[#This Row],[Monto_Base]],H101)</f>
        <v>15440</v>
      </c>
      <c r="J101" t="s">
        <v>5044</v>
      </c>
      <c r="K101" t="s">
        <v>5047</v>
      </c>
      <c r="L101" t="s">
        <v>5051</v>
      </c>
      <c r="M101" t="s">
        <v>5054</v>
      </c>
    </row>
    <row r="102" spans="1:13" x14ac:dyDescent="0.3">
      <c r="A102" s="1">
        <v>45613</v>
      </c>
      <c r="B102" s="1" t="str">
        <f>TEXT(Tabla1[[#This Row],[Fecha]],"MMMM")</f>
        <v>noviembre</v>
      </c>
      <c r="C102" t="s">
        <v>112</v>
      </c>
      <c r="D102" t="s">
        <v>5031</v>
      </c>
      <c r="E102" t="s">
        <v>5032</v>
      </c>
      <c r="F102" t="s">
        <v>5039</v>
      </c>
      <c r="G102" s="3">
        <v>9442.31</v>
      </c>
      <c r="H102" s="3">
        <v>0</v>
      </c>
      <c r="I102" s="3">
        <f>SUM(Tabla1[[#This Row],[Monto_Base]],H102)</f>
        <v>9442.31</v>
      </c>
      <c r="J102" t="s">
        <v>5045</v>
      </c>
      <c r="K102" t="s">
        <v>5048</v>
      </c>
      <c r="L102" t="s">
        <v>5050</v>
      </c>
      <c r="M102" t="s">
        <v>5054</v>
      </c>
    </row>
    <row r="103" spans="1:13" x14ac:dyDescent="0.3">
      <c r="A103" s="1">
        <v>45504</v>
      </c>
      <c r="B103" s="1" t="str">
        <f>TEXT(Tabla1[[#This Row],[Fecha]],"MMMM")</f>
        <v>julio</v>
      </c>
      <c r="C103" t="s">
        <v>113</v>
      </c>
      <c r="D103" t="s">
        <v>5028</v>
      </c>
      <c r="E103" t="s">
        <v>5033</v>
      </c>
      <c r="F103" t="s">
        <v>5038</v>
      </c>
      <c r="G103" s="3">
        <v>4934.45</v>
      </c>
      <c r="H103" s="3">
        <v>641.48</v>
      </c>
      <c r="I103" s="3">
        <f>SUM(Tabla1[[#This Row],[Monto_Base]],H103)</f>
        <v>5575.93</v>
      </c>
      <c r="J103" t="s">
        <v>5046</v>
      </c>
      <c r="K103" t="s">
        <v>5047</v>
      </c>
      <c r="L103" t="s">
        <v>5052</v>
      </c>
      <c r="M103" t="s">
        <v>5055</v>
      </c>
    </row>
    <row r="104" spans="1:13" x14ac:dyDescent="0.3">
      <c r="A104" s="1">
        <v>45443</v>
      </c>
      <c r="B104" s="1" t="str">
        <f>TEXT(Tabla1[[#This Row],[Fecha]],"MMMM")</f>
        <v>mayo</v>
      </c>
      <c r="C104" t="s">
        <v>114</v>
      </c>
      <c r="D104" t="s">
        <v>5028</v>
      </c>
      <c r="E104" t="s">
        <v>5032</v>
      </c>
      <c r="F104" t="s">
        <v>5041</v>
      </c>
      <c r="G104" s="3">
        <v>14512.39</v>
      </c>
      <c r="H104" s="3">
        <v>0</v>
      </c>
      <c r="I104" s="3">
        <f>SUM(Tabla1[[#This Row],[Monto_Base]],H104)</f>
        <v>14512.39</v>
      </c>
      <c r="J104" t="s">
        <v>5044</v>
      </c>
      <c r="K104" t="s">
        <v>5047</v>
      </c>
      <c r="L104" t="s">
        <v>5050</v>
      </c>
      <c r="M104" t="s">
        <v>5054</v>
      </c>
    </row>
    <row r="105" spans="1:13" x14ac:dyDescent="0.3">
      <c r="A105" s="1">
        <v>45494</v>
      </c>
      <c r="B105" s="1" t="str">
        <f>TEXT(Tabla1[[#This Row],[Fecha]],"MMMM")</f>
        <v>julio</v>
      </c>
      <c r="C105" t="s">
        <v>115</v>
      </c>
      <c r="D105" t="s">
        <v>5017</v>
      </c>
      <c r="E105" t="s">
        <v>5032</v>
      </c>
      <c r="F105" t="s">
        <v>5040</v>
      </c>
      <c r="G105" s="3">
        <v>1400.03</v>
      </c>
      <c r="H105" s="3">
        <v>0</v>
      </c>
      <c r="I105" s="3">
        <f>SUM(Tabla1[[#This Row],[Monto_Base]],H105)</f>
        <v>1400.03</v>
      </c>
      <c r="J105" t="s">
        <v>5045</v>
      </c>
      <c r="K105" t="s">
        <v>5048</v>
      </c>
      <c r="L105" t="s">
        <v>5053</v>
      </c>
      <c r="M105" t="s">
        <v>5055</v>
      </c>
    </row>
    <row r="106" spans="1:13" x14ac:dyDescent="0.3">
      <c r="A106" s="1">
        <v>45411</v>
      </c>
      <c r="B106" s="1" t="str">
        <f>TEXT(Tabla1[[#This Row],[Fecha]],"MMMM")</f>
        <v>abril</v>
      </c>
      <c r="C106" t="s">
        <v>116</v>
      </c>
      <c r="D106" t="s">
        <v>5029</v>
      </c>
      <c r="E106" t="s">
        <v>5032</v>
      </c>
      <c r="F106" t="s">
        <v>5040</v>
      </c>
      <c r="G106" s="3">
        <v>1669.77</v>
      </c>
      <c r="H106" s="3">
        <v>0</v>
      </c>
      <c r="I106" s="3">
        <f>SUM(Tabla1[[#This Row],[Monto_Base]],H106)</f>
        <v>1669.77</v>
      </c>
      <c r="J106" t="s">
        <v>5043</v>
      </c>
      <c r="K106" t="s">
        <v>5047</v>
      </c>
      <c r="L106" t="s">
        <v>5051</v>
      </c>
      <c r="M106" t="s">
        <v>5054</v>
      </c>
    </row>
    <row r="107" spans="1:13" x14ac:dyDescent="0.3">
      <c r="A107" s="1">
        <v>45315</v>
      </c>
      <c r="B107" s="1" t="str">
        <f>TEXT(Tabla1[[#This Row],[Fecha]],"MMMM")</f>
        <v>enero</v>
      </c>
      <c r="C107" t="s">
        <v>117</v>
      </c>
      <c r="D107" t="s">
        <v>5018</v>
      </c>
      <c r="E107" t="s">
        <v>5032</v>
      </c>
      <c r="F107" t="s">
        <v>5037</v>
      </c>
      <c r="G107" s="3">
        <v>1794.31</v>
      </c>
      <c r="H107" s="3">
        <v>0</v>
      </c>
      <c r="I107" s="3">
        <f>SUM(Tabla1[[#This Row],[Monto_Base]],H107)</f>
        <v>1794.31</v>
      </c>
      <c r="J107" t="s">
        <v>5045</v>
      </c>
      <c r="K107" t="s">
        <v>5048</v>
      </c>
      <c r="L107" t="s">
        <v>5050</v>
      </c>
      <c r="M107" t="s">
        <v>5054</v>
      </c>
    </row>
    <row r="108" spans="1:13" x14ac:dyDescent="0.3">
      <c r="A108" s="1">
        <v>45635</v>
      </c>
      <c r="B108" s="1" t="str">
        <f>TEXT(Tabla1[[#This Row],[Fecha]],"MMMM")</f>
        <v>diciembre</v>
      </c>
      <c r="C108" t="s">
        <v>118</v>
      </c>
      <c r="D108" t="s">
        <v>5017</v>
      </c>
      <c r="E108" t="s">
        <v>5033</v>
      </c>
      <c r="F108" t="s">
        <v>5037</v>
      </c>
      <c r="G108" s="3">
        <v>6831.97</v>
      </c>
      <c r="H108" s="3">
        <v>888.16</v>
      </c>
      <c r="I108" s="3">
        <f>SUM(Tabla1[[#This Row],[Monto_Base]],H108)</f>
        <v>7720.13</v>
      </c>
      <c r="J108" t="s">
        <v>5042</v>
      </c>
      <c r="K108" t="s">
        <v>5048</v>
      </c>
      <c r="L108" t="s">
        <v>5052</v>
      </c>
      <c r="M108" t="s">
        <v>5055</v>
      </c>
    </row>
    <row r="109" spans="1:13" x14ac:dyDescent="0.3">
      <c r="A109" s="1">
        <v>45481</v>
      </c>
      <c r="B109" s="1" t="str">
        <f>TEXT(Tabla1[[#This Row],[Fecha]],"MMMM")</f>
        <v>julio</v>
      </c>
      <c r="C109" t="s">
        <v>119</v>
      </c>
      <c r="D109" t="s">
        <v>5018</v>
      </c>
      <c r="E109" t="s">
        <v>5032</v>
      </c>
      <c r="F109" t="s">
        <v>5038</v>
      </c>
      <c r="G109" s="3">
        <v>539.11</v>
      </c>
      <c r="H109" s="3">
        <v>0</v>
      </c>
      <c r="I109" s="3">
        <f>SUM(Tabla1[[#This Row],[Monto_Base]],H109)</f>
        <v>539.11</v>
      </c>
      <c r="J109" t="s">
        <v>5046</v>
      </c>
      <c r="K109" t="s">
        <v>5048</v>
      </c>
      <c r="L109" t="s">
        <v>5050</v>
      </c>
      <c r="M109" t="s">
        <v>5054</v>
      </c>
    </row>
    <row r="110" spans="1:13" x14ac:dyDescent="0.3">
      <c r="A110" s="1">
        <v>45433</v>
      </c>
      <c r="B110" s="1" t="str">
        <f>TEXT(Tabla1[[#This Row],[Fecha]],"MMMM")</f>
        <v>mayo</v>
      </c>
      <c r="C110" t="s">
        <v>120</v>
      </c>
      <c r="D110" t="s">
        <v>5030</v>
      </c>
      <c r="E110" t="s">
        <v>5032</v>
      </c>
      <c r="F110" t="s">
        <v>5040</v>
      </c>
      <c r="G110" s="3">
        <v>955.22</v>
      </c>
      <c r="H110" s="3">
        <v>0</v>
      </c>
      <c r="I110" s="3">
        <f>SUM(Tabla1[[#This Row],[Monto_Base]],H110)</f>
        <v>955.22</v>
      </c>
      <c r="J110" t="s">
        <v>5046</v>
      </c>
      <c r="K110" t="s">
        <v>5047</v>
      </c>
      <c r="L110" t="s">
        <v>5050</v>
      </c>
      <c r="M110" t="s">
        <v>5054</v>
      </c>
    </row>
    <row r="111" spans="1:13" x14ac:dyDescent="0.3">
      <c r="A111" s="1">
        <v>45416</v>
      </c>
      <c r="B111" s="1" t="str">
        <f>TEXT(Tabla1[[#This Row],[Fecha]],"MMMM")</f>
        <v>mayo</v>
      </c>
      <c r="C111" t="s">
        <v>121</v>
      </c>
      <c r="D111" t="s">
        <v>5031</v>
      </c>
      <c r="E111" t="s">
        <v>5033</v>
      </c>
      <c r="F111" t="s">
        <v>5035</v>
      </c>
      <c r="G111" s="3">
        <v>11812.58</v>
      </c>
      <c r="H111" s="3">
        <v>1535.64</v>
      </c>
      <c r="I111" s="3">
        <f>SUM(Tabla1[[#This Row],[Monto_Base]],H111)</f>
        <v>13348.22</v>
      </c>
      <c r="J111" t="s">
        <v>5046</v>
      </c>
      <c r="K111" t="s">
        <v>5049</v>
      </c>
      <c r="L111" t="s">
        <v>5052</v>
      </c>
      <c r="M111" t="s">
        <v>5054</v>
      </c>
    </row>
    <row r="112" spans="1:13" x14ac:dyDescent="0.3">
      <c r="A112" s="1">
        <v>45367</v>
      </c>
      <c r="B112" s="1" t="str">
        <f>TEXT(Tabla1[[#This Row],[Fecha]],"MMMM")</f>
        <v>marzo</v>
      </c>
      <c r="C112" t="s">
        <v>122</v>
      </c>
      <c r="D112" t="s">
        <v>5031</v>
      </c>
      <c r="E112" t="s">
        <v>5033</v>
      </c>
      <c r="F112" t="s">
        <v>5034</v>
      </c>
      <c r="G112" s="3">
        <v>4961.97</v>
      </c>
      <c r="H112" s="3">
        <v>645.05999999999995</v>
      </c>
      <c r="I112" s="3">
        <f>SUM(Tabla1[[#This Row],[Monto_Base]],H112)</f>
        <v>5607.0300000000007</v>
      </c>
      <c r="J112" t="s">
        <v>5042</v>
      </c>
      <c r="K112" t="s">
        <v>5047</v>
      </c>
      <c r="L112" t="s">
        <v>5051</v>
      </c>
      <c r="M112" t="s">
        <v>5054</v>
      </c>
    </row>
    <row r="113" spans="1:13" x14ac:dyDescent="0.3">
      <c r="A113" s="1">
        <v>45305</v>
      </c>
      <c r="B113" s="1" t="str">
        <f>TEXT(Tabla1[[#This Row],[Fecha]],"MMMM")</f>
        <v>enero</v>
      </c>
      <c r="C113" t="s">
        <v>123</v>
      </c>
      <c r="D113" t="s">
        <v>5023</v>
      </c>
      <c r="E113" t="s">
        <v>5032</v>
      </c>
      <c r="F113" t="s">
        <v>5039</v>
      </c>
      <c r="G113" s="3">
        <v>1693.4</v>
      </c>
      <c r="H113" s="3">
        <v>0</v>
      </c>
      <c r="I113" s="3">
        <f>SUM(Tabla1[[#This Row],[Monto_Base]],H113)</f>
        <v>1693.4</v>
      </c>
      <c r="J113" t="s">
        <v>5046</v>
      </c>
      <c r="K113" t="s">
        <v>5047</v>
      </c>
      <c r="L113" t="s">
        <v>5051</v>
      </c>
      <c r="M113" t="s">
        <v>5054</v>
      </c>
    </row>
    <row r="114" spans="1:13" x14ac:dyDescent="0.3">
      <c r="A114" s="1">
        <v>45507</v>
      </c>
      <c r="B114" s="1" t="str">
        <f>TEXT(Tabla1[[#This Row],[Fecha]],"MMMM")</f>
        <v>agosto</v>
      </c>
      <c r="C114" t="s">
        <v>124</v>
      </c>
      <c r="D114" t="s">
        <v>5022</v>
      </c>
      <c r="E114" t="s">
        <v>5033</v>
      </c>
      <c r="F114" t="s">
        <v>5038</v>
      </c>
      <c r="G114" s="3">
        <v>833.37</v>
      </c>
      <c r="H114" s="3">
        <v>108.34</v>
      </c>
      <c r="I114" s="3">
        <f>SUM(Tabla1[[#This Row],[Monto_Base]],H114)</f>
        <v>941.71</v>
      </c>
      <c r="J114" t="s">
        <v>5042</v>
      </c>
      <c r="K114" t="s">
        <v>5047</v>
      </c>
      <c r="L114" t="s">
        <v>5053</v>
      </c>
      <c r="M114" t="s">
        <v>5055</v>
      </c>
    </row>
    <row r="115" spans="1:13" x14ac:dyDescent="0.3">
      <c r="A115" s="1">
        <v>45606</v>
      </c>
      <c r="B115" s="1" t="str">
        <f>TEXT(Tabla1[[#This Row],[Fecha]],"MMMM")</f>
        <v>noviembre</v>
      </c>
      <c r="C115" t="s">
        <v>125</v>
      </c>
      <c r="D115" t="s">
        <v>5020</v>
      </c>
      <c r="E115" t="s">
        <v>5033</v>
      </c>
      <c r="F115" t="s">
        <v>5041</v>
      </c>
      <c r="G115" s="3">
        <v>7582.39</v>
      </c>
      <c r="H115" s="3">
        <v>985.71</v>
      </c>
      <c r="I115" s="3">
        <f>SUM(Tabla1[[#This Row],[Monto_Base]],H115)</f>
        <v>8568.1</v>
      </c>
      <c r="J115" t="s">
        <v>5045</v>
      </c>
      <c r="K115" t="s">
        <v>5049</v>
      </c>
      <c r="L115" t="s">
        <v>5051</v>
      </c>
      <c r="M115" t="s">
        <v>5055</v>
      </c>
    </row>
    <row r="116" spans="1:13" x14ac:dyDescent="0.3">
      <c r="A116" s="1">
        <v>45347</v>
      </c>
      <c r="B116" s="1" t="str">
        <f>TEXT(Tabla1[[#This Row],[Fecha]],"MMMM")</f>
        <v>febrero</v>
      </c>
      <c r="C116" t="s">
        <v>126</v>
      </c>
      <c r="D116" t="s">
        <v>5012</v>
      </c>
      <c r="E116" t="s">
        <v>5032</v>
      </c>
      <c r="F116" t="s">
        <v>5037</v>
      </c>
      <c r="G116" s="3">
        <v>6422.79</v>
      </c>
      <c r="H116" s="3">
        <v>0</v>
      </c>
      <c r="I116" s="3">
        <f>SUM(Tabla1[[#This Row],[Monto_Base]],H116)</f>
        <v>6422.79</v>
      </c>
      <c r="J116" t="s">
        <v>5043</v>
      </c>
      <c r="K116" t="s">
        <v>5049</v>
      </c>
      <c r="L116" t="s">
        <v>5050</v>
      </c>
      <c r="M116" t="s">
        <v>5054</v>
      </c>
    </row>
    <row r="117" spans="1:13" x14ac:dyDescent="0.3">
      <c r="A117" s="1">
        <v>45611</v>
      </c>
      <c r="B117" s="1" t="str">
        <f>TEXT(Tabla1[[#This Row],[Fecha]],"MMMM")</f>
        <v>noviembre</v>
      </c>
      <c r="C117" t="s">
        <v>127</v>
      </c>
      <c r="D117" t="s">
        <v>5015</v>
      </c>
      <c r="E117" t="s">
        <v>5033</v>
      </c>
      <c r="F117" t="s">
        <v>5036</v>
      </c>
      <c r="G117" s="3">
        <v>1936.56</v>
      </c>
      <c r="H117" s="3">
        <v>251.75</v>
      </c>
      <c r="I117" s="3">
        <f>SUM(Tabla1[[#This Row],[Monto_Base]],H117)</f>
        <v>2188.31</v>
      </c>
      <c r="J117" t="s">
        <v>5042</v>
      </c>
      <c r="K117" t="s">
        <v>5049</v>
      </c>
      <c r="L117" t="s">
        <v>5051</v>
      </c>
      <c r="M117" t="s">
        <v>5055</v>
      </c>
    </row>
    <row r="118" spans="1:13" x14ac:dyDescent="0.3">
      <c r="A118" s="1">
        <v>45350</v>
      </c>
      <c r="B118" s="1" t="str">
        <f>TEXT(Tabla1[[#This Row],[Fecha]],"MMMM")</f>
        <v>febrero</v>
      </c>
      <c r="C118" t="s">
        <v>128</v>
      </c>
      <c r="D118" t="s">
        <v>5025</v>
      </c>
      <c r="E118" t="s">
        <v>5032</v>
      </c>
      <c r="F118" t="s">
        <v>5036</v>
      </c>
      <c r="G118" s="3">
        <v>11906.79</v>
      </c>
      <c r="H118" s="3">
        <v>0</v>
      </c>
      <c r="I118" s="3">
        <f>SUM(Tabla1[[#This Row],[Monto_Base]],H118)</f>
        <v>11906.79</v>
      </c>
      <c r="J118" t="s">
        <v>5042</v>
      </c>
      <c r="K118" t="s">
        <v>5049</v>
      </c>
      <c r="L118" t="s">
        <v>5052</v>
      </c>
      <c r="M118" t="s">
        <v>5055</v>
      </c>
    </row>
    <row r="119" spans="1:13" x14ac:dyDescent="0.3">
      <c r="A119" s="1">
        <v>45496</v>
      </c>
      <c r="B119" s="1" t="str">
        <f>TEXT(Tabla1[[#This Row],[Fecha]],"MMMM")</f>
        <v>julio</v>
      </c>
      <c r="C119" t="s">
        <v>129</v>
      </c>
      <c r="D119" t="s">
        <v>5024</v>
      </c>
      <c r="E119" t="s">
        <v>5032</v>
      </c>
      <c r="F119" t="s">
        <v>5040</v>
      </c>
      <c r="G119" s="3">
        <v>12419.92</v>
      </c>
      <c r="H119" s="3">
        <v>0</v>
      </c>
      <c r="I119" s="3">
        <f>SUM(Tabla1[[#This Row],[Monto_Base]],H119)</f>
        <v>12419.92</v>
      </c>
      <c r="J119" t="s">
        <v>5043</v>
      </c>
      <c r="K119" t="s">
        <v>5049</v>
      </c>
      <c r="L119" t="s">
        <v>5053</v>
      </c>
      <c r="M119" t="s">
        <v>5055</v>
      </c>
    </row>
    <row r="120" spans="1:13" x14ac:dyDescent="0.3">
      <c r="A120" s="1">
        <v>45643</v>
      </c>
      <c r="B120" s="1" t="str">
        <f>TEXT(Tabla1[[#This Row],[Fecha]],"MMMM")</f>
        <v>diciembre</v>
      </c>
      <c r="C120" t="s">
        <v>130</v>
      </c>
      <c r="D120" t="s">
        <v>5020</v>
      </c>
      <c r="E120" t="s">
        <v>5032</v>
      </c>
      <c r="F120" t="s">
        <v>5040</v>
      </c>
      <c r="G120" s="3">
        <v>14306.21</v>
      </c>
      <c r="H120" s="3">
        <v>0</v>
      </c>
      <c r="I120" s="3">
        <f>SUM(Tabla1[[#This Row],[Monto_Base]],H120)</f>
        <v>14306.21</v>
      </c>
      <c r="J120" t="s">
        <v>5043</v>
      </c>
      <c r="K120" t="s">
        <v>5047</v>
      </c>
      <c r="L120" t="s">
        <v>5053</v>
      </c>
      <c r="M120" t="s">
        <v>5054</v>
      </c>
    </row>
    <row r="121" spans="1:13" x14ac:dyDescent="0.3">
      <c r="A121" s="1">
        <v>45576</v>
      </c>
      <c r="B121" s="1" t="str">
        <f>TEXT(Tabla1[[#This Row],[Fecha]],"MMMM")</f>
        <v>octubre</v>
      </c>
      <c r="C121" t="s">
        <v>131</v>
      </c>
      <c r="D121" t="s">
        <v>5027</v>
      </c>
      <c r="E121" t="s">
        <v>5033</v>
      </c>
      <c r="F121" t="s">
        <v>5040</v>
      </c>
      <c r="G121" s="3">
        <v>12185.95</v>
      </c>
      <c r="H121" s="3">
        <v>1584.17</v>
      </c>
      <c r="I121" s="3">
        <f>SUM(Tabla1[[#This Row],[Monto_Base]],H121)</f>
        <v>13770.12</v>
      </c>
      <c r="J121" t="s">
        <v>5045</v>
      </c>
      <c r="K121" t="s">
        <v>5049</v>
      </c>
      <c r="L121" t="s">
        <v>5051</v>
      </c>
      <c r="M121" t="s">
        <v>5054</v>
      </c>
    </row>
    <row r="122" spans="1:13" x14ac:dyDescent="0.3">
      <c r="A122" s="1">
        <v>45599</v>
      </c>
      <c r="B122" s="1" t="str">
        <f>TEXT(Tabla1[[#This Row],[Fecha]],"MMMM")</f>
        <v>noviembre</v>
      </c>
      <c r="C122" t="s">
        <v>132</v>
      </c>
      <c r="D122" t="s">
        <v>5020</v>
      </c>
      <c r="E122" t="s">
        <v>5032</v>
      </c>
      <c r="F122" t="s">
        <v>5035</v>
      </c>
      <c r="G122" s="3">
        <v>14527.56</v>
      </c>
      <c r="H122" s="3">
        <v>0</v>
      </c>
      <c r="I122" s="3">
        <f>SUM(Tabla1[[#This Row],[Monto_Base]],H122)</f>
        <v>14527.56</v>
      </c>
      <c r="J122" t="s">
        <v>5044</v>
      </c>
      <c r="K122" t="s">
        <v>5048</v>
      </c>
      <c r="L122" t="s">
        <v>5053</v>
      </c>
      <c r="M122" t="s">
        <v>5054</v>
      </c>
    </row>
    <row r="123" spans="1:13" x14ac:dyDescent="0.3">
      <c r="A123" s="1">
        <v>45576</v>
      </c>
      <c r="B123" s="1" t="str">
        <f>TEXT(Tabla1[[#This Row],[Fecha]],"MMMM")</f>
        <v>octubre</v>
      </c>
      <c r="C123" t="s">
        <v>133</v>
      </c>
      <c r="D123" t="s">
        <v>5018</v>
      </c>
      <c r="E123" t="s">
        <v>5033</v>
      </c>
      <c r="F123" t="s">
        <v>5036</v>
      </c>
      <c r="G123" s="3">
        <v>5284.2</v>
      </c>
      <c r="H123" s="3">
        <v>686.95</v>
      </c>
      <c r="I123" s="3">
        <f>SUM(Tabla1[[#This Row],[Monto_Base]],H123)</f>
        <v>5971.15</v>
      </c>
      <c r="J123" t="s">
        <v>5044</v>
      </c>
      <c r="K123" t="s">
        <v>5047</v>
      </c>
      <c r="L123" t="s">
        <v>5051</v>
      </c>
      <c r="M123" t="s">
        <v>5054</v>
      </c>
    </row>
    <row r="124" spans="1:13" x14ac:dyDescent="0.3">
      <c r="A124" s="1">
        <v>45431</v>
      </c>
      <c r="B124" s="1" t="str">
        <f>TEXT(Tabla1[[#This Row],[Fecha]],"MMMM")</f>
        <v>mayo</v>
      </c>
      <c r="C124" t="s">
        <v>134</v>
      </c>
      <c r="D124" t="s">
        <v>5016</v>
      </c>
      <c r="E124" t="s">
        <v>5033</v>
      </c>
      <c r="F124" t="s">
        <v>5038</v>
      </c>
      <c r="G124" s="3">
        <v>482.85</v>
      </c>
      <c r="H124" s="3">
        <v>62.77</v>
      </c>
      <c r="I124" s="3">
        <f>SUM(Tabla1[[#This Row],[Monto_Base]],H124)</f>
        <v>545.62</v>
      </c>
      <c r="J124" t="s">
        <v>5044</v>
      </c>
      <c r="K124" t="s">
        <v>5048</v>
      </c>
      <c r="L124" t="s">
        <v>5051</v>
      </c>
      <c r="M124" t="s">
        <v>5054</v>
      </c>
    </row>
    <row r="125" spans="1:13" x14ac:dyDescent="0.3">
      <c r="A125" s="1">
        <v>45616</v>
      </c>
      <c r="B125" s="1" t="str">
        <f>TEXT(Tabla1[[#This Row],[Fecha]],"MMMM")</f>
        <v>noviembre</v>
      </c>
      <c r="C125" t="s">
        <v>135</v>
      </c>
      <c r="D125" t="s">
        <v>5026</v>
      </c>
      <c r="E125" t="s">
        <v>5032</v>
      </c>
      <c r="F125" t="s">
        <v>5036</v>
      </c>
      <c r="G125" s="3">
        <v>2171.0300000000002</v>
      </c>
      <c r="H125" s="3">
        <v>0</v>
      </c>
      <c r="I125" s="3">
        <f>SUM(Tabla1[[#This Row],[Monto_Base]],H125)</f>
        <v>2171.0300000000002</v>
      </c>
      <c r="J125" t="s">
        <v>5045</v>
      </c>
      <c r="K125" t="s">
        <v>5047</v>
      </c>
      <c r="L125" t="s">
        <v>5052</v>
      </c>
      <c r="M125" t="s">
        <v>5055</v>
      </c>
    </row>
    <row r="126" spans="1:13" x14ac:dyDescent="0.3">
      <c r="A126" s="1">
        <v>45458</v>
      </c>
      <c r="B126" s="1" t="str">
        <f>TEXT(Tabla1[[#This Row],[Fecha]],"MMMM")</f>
        <v>junio</v>
      </c>
      <c r="C126" t="s">
        <v>136</v>
      </c>
      <c r="D126" t="s">
        <v>5025</v>
      </c>
      <c r="E126" t="s">
        <v>5032</v>
      </c>
      <c r="F126" t="s">
        <v>5039</v>
      </c>
      <c r="G126" s="3">
        <v>5582.29</v>
      </c>
      <c r="H126" s="3">
        <v>0</v>
      </c>
      <c r="I126" s="3">
        <f>SUM(Tabla1[[#This Row],[Monto_Base]],H126)</f>
        <v>5582.29</v>
      </c>
      <c r="J126" t="s">
        <v>5042</v>
      </c>
      <c r="K126" t="s">
        <v>5049</v>
      </c>
      <c r="L126" t="s">
        <v>5053</v>
      </c>
      <c r="M126" t="s">
        <v>5054</v>
      </c>
    </row>
    <row r="127" spans="1:13" x14ac:dyDescent="0.3">
      <c r="A127" s="1">
        <v>45630</v>
      </c>
      <c r="B127" s="1" t="str">
        <f>TEXT(Tabla1[[#This Row],[Fecha]],"MMMM")</f>
        <v>diciembre</v>
      </c>
      <c r="C127" t="s">
        <v>137</v>
      </c>
      <c r="D127" t="s">
        <v>5026</v>
      </c>
      <c r="E127" t="s">
        <v>5033</v>
      </c>
      <c r="F127" t="s">
        <v>5036</v>
      </c>
      <c r="G127" s="3">
        <v>4117.9399999999996</v>
      </c>
      <c r="H127" s="3">
        <v>535.33000000000004</v>
      </c>
      <c r="I127" s="3">
        <f>SUM(Tabla1[[#This Row],[Monto_Base]],H127)</f>
        <v>4653.2699999999995</v>
      </c>
      <c r="J127" t="s">
        <v>5043</v>
      </c>
      <c r="K127" t="s">
        <v>5048</v>
      </c>
      <c r="L127" t="s">
        <v>5050</v>
      </c>
      <c r="M127" t="s">
        <v>5055</v>
      </c>
    </row>
    <row r="128" spans="1:13" x14ac:dyDescent="0.3">
      <c r="A128" s="1">
        <v>45437</v>
      </c>
      <c r="B128" s="1" t="str">
        <f>TEXT(Tabla1[[#This Row],[Fecha]],"MMMM")</f>
        <v>mayo</v>
      </c>
      <c r="C128" t="s">
        <v>138</v>
      </c>
      <c r="D128" t="s">
        <v>5024</v>
      </c>
      <c r="E128" t="s">
        <v>5033</v>
      </c>
      <c r="F128" t="s">
        <v>5040</v>
      </c>
      <c r="G128" s="3">
        <v>6477.21</v>
      </c>
      <c r="H128" s="3">
        <v>842.04</v>
      </c>
      <c r="I128" s="3">
        <f>SUM(Tabla1[[#This Row],[Monto_Base]],H128)</f>
        <v>7319.25</v>
      </c>
      <c r="J128" t="s">
        <v>5042</v>
      </c>
      <c r="K128" t="s">
        <v>5048</v>
      </c>
      <c r="L128" t="s">
        <v>5051</v>
      </c>
      <c r="M128" t="s">
        <v>5054</v>
      </c>
    </row>
    <row r="129" spans="1:13" x14ac:dyDescent="0.3">
      <c r="A129" s="1">
        <v>45400</v>
      </c>
      <c r="B129" s="1" t="str">
        <f>TEXT(Tabla1[[#This Row],[Fecha]],"MMMM")</f>
        <v>abril</v>
      </c>
      <c r="C129" t="s">
        <v>139</v>
      </c>
      <c r="D129" t="s">
        <v>5027</v>
      </c>
      <c r="E129" t="s">
        <v>5033</v>
      </c>
      <c r="F129" t="s">
        <v>5035</v>
      </c>
      <c r="G129" s="3">
        <v>3106.13</v>
      </c>
      <c r="H129" s="3">
        <v>403.8</v>
      </c>
      <c r="I129" s="3">
        <f>SUM(Tabla1[[#This Row],[Monto_Base]],H129)</f>
        <v>3509.9300000000003</v>
      </c>
      <c r="J129" t="s">
        <v>5046</v>
      </c>
      <c r="K129" t="s">
        <v>5048</v>
      </c>
      <c r="L129" t="s">
        <v>5051</v>
      </c>
      <c r="M129" t="s">
        <v>5055</v>
      </c>
    </row>
    <row r="130" spans="1:13" x14ac:dyDescent="0.3">
      <c r="A130" s="1">
        <v>45486</v>
      </c>
      <c r="B130" s="1" t="str">
        <f>TEXT(Tabla1[[#This Row],[Fecha]],"MMMM")</f>
        <v>julio</v>
      </c>
      <c r="C130" t="s">
        <v>140</v>
      </c>
      <c r="D130" t="s">
        <v>5012</v>
      </c>
      <c r="E130" t="s">
        <v>5032</v>
      </c>
      <c r="F130" t="s">
        <v>5037</v>
      </c>
      <c r="G130" s="3">
        <v>2676.64</v>
      </c>
      <c r="H130" s="3">
        <v>0</v>
      </c>
      <c r="I130" s="3">
        <f>SUM(Tabla1[[#This Row],[Monto_Base]],H130)</f>
        <v>2676.64</v>
      </c>
      <c r="J130" t="s">
        <v>5042</v>
      </c>
      <c r="K130" t="s">
        <v>5049</v>
      </c>
      <c r="L130" t="s">
        <v>5052</v>
      </c>
      <c r="M130" t="s">
        <v>5055</v>
      </c>
    </row>
    <row r="131" spans="1:13" x14ac:dyDescent="0.3">
      <c r="A131" s="1">
        <v>45331</v>
      </c>
      <c r="B131" s="1" t="str">
        <f>TEXT(Tabla1[[#This Row],[Fecha]],"MMMM")</f>
        <v>febrero</v>
      </c>
      <c r="C131" t="s">
        <v>141</v>
      </c>
      <c r="D131" t="s">
        <v>5027</v>
      </c>
      <c r="E131" t="s">
        <v>5033</v>
      </c>
      <c r="F131" t="s">
        <v>5037</v>
      </c>
      <c r="G131" s="3">
        <v>330.19</v>
      </c>
      <c r="H131" s="3">
        <v>42.92</v>
      </c>
      <c r="I131" s="3">
        <f>SUM(Tabla1[[#This Row],[Monto_Base]],H131)</f>
        <v>373.11</v>
      </c>
      <c r="J131" t="s">
        <v>5044</v>
      </c>
      <c r="K131" t="s">
        <v>5049</v>
      </c>
      <c r="L131" t="s">
        <v>5050</v>
      </c>
      <c r="M131" t="s">
        <v>5055</v>
      </c>
    </row>
    <row r="132" spans="1:13" x14ac:dyDescent="0.3">
      <c r="A132" s="1">
        <v>45458</v>
      </c>
      <c r="B132" s="1" t="str">
        <f>TEXT(Tabla1[[#This Row],[Fecha]],"MMMM")</f>
        <v>junio</v>
      </c>
      <c r="C132" t="s">
        <v>142</v>
      </c>
      <c r="D132" t="s">
        <v>5029</v>
      </c>
      <c r="E132" t="s">
        <v>5033</v>
      </c>
      <c r="F132" t="s">
        <v>5037</v>
      </c>
      <c r="G132" s="3">
        <v>361.81</v>
      </c>
      <c r="H132" s="3">
        <v>47.04</v>
      </c>
      <c r="I132" s="3">
        <f>SUM(Tabla1[[#This Row],[Monto_Base]],H132)</f>
        <v>408.85</v>
      </c>
      <c r="J132" t="s">
        <v>5046</v>
      </c>
      <c r="K132" t="s">
        <v>5049</v>
      </c>
      <c r="L132" t="s">
        <v>5050</v>
      </c>
      <c r="M132" t="s">
        <v>5055</v>
      </c>
    </row>
    <row r="133" spans="1:13" x14ac:dyDescent="0.3">
      <c r="A133" s="1">
        <v>45497</v>
      </c>
      <c r="B133" s="1" t="str">
        <f>TEXT(Tabla1[[#This Row],[Fecha]],"MMMM")</f>
        <v>julio</v>
      </c>
      <c r="C133" t="s">
        <v>143</v>
      </c>
      <c r="D133" t="s">
        <v>5027</v>
      </c>
      <c r="E133" t="s">
        <v>5033</v>
      </c>
      <c r="F133" t="s">
        <v>5034</v>
      </c>
      <c r="G133" s="3">
        <v>6563.36</v>
      </c>
      <c r="H133" s="3">
        <v>853.24</v>
      </c>
      <c r="I133" s="3">
        <f>SUM(Tabla1[[#This Row],[Monto_Base]],H133)</f>
        <v>7416.5999999999995</v>
      </c>
      <c r="J133" t="s">
        <v>5042</v>
      </c>
      <c r="K133" t="s">
        <v>5047</v>
      </c>
      <c r="L133" t="s">
        <v>5050</v>
      </c>
      <c r="M133" t="s">
        <v>5055</v>
      </c>
    </row>
    <row r="134" spans="1:13" x14ac:dyDescent="0.3">
      <c r="A134" s="1">
        <v>45616</v>
      </c>
      <c r="B134" s="1" t="str">
        <f>TEXT(Tabla1[[#This Row],[Fecha]],"MMMM")</f>
        <v>noviembre</v>
      </c>
      <c r="C134" t="s">
        <v>144</v>
      </c>
      <c r="D134" t="s">
        <v>5024</v>
      </c>
      <c r="E134" t="s">
        <v>5032</v>
      </c>
      <c r="F134" t="s">
        <v>5039</v>
      </c>
      <c r="G134" s="3">
        <v>1191.8699999999999</v>
      </c>
      <c r="H134" s="3">
        <v>0</v>
      </c>
      <c r="I134" s="3">
        <f>SUM(Tabla1[[#This Row],[Monto_Base]],H134)</f>
        <v>1191.8699999999999</v>
      </c>
      <c r="J134" t="s">
        <v>5045</v>
      </c>
      <c r="K134" t="s">
        <v>5049</v>
      </c>
      <c r="L134" t="s">
        <v>5052</v>
      </c>
      <c r="M134" t="s">
        <v>5055</v>
      </c>
    </row>
    <row r="135" spans="1:13" x14ac:dyDescent="0.3">
      <c r="A135" s="1">
        <v>45393</v>
      </c>
      <c r="B135" s="1" t="str">
        <f>TEXT(Tabla1[[#This Row],[Fecha]],"MMMM")</f>
        <v>abril</v>
      </c>
      <c r="C135" t="s">
        <v>145</v>
      </c>
      <c r="D135" t="s">
        <v>5028</v>
      </c>
      <c r="E135" t="s">
        <v>5033</v>
      </c>
      <c r="F135" t="s">
        <v>5036</v>
      </c>
      <c r="G135" s="3">
        <v>2239.34</v>
      </c>
      <c r="H135" s="3">
        <v>291.11</v>
      </c>
      <c r="I135" s="3">
        <f>SUM(Tabla1[[#This Row],[Monto_Base]],H135)</f>
        <v>2530.4500000000003</v>
      </c>
      <c r="J135" t="s">
        <v>5046</v>
      </c>
      <c r="K135" t="s">
        <v>5049</v>
      </c>
      <c r="L135" t="s">
        <v>5052</v>
      </c>
      <c r="M135" t="s">
        <v>5054</v>
      </c>
    </row>
    <row r="136" spans="1:13" x14ac:dyDescent="0.3">
      <c r="A136" s="1">
        <v>45581</v>
      </c>
      <c r="B136" s="1" t="str">
        <f>TEXT(Tabla1[[#This Row],[Fecha]],"MMMM")</f>
        <v>octubre</v>
      </c>
      <c r="C136" t="s">
        <v>146</v>
      </c>
      <c r="D136" t="s">
        <v>5018</v>
      </c>
      <c r="E136" t="s">
        <v>5032</v>
      </c>
      <c r="F136" t="s">
        <v>5041</v>
      </c>
      <c r="G136" s="3">
        <v>10232.950000000001</v>
      </c>
      <c r="H136" s="3">
        <v>0</v>
      </c>
      <c r="I136" s="3">
        <f>SUM(Tabla1[[#This Row],[Monto_Base]],H136)</f>
        <v>10232.950000000001</v>
      </c>
      <c r="J136" t="s">
        <v>5042</v>
      </c>
      <c r="K136" t="s">
        <v>5048</v>
      </c>
      <c r="L136" t="s">
        <v>5051</v>
      </c>
      <c r="M136" t="s">
        <v>5054</v>
      </c>
    </row>
    <row r="137" spans="1:13" x14ac:dyDescent="0.3">
      <c r="A137" s="1">
        <v>45432</v>
      </c>
      <c r="B137" s="1" t="str">
        <f>TEXT(Tabla1[[#This Row],[Fecha]],"MMMM")</f>
        <v>mayo</v>
      </c>
      <c r="C137" t="s">
        <v>147</v>
      </c>
      <c r="D137" t="s">
        <v>5030</v>
      </c>
      <c r="E137" t="s">
        <v>5032</v>
      </c>
      <c r="F137" t="s">
        <v>5041</v>
      </c>
      <c r="G137" s="3">
        <v>9489.2099999999991</v>
      </c>
      <c r="H137" s="3">
        <v>0</v>
      </c>
      <c r="I137" s="3">
        <f>SUM(Tabla1[[#This Row],[Monto_Base]],H137)</f>
        <v>9489.2099999999991</v>
      </c>
      <c r="J137" t="s">
        <v>5042</v>
      </c>
      <c r="K137" t="s">
        <v>5047</v>
      </c>
      <c r="L137" t="s">
        <v>5051</v>
      </c>
      <c r="M137" t="s">
        <v>5054</v>
      </c>
    </row>
    <row r="138" spans="1:13" x14ac:dyDescent="0.3">
      <c r="A138" s="1">
        <v>45438</v>
      </c>
      <c r="B138" s="1" t="str">
        <f>TEXT(Tabla1[[#This Row],[Fecha]],"MMMM")</f>
        <v>mayo</v>
      </c>
      <c r="C138" t="s">
        <v>148</v>
      </c>
      <c r="D138" t="s">
        <v>5025</v>
      </c>
      <c r="E138" t="s">
        <v>5032</v>
      </c>
      <c r="F138" t="s">
        <v>5035</v>
      </c>
      <c r="G138" s="3">
        <v>900.51</v>
      </c>
      <c r="H138" s="3">
        <v>0</v>
      </c>
      <c r="I138" s="3">
        <f>SUM(Tabla1[[#This Row],[Monto_Base]],H138)</f>
        <v>900.51</v>
      </c>
      <c r="J138" t="s">
        <v>5045</v>
      </c>
      <c r="K138" t="s">
        <v>5049</v>
      </c>
      <c r="L138" t="s">
        <v>5053</v>
      </c>
      <c r="M138" t="s">
        <v>5055</v>
      </c>
    </row>
    <row r="139" spans="1:13" x14ac:dyDescent="0.3">
      <c r="A139" s="1">
        <v>45584</v>
      </c>
      <c r="B139" s="1" t="str">
        <f>TEXT(Tabla1[[#This Row],[Fecha]],"MMMM")</f>
        <v>octubre</v>
      </c>
      <c r="C139" t="s">
        <v>149</v>
      </c>
      <c r="D139" t="s">
        <v>5014</v>
      </c>
      <c r="E139" t="s">
        <v>5033</v>
      </c>
      <c r="F139" t="s">
        <v>5041</v>
      </c>
      <c r="G139" s="3">
        <v>13640.3</v>
      </c>
      <c r="H139" s="3">
        <v>1773.24</v>
      </c>
      <c r="I139" s="3">
        <f>SUM(Tabla1[[#This Row],[Monto_Base]],H139)</f>
        <v>15413.539999999999</v>
      </c>
      <c r="J139" t="s">
        <v>5046</v>
      </c>
      <c r="K139" t="s">
        <v>5048</v>
      </c>
      <c r="L139" t="s">
        <v>5050</v>
      </c>
      <c r="M139" t="s">
        <v>5054</v>
      </c>
    </row>
    <row r="140" spans="1:13" x14ac:dyDescent="0.3">
      <c r="A140" s="1">
        <v>45335</v>
      </c>
      <c r="B140" s="1" t="str">
        <f>TEXT(Tabla1[[#This Row],[Fecha]],"MMMM")</f>
        <v>febrero</v>
      </c>
      <c r="C140" t="s">
        <v>150</v>
      </c>
      <c r="D140" t="s">
        <v>5018</v>
      </c>
      <c r="E140" t="s">
        <v>5033</v>
      </c>
      <c r="F140" t="s">
        <v>5040</v>
      </c>
      <c r="G140" s="3">
        <v>14736.66</v>
      </c>
      <c r="H140" s="3">
        <v>1915.77</v>
      </c>
      <c r="I140" s="3">
        <f>SUM(Tabla1[[#This Row],[Monto_Base]],H140)</f>
        <v>16652.43</v>
      </c>
      <c r="J140" t="s">
        <v>5042</v>
      </c>
      <c r="K140" t="s">
        <v>5049</v>
      </c>
      <c r="L140" t="s">
        <v>5052</v>
      </c>
      <c r="M140" t="s">
        <v>5054</v>
      </c>
    </row>
    <row r="141" spans="1:13" x14ac:dyDescent="0.3">
      <c r="A141" s="1">
        <v>45436</v>
      </c>
      <c r="B141" s="1" t="str">
        <f>TEXT(Tabla1[[#This Row],[Fecha]],"MMMM")</f>
        <v>mayo</v>
      </c>
      <c r="C141" t="s">
        <v>151</v>
      </c>
      <c r="D141" t="s">
        <v>5018</v>
      </c>
      <c r="E141" t="s">
        <v>5032</v>
      </c>
      <c r="F141" t="s">
        <v>5039</v>
      </c>
      <c r="G141" s="3">
        <v>5490.27</v>
      </c>
      <c r="H141" s="3">
        <v>0</v>
      </c>
      <c r="I141" s="3">
        <f>SUM(Tabla1[[#This Row],[Monto_Base]],H141)</f>
        <v>5490.27</v>
      </c>
      <c r="J141" t="s">
        <v>5043</v>
      </c>
      <c r="K141" t="s">
        <v>5048</v>
      </c>
      <c r="L141" t="s">
        <v>5051</v>
      </c>
      <c r="M141" t="s">
        <v>5054</v>
      </c>
    </row>
    <row r="142" spans="1:13" x14ac:dyDescent="0.3">
      <c r="A142" s="1">
        <v>45489</v>
      </c>
      <c r="B142" s="1" t="str">
        <f>TEXT(Tabla1[[#This Row],[Fecha]],"MMMM")</f>
        <v>julio</v>
      </c>
      <c r="C142" t="s">
        <v>152</v>
      </c>
      <c r="D142" t="s">
        <v>5030</v>
      </c>
      <c r="E142" t="s">
        <v>5032</v>
      </c>
      <c r="F142" t="s">
        <v>5036</v>
      </c>
      <c r="G142" s="3">
        <v>8391.5499999999993</v>
      </c>
      <c r="H142" s="3">
        <v>0</v>
      </c>
      <c r="I142" s="3">
        <f>SUM(Tabla1[[#This Row],[Monto_Base]],H142)</f>
        <v>8391.5499999999993</v>
      </c>
      <c r="J142" t="s">
        <v>5044</v>
      </c>
      <c r="K142" t="s">
        <v>5048</v>
      </c>
      <c r="L142" t="s">
        <v>5052</v>
      </c>
      <c r="M142" t="s">
        <v>5055</v>
      </c>
    </row>
    <row r="143" spans="1:13" x14ac:dyDescent="0.3">
      <c r="A143" s="1">
        <v>45627</v>
      </c>
      <c r="B143" s="1" t="str">
        <f>TEXT(Tabla1[[#This Row],[Fecha]],"MMMM")</f>
        <v>diciembre</v>
      </c>
      <c r="C143" t="s">
        <v>153</v>
      </c>
      <c r="D143" t="s">
        <v>5031</v>
      </c>
      <c r="E143" t="s">
        <v>5033</v>
      </c>
      <c r="F143" t="s">
        <v>5040</v>
      </c>
      <c r="G143" s="3">
        <v>4687.96</v>
      </c>
      <c r="H143" s="3">
        <v>609.42999999999995</v>
      </c>
      <c r="I143" s="3">
        <f>SUM(Tabla1[[#This Row],[Monto_Base]],H143)</f>
        <v>5297.39</v>
      </c>
      <c r="J143" t="s">
        <v>5043</v>
      </c>
      <c r="K143" t="s">
        <v>5047</v>
      </c>
      <c r="L143" t="s">
        <v>5053</v>
      </c>
      <c r="M143" t="s">
        <v>5055</v>
      </c>
    </row>
    <row r="144" spans="1:13" x14ac:dyDescent="0.3">
      <c r="A144" s="1">
        <v>45508</v>
      </c>
      <c r="B144" s="1" t="str">
        <f>TEXT(Tabla1[[#This Row],[Fecha]],"MMMM")</f>
        <v>agosto</v>
      </c>
      <c r="C144" t="s">
        <v>154</v>
      </c>
      <c r="D144" t="s">
        <v>5020</v>
      </c>
      <c r="E144" t="s">
        <v>5033</v>
      </c>
      <c r="F144" t="s">
        <v>5036</v>
      </c>
      <c r="G144" s="3">
        <v>9708.07</v>
      </c>
      <c r="H144" s="3">
        <v>1262.05</v>
      </c>
      <c r="I144" s="3">
        <f>SUM(Tabla1[[#This Row],[Monto_Base]],H144)</f>
        <v>10970.119999999999</v>
      </c>
      <c r="J144" t="s">
        <v>5042</v>
      </c>
      <c r="K144" t="s">
        <v>5048</v>
      </c>
      <c r="L144" t="s">
        <v>5053</v>
      </c>
      <c r="M144" t="s">
        <v>5055</v>
      </c>
    </row>
    <row r="145" spans="1:13" x14ac:dyDescent="0.3">
      <c r="A145" s="1">
        <v>45540</v>
      </c>
      <c r="B145" s="1" t="str">
        <f>TEXT(Tabla1[[#This Row],[Fecha]],"MMMM")</f>
        <v>septiembre</v>
      </c>
      <c r="C145" t="s">
        <v>155</v>
      </c>
      <c r="D145" t="s">
        <v>5028</v>
      </c>
      <c r="E145" t="s">
        <v>5033</v>
      </c>
      <c r="F145" t="s">
        <v>5040</v>
      </c>
      <c r="G145" s="3">
        <v>14217.64</v>
      </c>
      <c r="H145" s="3">
        <v>1848.29</v>
      </c>
      <c r="I145" s="3">
        <f>SUM(Tabla1[[#This Row],[Monto_Base]],H145)</f>
        <v>16065.93</v>
      </c>
      <c r="J145" t="s">
        <v>5046</v>
      </c>
      <c r="K145" t="s">
        <v>5047</v>
      </c>
      <c r="L145" t="s">
        <v>5052</v>
      </c>
      <c r="M145" t="s">
        <v>5054</v>
      </c>
    </row>
    <row r="146" spans="1:13" x14ac:dyDescent="0.3">
      <c r="A146" s="1">
        <v>45608</v>
      </c>
      <c r="B146" s="1" t="str">
        <f>TEXT(Tabla1[[#This Row],[Fecha]],"MMMM")</f>
        <v>noviembre</v>
      </c>
      <c r="C146" t="s">
        <v>156</v>
      </c>
      <c r="D146" t="s">
        <v>5021</v>
      </c>
      <c r="E146" t="s">
        <v>5033</v>
      </c>
      <c r="F146" t="s">
        <v>5035</v>
      </c>
      <c r="G146" s="3">
        <v>9945.84</v>
      </c>
      <c r="H146" s="3">
        <v>1292.96</v>
      </c>
      <c r="I146" s="3">
        <f>SUM(Tabla1[[#This Row],[Monto_Base]],H146)</f>
        <v>11238.8</v>
      </c>
      <c r="J146" t="s">
        <v>5046</v>
      </c>
      <c r="K146" t="s">
        <v>5049</v>
      </c>
      <c r="L146" t="s">
        <v>5050</v>
      </c>
      <c r="M146" t="s">
        <v>5054</v>
      </c>
    </row>
    <row r="147" spans="1:13" x14ac:dyDescent="0.3">
      <c r="A147" s="1">
        <v>45478</v>
      </c>
      <c r="B147" s="1" t="str">
        <f>TEXT(Tabla1[[#This Row],[Fecha]],"MMMM")</f>
        <v>julio</v>
      </c>
      <c r="C147" t="s">
        <v>157</v>
      </c>
      <c r="D147" t="s">
        <v>5026</v>
      </c>
      <c r="E147" t="s">
        <v>5033</v>
      </c>
      <c r="F147" t="s">
        <v>5041</v>
      </c>
      <c r="G147" s="3">
        <v>703.2</v>
      </c>
      <c r="H147" s="3">
        <v>91.42</v>
      </c>
      <c r="I147" s="3">
        <f>SUM(Tabla1[[#This Row],[Monto_Base]],H147)</f>
        <v>794.62</v>
      </c>
      <c r="J147" t="s">
        <v>5046</v>
      </c>
      <c r="K147" t="s">
        <v>5048</v>
      </c>
      <c r="L147" t="s">
        <v>5051</v>
      </c>
      <c r="M147" t="s">
        <v>5055</v>
      </c>
    </row>
    <row r="148" spans="1:13" x14ac:dyDescent="0.3">
      <c r="A148" s="1">
        <v>45532</v>
      </c>
      <c r="B148" s="1" t="str">
        <f>TEXT(Tabla1[[#This Row],[Fecha]],"MMMM")</f>
        <v>agosto</v>
      </c>
      <c r="C148" t="s">
        <v>158</v>
      </c>
      <c r="D148" t="s">
        <v>5023</v>
      </c>
      <c r="E148" t="s">
        <v>5033</v>
      </c>
      <c r="F148" t="s">
        <v>5038</v>
      </c>
      <c r="G148" s="3">
        <v>14485.67</v>
      </c>
      <c r="H148" s="3">
        <v>1883.14</v>
      </c>
      <c r="I148" s="3">
        <f>SUM(Tabla1[[#This Row],[Monto_Base]],H148)</f>
        <v>16368.81</v>
      </c>
      <c r="J148" t="s">
        <v>5046</v>
      </c>
      <c r="K148" t="s">
        <v>5048</v>
      </c>
      <c r="L148" t="s">
        <v>5050</v>
      </c>
      <c r="M148" t="s">
        <v>5055</v>
      </c>
    </row>
    <row r="149" spans="1:13" x14ac:dyDescent="0.3">
      <c r="A149" s="1">
        <v>45601</v>
      </c>
      <c r="B149" s="1" t="str">
        <f>TEXT(Tabla1[[#This Row],[Fecha]],"MMMM")</f>
        <v>noviembre</v>
      </c>
      <c r="C149" t="s">
        <v>159</v>
      </c>
      <c r="D149" t="s">
        <v>5019</v>
      </c>
      <c r="E149" t="s">
        <v>5032</v>
      </c>
      <c r="F149" t="s">
        <v>5039</v>
      </c>
      <c r="G149" s="3">
        <v>12262.52</v>
      </c>
      <c r="H149" s="3">
        <v>0</v>
      </c>
      <c r="I149" s="3">
        <f>SUM(Tabla1[[#This Row],[Monto_Base]],H149)</f>
        <v>12262.52</v>
      </c>
      <c r="J149" t="s">
        <v>5046</v>
      </c>
      <c r="K149" t="s">
        <v>5048</v>
      </c>
      <c r="L149" t="s">
        <v>5053</v>
      </c>
      <c r="M149" t="s">
        <v>5055</v>
      </c>
    </row>
    <row r="150" spans="1:13" x14ac:dyDescent="0.3">
      <c r="A150" s="1">
        <v>45374</v>
      </c>
      <c r="B150" s="1" t="str">
        <f>TEXT(Tabla1[[#This Row],[Fecha]],"MMMM")</f>
        <v>marzo</v>
      </c>
      <c r="C150" t="s">
        <v>160</v>
      </c>
      <c r="D150" t="s">
        <v>5016</v>
      </c>
      <c r="E150" t="s">
        <v>5033</v>
      </c>
      <c r="F150" t="s">
        <v>5036</v>
      </c>
      <c r="G150" s="3">
        <v>4311.6899999999996</v>
      </c>
      <c r="H150" s="3">
        <v>560.52</v>
      </c>
      <c r="I150" s="3">
        <f>SUM(Tabla1[[#This Row],[Monto_Base]],H150)</f>
        <v>4872.2099999999991</v>
      </c>
      <c r="J150" t="s">
        <v>5044</v>
      </c>
      <c r="K150" t="s">
        <v>5048</v>
      </c>
      <c r="L150" t="s">
        <v>5052</v>
      </c>
      <c r="M150" t="s">
        <v>5055</v>
      </c>
    </row>
    <row r="151" spans="1:13" x14ac:dyDescent="0.3">
      <c r="A151" s="1">
        <v>45504</v>
      </c>
      <c r="B151" s="1" t="str">
        <f>TEXT(Tabla1[[#This Row],[Fecha]],"MMMM")</f>
        <v>julio</v>
      </c>
      <c r="C151" t="s">
        <v>161</v>
      </c>
      <c r="D151" t="s">
        <v>5017</v>
      </c>
      <c r="E151" t="s">
        <v>5032</v>
      </c>
      <c r="F151" t="s">
        <v>5040</v>
      </c>
      <c r="G151" s="3">
        <v>13960.56</v>
      </c>
      <c r="H151" s="3">
        <v>0</v>
      </c>
      <c r="I151" s="3">
        <f>SUM(Tabla1[[#This Row],[Monto_Base]],H151)</f>
        <v>13960.56</v>
      </c>
      <c r="J151" t="s">
        <v>5045</v>
      </c>
      <c r="K151" t="s">
        <v>5048</v>
      </c>
      <c r="L151" t="s">
        <v>5051</v>
      </c>
      <c r="M151" t="s">
        <v>5054</v>
      </c>
    </row>
    <row r="152" spans="1:13" x14ac:dyDescent="0.3">
      <c r="A152" s="1">
        <v>45342</v>
      </c>
      <c r="B152" s="1" t="str">
        <f>TEXT(Tabla1[[#This Row],[Fecha]],"MMMM")</f>
        <v>febrero</v>
      </c>
      <c r="C152" t="s">
        <v>162</v>
      </c>
      <c r="D152" t="s">
        <v>5030</v>
      </c>
      <c r="E152" t="s">
        <v>5032</v>
      </c>
      <c r="F152" t="s">
        <v>5034</v>
      </c>
      <c r="G152" s="3">
        <v>471.4</v>
      </c>
      <c r="H152" s="3">
        <v>0</v>
      </c>
      <c r="I152" s="3">
        <f>SUM(Tabla1[[#This Row],[Monto_Base]],H152)</f>
        <v>471.4</v>
      </c>
      <c r="J152" t="s">
        <v>5044</v>
      </c>
      <c r="K152" t="s">
        <v>5047</v>
      </c>
      <c r="L152" t="s">
        <v>5052</v>
      </c>
      <c r="M152" t="s">
        <v>5054</v>
      </c>
    </row>
    <row r="153" spans="1:13" x14ac:dyDescent="0.3">
      <c r="A153" s="1">
        <v>45294</v>
      </c>
      <c r="B153" s="1" t="str">
        <f>TEXT(Tabla1[[#This Row],[Fecha]],"MMMM")</f>
        <v>enero</v>
      </c>
      <c r="C153" t="s">
        <v>163</v>
      </c>
      <c r="D153" t="s">
        <v>5025</v>
      </c>
      <c r="E153" t="s">
        <v>5033</v>
      </c>
      <c r="F153" t="s">
        <v>5041</v>
      </c>
      <c r="G153" s="3">
        <v>6756.59</v>
      </c>
      <c r="H153" s="3">
        <v>878.36</v>
      </c>
      <c r="I153" s="3">
        <f>SUM(Tabla1[[#This Row],[Monto_Base]],H153)</f>
        <v>7634.95</v>
      </c>
      <c r="J153" t="s">
        <v>5045</v>
      </c>
      <c r="K153" t="s">
        <v>5047</v>
      </c>
      <c r="L153" t="s">
        <v>5051</v>
      </c>
      <c r="M153" t="s">
        <v>5054</v>
      </c>
    </row>
    <row r="154" spans="1:13" x14ac:dyDescent="0.3">
      <c r="A154" s="1">
        <v>45413</v>
      </c>
      <c r="B154" s="1" t="str">
        <f>TEXT(Tabla1[[#This Row],[Fecha]],"MMMM")</f>
        <v>mayo</v>
      </c>
      <c r="C154" t="s">
        <v>164</v>
      </c>
      <c r="D154" t="s">
        <v>5023</v>
      </c>
      <c r="E154" t="s">
        <v>5032</v>
      </c>
      <c r="F154" t="s">
        <v>5036</v>
      </c>
      <c r="G154" s="3">
        <v>11653.78</v>
      </c>
      <c r="H154" s="3">
        <v>0</v>
      </c>
      <c r="I154" s="3">
        <f>SUM(Tabla1[[#This Row],[Monto_Base]],H154)</f>
        <v>11653.78</v>
      </c>
      <c r="J154" t="s">
        <v>5044</v>
      </c>
      <c r="K154" t="s">
        <v>5047</v>
      </c>
      <c r="L154" t="s">
        <v>5053</v>
      </c>
      <c r="M154" t="s">
        <v>5054</v>
      </c>
    </row>
    <row r="155" spans="1:13" x14ac:dyDescent="0.3">
      <c r="A155" s="1">
        <v>45547</v>
      </c>
      <c r="B155" s="1" t="str">
        <f>TEXT(Tabla1[[#This Row],[Fecha]],"MMMM")</f>
        <v>septiembre</v>
      </c>
      <c r="C155" t="s">
        <v>165</v>
      </c>
      <c r="D155" t="s">
        <v>5014</v>
      </c>
      <c r="E155" t="s">
        <v>5032</v>
      </c>
      <c r="F155" t="s">
        <v>5036</v>
      </c>
      <c r="G155" s="3">
        <v>1707.33</v>
      </c>
      <c r="H155" s="3">
        <v>0</v>
      </c>
      <c r="I155" s="3">
        <f>SUM(Tabla1[[#This Row],[Monto_Base]],H155)</f>
        <v>1707.33</v>
      </c>
      <c r="J155" t="s">
        <v>5042</v>
      </c>
      <c r="K155" t="s">
        <v>5049</v>
      </c>
      <c r="L155" t="s">
        <v>5053</v>
      </c>
      <c r="M155" t="s">
        <v>5054</v>
      </c>
    </row>
    <row r="156" spans="1:13" x14ac:dyDescent="0.3">
      <c r="A156" s="1">
        <v>45415</v>
      </c>
      <c r="B156" s="1" t="str">
        <f>TEXT(Tabla1[[#This Row],[Fecha]],"MMMM")</f>
        <v>mayo</v>
      </c>
      <c r="C156" t="s">
        <v>166</v>
      </c>
      <c r="D156" t="s">
        <v>5021</v>
      </c>
      <c r="E156" t="s">
        <v>5032</v>
      </c>
      <c r="F156" t="s">
        <v>5035</v>
      </c>
      <c r="G156" s="3">
        <v>9241.4</v>
      </c>
      <c r="H156" s="3">
        <v>0</v>
      </c>
      <c r="I156" s="3">
        <f>SUM(Tabla1[[#This Row],[Monto_Base]],H156)</f>
        <v>9241.4</v>
      </c>
      <c r="J156" t="s">
        <v>5042</v>
      </c>
      <c r="K156" t="s">
        <v>5048</v>
      </c>
      <c r="L156" t="s">
        <v>5052</v>
      </c>
      <c r="M156" t="s">
        <v>5054</v>
      </c>
    </row>
    <row r="157" spans="1:13" x14ac:dyDescent="0.3">
      <c r="A157" s="1">
        <v>45314</v>
      </c>
      <c r="B157" s="1" t="str">
        <f>TEXT(Tabla1[[#This Row],[Fecha]],"MMMM")</f>
        <v>enero</v>
      </c>
      <c r="C157" t="s">
        <v>167</v>
      </c>
      <c r="D157" t="s">
        <v>5030</v>
      </c>
      <c r="E157" t="s">
        <v>5033</v>
      </c>
      <c r="F157" t="s">
        <v>5037</v>
      </c>
      <c r="G157" s="3">
        <v>13106.31</v>
      </c>
      <c r="H157" s="3">
        <v>1703.82</v>
      </c>
      <c r="I157" s="3">
        <f>SUM(Tabla1[[#This Row],[Monto_Base]],H157)</f>
        <v>14810.13</v>
      </c>
      <c r="J157" t="s">
        <v>5043</v>
      </c>
      <c r="K157" t="s">
        <v>5048</v>
      </c>
      <c r="L157" t="s">
        <v>5051</v>
      </c>
      <c r="M157" t="s">
        <v>5054</v>
      </c>
    </row>
    <row r="158" spans="1:13" x14ac:dyDescent="0.3">
      <c r="A158" s="1">
        <v>45613</v>
      </c>
      <c r="B158" s="1" t="str">
        <f>TEXT(Tabla1[[#This Row],[Fecha]],"MMMM")</f>
        <v>noviembre</v>
      </c>
      <c r="C158" t="s">
        <v>168</v>
      </c>
      <c r="D158" t="s">
        <v>5030</v>
      </c>
      <c r="E158" t="s">
        <v>5032</v>
      </c>
      <c r="F158" t="s">
        <v>5034</v>
      </c>
      <c r="G158" s="3">
        <v>11007.47</v>
      </c>
      <c r="H158" s="3">
        <v>0</v>
      </c>
      <c r="I158" s="3">
        <f>SUM(Tabla1[[#This Row],[Monto_Base]],H158)</f>
        <v>11007.47</v>
      </c>
      <c r="J158" t="s">
        <v>5045</v>
      </c>
      <c r="K158" t="s">
        <v>5049</v>
      </c>
      <c r="L158" t="s">
        <v>5051</v>
      </c>
      <c r="M158" t="s">
        <v>5054</v>
      </c>
    </row>
    <row r="159" spans="1:13" x14ac:dyDescent="0.3">
      <c r="A159" s="1">
        <v>45642</v>
      </c>
      <c r="B159" s="1" t="str">
        <f>TEXT(Tabla1[[#This Row],[Fecha]],"MMMM")</f>
        <v>diciembre</v>
      </c>
      <c r="C159" t="s">
        <v>169</v>
      </c>
      <c r="D159" t="s">
        <v>5015</v>
      </c>
      <c r="E159" t="s">
        <v>5032</v>
      </c>
      <c r="F159" t="s">
        <v>5039</v>
      </c>
      <c r="G159" s="3">
        <v>12464.24</v>
      </c>
      <c r="H159" s="3">
        <v>0</v>
      </c>
      <c r="I159" s="3">
        <f>SUM(Tabla1[[#This Row],[Monto_Base]],H159)</f>
        <v>12464.24</v>
      </c>
      <c r="J159" t="s">
        <v>5043</v>
      </c>
      <c r="K159" t="s">
        <v>5049</v>
      </c>
      <c r="L159" t="s">
        <v>5050</v>
      </c>
      <c r="M159" t="s">
        <v>5054</v>
      </c>
    </row>
    <row r="160" spans="1:13" x14ac:dyDescent="0.3">
      <c r="A160" s="1">
        <v>45314</v>
      </c>
      <c r="B160" s="1" t="str">
        <f>TEXT(Tabla1[[#This Row],[Fecha]],"MMMM")</f>
        <v>enero</v>
      </c>
      <c r="C160" t="s">
        <v>170</v>
      </c>
      <c r="D160" t="s">
        <v>5013</v>
      </c>
      <c r="E160" t="s">
        <v>5032</v>
      </c>
      <c r="F160" t="s">
        <v>5035</v>
      </c>
      <c r="G160" s="3">
        <v>4436.97</v>
      </c>
      <c r="H160" s="3">
        <v>0</v>
      </c>
      <c r="I160" s="3">
        <f>SUM(Tabla1[[#This Row],[Monto_Base]],H160)</f>
        <v>4436.97</v>
      </c>
      <c r="J160" t="s">
        <v>5046</v>
      </c>
      <c r="K160" t="s">
        <v>5047</v>
      </c>
      <c r="L160" t="s">
        <v>5051</v>
      </c>
      <c r="M160" t="s">
        <v>5055</v>
      </c>
    </row>
    <row r="161" spans="1:13" x14ac:dyDescent="0.3">
      <c r="A161" s="1">
        <v>45623</v>
      </c>
      <c r="B161" s="1" t="str">
        <f>TEXT(Tabla1[[#This Row],[Fecha]],"MMMM")</f>
        <v>noviembre</v>
      </c>
      <c r="C161" t="s">
        <v>171</v>
      </c>
      <c r="D161" t="s">
        <v>5016</v>
      </c>
      <c r="E161" t="s">
        <v>5032</v>
      </c>
      <c r="F161" t="s">
        <v>5038</v>
      </c>
      <c r="G161" s="3">
        <v>597.48</v>
      </c>
      <c r="H161" s="3">
        <v>0</v>
      </c>
      <c r="I161" s="3">
        <f>SUM(Tabla1[[#This Row],[Monto_Base]],H161)</f>
        <v>597.48</v>
      </c>
      <c r="J161" t="s">
        <v>5046</v>
      </c>
      <c r="K161" t="s">
        <v>5048</v>
      </c>
      <c r="L161" t="s">
        <v>5051</v>
      </c>
      <c r="M161" t="s">
        <v>5054</v>
      </c>
    </row>
    <row r="162" spans="1:13" x14ac:dyDescent="0.3">
      <c r="A162" s="1">
        <v>45496</v>
      </c>
      <c r="B162" s="1" t="str">
        <f>TEXT(Tabla1[[#This Row],[Fecha]],"MMMM")</f>
        <v>julio</v>
      </c>
      <c r="C162" t="s">
        <v>172</v>
      </c>
      <c r="D162" t="s">
        <v>5029</v>
      </c>
      <c r="E162" t="s">
        <v>5033</v>
      </c>
      <c r="F162" t="s">
        <v>5040</v>
      </c>
      <c r="G162" s="3">
        <v>6582.42</v>
      </c>
      <c r="H162" s="3">
        <v>855.71</v>
      </c>
      <c r="I162" s="3">
        <f>SUM(Tabla1[[#This Row],[Monto_Base]],H162)</f>
        <v>7438.13</v>
      </c>
      <c r="J162" t="s">
        <v>5043</v>
      </c>
      <c r="K162" t="s">
        <v>5048</v>
      </c>
      <c r="L162" t="s">
        <v>5051</v>
      </c>
      <c r="M162" t="s">
        <v>5054</v>
      </c>
    </row>
    <row r="163" spans="1:13" x14ac:dyDescent="0.3">
      <c r="A163" s="1">
        <v>45509</v>
      </c>
      <c r="B163" s="1" t="str">
        <f>TEXT(Tabla1[[#This Row],[Fecha]],"MMMM")</f>
        <v>agosto</v>
      </c>
      <c r="C163" t="s">
        <v>173</v>
      </c>
      <c r="D163" t="s">
        <v>5025</v>
      </c>
      <c r="E163" t="s">
        <v>5032</v>
      </c>
      <c r="F163" t="s">
        <v>5038</v>
      </c>
      <c r="G163" s="3">
        <v>12027.16</v>
      </c>
      <c r="H163" s="3">
        <v>0</v>
      </c>
      <c r="I163" s="3">
        <f>SUM(Tabla1[[#This Row],[Monto_Base]],H163)</f>
        <v>12027.16</v>
      </c>
      <c r="J163" t="s">
        <v>5045</v>
      </c>
      <c r="K163" t="s">
        <v>5048</v>
      </c>
      <c r="L163" t="s">
        <v>5052</v>
      </c>
      <c r="M163" t="s">
        <v>5055</v>
      </c>
    </row>
    <row r="164" spans="1:13" x14ac:dyDescent="0.3">
      <c r="A164" s="1">
        <v>45448</v>
      </c>
      <c r="B164" s="1" t="str">
        <f>TEXT(Tabla1[[#This Row],[Fecha]],"MMMM")</f>
        <v>junio</v>
      </c>
      <c r="C164" t="s">
        <v>174</v>
      </c>
      <c r="D164" t="s">
        <v>5030</v>
      </c>
      <c r="E164" t="s">
        <v>5033</v>
      </c>
      <c r="F164" t="s">
        <v>5040</v>
      </c>
      <c r="G164" s="3">
        <v>9930.74</v>
      </c>
      <c r="H164" s="3">
        <v>1291</v>
      </c>
      <c r="I164" s="3">
        <f>SUM(Tabla1[[#This Row],[Monto_Base]],H164)</f>
        <v>11221.74</v>
      </c>
      <c r="J164" t="s">
        <v>5043</v>
      </c>
      <c r="K164" t="s">
        <v>5049</v>
      </c>
      <c r="L164" t="s">
        <v>5050</v>
      </c>
      <c r="M164" t="s">
        <v>5054</v>
      </c>
    </row>
    <row r="165" spans="1:13" x14ac:dyDescent="0.3">
      <c r="A165" s="1">
        <v>45472</v>
      </c>
      <c r="B165" s="1" t="str">
        <f>TEXT(Tabla1[[#This Row],[Fecha]],"MMMM")</f>
        <v>junio</v>
      </c>
      <c r="C165" t="s">
        <v>175</v>
      </c>
      <c r="D165" t="s">
        <v>5020</v>
      </c>
      <c r="E165" t="s">
        <v>5032</v>
      </c>
      <c r="F165" t="s">
        <v>5035</v>
      </c>
      <c r="G165" s="3">
        <v>10915.88</v>
      </c>
      <c r="H165" s="3">
        <v>0</v>
      </c>
      <c r="I165" s="3">
        <f>SUM(Tabla1[[#This Row],[Monto_Base]],H165)</f>
        <v>10915.88</v>
      </c>
      <c r="J165" t="s">
        <v>5042</v>
      </c>
      <c r="K165" t="s">
        <v>5048</v>
      </c>
      <c r="L165" t="s">
        <v>5051</v>
      </c>
      <c r="M165" t="s">
        <v>5054</v>
      </c>
    </row>
    <row r="166" spans="1:13" x14ac:dyDescent="0.3">
      <c r="A166" s="1">
        <v>45365</v>
      </c>
      <c r="B166" s="1" t="str">
        <f>TEXT(Tabla1[[#This Row],[Fecha]],"MMMM")</f>
        <v>marzo</v>
      </c>
      <c r="C166" t="s">
        <v>176</v>
      </c>
      <c r="D166" t="s">
        <v>5027</v>
      </c>
      <c r="E166" t="s">
        <v>5032</v>
      </c>
      <c r="F166" t="s">
        <v>5039</v>
      </c>
      <c r="G166" s="3">
        <v>14294.2</v>
      </c>
      <c r="H166" s="3">
        <v>0</v>
      </c>
      <c r="I166" s="3">
        <f>SUM(Tabla1[[#This Row],[Monto_Base]],H166)</f>
        <v>14294.2</v>
      </c>
      <c r="J166" t="s">
        <v>5042</v>
      </c>
      <c r="K166" t="s">
        <v>5049</v>
      </c>
      <c r="L166" t="s">
        <v>5050</v>
      </c>
      <c r="M166" t="s">
        <v>5054</v>
      </c>
    </row>
    <row r="167" spans="1:13" x14ac:dyDescent="0.3">
      <c r="A167" s="1">
        <v>45582</v>
      </c>
      <c r="B167" s="1" t="str">
        <f>TEXT(Tabla1[[#This Row],[Fecha]],"MMMM")</f>
        <v>octubre</v>
      </c>
      <c r="C167" t="s">
        <v>177</v>
      </c>
      <c r="D167" t="s">
        <v>5013</v>
      </c>
      <c r="E167" t="s">
        <v>5033</v>
      </c>
      <c r="F167" t="s">
        <v>5040</v>
      </c>
      <c r="G167" s="3">
        <v>5464.15</v>
      </c>
      <c r="H167" s="3">
        <v>710.34</v>
      </c>
      <c r="I167" s="3">
        <f>SUM(Tabla1[[#This Row],[Monto_Base]],H167)</f>
        <v>6174.49</v>
      </c>
      <c r="J167" t="s">
        <v>5045</v>
      </c>
      <c r="K167" t="s">
        <v>5049</v>
      </c>
      <c r="L167" t="s">
        <v>5052</v>
      </c>
      <c r="M167" t="s">
        <v>5055</v>
      </c>
    </row>
    <row r="168" spans="1:13" x14ac:dyDescent="0.3">
      <c r="A168" s="1">
        <v>45563</v>
      </c>
      <c r="B168" s="1" t="str">
        <f>TEXT(Tabla1[[#This Row],[Fecha]],"MMMM")</f>
        <v>septiembre</v>
      </c>
      <c r="C168" t="s">
        <v>178</v>
      </c>
      <c r="D168" t="s">
        <v>5020</v>
      </c>
      <c r="E168" t="s">
        <v>5032</v>
      </c>
      <c r="F168" t="s">
        <v>5036</v>
      </c>
      <c r="G168" s="3">
        <v>8630.1299999999992</v>
      </c>
      <c r="H168" s="3">
        <v>0</v>
      </c>
      <c r="I168" s="3">
        <f>SUM(Tabla1[[#This Row],[Monto_Base]],H168)</f>
        <v>8630.1299999999992</v>
      </c>
      <c r="J168" t="s">
        <v>5044</v>
      </c>
      <c r="K168" t="s">
        <v>5048</v>
      </c>
      <c r="L168" t="s">
        <v>5051</v>
      </c>
      <c r="M168" t="s">
        <v>5055</v>
      </c>
    </row>
    <row r="169" spans="1:13" x14ac:dyDescent="0.3">
      <c r="A169" s="1">
        <v>45490</v>
      </c>
      <c r="B169" s="1" t="str">
        <f>TEXT(Tabla1[[#This Row],[Fecha]],"MMMM")</f>
        <v>julio</v>
      </c>
      <c r="C169" t="s">
        <v>179</v>
      </c>
      <c r="D169" t="s">
        <v>5013</v>
      </c>
      <c r="E169" t="s">
        <v>5033</v>
      </c>
      <c r="F169" t="s">
        <v>5039</v>
      </c>
      <c r="G169" s="3">
        <v>7510.71</v>
      </c>
      <c r="H169" s="3">
        <v>976.39</v>
      </c>
      <c r="I169" s="3">
        <f>SUM(Tabla1[[#This Row],[Monto_Base]],H169)</f>
        <v>8487.1</v>
      </c>
      <c r="J169" t="s">
        <v>5042</v>
      </c>
      <c r="K169" t="s">
        <v>5047</v>
      </c>
      <c r="L169" t="s">
        <v>5051</v>
      </c>
      <c r="M169" t="s">
        <v>5055</v>
      </c>
    </row>
    <row r="170" spans="1:13" x14ac:dyDescent="0.3">
      <c r="A170" s="1">
        <v>45361</v>
      </c>
      <c r="B170" s="1" t="str">
        <f>TEXT(Tabla1[[#This Row],[Fecha]],"MMMM")</f>
        <v>marzo</v>
      </c>
      <c r="C170" t="s">
        <v>180</v>
      </c>
      <c r="D170" t="s">
        <v>5024</v>
      </c>
      <c r="E170" t="s">
        <v>5032</v>
      </c>
      <c r="F170" t="s">
        <v>5041</v>
      </c>
      <c r="G170" s="3">
        <v>3042.67</v>
      </c>
      <c r="H170" s="3">
        <v>0</v>
      </c>
      <c r="I170" s="3">
        <f>SUM(Tabla1[[#This Row],[Monto_Base]],H170)</f>
        <v>3042.67</v>
      </c>
      <c r="J170" t="s">
        <v>5045</v>
      </c>
      <c r="K170" t="s">
        <v>5048</v>
      </c>
      <c r="L170" t="s">
        <v>5052</v>
      </c>
      <c r="M170" t="s">
        <v>5055</v>
      </c>
    </row>
    <row r="171" spans="1:13" x14ac:dyDescent="0.3">
      <c r="A171" s="1">
        <v>45440</v>
      </c>
      <c r="B171" s="1" t="str">
        <f>TEXT(Tabla1[[#This Row],[Fecha]],"MMMM")</f>
        <v>mayo</v>
      </c>
      <c r="C171" t="s">
        <v>181</v>
      </c>
      <c r="D171" t="s">
        <v>5015</v>
      </c>
      <c r="E171" t="s">
        <v>5032</v>
      </c>
      <c r="F171" t="s">
        <v>5036</v>
      </c>
      <c r="G171" s="3">
        <v>8272.4599999999991</v>
      </c>
      <c r="H171" s="3">
        <v>0</v>
      </c>
      <c r="I171" s="3">
        <f>SUM(Tabla1[[#This Row],[Monto_Base]],H171)</f>
        <v>8272.4599999999991</v>
      </c>
      <c r="J171" t="s">
        <v>5044</v>
      </c>
      <c r="K171" t="s">
        <v>5047</v>
      </c>
      <c r="L171" t="s">
        <v>5052</v>
      </c>
      <c r="M171" t="s">
        <v>5055</v>
      </c>
    </row>
    <row r="172" spans="1:13" x14ac:dyDescent="0.3">
      <c r="A172" s="1">
        <v>45544</v>
      </c>
      <c r="B172" s="1" t="str">
        <f>TEXT(Tabla1[[#This Row],[Fecha]],"MMMM")</f>
        <v>septiembre</v>
      </c>
      <c r="C172" t="s">
        <v>182</v>
      </c>
      <c r="D172" t="s">
        <v>5013</v>
      </c>
      <c r="E172" t="s">
        <v>5033</v>
      </c>
      <c r="F172" t="s">
        <v>5039</v>
      </c>
      <c r="G172" s="3">
        <v>3589.21</v>
      </c>
      <c r="H172" s="3">
        <v>466.6</v>
      </c>
      <c r="I172" s="3">
        <f>SUM(Tabla1[[#This Row],[Monto_Base]],H172)</f>
        <v>4055.81</v>
      </c>
      <c r="J172" t="s">
        <v>5045</v>
      </c>
      <c r="K172" t="s">
        <v>5048</v>
      </c>
      <c r="L172" t="s">
        <v>5051</v>
      </c>
      <c r="M172" t="s">
        <v>5055</v>
      </c>
    </row>
    <row r="173" spans="1:13" x14ac:dyDescent="0.3">
      <c r="A173" s="1">
        <v>45537</v>
      </c>
      <c r="B173" s="1" t="str">
        <f>TEXT(Tabla1[[#This Row],[Fecha]],"MMMM")</f>
        <v>septiembre</v>
      </c>
      <c r="C173" t="s">
        <v>183</v>
      </c>
      <c r="D173" t="s">
        <v>5031</v>
      </c>
      <c r="E173" t="s">
        <v>5033</v>
      </c>
      <c r="F173" t="s">
        <v>5036</v>
      </c>
      <c r="G173" s="3">
        <v>4673.8999999999996</v>
      </c>
      <c r="H173" s="3">
        <v>607.61</v>
      </c>
      <c r="I173" s="3">
        <f>SUM(Tabla1[[#This Row],[Monto_Base]],H173)</f>
        <v>5281.5099999999993</v>
      </c>
      <c r="J173" t="s">
        <v>5042</v>
      </c>
      <c r="K173" t="s">
        <v>5048</v>
      </c>
      <c r="L173" t="s">
        <v>5050</v>
      </c>
      <c r="M173" t="s">
        <v>5054</v>
      </c>
    </row>
    <row r="174" spans="1:13" x14ac:dyDescent="0.3">
      <c r="A174" s="1">
        <v>45556</v>
      </c>
      <c r="B174" s="1" t="str">
        <f>TEXT(Tabla1[[#This Row],[Fecha]],"MMMM")</f>
        <v>septiembre</v>
      </c>
      <c r="C174" t="s">
        <v>184</v>
      </c>
      <c r="D174" t="s">
        <v>5015</v>
      </c>
      <c r="E174" t="s">
        <v>5033</v>
      </c>
      <c r="F174" t="s">
        <v>5041</v>
      </c>
      <c r="G174" s="3">
        <v>7014.21</v>
      </c>
      <c r="H174" s="3">
        <v>911.85</v>
      </c>
      <c r="I174" s="3">
        <f>SUM(Tabla1[[#This Row],[Monto_Base]],H174)</f>
        <v>7926.06</v>
      </c>
      <c r="J174" t="s">
        <v>5044</v>
      </c>
      <c r="K174" t="s">
        <v>5047</v>
      </c>
      <c r="L174" t="s">
        <v>5052</v>
      </c>
      <c r="M174" t="s">
        <v>5054</v>
      </c>
    </row>
    <row r="175" spans="1:13" x14ac:dyDescent="0.3">
      <c r="A175" s="1">
        <v>45447</v>
      </c>
      <c r="B175" s="1" t="str">
        <f>TEXT(Tabla1[[#This Row],[Fecha]],"MMMM")</f>
        <v>junio</v>
      </c>
      <c r="C175" t="s">
        <v>185</v>
      </c>
      <c r="D175" t="s">
        <v>5016</v>
      </c>
      <c r="E175" t="s">
        <v>5033</v>
      </c>
      <c r="F175" t="s">
        <v>5036</v>
      </c>
      <c r="G175" s="3">
        <v>7795.63</v>
      </c>
      <c r="H175" s="3">
        <v>1013.43</v>
      </c>
      <c r="I175" s="3">
        <f>SUM(Tabla1[[#This Row],[Monto_Base]],H175)</f>
        <v>8809.06</v>
      </c>
      <c r="J175" t="s">
        <v>5046</v>
      </c>
      <c r="K175" t="s">
        <v>5047</v>
      </c>
      <c r="L175" t="s">
        <v>5051</v>
      </c>
      <c r="M175" t="s">
        <v>5054</v>
      </c>
    </row>
    <row r="176" spans="1:13" x14ac:dyDescent="0.3">
      <c r="A176" s="1">
        <v>45617</v>
      </c>
      <c r="B176" s="1" t="str">
        <f>TEXT(Tabla1[[#This Row],[Fecha]],"MMMM")</f>
        <v>noviembre</v>
      </c>
      <c r="C176" t="s">
        <v>186</v>
      </c>
      <c r="D176" t="s">
        <v>5016</v>
      </c>
      <c r="E176" t="s">
        <v>5032</v>
      </c>
      <c r="F176" t="s">
        <v>5036</v>
      </c>
      <c r="G176" s="3">
        <v>3796.55</v>
      </c>
      <c r="H176" s="3">
        <v>0</v>
      </c>
      <c r="I176" s="3">
        <f>SUM(Tabla1[[#This Row],[Monto_Base]],H176)</f>
        <v>3796.55</v>
      </c>
      <c r="J176" t="s">
        <v>5042</v>
      </c>
      <c r="K176" t="s">
        <v>5048</v>
      </c>
      <c r="L176" t="s">
        <v>5052</v>
      </c>
      <c r="M176" t="s">
        <v>5055</v>
      </c>
    </row>
    <row r="177" spans="1:13" x14ac:dyDescent="0.3">
      <c r="A177" s="1">
        <v>45611</v>
      </c>
      <c r="B177" s="1" t="str">
        <f>TEXT(Tabla1[[#This Row],[Fecha]],"MMMM")</f>
        <v>noviembre</v>
      </c>
      <c r="C177" t="s">
        <v>187</v>
      </c>
      <c r="D177" t="s">
        <v>5023</v>
      </c>
      <c r="E177" t="s">
        <v>5033</v>
      </c>
      <c r="F177" t="s">
        <v>5039</v>
      </c>
      <c r="G177" s="3">
        <v>2609.4499999999998</v>
      </c>
      <c r="H177" s="3">
        <v>339.23</v>
      </c>
      <c r="I177" s="3">
        <f>SUM(Tabla1[[#This Row],[Monto_Base]],H177)</f>
        <v>2948.68</v>
      </c>
      <c r="J177" t="s">
        <v>5042</v>
      </c>
      <c r="K177" t="s">
        <v>5048</v>
      </c>
      <c r="L177" t="s">
        <v>5053</v>
      </c>
      <c r="M177" t="s">
        <v>5054</v>
      </c>
    </row>
    <row r="178" spans="1:13" x14ac:dyDescent="0.3">
      <c r="A178" s="1">
        <v>45505</v>
      </c>
      <c r="B178" s="1" t="str">
        <f>TEXT(Tabla1[[#This Row],[Fecha]],"MMMM")</f>
        <v>agosto</v>
      </c>
      <c r="C178" t="s">
        <v>188</v>
      </c>
      <c r="D178" t="s">
        <v>5012</v>
      </c>
      <c r="E178" t="s">
        <v>5032</v>
      </c>
      <c r="F178" t="s">
        <v>5034</v>
      </c>
      <c r="G178" s="3">
        <v>11516.04</v>
      </c>
      <c r="H178" s="3">
        <v>0</v>
      </c>
      <c r="I178" s="3">
        <f>SUM(Tabla1[[#This Row],[Monto_Base]],H178)</f>
        <v>11516.04</v>
      </c>
      <c r="J178" t="s">
        <v>5042</v>
      </c>
      <c r="K178" t="s">
        <v>5049</v>
      </c>
      <c r="L178" t="s">
        <v>5053</v>
      </c>
      <c r="M178" t="s">
        <v>5055</v>
      </c>
    </row>
    <row r="179" spans="1:13" x14ac:dyDescent="0.3">
      <c r="A179" s="1">
        <v>45642</v>
      </c>
      <c r="B179" s="1" t="str">
        <f>TEXT(Tabla1[[#This Row],[Fecha]],"MMMM")</f>
        <v>diciembre</v>
      </c>
      <c r="C179" t="s">
        <v>189</v>
      </c>
      <c r="D179" t="s">
        <v>5029</v>
      </c>
      <c r="E179" t="s">
        <v>5032</v>
      </c>
      <c r="F179" t="s">
        <v>5034</v>
      </c>
      <c r="G179" s="3">
        <v>12080.09</v>
      </c>
      <c r="H179" s="3">
        <v>0</v>
      </c>
      <c r="I179" s="3">
        <f>SUM(Tabla1[[#This Row],[Monto_Base]],H179)</f>
        <v>12080.09</v>
      </c>
      <c r="J179" t="s">
        <v>5043</v>
      </c>
      <c r="K179" t="s">
        <v>5048</v>
      </c>
      <c r="L179" t="s">
        <v>5050</v>
      </c>
      <c r="M179" t="s">
        <v>5054</v>
      </c>
    </row>
    <row r="180" spans="1:13" x14ac:dyDescent="0.3">
      <c r="A180" s="1">
        <v>45396</v>
      </c>
      <c r="B180" s="1" t="str">
        <f>TEXT(Tabla1[[#This Row],[Fecha]],"MMMM")</f>
        <v>abril</v>
      </c>
      <c r="C180" t="s">
        <v>190</v>
      </c>
      <c r="D180" t="s">
        <v>5026</v>
      </c>
      <c r="E180" t="s">
        <v>5032</v>
      </c>
      <c r="F180" t="s">
        <v>5037</v>
      </c>
      <c r="G180" s="3">
        <v>7289.55</v>
      </c>
      <c r="H180" s="3">
        <v>0</v>
      </c>
      <c r="I180" s="3">
        <f>SUM(Tabla1[[#This Row],[Monto_Base]],H180)</f>
        <v>7289.55</v>
      </c>
      <c r="J180" t="s">
        <v>5044</v>
      </c>
      <c r="K180" t="s">
        <v>5049</v>
      </c>
      <c r="L180" t="s">
        <v>5052</v>
      </c>
      <c r="M180" t="s">
        <v>5055</v>
      </c>
    </row>
    <row r="181" spans="1:13" x14ac:dyDescent="0.3">
      <c r="A181" s="1">
        <v>45555</v>
      </c>
      <c r="B181" s="1" t="str">
        <f>TEXT(Tabla1[[#This Row],[Fecha]],"MMMM")</f>
        <v>septiembre</v>
      </c>
      <c r="C181" t="s">
        <v>191</v>
      </c>
      <c r="D181" t="s">
        <v>5020</v>
      </c>
      <c r="E181" t="s">
        <v>5032</v>
      </c>
      <c r="F181" t="s">
        <v>5039</v>
      </c>
      <c r="G181" s="3">
        <v>11421.94</v>
      </c>
      <c r="H181" s="3">
        <v>0</v>
      </c>
      <c r="I181" s="3">
        <f>SUM(Tabla1[[#This Row],[Monto_Base]],H181)</f>
        <v>11421.94</v>
      </c>
      <c r="J181" t="s">
        <v>5042</v>
      </c>
      <c r="K181" t="s">
        <v>5047</v>
      </c>
      <c r="L181" t="s">
        <v>5051</v>
      </c>
      <c r="M181" t="s">
        <v>5054</v>
      </c>
    </row>
    <row r="182" spans="1:13" x14ac:dyDescent="0.3">
      <c r="A182" s="1">
        <v>45341</v>
      </c>
      <c r="B182" s="1" t="str">
        <f>TEXT(Tabla1[[#This Row],[Fecha]],"MMMM")</f>
        <v>febrero</v>
      </c>
      <c r="C182" t="s">
        <v>192</v>
      </c>
      <c r="D182" t="s">
        <v>5030</v>
      </c>
      <c r="E182" t="s">
        <v>5032</v>
      </c>
      <c r="F182" t="s">
        <v>5041</v>
      </c>
      <c r="G182" s="3">
        <v>3756.39</v>
      </c>
      <c r="H182" s="3">
        <v>0</v>
      </c>
      <c r="I182" s="3">
        <f>SUM(Tabla1[[#This Row],[Monto_Base]],H182)</f>
        <v>3756.39</v>
      </c>
      <c r="J182" t="s">
        <v>5045</v>
      </c>
      <c r="K182" t="s">
        <v>5048</v>
      </c>
      <c r="L182" t="s">
        <v>5050</v>
      </c>
      <c r="M182" t="s">
        <v>5055</v>
      </c>
    </row>
    <row r="183" spans="1:13" x14ac:dyDescent="0.3">
      <c r="A183" s="1">
        <v>45373</v>
      </c>
      <c r="B183" s="1" t="str">
        <f>TEXT(Tabla1[[#This Row],[Fecha]],"MMMM")</f>
        <v>marzo</v>
      </c>
      <c r="C183" t="s">
        <v>193</v>
      </c>
      <c r="D183" t="s">
        <v>5026</v>
      </c>
      <c r="E183" t="s">
        <v>5032</v>
      </c>
      <c r="F183" t="s">
        <v>5040</v>
      </c>
      <c r="G183" s="3">
        <v>2888.02</v>
      </c>
      <c r="H183" s="3">
        <v>0</v>
      </c>
      <c r="I183" s="3">
        <f>SUM(Tabla1[[#This Row],[Monto_Base]],H183)</f>
        <v>2888.02</v>
      </c>
      <c r="J183" t="s">
        <v>5043</v>
      </c>
      <c r="K183" t="s">
        <v>5049</v>
      </c>
      <c r="L183" t="s">
        <v>5050</v>
      </c>
      <c r="M183" t="s">
        <v>5055</v>
      </c>
    </row>
    <row r="184" spans="1:13" x14ac:dyDescent="0.3">
      <c r="A184" s="1">
        <v>45550</v>
      </c>
      <c r="B184" s="1" t="str">
        <f>TEXT(Tabla1[[#This Row],[Fecha]],"MMMM")</f>
        <v>septiembre</v>
      </c>
      <c r="C184" t="s">
        <v>194</v>
      </c>
      <c r="D184" t="s">
        <v>5025</v>
      </c>
      <c r="E184" t="s">
        <v>5033</v>
      </c>
      <c r="F184" t="s">
        <v>5036</v>
      </c>
      <c r="G184" s="3">
        <v>14181.23</v>
      </c>
      <c r="H184" s="3">
        <v>1843.56</v>
      </c>
      <c r="I184" s="3">
        <f>SUM(Tabla1[[#This Row],[Monto_Base]],H184)</f>
        <v>16024.789999999999</v>
      </c>
      <c r="J184" t="s">
        <v>5043</v>
      </c>
      <c r="K184" t="s">
        <v>5047</v>
      </c>
      <c r="L184" t="s">
        <v>5052</v>
      </c>
      <c r="M184" t="s">
        <v>5055</v>
      </c>
    </row>
    <row r="185" spans="1:13" x14ac:dyDescent="0.3">
      <c r="A185" s="1">
        <v>45626</v>
      </c>
      <c r="B185" s="1" t="str">
        <f>TEXT(Tabla1[[#This Row],[Fecha]],"MMMM")</f>
        <v>noviembre</v>
      </c>
      <c r="C185" t="s">
        <v>195</v>
      </c>
      <c r="D185" t="s">
        <v>5012</v>
      </c>
      <c r="E185" t="s">
        <v>5032</v>
      </c>
      <c r="F185" t="s">
        <v>5041</v>
      </c>
      <c r="G185" s="3">
        <v>8982.91</v>
      </c>
      <c r="H185" s="3">
        <v>0</v>
      </c>
      <c r="I185" s="3">
        <f>SUM(Tabla1[[#This Row],[Monto_Base]],H185)</f>
        <v>8982.91</v>
      </c>
      <c r="J185" t="s">
        <v>5043</v>
      </c>
      <c r="K185" t="s">
        <v>5048</v>
      </c>
      <c r="L185" t="s">
        <v>5053</v>
      </c>
      <c r="M185" t="s">
        <v>5054</v>
      </c>
    </row>
    <row r="186" spans="1:13" x14ac:dyDescent="0.3">
      <c r="A186" s="1">
        <v>45479</v>
      </c>
      <c r="B186" s="1" t="str">
        <f>TEXT(Tabla1[[#This Row],[Fecha]],"MMMM")</f>
        <v>julio</v>
      </c>
      <c r="C186" t="s">
        <v>196</v>
      </c>
      <c r="D186" t="s">
        <v>5028</v>
      </c>
      <c r="E186" t="s">
        <v>5032</v>
      </c>
      <c r="F186" t="s">
        <v>5040</v>
      </c>
      <c r="G186" s="3">
        <v>11469.66</v>
      </c>
      <c r="H186" s="3">
        <v>0</v>
      </c>
      <c r="I186" s="3">
        <f>SUM(Tabla1[[#This Row],[Monto_Base]],H186)</f>
        <v>11469.66</v>
      </c>
      <c r="J186" t="s">
        <v>5045</v>
      </c>
      <c r="K186" t="s">
        <v>5048</v>
      </c>
      <c r="L186" t="s">
        <v>5053</v>
      </c>
      <c r="M186" t="s">
        <v>5054</v>
      </c>
    </row>
    <row r="187" spans="1:13" x14ac:dyDescent="0.3">
      <c r="A187" s="1">
        <v>45522</v>
      </c>
      <c r="B187" s="1" t="str">
        <f>TEXT(Tabla1[[#This Row],[Fecha]],"MMMM")</f>
        <v>agosto</v>
      </c>
      <c r="C187" t="s">
        <v>197</v>
      </c>
      <c r="D187" t="s">
        <v>5016</v>
      </c>
      <c r="E187" t="s">
        <v>5032</v>
      </c>
      <c r="F187" t="s">
        <v>5036</v>
      </c>
      <c r="G187" s="3">
        <v>5825.91</v>
      </c>
      <c r="H187" s="3">
        <v>0</v>
      </c>
      <c r="I187" s="3">
        <f>SUM(Tabla1[[#This Row],[Monto_Base]],H187)</f>
        <v>5825.91</v>
      </c>
      <c r="J187" t="s">
        <v>5042</v>
      </c>
      <c r="K187" t="s">
        <v>5048</v>
      </c>
      <c r="L187" t="s">
        <v>5053</v>
      </c>
      <c r="M187" t="s">
        <v>5054</v>
      </c>
    </row>
    <row r="188" spans="1:13" x14ac:dyDescent="0.3">
      <c r="A188" s="1">
        <v>45479</v>
      </c>
      <c r="B188" s="1" t="str">
        <f>TEXT(Tabla1[[#This Row],[Fecha]],"MMMM")</f>
        <v>julio</v>
      </c>
      <c r="C188" t="s">
        <v>198</v>
      </c>
      <c r="D188" t="s">
        <v>5027</v>
      </c>
      <c r="E188" t="s">
        <v>5032</v>
      </c>
      <c r="F188" t="s">
        <v>5040</v>
      </c>
      <c r="G188" s="3">
        <v>8389.59</v>
      </c>
      <c r="H188" s="3">
        <v>0</v>
      </c>
      <c r="I188" s="3">
        <f>SUM(Tabla1[[#This Row],[Monto_Base]],H188)</f>
        <v>8389.59</v>
      </c>
      <c r="J188" t="s">
        <v>5046</v>
      </c>
      <c r="K188" t="s">
        <v>5047</v>
      </c>
      <c r="L188" t="s">
        <v>5050</v>
      </c>
      <c r="M188" t="s">
        <v>5054</v>
      </c>
    </row>
    <row r="189" spans="1:13" x14ac:dyDescent="0.3">
      <c r="A189" s="1">
        <v>45557</v>
      </c>
      <c r="B189" s="1" t="str">
        <f>TEXT(Tabla1[[#This Row],[Fecha]],"MMMM")</f>
        <v>septiembre</v>
      </c>
      <c r="C189" t="s">
        <v>199</v>
      </c>
      <c r="D189" t="s">
        <v>5012</v>
      </c>
      <c r="E189" t="s">
        <v>5033</v>
      </c>
      <c r="F189" t="s">
        <v>5040</v>
      </c>
      <c r="G189" s="3">
        <v>12069.29</v>
      </c>
      <c r="H189" s="3">
        <v>1569.01</v>
      </c>
      <c r="I189" s="3">
        <f>SUM(Tabla1[[#This Row],[Monto_Base]],H189)</f>
        <v>13638.300000000001</v>
      </c>
      <c r="J189" t="s">
        <v>5043</v>
      </c>
      <c r="K189" t="s">
        <v>5047</v>
      </c>
      <c r="L189" t="s">
        <v>5052</v>
      </c>
      <c r="M189" t="s">
        <v>5055</v>
      </c>
    </row>
    <row r="190" spans="1:13" x14ac:dyDescent="0.3">
      <c r="A190" s="1">
        <v>45551</v>
      </c>
      <c r="B190" s="1" t="str">
        <f>TEXT(Tabla1[[#This Row],[Fecha]],"MMMM")</f>
        <v>septiembre</v>
      </c>
      <c r="C190" t="s">
        <v>200</v>
      </c>
      <c r="D190" t="s">
        <v>5028</v>
      </c>
      <c r="E190" t="s">
        <v>5032</v>
      </c>
      <c r="F190" t="s">
        <v>5038</v>
      </c>
      <c r="G190" s="3">
        <v>8926.18</v>
      </c>
      <c r="H190" s="3">
        <v>0</v>
      </c>
      <c r="I190" s="3">
        <f>SUM(Tabla1[[#This Row],[Monto_Base]],H190)</f>
        <v>8926.18</v>
      </c>
      <c r="J190" t="s">
        <v>5042</v>
      </c>
      <c r="K190" t="s">
        <v>5049</v>
      </c>
      <c r="L190" t="s">
        <v>5050</v>
      </c>
      <c r="M190" t="s">
        <v>5055</v>
      </c>
    </row>
    <row r="191" spans="1:13" x14ac:dyDescent="0.3">
      <c r="A191" s="1">
        <v>45505</v>
      </c>
      <c r="B191" s="1" t="str">
        <f>TEXT(Tabla1[[#This Row],[Fecha]],"MMMM")</f>
        <v>agosto</v>
      </c>
      <c r="C191" t="s">
        <v>201</v>
      </c>
      <c r="D191" t="s">
        <v>5022</v>
      </c>
      <c r="E191" t="s">
        <v>5032</v>
      </c>
      <c r="F191" t="s">
        <v>5040</v>
      </c>
      <c r="G191" s="3">
        <v>10123.41</v>
      </c>
      <c r="H191" s="3">
        <v>0</v>
      </c>
      <c r="I191" s="3">
        <f>SUM(Tabla1[[#This Row],[Monto_Base]],H191)</f>
        <v>10123.41</v>
      </c>
      <c r="J191" t="s">
        <v>5042</v>
      </c>
      <c r="K191" t="s">
        <v>5048</v>
      </c>
      <c r="L191" t="s">
        <v>5053</v>
      </c>
      <c r="M191" t="s">
        <v>5055</v>
      </c>
    </row>
    <row r="192" spans="1:13" x14ac:dyDescent="0.3">
      <c r="A192" s="1">
        <v>45379</v>
      </c>
      <c r="B192" s="1" t="str">
        <f>TEXT(Tabla1[[#This Row],[Fecha]],"MMMM")</f>
        <v>marzo</v>
      </c>
      <c r="C192" t="s">
        <v>202</v>
      </c>
      <c r="D192" t="s">
        <v>5014</v>
      </c>
      <c r="E192" t="s">
        <v>5033</v>
      </c>
      <c r="F192" t="s">
        <v>5035</v>
      </c>
      <c r="G192" s="3">
        <v>8773.67</v>
      </c>
      <c r="H192" s="3">
        <v>1140.58</v>
      </c>
      <c r="I192" s="3">
        <f>SUM(Tabla1[[#This Row],[Monto_Base]],H192)</f>
        <v>9914.25</v>
      </c>
      <c r="J192" t="s">
        <v>5042</v>
      </c>
      <c r="K192" t="s">
        <v>5049</v>
      </c>
      <c r="L192" t="s">
        <v>5050</v>
      </c>
      <c r="M192" t="s">
        <v>5054</v>
      </c>
    </row>
    <row r="193" spans="1:13" x14ac:dyDescent="0.3">
      <c r="A193" s="1">
        <v>45452</v>
      </c>
      <c r="B193" s="1" t="str">
        <f>TEXT(Tabla1[[#This Row],[Fecha]],"MMMM")</f>
        <v>junio</v>
      </c>
      <c r="C193" t="s">
        <v>203</v>
      </c>
      <c r="D193" t="s">
        <v>5012</v>
      </c>
      <c r="E193" t="s">
        <v>5033</v>
      </c>
      <c r="F193" t="s">
        <v>5034</v>
      </c>
      <c r="G193" s="3">
        <v>333.11</v>
      </c>
      <c r="H193" s="3">
        <v>43.3</v>
      </c>
      <c r="I193" s="3">
        <f>SUM(Tabla1[[#This Row],[Monto_Base]],H193)</f>
        <v>376.41</v>
      </c>
      <c r="J193" t="s">
        <v>5043</v>
      </c>
      <c r="K193" t="s">
        <v>5047</v>
      </c>
      <c r="L193" t="s">
        <v>5050</v>
      </c>
      <c r="M193" t="s">
        <v>5054</v>
      </c>
    </row>
    <row r="194" spans="1:13" x14ac:dyDescent="0.3">
      <c r="A194" s="1">
        <v>45557</v>
      </c>
      <c r="B194" s="1" t="str">
        <f>TEXT(Tabla1[[#This Row],[Fecha]],"MMMM")</f>
        <v>septiembre</v>
      </c>
      <c r="C194" t="s">
        <v>204</v>
      </c>
      <c r="D194" t="s">
        <v>5016</v>
      </c>
      <c r="E194" t="s">
        <v>5032</v>
      </c>
      <c r="F194" t="s">
        <v>5035</v>
      </c>
      <c r="G194" s="3">
        <v>10601.34</v>
      </c>
      <c r="H194" s="3">
        <v>0</v>
      </c>
      <c r="I194" s="3">
        <f>SUM(Tabla1[[#This Row],[Monto_Base]],H194)</f>
        <v>10601.34</v>
      </c>
      <c r="J194" t="s">
        <v>5046</v>
      </c>
      <c r="K194" t="s">
        <v>5049</v>
      </c>
      <c r="L194" t="s">
        <v>5051</v>
      </c>
      <c r="M194" t="s">
        <v>5055</v>
      </c>
    </row>
    <row r="195" spans="1:13" x14ac:dyDescent="0.3">
      <c r="A195" s="1">
        <v>45467</v>
      </c>
      <c r="B195" s="1" t="str">
        <f>TEXT(Tabla1[[#This Row],[Fecha]],"MMMM")</f>
        <v>junio</v>
      </c>
      <c r="C195" t="s">
        <v>205</v>
      </c>
      <c r="D195" t="s">
        <v>5020</v>
      </c>
      <c r="E195" t="s">
        <v>5033</v>
      </c>
      <c r="F195" t="s">
        <v>5041</v>
      </c>
      <c r="G195" s="3">
        <v>13686.26</v>
      </c>
      <c r="H195" s="3">
        <v>1779.21</v>
      </c>
      <c r="I195" s="3">
        <f>SUM(Tabla1[[#This Row],[Monto_Base]],H195)</f>
        <v>15465.470000000001</v>
      </c>
      <c r="J195" t="s">
        <v>5042</v>
      </c>
      <c r="K195" t="s">
        <v>5048</v>
      </c>
      <c r="L195" t="s">
        <v>5051</v>
      </c>
      <c r="M195" t="s">
        <v>5055</v>
      </c>
    </row>
    <row r="196" spans="1:13" x14ac:dyDescent="0.3">
      <c r="A196" s="1">
        <v>45444</v>
      </c>
      <c r="B196" s="1" t="str">
        <f>TEXT(Tabla1[[#This Row],[Fecha]],"MMMM")</f>
        <v>junio</v>
      </c>
      <c r="C196" t="s">
        <v>206</v>
      </c>
      <c r="D196" t="s">
        <v>5017</v>
      </c>
      <c r="E196" t="s">
        <v>5032</v>
      </c>
      <c r="F196" t="s">
        <v>5038</v>
      </c>
      <c r="G196" s="3">
        <v>3411.76</v>
      </c>
      <c r="H196" s="3">
        <v>0</v>
      </c>
      <c r="I196" s="3">
        <f>SUM(Tabla1[[#This Row],[Monto_Base]],H196)</f>
        <v>3411.76</v>
      </c>
      <c r="J196" t="s">
        <v>5044</v>
      </c>
      <c r="K196" t="s">
        <v>5049</v>
      </c>
      <c r="L196" t="s">
        <v>5052</v>
      </c>
      <c r="M196" t="s">
        <v>5055</v>
      </c>
    </row>
    <row r="197" spans="1:13" x14ac:dyDescent="0.3">
      <c r="A197" s="1">
        <v>45585</v>
      </c>
      <c r="B197" s="1" t="str">
        <f>TEXT(Tabla1[[#This Row],[Fecha]],"MMMM")</f>
        <v>octubre</v>
      </c>
      <c r="C197" t="s">
        <v>207</v>
      </c>
      <c r="D197" t="s">
        <v>5025</v>
      </c>
      <c r="E197" t="s">
        <v>5032</v>
      </c>
      <c r="F197" t="s">
        <v>5038</v>
      </c>
      <c r="G197" s="3">
        <v>4352.45</v>
      </c>
      <c r="H197" s="3">
        <v>0</v>
      </c>
      <c r="I197" s="3">
        <f>SUM(Tabla1[[#This Row],[Monto_Base]],H197)</f>
        <v>4352.45</v>
      </c>
      <c r="J197" t="s">
        <v>5042</v>
      </c>
      <c r="K197" t="s">
        <v>5048</v>
      </c>
      <c r="L197" t="s">
        <v>5050</v>
      </c>
      <c r="M197" t="s">
        <v>5055</v>
      </c>
    </row>
    <row r="198" spans="1:13" x14ac:dyDescent="0.3">
      <c r="A198" s="1">
        <v>45332</v>
      </c>
      <c r="B198" s="1" t="str">
        <f>TEXT(Tabla1[[#This Row],[Fecha]],"MMMM")</f>
        <v>febrero</v>
      </c>
      <c r="C198" t="s">
        <v>208</v>
      </c>
      <c r="D198" t="s">
        <v>5021</v>
      </c>
      <c r="E198" t="s">
        <v>5033</v>
      </c>
      <c r="F198" t="s">
        <v>5038</v>
      </c>
      <c r="G198" s="3">
        <v>14331.94</v>
      </c>
      <c r="H198" s="3">
        <v>1863.15</v>
      </c>
      <c r="I198" s="3">
        <f>SUM(Tabla1[[#This Row],[Monto_Base]],H198)</f>
        <v>16195.09</v>
      </c>
      <c r="J198" t="s">
        <v>5044</v>
      </c>
      <c r="K198" t="s">
        <v>5048</v>
      </c>
      <c r="L198" t="s">
        <v>5051</v>
      </c>
      <c r="M198" t="s">
        <v>5055</v>
      </c>
    </row>
    <row r="199" spans="1:13" x14ac:dyDescent="0.3">
      <c r="A199" s="1">
        <v>45607</v>
      </c>
      <c r="B199" s="1" t="str">
        <f>TEXT(Tabla1[[#This Row],[Fecha]],"MMMM")</f>
        <v>noviembre</v>
      </c>
      <c r="C199" t="s">
        <v>209</v>
      </c>
      <c r="D199" t="s">
        <v>5017</v>
      </c>
      <c r="E199" t="s">
        <v>5032</v>
      </c>
      <c r="F199" t="s">
        <v>5038</v>
      </c>
      <c r="G199" s="3">
        <v>2102.23</v>
      </c>
      <c r="H199" s="3">
        <v>0</v>
      </c>
      <c r="I199" s="3">
        <f>SUM(Tabla1[[#This Row],[Monto_Base]],H199)</f>
        <v>2102.23</v>
      </c>
      <c r="J199" t="s">
        <v>5042</v>
      </c>
      <c r="K199" t="s">
        <v>5047</v>
      </c>
      <c r="L199" t="s">
        <v>5052</v>
      </c>
      <c r="M199" t="s">
        <v>5054</v>
      </c>
    </row>
    <row r="200" spans="1:13" x14ac:dyDescent="0.3">
      <c r="A200" s="1">
        <v>45533</v>
      </c>
      <c r="B200" s="1" t="str">
        <f>TEXT(Tabla1[[#This Row],[Fecha]],"MMMM")</f>
        <v>agosto</v>
      </c>
      <c r="C200" t="s">
        <v>210</v>
      </c>
      <c r="D200" t="s">
        <v>5017</v>
      </c>
      <c r="E200" t="s">
        <v>5033</v>
      </c>
      <c r="F200" t="s">
        <v>5036</v>
      </c>
      <c r="G200" s="3">
        <v>6228.86</v>
      </c>
      <c r="H200" s="3">
        <v>809.75</v>
      </c>
      <c r="I200" s="3">
        <f>SUM(Tabla1[[#This Row],[Monto_Base]],H200)</f>
        <v>7038.61</v>
      </c>
      <c r="J200" t="s">
        <v>5045</v>
      </c>
      <c r="K200" t="s">
        <v>5049</v>
      </c>
      <c r="L200" t="s">
        <v>5052</v>
      </c>
      <c r="M200" t="s">
        <v>5054</v>
      </c>
    </row>
    <row r="201" spans="1:13" x14ac:dyDescent="0.3">
      <c r="A201" s="1">
        <v>45439</v>
      </c>
      <c r="B201" s="1" t="str">
        <f>TEXT(Tabla1[[#This Row],[Fecha]],"MMMM")</f>
        <v>mayo</v>
      </c>
      <c r="C201" t="s">
        <v>211</v>
      </c>
      <c r="D201" t="s">
        <v>5027</v>
      </c>
      <c r="E201" t="s">
        <v>5032</v>
      </c>
      <c r="F201" t="s">
        <v>5041</v>
      </c>
      <c r="G201" s="3">
        <v>9775.5499999999993</v>
      </c>
      <c r="H201" s="3">
        <v>0</v>
      </c>
      <c r="I201" s="3">
        <f>SUM(Tabla1[[#This Row],[Monto_Base]],H201)</f>
        <v>9775.5499999999993</v>
      </c>
      <c r="J201" t="s">
        <v>5044</v>
      </c>
      <c r="K201" t="s">
        <v>5048</v>
      </c>
      <c r="L201" t="s">
        <v>5053</v>
      </c>
      <c r="M201" t="s">
        <v>5054</v>
      </c>
    </row>
    <row r="202" spans="1:13" x14ac:dyDescent="0.3">
      <c r="A202" s="1">
        <v>45382</v>
      </c>
      <c r="B202" s="1" t="str">
        <f>TEXT(Tabla1[[#This Row],[Fecha]],"MMMM")</f>
        <v>marzo</v>
      </c>
      <c r="C202" t="s">
        <v>212</v>
      </c>
      <c r="D202" t="s">
        <v>5023</v>
      </c>
      <c r="E202" t="s">
        <v>5033</v>
      </c>
      <c r="F202" t="s">
        <v>5039</v>
      </c>
      <c r="G202" s="3">
        <v>6297.38</v>
      </c>
      <c r="H202" s="3">
        <v>818.66</v>
      </c>
      <c r="I202" s="3">
        <f>SUM(Tabla1[[#This Row],[Monto_Base]],H202)</f>
        <v>7116.04</v>
      </c>
      <c r="J202" t="s">
        <v>5045</v>
      </c>
      <c r="K202" t="s">
        <v>5048</v>
      </c>
      <c r="L202" t="s">
        <v>5050</v>
      </c>
      <c r="M202" t="s">
        <v>5054</v>
      </c>
    </row>
    <row r="203" spans="1:13" x14ac:dyDescent="0.3">
      <c r="A203" s="1">
        <v>45346</v>
      </c>
      <c r="B203" s="1" t="str">
        <f>TEXT(Tabla1[[#This Row],[Fecha]],"MMMM")</f>
        <v>febrero</v>
      </c>
      <c r="C203" t="s">
        <v>213</v>
      </c>
      <c r="D203" t="s">
        <v>5022</v>
      </c>
      <c r="E203" t="s">
        <v>5033</v>
      </c>
      <c r="F203" t="s">
        <v>5038</v>
      </c>
      <c r="G203" s="3">
        <v>8541.0300000000007</v>
      </c>
      <c r="H203" s="3">
        <v>1110.33</v>
      </c>
      <c r="I203" s="3">
        <f>SUM(Tabla1[[#This Row],[Monto_Base]],H203)</f>
        <v>9651.36</v>
      </c>
      <c r="J203" t="s">
        <v>5044</v>
      </c>
      <c r="K203" t="s">
        <v>5048</v>
      </c>
      <c r="L203" t="s">
        <v>5050</v>
      </c>
      <c r="M203" t="s">
        <v>5055</v>
      </c>
    </row>
    <row r="204" spans="1:13" x14ac:dyDescent="0.3">
      <c r="A204" s="1">
        <v>45349</v>
      </c>
      <c r="B204" s="1" t="str">
        <f>TEXT(Tabla1[[#This Row],[Fecha]],"MMMM")</f>
        <v>febrero</v>
      </c>
      <c r="C204" t="s">
        <v>214</v>
      </c>
      <c r="D204" t="s">
        <v>5023</v>
      </c>
      <c r="E204" t="s">
        <v>5032</v>
      </c>
      <c r="F204" t="s">
        <v>5038</v>
      </c>
      <c r="G204" s="3">
        <v>2932.53</v>
      </c>
      <c r="H204" s="3">
        <v>0</v>
      </c>
      <c r="I204" s="3">
        <f>SUM(Tabla1[[#This Row],[Monto_Base]],H204)</f>
        <v>2932.53</v>
      </c>
      <c r="J204" t="s">
        <v>5044</v>
      </c>
      <c r="K204" t="s">
        <v>5047</v>
      </c>
      <c r="L204" t="s">
        <v>5050</v>
      </c>
      <c r="M204" t="s">
        <v>5055</v>
      </c>
    </row>
    <row r="205" spans="1:13" x14ac:dyDescent="0.3">
      <c r="A205" s="1">
        <v>45390</v>
      </c>
      <c r="B205" s="1" t="str">
        <f>TEXT(Tabla1[[#This Row],[Fecha]],"MMMM")</f>
        <v>abril</v>
      </c>
      <c r="C205" t="s">
        <v>215</v>
      </c>
      <c r="D205" t="s">
        <v>5012</v>
      </c>
      <c r="E205" t="s">
        <v>5032</v>
      </c>
      <c r="F205" t="s">
        <v>5038</v>
      </c>
      <c r="G205" s="3">
        <v>8538.33</v>
      </c>
      <c r="H205" s="3">
        <v>0</v>
      </c>
      <c r="I205" s="3">
        <f>SUM(Tabla1[[#This Row],[Monto_Base]],H205)</f>
        <v>8538.33</v>
      </c>
      <c r="J205" t="s">
        <v>5046</v>
      </c>
      <c r="K205" t="s">
        <v>5049</v>
      </c>
      <c r="L205" t="s">
        <v>5050</v>
      </c>
      <c r="M205" t="s">
        <v>5055</v>
      </c>
    </row>
    <row r="206" spans="1:13" x14ac:dyDescent="0.3">
      <c r="A206" s="1">
        <v>45363</v>
      </c>
      <c r="B206" s="1" t="str">
        <f>TEXT(Tabla1[[#This Row],[Fecha]],"MMMM")</f>
        <v>marzo</v>
      </c>
      <c r="C206" t="s">
        <v>216</v>
      </c>
      <c r="D206" t="s">
        <v>5030</v>
      </c>
      <c r="E206" t="s">
        <v>5032</v>
      </c>
      <c r="F206" t="s">
        <v>5036</v>
      </c>
      <c r="G206" s="3">
        <v>2812.48</v>
      </c>
      <c r="H206" s="3">
        <v>0</v>
      </c>
      <c r="I206" s="3">
        <f>SUM(Tabla1[[#This Row],[Monto_Base]],H206)</f>
        <v>2812.48</v>
      </c>
      <c r="J206" t="s">
        <v>5043</v>
      </c>
      <c r="K206" t="s">
        <v>5048</v>
      </c>
      <c r="L206" t="s">
        <v>5052</v>
      </c>
      <c r="M206" t="s">
        <v>5054</v>
      </c>
    </row>
    <row r="207" spans="1:13" x14ac:dyDescent="0.3">
      <c r="A207" s="1">
        <v>45460</v>
      </c>
      <c r="B207" s="1" t="str">
        <f>TEXT(Tabla1[[#This Row],[Fecha]],"MMMM")</f>
        <v>junio</v>
      </c>
      <c r="C207" t="s">
        <v>217</v>
      </c>
      <c r="D207" t="s">
        <v>5019</v>
      </c>
      <c r="E207" t="s">
        <v>5033</v>
      </c>
      <c r="F207" t="s">
        <v>5041</v>
      </c>
      <c r="G207" s="3">
        <v>11318.66</v>
      </c>
      <c r="H207" s="3">
        <v>1471.43</v>
      </c>
      <c r="I207" s="3">
        <f>SUM(Tabla1[[#This Row],[Monto_Base]],H207)</f>
        <v>12790.09</v>
      </c>
      <c r="J207" t="s">
        <v>5044</v>
      </c>
      <c r="K207" t="s">
        <v>5049</v>
      </c>
      <c r="L207" t="s">
        <v>5053</v>
      </c>
      <c r="M207" t="s">
        <v>5055</v>
      </c>
    </row>
    <row r="208" spans="1:13" x14ac:dyDescent="0.3">
      <c r="A208" s="1">
        <v>45373</v>
      </c>
      <c r="B208" s="1" t="str">
        <f>TEXT(Tabla1[[#This Row],[Fecha]],"MMMM")</f>
        <v>marzo</v>
      </c>
      <c r="C208" t="s">
        <v>218</v>
      </c>
      <c r="D208" t="s">
        <v>5024</v>
      </c>
      <c r="E208" t="s">
        <v>5033</v>
      </c>
      <c r="F208" t="s">
        <v>5036</v>
      </c>
      <c r="G208" s="3">
        <v>7007.66</v>
      </c>
      <c r="H208" s="3">
        <v>911</v>
      </c>
      <c r="I208" s="3">
        <f>SUM(Tabla1[[#This Row],[Monto_Base]],H208)</f>
        <v>7918.66</v>
      </c>
      <c r="J208" t="s">
        <v>5043</v>
      </c>
      <c r="K208" t="s">
        <v>5049</v>
      </c>
      <c r="L208" t="s">
        <v>5051</v>
      </c>
      <c r="M208" t="s">
        <v>5054</v>
      </c>
    </row>
    <row r="209" spans="1:13" x14ac:dyDescent="0.3">
      <c r="A209" s="1">
        <v>45536</v>
      </c>
      <c r="B209" s="1" t="str">
        <f>TEXT(Tabla1[[#This Row],[Fecha]],"MMMM")</f>
        <v>septiembre</v>
      </c>
      <c r="C209" t="s">
        <v>219</v>
      </c>
      <c r="D209" t="s">
        <v>5020</v>
      </c>
      <c r="E209" t="s">
        <v>5033</v>
      </c>
      <c r="F209" t="s">
        <v>5034</v>
      </c>
      <c r="G209" s="3">
        <v>14362.54</v>
      </c>
      <c r="H209" s="3">
        <v>1867.13</v>
      </c>
      <c r="I209" s="3">
        <f>SUM(Tabla1[[#This Row],[Monto_Base]],H209)</f>
        <v>16229.670000000002</v>
      </c>
      <c r="J209" t="s">
        <v>5046</v>
      </c>
      <c r="K209" t="s">
        <v>5048</v>
      </c>
      <c r="L209" t="s">
        <v>5051</v>
      </c>
      <c r="M209" t="s">
        <v>5055</v>
      </c>
    </row>
    <row r="210" spans="1:13" x14ac:dyDescent="0.3">
      <c r="A210" s="1">
        <v>45597</v>
      </c>
      <c r="B210" s="1" t="str">
        <f>TEXT(Tabla1[[#This Row],[Fecha]],"MMMM")</f>
        <v>noviembre</v>
      </c>
      <c r="C210" t="s">
        <v>220</v>
      </c>
      <c r="D210" t="s">
        <v>5016</v>
      </c>
      <c r="E210" t="s">
        <v>5033</v>
      </c>
      <c r="F210" t="s">
        <v>5034</v>
      </c>
      <c r="G210" s="3">
        <v>10221.11</v>
      </c>
      <c r="H210" s="3">
        <v>1328.74</v>
      </c>
      <c r="I210" s="3">
        <f>SUM(Tabla1[[#This Row],[Monto_Base]],H210)</f>
        <v>11549.85</v>
      </c>
      <c r="J210" t="s">
        <v>5045</v>
      </c>
      <c r="K210" t="s">
        <v>5049</v>
      </c>
      <c r="L210" t="s">
        <v>5050</v>
      </c>
      <c r="M210" t="s">
        <v>5055</v>
      </c>
    </row>
    <row r="211" spans="1:13" x14ac:dyDescent="0.3">
      <c r="A211" s="1">
        <v>45550</v>
      </c>
      <c r="B211" s="1" t="str">
        <f>TEXT(Tabla1[[#This Row],[Fecha]],"MMMM")</f>
        <v>septiembre</v>
      </c>
      <c r="C211" t="s">
        <v>221</v>
      </c>
      <c r="D211" t="s">
        <v>5031</v>
      </c>
      <c r="E211" t="s">
        <v>5033</v>
      </c>
      <c r="F211" t="s">
        <v>5035</v>
      </c>
      <c r="G211" s="3">
        <v>12440.17</v>
      </c>
      <c r="H211" s="3">
        <v>1617.22</v>
      </c>
      <c r="I211" s="3">
        <f>SUM(Tabla1[[#This Row],[Monto_Base]],H211)</f>
        <v>14057.39</v>
      </c>
      <c r="J211" t="s">
        <v>5046</v>
      </c>
      <c r="K211" t="s">
        <v>5049</v>
      </c>
      <c r="L211" t="s">
        <v>5052</v>
      </c>
      <c r="M211" t="s">
        <v>5054</v>
      </c>
    </row>
    <row r="212" spans="1:13" x14ac:dyDescent="0.3">
      <c r="A212" s="1">
        <v>45590</v>
      </c>
      <c r="B212" s="1" t="str">
        <f>TEXT(Tabla1[[#This Row],[Fecha]],"MMMM")</f>
        <v>octubre</v>
      </c>
      <c r="C212" t="s">
        <v>222</v>
      </c>
      <c r="D212" t="s">
        <v>5016</v>
      </c>
      <c r="E212" t="s">
        <v>5032</v>
      </c>
      <c r="F212" t="s">
        <v>5036</v>
      </c>
      <c r="G212" s="3">
        <v>10220.41</v>
      </c>
      <c r="H212" s="3">
        <v>0</v>
      </c>
      <c r="I212" s="3">
        <f>SUM(Tabla1[[#This Row],[Monto_Base]],H212)</f>
        <v>10220.41</v>
      </c>
      <c r="J212" t="s">
        <v>5043</v>
      </c>
      <c r="K212" t="s">
        <v>5047</v>
      </c>
      <c r="L212" t="s">
        <v>5050</v>
      </c>
      <c r="M212" t="s">
        <v>5054</v>
      </c>
    </row>
    <row r="213" spans="1:13" x14ac:dyDescent="0.3">
      <c r="A213" s="1">
        <v>45578</v>
      </c>
      <c r="B213" s="1" t="str">
        <f>TEXT(Tabla1[[#This Row],[Fecha]],"MMMM")</f>
        <v>octubre</v>
      </c>
      <c r="C213" t="s">
        <v>223</v>
      </c>
      <c r="D213" t="s">
        <v>5028</v>
      </c>
      <c r="E213" t="s">
        <v>5032</v>
      </c>
      <c r="F213" t="s">
        <v>5041</v>
      </c>
      <c r="G213" s="3">
        <v>8480.4699999999993</v>
      </c>
      <c r="H213" s="3">
        <v>0</v>
      </c>
      <c r="I213" s="3">
        <f>SUM(Tabla1[[#This Row],[Monto_Base]],H213)</f>
        <v>8480.4699999999993</v>
      </c>
      <c r="J213" t="s">
        <v>5043</v>
      </c>
      <c r="K213" t="s">
        <v>5049</v>
      </c>
      <c r="L213" t="s">
        <v>5051</v>
      </c>
      <c r="M213" t="s">
        <v>5054</v>
      </c>
    </row>
    <row r="214" spans="1:13" x14ac:dyDescent="0.3">
      <c r="A214" s="1">
        <v>45315</v>
      </c>
      <c r="B214" s="1" t="str">
        <f>TEXT(Tabla1[[#This Row],[Fecha]],"MMMM")</f>
        <v>enero</v>
      </c>
      <c r="C214" t="s">
        <v>224</v>
      </c>
      <c r="D214" t="s">
        <v>5029</v>
      </c>
      <c r="E214" t="s">
        <v>5033</v>
      </c>
      <c r="F214" t="s">
        <v>5034</v>
      </c>
      <c r="G214" s="3">
        <v>8695.75</v>
      </c>
      <c r="H214" s="3">
        <v>1130.45</v>
      </c>
      <c r="I214" s="3">
        <f>SUM(Tabla1[[#This Row],[Monto_Base]],H214)</f>
        <v>9826.2000000000007</v>
      </c>
      <c r="J214" t="s">
        <v>5043</v>
      </c>
      <c r="K214" t="s">
        <v>5048</v>
      </c>
      <c r="L214" t="s">
        <v>5053</v>
      </c>
      <c r="M214" t="s">
        <v>5054</v>
      </c>
    </row>
    <row r="215" spans="1:13" x14ac:dyDescent="0.3">
      <c r="A215" s="1">
        <v>45361</v>
      </c>
      <c r="B215" s="1" t="str">
        <f>TEXT(Tabla1[[#This Row],[Fecha]],"MMMM")</f>
        <v>marzo</v>
      </c>
      <c r="C215" t="s">
        <v>225</v>
      </c>
      <c r="D215" t="s">
        <v>5018</v>
      </c>
      <c r="E215" t="s">
        <v>5033</v>
      </c>
      <c r="F215" t="s">
        <v>5038</v>
      </c>
      <c r="G215" s="3">
        <v>6162.56</v>
      </c>
      <c r="H215" s="3">
        <v>801.13</v>
      </c>
      <c r="I215" s="3">
        <f>SUM(Tabla1[[#This Row],[Monto_Base]],H215)</f>
        <v>6963.6900000000005</v>
      </c>
      <c r="J215" t="s">
        <v>5043</v>
      </c>
      <c r="K215" t="s">
        <v>5048</v>
      </c>
      <c r="L215" t="s">
        <v>5050</v>
      </c>
      <c r="M215" t="s">
        <v>5055</v>
      </c>
    </row>
    <row r="216" spans="1:13" x14ac:dyDescent="0.3">
      <c r="A216" s="1">
        <v>45470</v>
      </c>
      <c r="B216" s="1" t="str">
        <f>TEXT(Tabla1[[#This Row],[Fecha]],"MMMM")</f>
        <v>junio</v>
      </c>
      <c r="C216" t="s">
        <v>226</v>
      </c>
      <c r="D216" t="s">
        <v>5019</v>
      </c>
      <c r="E216" t="s">
        <v>5033</v>
      </c>
      <c r="F216" t="s">
        <v>5039</v>
      </c>
      <c r="G216" s="3">
        <v>9820.33</v>
      </c>
      <c r="H216" s="3">
        <v>1276.6400000000001</v>
      </c>
      <c r="I216" s="3">
        <f>SUM(Tabla1[[#This Row],[Monto_Base]],H216)</f>
        <v>11096.97</v>
      </c>
      <c r="J216" t="s">
        <v>5045</v>
      </c>
      <c r="K216" t="s">
        <v>5047</v>
      </c>
      <c r="L216" t="s">
        <v>5050</v>
      </c>
      <c r="M216" t="s">
        <v>5054</v>
      </c>
    </row>
    <row r="217" spans="1:13" x14ac:dyDescent="0.3">
      <c r="A217" s="1">
        <v>45570</v>
      </c>
      <c r="B217" s="1" t="str">
        <f>TEXT(Tabla1[[#This Row],[Fecha]],"MMMM")</f>
        <v>octubre</v>
      </c>
      <c r="C217" t="s">
        <v>227</v>
      </c>
      <c r="D217" t="s">
        <v>5012</v>
      </c>
      <c r="E217" t="s">
        <v>5033</v>
      </c>
      <c r="F217" t="s">
        <v>5038</v>
      </c>
      <c r="G217" s="3">
        <v>6971.91</v>
      </c>
      <c r="H217" s="3">
        <v>906.35</v>
      </c>
      <c r="I217" s="3">
        <f>SUM(Tabla1[[#This Row],[Monto_Base]],H217)</f>
        <v>7878.26</v>
      </c>
      <c r="J217" t="s">
        <v>5043</v>
      </c>
      <c r="K217" t="s">
        <v>5049</v>
      </c>
      <c r="L217" t="s">
        <v>5050</v>
      </c>
      <c r="M217" t="s">
        <v>5054</v>
      </c>
    </row>
    <row r="218" spans="1:13" x14ac:dyDescent="0.3">
      <c r="A218" s="1">
        <v>45349</v>
      </c>
      <c r="B218" s="1" t="str">
        <f>TEXT(Tabla1[[#This Row],[Fecha]],"MMMM")</f>
        <v>febrero</v>
      </c>
      <c r="C218" t="s">
        <v>228</v>
      </c>
      <c r="D218" t="s">
        <v>5018</v>
      </c>
      <c r="E218" t="s">
        <v>5032</v>
      </c>
      <c r="F218" t="s">
        <v>5039</v>
      </c>
      <c r="G218" s="3">
        <v>4170.96</v>
      </c>
      <c r="H218" s="3">
        <v>0</v>
      </c>
      <c r="I218" s="3">
        <f>SUM(Tabla1[[#This Row],[Monto_Base]],H218)</f>
        <v>4170.96</v>
      </c>
      <c r="J218" t="s">
        <v>5045</v>
      </c>
      <c r="K218" t="s">
        <v>5049</v>
      </c>
      <c r="L218" t="s">
        <v>5050</v>
      </c>
      <c r="M218" t="s">
        <v>5054</v>
      </c>
    </row>
    <row r="219" spans="1:13" x14ac:dyDescent="0.3">
      <c r="A219" s="1">
        <v>45520</v>
      </c>
      <c r="B219" s="1" t="str">
        <f>TEXT(Tabla1[[#This Row],[Fecha]],"MMMM")</f>
        <v>agosto</v>
      </c>
      <c r="C219" t="s">
        <v>229</v>
      </c>
      <c r="D219" t="s">
        <v>5017</v>
      </c>
      <c r="E219" t="s">
        <v>5033</v>
      </c>
      <c r="F219" t="s">
        <v>5036</v>
      </c>
      <c r="G219" s="3">
        <v>8929.4699999999993</v>
      </c>
      <c r="H219" s="3">
        <v>1160.83</v>
      </c>
      <c r="I219" s="3">
        <f>SUM(Tabla1[[#This Row],[Monto_Base]],H219)</f>
        <v>10090.299999999999</v>
      </c>
      <c r="J219" t="s">
        <v>5042</v>
      </c>
      <c r="K219" t="s">
        <v>5049</v>
      </c>
      <c r="L219" t="s">
        <v>5053</v>
      </c>
      <c r="M219" t="s">
        <v>5054</v>
      </c>
    </row>
    <row r="220" spans="1:13" x14ac:dyDescent="0.3">
      <c r="A220" s="1">
        <v>45320</v>
      </c>
      <c r="B220" s="1" t="str">
        <f>TEXT(Tabla1[[#This Row],[Fecha]],"MMMM")</f>
        <v>enero</v>
      </c>
      <c r="C220" t="s">
        <v>230</v>
      </c>
      <c r="D220" t="s">
        <v>5027</v>
      </c>
      <c r="E220" t="s">
        <v>5032</v>
      </c>
      <c r="F220" t="s">
        <v>5034</v>
      </c>
      <c r="G220" s="3">
        <v>8119.41</v>
      </c>
      <c r="H220" s="3">
        <v>0</v>
      </c>
      <c r="I220" s="3">
        <f>SUM(Tabla1[[#This Row],[Monto_Base]],H220)</f>
        <v>8119.41</v>
      </c>
      <c r="J220" t="s">
        <v>5046</v>
      </c>
      <c r="K220" t="s">
        <v>5049</v>
      </c>
      <c r="L220" t="s">
        <v>5051</v>
      </c>
      <c r="M220" t="s">
        <v>5054</v>
      </c>
    </row>
    <row r="221" spans="1:13" x14ac:dyDescent="0.3">
      <c r="A221" s="1">
        <v>45365</v>
      </c>
      <c r="B221" s="1" t="str">
        <f>TEXT(Tabla1[[#This Row],[Fecha]],"MMMM")</f>
        <v>marzo</v>
      </c>
      <c r="C221" t="s">
        <v>231</v>
      </c>
      <c r="D221" t="s">
        <v>5014</v>
      </c>
      <c r="E221" t="s">
        <v>5032</v>
      </c>
      <c r="F221" t="s">
        <v>5034</v>
      </c>
      <c r="G221" s="3">
        <v>4561.38</v>
      </c>
      <c r="H221" s="3">
        <v>0</v>
      </c>
      <c r="I221" s="3">
        <f>SUM(Tabla1[[#This Row],[Monto_Base]],H221)</f>
        <v>4561.38</v>
      </c>
      <c r="J221" t="s">
        <v>5042</v>
      </c>
      <c r="K221" t="s">
        <v>5047</v>
      </c>
      <c r="L221" t="s">
        <v>5050</v>
      </c>
      <c r="M221" t="s">
        <v>5055</v>
      </c>
    </row>
    <row r="222" spans="1:13" x14ac:dyDescent="0.3">
      <c r="A222" s="1">
        <v>45316</v>
      </c>
      <c r="B222" s="1" t="str">
        <f>TEXT(Tabla1[[#This Row],[Fecha]],"MMMM")</f>
        <v>enero</v>
      </c>
      <c r="C222" t="s">
        <v>232</v>
      </c>
      <c r="D222" t="s">
        <v>5022</v>
      </c>
      <c r="E222" t="s">
        <v>5033</v>
      </c>
      <c r="F222" t="s">
        <v>5037</v>
      </c>
      <c r="G222" s="3">
        <v>8359.9699999999993</v>
      </c>
      <c r="H222" s="3">
        <v>1086.8</v>
      </c>
      <c r="I222" s="3">
        <f>SUM(Tabla1[[#This Row],[Monto_Base]],H222)</f>
        <v>9446.7699999999986</v>
      </c>
      <c r="J222" t="s">
        <v>5044</v>
      </c>
      <c r="K222" t="s">
        <v>5049</v>
      </c>
      <c r="L222" t="s">
        <v>5050</v>
      </c>
      <c r="M222" t="s">
        <v>5055</v>
      </c>
    </row>
    <row r="223" spans="1:13" x14ac:dyDescent="0.3">
      <c r="A223" s="1">
        <v>45567</v>
      </c>
      <c r="B223" s="1" t="str">
        <f>TEXT(Tabla1[[#This Row],[Fecha]],"MMMM")</f>
        <v>octubre</v>
      </c>
      <c r="C223" t="s">
        <v>233</v>
      </c>
      <c r="D223" t="s">
        <v>5019</v>
      </c>
      <c r="E223" t="s">
        <v>5033</v>
      </c>
      <c r="F223" t="s">
        <v>5038</v>
      </c>
      <c r="G223" s="3">
        <v>5678.08</v>
      </c>
      <c r="H223" s="3">
        <v>738.15</v>
      </c>
      <c r="I223" s="3">
        <f>SUM(Tabla1[[#This Row],[Monto_Base]],H223)</f>
        <v>6416.23</v>
      </c>
      <c r="J223" t="s">
        <v>5043</v>
      </c>
      <c r="K223" t="s">
        <v>5047</v>
      </c>
      <c r="L223" t="s">
        <v>5052</v>
      </c>
      <c r="M223" t="s">
        <v>5055</v>
      </c>
    </row>
    <row r="224" spans="1:13" x14ac:dyDescent="0.3">
      <c r="A224" s="1">
        <v>45577</v>
      </c>
      <c r="B224" s="1" t="str">
        <f>TEXT(Tabla1[[#This Row],[Fecha]],"MMMM")</f>
        <v>octubre</v>
      </c>
      <c r="C224" t="s">
        <v>234</v>
      </c>
      <c r="D224" t="s">
        <v>5018</v>
      </c>
      <c r="E224" t="s">
        <v>5033</v>
      </c>
      <c r="F224" t="s">
        <v>5037</v>
      </c>
      <c r="G224" s="3">
        <v>14518.4</v>
      </c>
      <c r="H224" s="3">
        <v>1887.39</v>
      </c>
      <c r="I224" s="3">
        <f>SUM(Tabla1[[#This Row],[Monto_Base]],H224)</f>
        <v>16405.79</v>
      </c>
      <c r="J224" t="s">
        <v>5042</v>
      </c>
      <c r="K224" t="s">
        <v>5047</v>
      </c>
      <c r="L224" t="s">
        <v>5050</v>
      </c>
      <c r="M224" t="s">
        <v>5054</v>
      </c>
    </row>
    <row r="225" spans="1:13" x14ac:dyDescent="0.3">
      <c r="A225" s="1">
        <v>45481</v>
      </c>
      <c r="B225" s="1" t="str">
        <f>TEXT(Tabla1[[#This Row],[Fecha]],"MMMM")</f>
        <v>julio</v>
      </c>
      <c r="C225" t="s">
        <v>235</v>
      </c>
      <c r="D225" t="s">
        <v>5024</v>
      </c>
      <c r="E225" t="s">
        <v>5032</v>
      </c>
      <c r="F225" t="s">
        <v>5036</v>
      </c>
      <c r="G225" s="3">
        <v>13837.28</v>
      </c>
      <c r="H225" s="3">
        <v>0</v>
      </c>
      <c r="I225" s="3">
        <f>SUM(Tabla1[[#This Row],[Monto_Base]],H225)</f>
        <v>13837.28</v>
      </c>
      <c r="J225" t="s">
        <v>5045</v>
      </c>
      <c r="K225" t="s">
        <v>5049</v>
      </c>
      <c r="L225" t="s">
        <v>5052</v>
      </c>
      <c r="M225" t="s">
        <v>5054</v>
      </c>
    </row>
    <row r="226" spans="1:13" x14ac:dyDescent="0.3">
      <c r="A226" s="1">
        <v>45592</v>
      </c>
      <c r="B226" s="1" t="str">
        <f>TEXT(Tabla1[[#This Row],[Fecha]],"MMMM")</f>
        <v>octubre</v>
      </c>
      <c r="C226" t="s">
        <v>236</v>
      </c>
      <c r="D226" t="s">
        <v>5019</v>
      </c>
      <c r="E226" t="s">
        <v>5033</v>
      </c>
      <c r="F226" t="s">
        <v>5036</v>
      </c>
      <c r="G226" s="3">
        <v>2863.04</v>
      </c>
      <c r="H226" s="3">
        <v>372.2</v>
      </c>
      <c r="I226" s="3">
        <f>SUM(Tabla1[[#This Row],[Monto_Base]],H226)</f>
        <v>3235.24</v>
      </c>
      <c r="J226" t="s">
        <v>5042</v>
      </c>
      <c r="K226" t="s">
        <v>5047</v>
      </c>
      <c r="L226" t="s">
        <v>5050</v>
      </c>
      <c r="M226" t="s">
        <v>5054</v>
      </c>
    </row>
    <row r="227" spans="1:13" x14ac:dyDescent="0.3">
      <c r="A227" s="1">
        <v>45352</v>
      </c>
      <c r="B227" s="1" t="str">
        <f>TEXT(Tabla1[[#This Row],[Fecha]],"MMMM")</f>
        <v>marzo</v>
      </c>
      <c r="C227" t="s">
        <v>237</v>
      </c>
      <c r="D227" t="s">
        <v>5029</v>
      </c>
      <c r="E227" t="s">
        <v>5033</v>
      </c>
      <c r="F227" t="s">
        <v>5034</v>
      </c>
      <c r="G227" s="3">
        <v>14060.54</v>
      </c>
      <c r="H227" s="3">
        <v>1827.87</v>
      </c>
      <c r="I227" s="3">
        <f>SUM(Tabla1[[#This Row],[Monto_Base]],H227)</f>
        <v>15888.41</v>
      </c>
      <c r="J227" t="s">
        <v>5043</v>
      </c>
      <c r="K227" t="s">
        <v>5047</v>
      </c>
      <c r="L227" t="s">
        <v>5052</v>
      </c>
      <c r="M227" t="s">
        <v>5055</v>
      </c>
    </row>
    <row r="228" spans="1:13" x14ac:dyDescent="0.3">
      <c r="A228" s="1">
        <v>45565</v>
      </c>
      <c r="B228" s="1" t="str">
        <f>TEXT(Tabla1[[#This Row],[Fecha]],"MMMM")</f>
        <v>septiembre</v>
      </c>
      <c r="C228" t="s">
        <v>238</v>
      </c>
      <c r="D228" t="s">
        <v>5023</v>
      </c>
      <c r="E228" t="s">
        <v>5032</v>
      </c>
      <c r="F228" t="s">
        <v>5038</v>
      </c>
      <c r="G228" s="3">
        <v>5740.89</v>
      </c>
      <c r="H228" s="3">
        <v>0</v>
      </c>
      <c r="I228" s="3">
        <f>SUM(Tabla1[[#This Row],[Monto_Base]],H228)</f>
        <v>5740.89</v>
      </c>
      <c r="J228" t="s">
        <v>5044</v>
      </c>
      <c r="K228" t="s">
        <v>5048</v>
      </c>
      <c r="L228" t="s">
        <v>5051</v>
      </c>
      <c r="M228" t="s">
        <v>5055</v>
      </c>
    </row>
    <row r="229" spans="1:13" x14ac:dyDescent="0.3">
      <c r="A229" s="1">
        <v>45455</v>
      </c>
      <c r="B229" s="1" t="str">
        <f>TEXT(Tabla1[[#This Row],[Fecha]],"MMMM")</f>
        <v>junio</v>
      </c>
      <c r="C229" t="s">
        <v>239</v>
      </c>
      <c r="D229" t="s">
        <v>5025</v>
      </c>
      <c r="E229" t="s">
        <v>5033</v>
      </c>
      <c r="F229" t="s">
        <v>5041</v>
      </c>
      <c r="G229" s="3">
        <v>11436.35</v>
      </c>
      <c r="H229" s="3">
        <v>1486.73</v>
      </c>
      <c r="I229" s="3">
        <f>SUM(Tabla1[[#This Row],[Monto_Base]],H229)</f>
        <v>12923.08</v>
      </c>
      <c r="J229" t="s">
        <v>5046</v>
      </c>
      <c r="K229" t="s">
        <v>5048</v>
      </c>
      <c r="L229" t="s">
        <v>5051</v>
      </c>
      <c r="M229" t="s">
        <v>5055</v>
      </c>
    </row>
    <row r="230" spans="1:13" x14ac:dyDescent="0.3">
      <c r="A230" s="1">
        <v>45575</v>
      </c>
      <c r="B230" s="1" t="str">
        <f>TEXT(Tabla1[[#This Row],[Fecha]],"MMMM")</f>
        <v>octubre</v>
      </c>
      <c r="C230" t="s">
        <v>240</v>
      </c>
      <c r="D230" t="s">
        <v>5031</v>
      </c>
      <c r="E230" t="s">
        <v>5033</v>
      </c>
      <c r="F230" t="s">
        <v>5039</v>
      </c>
      <c r="G230" s="3">
        <v>292.49</v>
      </c>
      <c r="H230" s="3">
        <v>38.020000000000003</v>
      </c>
      <c r="I230" s="3">
        <f>SUM(Tabla1[[#This Row],[Monto_Base]],H230)</f>
        <v>330.51</v>
      </c>
      <c r="J230" t="s">
        <v>5042</v>
      </c>
      <c r="K230" t="s">
        <v>5049</v>
      </c>
      <c r="L230" t="s">
        <v>5050</v>
      </c>
      <c r="M230" t="s">
        <v>5055</v>
      </c>
    </row>
    <row r="231" spans="1:13" x14ac:dyDescent="0.3">
      <c r="A231" s="1">
        <v>45417</v>
      </c>
      <c r="B231" s="1" t="str">
        <f>TEXT(Tabla1[[#This Row],[Fecha]],"MMMM")</f>
        <v>mayo</v>
      </c>
      <c r="C231" t="s">
        <v>241</v>
      </c>
      <c r="D231" t="s">
        <v>5017</v>
      </c>
      <c r="E231" t="s">
        <v>5032</v>
      </c>
      <c r="F231" t="s">
        <v>5034</v>
      </c>
      <c r="G231" s="3">
        <v>5728.6</v>
      </c>
      <c r="H231" s="3">
        <v>0</v>
      </c>
      <c r="I231" s="3">
        <f>SUM(Tabla1[[#This Row],[Monto_Base]],H231)</f>
        <v>5728.6</v>
      </c>
      <c r="J231" t="s">
        <v>5043</v>
      </c>
      <c r="K231" t="s">
        <v>5049</v>
      </c>
      <c r="L231" t="s">
        <v>5051</v>
      </c>
      <c r="M231" t="s">
        <v>5055</v>
      </c>
    </row>
    <row r="232" spans="1:13" x14ac:dyDescent="0.3">
      <c r="A232" s="1">
        <v>45472</v>
      </c>
      <c r="B232" s="1" t="str">
        <f>TEXT(Tabla1[[#This Row],[Fecha]],"MMMM")</f>
        <v>junio</v>
      </c>
      <c r="C232" t="s">
        <v>242</v>
      </c>
      <c r="D232" t="s">
        <v>5025</v>
      </c>
      <c r="E232" t="s">
        <v>5032</v>
      </c>
      <c r="F232" t="s">
        <v>5039</v>
      </c>
      <c r="G232" s="3">
        <v>11004.94</v>
      </c>
      <c r="H232" s="3">
        <v>0</v>
      </c>
      <c r="I232" s="3">
        <f>SUM(Tabla1[[#This Row],[Monto_Base]],H232)</f>
        <v>11004.94</v>
      </c>
      <c r="J232" t="s">
        <v>5046</v>
      </c>
      <c r="K232" t="s">
        <v>5047</v>
      </c>
      <c r="L232" t="s">
        <v>5050</v>
      </c>
      <c r="M232" t="s">
        <v>5054</v>
      </c>
    </row>
    <row r="233" spans="1:13" x14ac:dyDescent="0.3">
      <c r="A233" s="1">
        <v>45634</v>
      </c>
      <c r="B233" s="1" t="str">
        <f>TEXT(Tabla1[[#This Row],[Fecha]],"MMMM")</f>
        <v>diciembre</v>
      </c>
      <c r="C233" t="s">
        <v>243</v>
      </c>
      <c r="D233" t="s">
        <v>5023</v>
      </c>
      <c r="E233" t="s">
        <v>5033</v>
      </c>
      <c r="F233" t="s">
        <v>5036</v>
      </c>
      <c r="G233" s="3">
        <v>14180.56</v>
      </c>
      <c r="H233" s="3">
        <v>1843.47</v>
      </c>
      <c r="I233" s="3">
        <f>SUM(Tabla1[[#This Row],[Monto_Base]],H233)</f>
        <v>16024.029999999999</v>
      </c>
      <c r="J233" t="s">
        <v>5045</v>
      </c>
      <c r="K233" t="s">
        <v>5047</v>
      </c>
      <c r="L233" t="s">
        <v>5050</v>
      </c>
      <c r="M233" t="s">
        <v>5054</v>
      </c>
    </row>
    <row r="234" spans="1:13" x14ac:dyDescent="0.3">
      <c r="A234" s="1">
        <v>45525</v>
      </c>
      <c r="B234" s="1" t="str">
        <f>TEXT(Tabla1[[#This Row],[Fecha]],"MMMM")</f>
        <v>agosto</v>
      </c>
      <c r="C234" t="s">
        <v>244</v>
      </c>
      <c r="D234" t="s">
        <v>5013</v>
      </c>
      <c r="E234" t="s">
        <v>5033</v>
      </c>
      <c r="F234" t="s">
        <v>5035</v>
      </c>
      <c r="G234" s="3">
        <v>3319.86</v>
      </c>
      <c r="H234" s="3">
        <v>431.58</v>
      </c>
      <c r="I234" s="3">
        <f>SUM(Tabla1[[#This Row],[Monto_Base]],H234)</f>
        <v>3751.44</v>
      </c>
      <c r="J234" t="s">
        <v>5044</v>
      </c>
      <c r="K234" t="s">
        <v>5047</v>
      </c>
      <c r="L234" t="s">
        <v>5050</v>
      </c>
      <c r="M234" t="s">
        <v>5055</v>
      </c>
    </row>
    <row r="235" spans="1:13" x14ac:dyDescent="0.3">
      <c r="A235" s="1">
        <v>45432</v>
      </c>
      <c r="B235" s="1" t="str">
        <f>TEXT(Tabla1[[#This Row],[Fecha]],"MMMM")</f>
        <v>mayo</v>
      </c>
      <c r="C235" t="s">
        <v>245</v>
      </c>
      <c r="D235" t="s">
        <v>5012</v>
      </c>
      <c r="E235" t="s">
        <v>5032</v>
      </c>
      <c r="F235" t="s">
        <v>5035</v>
      </c>
      <c r="G235" s="3">
        <v>300.06</v>
      </c>
      <c r="H235" s="3">
        <v>0</v>
      </c>
      <c r="I235" s="3">
        <f>SUM(Tabla1[[#This Row],[Monto_Base]],H235)</f>
        <v>300.06</v>
      </c>
      <c r="J235" t="s">
        <v>5042</v>
      </c>
      <c r="K235" t="s">
        <v>5048</v>
      </c>
      <c r="L235" t="s">
        <v>5053</v>
      </c>
      <c r="M235" t="s">
        <v>5055</v>
      </c>
    </row>
    <row r="236" spans="1:13" x14ac:dyDescent="0.3">
      <c r="A236" s="1">
        <v>45609</v>
      </c>
      <c r="B236" s="1" t="str">
        <f>TEXT(Tabla1[[#This Row],[Fecha]],"MMMM")</f>
        <v>noviembre</v>
      </c>
      <c r="C236" t="s">
        <v>246</v>
      </c>
      <c r="D236" t="s">
        <v>5013</v>
      </c>
      <c r="E236" t="s">
        <v>5033</v>
      </c>
      <c r="F236" t="s">
        <v>5039</v>
      </c>
      <c r="G236" s="3">
        <v>3652.48</v>
      </c>
      <c r="H236" s="3">
        <v>474.82</v>
      </c>
      <c r="I236" s="3">
        <f>SUM(Tabla1[[#This Row],[Monto_Base]],H236)</f>
        <v>4127.3</v>
      </c>
      <c r="J236" t="s">
        <v>5042</v>
      </c>
      <c r="K236" t="s">
        <v>5048</v>
      </c>
      <c r="L236" t="s">
        <v>5051</v>
      </c>
      <c r="M236" t="s">
        <v>5055</v>
      </c>
    </row>
    <row r="237" spans="1:13" x14ac:dyDescent="0.3">
      <c r="A237" s="1">
        <v>45416</v>
      </c>
      <c r="B237" s="1" t="str">
        <f>TEXT(Tabla1[[#This Row],[Fecha]],"MMMM")</f>
        <v>mayo</v>
      </c>
      <c r="C237" t="s">
        <v>247</v>
      </c>
      <c r="D237" t="s">
        <v>5030</v>
      </c>
      <c r="E237" t="s">
        <v>5032</v>
      </c>
      <c r="F237" t="s">
        <v>5037</v>
      </c>
      <c r="G237" s="3">
        <v>6912.02</v>
      </c>
      <c r="H237" s="3">
        <v>0</v>
      </c>
      <c r="I237" s="3">
        <f>SUM(Tabla1[[#This Row],[Monto_Base]],H237)</f>
        <v>6912.02</v>
      </c>
      <c r="J237" t="s">
        <v>5046</v>
      </c>
      <c r="K237" t="s">
        <v>5048</v>
      </c>
      <c r="L237" t="s">
        <v>5053</v>
      </c>
      <c r="M237" t="s">
        <v>5054</v>
      </c>
    </row>
    <row r="238" spans="1:13" x14ac:dyDescent="0.3">
      <c r="A238" s="1">
        <v>45320</v>
      </c>
      <c r="B238" s="1" t="str">
        <f>TEXT(Tabla1[[#This Row],[Fecha]],"MMMM")</f>
        <v>enero</v>
      </c>
      <c r="C238" t="s">
        <v>248</v>
      </c>
      <c r="D238" t="s">
        <v>5027</v>
      </c>
      <c r="E238" t="s">
        <v>5032</v>
      </c>
      <c r="F238" t="s">
        <v>5037</v>
      </c>
      <c r="G238" s="3">
        <v>8312.89</v>
      </c>
      <c r="H238" s="3">
        <v>0</v>
      </c>
      <c r="I238" s="3">
        <f>SUM(Tabla1[[#This Row],[Monto_Base]],H238)</f>
        <v>8312.89</v>
      </c>
      <c r="J238" t="s">
        <v>5045</v>
      </c>
      <c r="K238" t="s">
        <v>5049</v>
      </c>
      <c r="L238" t="s">
        <v>5052</v>
      </c>
      <c r="M238" t="s">
        <v>5054</v>
      </c>
    </row>
    <row r="239" spans="1:13" x14ac:dyDescent="0.3">
      <c r="A239" s="1">
        <v>45313</v>
      </c>
      <c r="B239" s="1" t="str">
        <f>TEXT(Tabla1[[#This Row],[Fecha]],"MMMM")</f>
        <v>enero</v>
      </c>
      <c r="C239" t="s">
        <v>249</v>
      </c>
      <c r="D239" t="s">
        <v>5019</v>
      </c>
      <c r="E239" t="s">
        <v>5032</v>
      </c>
      <c r="F239" t="s">
        <v>5036</v>
      </c>
      <c r="G239" s="3">
        <v>13427.13</v>
      </c>
      <c r="H239" s="3">
        <v>0</v>
      </c>
      <c r="I239" s="3">
        <f>SUM(Tabla1[[#This Row],[Monto_Base]],H239)</f>
        <v>13427.13</v>
      </c>
      <c r="J239" t="s">
        <v>5046</v>
      </c>
      <c r="K239" t="s">
        <v>5047</v>
      </c>
      <c r="L239" t="s">
        <v>5050</v>
      </c>
      <c r="M239" t="s">
        <v>5055</v>
      </c>
    </row>
    <row r="240" spans="1:13" x14ac:dyDescent="0.3">
      <c r="A240" s="1">
        <v>45453</v>
      </c>
      <c r="B240" s="1" t="str">
        <f>TEXT(Tabla1[[#This Row],[Fecha]],"MMMM")</f>
        <v>junio</v>
      </c>
      <c r="C240" t="s">
        <v>250</v>
      </c>
      <c r="D240" t="s">
        <v>5013</v>
      </c>
      <c r="E240" t="s">
        <v>5032</v>
      </c>
      <c r="F240" t="s">
        <v>5035</v>
      </c>
      <c r="G240" s="3">
        <v>2731.35</v>
      </c>
      <c r="H240" s="3">
        <v>0</v>
      </c>
      <c r="I240" s="3">
        <f>SUM(Tabla1[[#This Row],[Monto_Base]],H240)</f>
        <v>2731.35</v>
      </c>
      <c r="J240" t="s">
        <v>5045</v>
      </c>
      <c r="K240" t="s">
        <v>5047</v>
      </c>
      <c r="L240" t="s">
        <v>5052</v>
      </c>
      <c r="M240" t="s">
        <v>5055</v>
      </c>
    </row>
    <row r="241" spans="1:13" x14ac:dyDescent="0.3">
      <c r="A241" s="1">
        <v>45491</v>
      </c>
      <c r="B241" s="1" t="str">
        <f>TEXT(Tabla1[[#This Row],[Fecha]],"MMMM")</f>
        <v>julio</v>
      </c>
      <c r="C241" t="s">
        <v>251</v>
      </c>
      <c r="D241" t="s">
        <v>5021</v>
      </c>
      <c r="E241" t="s">
        <v>5033</v>
      </c>
      <c r="F241" t="s">
        <v>5034</v>
      </c>
      <c r="G241" s="3">
        <v>8522.1</v>
      </c>
      <c r="H241" s="3">
        <v>1107.8699999999999</v>
      </c>
      <c r="I241" s="3">
        <f>SUM(Tabla1[[#This Row],[Monto_Base]],H241)</f>
        <v>9629.9700000000012</v>
      </c>
      <c r="J241" t="s">
        <v>5042</v>
      </c>
      <c r="K241" t="s">
        <v>5048</v>
      </c>
      <c r="L241" t="s">
        <v>5050</v>
      </c>
      <c r="M241" t="s">
        <v>5054</v>
      </c>
    </row>
    <row r="242" spans="1:13" x14ac:dyDescent="0.3">
      <c r="A242" s="1">
        <v>45410</v>
      </c>
      <c r="B242" s="1" t="str">
        <f>TEXT(Tabla1[[#This Row],[Fecha]],"MMMM")</f>
        <v>abril</v>
      </c>
      <c r="C242" t="s">
        <v>252</v>
      </c>
      <c r="D242" t="s">
        <v>5023</v>
      </c>
      <c r="E242" t="s">
        <v>5032</v>
      </c>
      <c r="F242" t="s">
        <v>5035</v>
      </c>
      <c r="G242" s="3">
        <v>1510.4</v>
      </c>
      <c r="H242" s="3">
        <v>0</v>
      </c>
      <c r="I242" s="3">
        <f>SUM(Tabla1[[#This Row],[Monto_Base]],H242)</f>
        <v>1510.4</v>
      </c>
      <c r="J242" t="s">
        <v>5045</v>
      </c>
      <c r="K242" t="s">
        <v>5048</v>
      </c>
      <c r="L242" t="s">
        <v>5050</v>
      </c>
      <c r="M242" t="s">
        <v>5055</v>
      </c>
    </row>
    <row r="243" spans="1:13" x14ac:dyDescent="0.3">
      <c r="A243" s="1">
        <v>45575</v>
      </c>
      <c r="B243" s="1" t="str">
        <f>TEXT(Tabla1[[#This Row],[Fecha]],"MMMM")</f>
        <v>octubre</v>
      </c>
      <c r="C243" t="s">
        <v>253</v>
      </c>
      <c r="D243" t="s">
        <v>5021</v>
      </c>
      <c r="E243" t="s">
        <v>5032</v>
      </c>
      <c r="F243" t="s">
        <v>5041</v>
      </c>
      <c r="G243" s="3">
        <v>3460.67</v>
      </c>
      <c r="H243" s="3">
        <v>0</v>
      </c>
      <c r="I243" s="3">
        <f>SUM(Tabla1[[#This Row],[Monto_Base]],H243)</f>
        <v>3460.67</v>
      </c>
      <c r="J243" t="s">
        <v>5043</v>
      </c>
      <c r="K243" t="s">
        <v>5048</v>
      </c>
      <c r="L243" t="s">
        <v>5052</v>
      </c>
      <c r="M243" t="s">
        <v>5055</v>
      </c>
    </row>
    <row r="244" spans="1:13" x14ac:dyDescent="0.3">
      <c r="A244" s="1">
        <v>45334</v>
      </c>
      <c r="B244" s="1" t="str">
        <f>TEXT(Tabla1[[#This Row],[Fecha]],"MMMM")</f>
        <v>febrero</v>
      </c>
      <c r="C244" t="s">
        <v>254</v>
      </c>
      <c r="D244" t="s">
        <v>5031</v>
      </c>
      <c r="E244" t="s">
        <v>5032</v>
      </c>
      <c r="F244" t="s">
        <v>5034</v>
      </c>
      <c r="G244" s="3">
        <v>10710.97</v>
      </c>
      <c r="H244" s="3">
        <v>0</v>
      </c>
      <c r="I244" s="3">
        <f>SUM(Tabla1[[#This Row],[Monto_Base]],H244)</f>
        <v>10710.97</v>
      </c>
      <c r="J244" t="s">
        <v>5044</v>
      </c>
      <c r="K244" t="s">
        <v>5047</v>
      </c>
      <c r="L244" t="s">
        <v>5050</v>
      </c>
      <c r="M244" t="s">
        <v>5054</v>
      </c>
    </row>
    <row r="245" spans="1:13" x14ac:dyDescent="0.3">
      <c r="A245" s="1">
        <v>45449</v>
      </c>
      <c r="B245" s="1" t="str">
        <f>TEXT(Tabla1[[#This Row],[Fecha]],"MMMM")</f>
        <v>junio</v>
      </c>
      <c r="C245" t="s">
        <v>255</v>
      </c>
      <c r="D245" t="s">
        <v>5020</v>
      </c>
      <c r="E245" t="s">
        <v>5032</v>
      </c>
      <c r="F245" t="s">
        <v>5036</v>
      </c>
      <c r="G245" s="3">
        <v>1418.23</v>
      </c>
      <c r="H245" s="3">
        <v>0</v>
      </c>
      <c r="I245" s="3">
        <f>SUM(Tabla1[[#This Row],[Monto_Base]],H245)</f>
        <v>1418.23</v>
      </c>
      <c r="J245" t="s">
        <v>5043</v>
      </c>
      <c r="K245" t="s">
        <v>5048</v>
      </c>
      <c r="L245" t="s">
        <v>5051</v>
      </c>
      <c r="M245" t="s">
        <v>5054</v>
      </c>
    </row>
    <row r="246" spans="1:13" x14ac:dyDescent="0.3">
      <c r="A246" s="1">
        <v>45576</v>
      </c>
      <c r="B246" s="1" t="str">
        <f>TEXT(Tabla1[[#This Row],[Fecha]],"MMMM")</f>
        <v>octubre</v>
      </c>
      <c r="C246" t="s">
        <v>256</v>
      </c>
      <c r="D246" t="s">
        <v>5013</v>
      </c>
      <c r="E246" t="s">
        <v>5033</v>
      </c>
      <c r="F246" t="s">
        <v>5037</v>
      </c>
      <c r="G246" s="3">
        <v>6760.21</v>
      </c>
      <c r="H246" s="3">
        <v>878.83</v>
      </c>
      <c r="I246" s="3">
        <f>SUM(Tabla1[[#This Row],[Monto_Base]],H246)</f>
        <v>7639.04</v>
      </c>
      <c r="J246" t="s">
        <v>5042</v>
      </c>
      <c r="K246" t="s">
        <v>5048</v>
      </c>
      <c r="L246" t="s">
        <v>5053</v>
      </c>
      <c r="M246" t="s">
        <v>5054</v>
      </c>
    </row>
    <row r="247" spans="1:13" x14ac:dyDescent="0.3">
      <c r="A247" s="1">
        <v>45298</v>
      </c>
      <c r="B247" s="1" t="str">
        <f>TEXT(Tabla1[[#This Row],[Fecha]],"MMMM")</f>
        <v>enero</v>
      </c>
      <c r="C247" t="s">
        <v>257</v>
      </c>
      <c r="D247" t="s">
        <v>5015</v>
      </c>
      <c r="E247" t="s">
        <v>5033</v>
      </c>
      <c r="F247" t="s">
        <v>5040</v>
      </c>
      <c r="G247" s="3">
        <v>12962.59</v>
      </c>
      <c r="H247" s="3">
        <v>1685.14</v>
      </c>
      <c r="I247" s="3">
        <f>SUM(Tabla1[[#This Row],[Monto_Base]],H247)</f>
        <v>14647.73</v>
      </c>
      <c r="J247" t="s">
        <v>5044</v>
      </c>
      <c r="K247" t="s">
        <v>5048</v>
      </c>
      <c r="L247" t="s">
        <v>5050</v>
      </c>
      <c r="M247" t="s">
        <v>5054</v>
      </c>
    </row>
    <row r="248" spans="1:13" x14ac:dyDescent="0.3">
      <c r="A248" s="1">
        <v>45429</v>
      </c>
      <c r="B248" s="1" t="str">
        <f>TEXT(Tabla1[[#This Row],[Fecha]],"MMMM")</f>
        <v>mayo</v>
      </c>
      <c r="C248" t="s">
        <v>258</v>
      </c>
      <c r="D248" t="s">
        <v>5031</v>
      </c>
      <c r="E248" t="s">
        <v>5033</v>
      </c>
      <c r="F248" t="s">
        <v>5037</v>
      </c>
      <c r="G248" s="3">
        <v>2584.0500000000002</v>
      </c>
      <c r="H248" s="3">
        <v>335.93</v>
      </c>
      <c r="I248" s="3">
        <f>SUM(Tabla1[[#This Row],[Monto_Base]],H248)</f>
        <v>2919.98</v>
      </c>
      <c r="J248" t="s">
        <v>5044</v>
      </c>
      <c r="K248" t="s">
        <v>5048</v>
      </c>
      <c r="L248" t="s">
        <v>5050</v>
      </c>
      <c r="M248" t="s">
        <v>5054</v>
      </c>
    </row>
    <row r="249" spans="1:13" x14ac:dyDescent="0.3">
      <c r="A249" s="1">
        <v>45539</v>
      </c>
      <c r="B249" s="1" t="str">
        <f>TEXT(Tabla1[[#This Row],[Fecha]],"MMMM")</f>
        <v>septiembre</v>
      </c>
      <c r="C249" t="s">
        <v>259</v>
      </c>
      <c r="D249" t="s">
        <v>5026</v>
      </c>
      <c r="E249" t="s">
        <v>5032</v>
      </c>
      <c r="F249" t="s">
        <v>5038</v>
      </c>
      <c r="G249" s="3">
        <v>6345.48</v>
      </c>
      <c r="H249" s="3">
        <v>0</v>
      </c>
      <c r="I249" s="3">
        <f>SUM(Tabla1[[#This Row],[Monto_Base]],H249)</f>
        <v>6345.48</v>
      </c>
      <c r="J249" t="s">
        <v>5045</v>
      </c>
      <c r="K249" t="s">
        <v>5048</v>
      </c>
      <c r="L249" t="s">
        <v>5051</v>
      </c>
      <c r="M249" t="s">
        <v>5054</v>
      </c>
    </row>
    <row r="250" spans="1:13" x14ac:dyDescent="0.3">
      <c r="A250" s="1">
        <v>45447</v>
      </c>
      <c r="B250" s="1" t="str">
        <f>TEXT(Tabla1[[#This Row],[Fecha]],"MMMM")</f>
        <v>junio</v>
      </c>
      <c r="C250" t="s">
        <v>260</v>
      </c>
      <c r="D250" t="s">
        <v>5014</v>
      </c>
      <c r="E250" t="s">
        <v>5033</v>
      </c>
      <c r="F250" t="s">
        <v>5041</v>
      </c>
      <c r="G250" s="3">
        <v>1649.24</v>
      </c>
      <c r="H250" s="3">
        <v>214.4</v>
      </c>
      <c r="I250" s="3">
        <f>SUM(Tabla1[[#This Row],[Monto_Base]],H250)</f>
        <v>1863.64</v>
      </c>
      <c r="J250" t="s">
        <v>5045</v>
      </c>
      <c r="K250" t="s">
        <v>5048</v>
      </c>
      <c r="L250" t="s">
        <v>5051</v>
      </c>
      <c r="M250" t="s">
        <v>5055</v>
      </c>
    </row>
    <row r="251" spans="1:13" x14ac:dyDescent="0.3">
      <c r="A251" s="1">
        <v>45625</v>
      </c>
      <c r="B251" s="1" t="str">
        <f>TEXT(Tabla1[[#This Row],[Fecha]],"MMMM")</f>
        <v>noviembre</v>
      </c>
      <c r="C251" t="s">
        <v>261</v>
      </c>
      <c r="D251" t="s">
        <v>5025</v>
      </c>
      <c r="E251" t="s">
        <v>5032</v>
      </c>
      <c r="F251" t="s">
        <v>5037</v>
      </c>
      <c r="G251" s="3">
        <v>12241.36</v>
      </c>
      <c r="H251" s="3">
        <v>0</v>
      </c>
      <c r="I251" s="3">
        <f>SUM(Tabla1[[#This Row],[Monto_Base]],H251)</f>
        <v>12241.36</v>
      </c>
      <c r="J251" t="s">
        <v>5042</v>
      </c>
      <c r="K251" t="s">
        <v>5047</v>
      </c>
      <c r="L251" t="s">
        <v>5051</v>
      </c>
      <c r="M251" t="s">
        <v>5055</v>
      </c>
    </row>
    <row r="252" spans="1:13" x14ac:dyDescent="0.3">
      <c r="A252" s="1">
        <v>45455</v>
      </c>
      <c r="B252" s="1" t="str">
        <f>TEXT(Tabla1[[#This Row],[Fecha]],"MMMM")</f>
        <v>junio</v>
      </c>
      <c r="C252" t="s">
        <v>262</v>
      </c>
      <c r="D252" t="s">
        <v>5018</v>
      </c>
      <c r="E252" t="s">
        <v>5032</v>
      </c>
      <c r="F252" t="s">
        <v>5039</v>
      </c>
      <c r="G252" s="3">
        <v>14470.39</v>
      </c>
      <c r="H252" s="3">
        <v>0</v>
      </c>
      <c r="I252" s="3">
        <f>SUM(Tabla1[[#This Row],[Monto_Base]],H252)</f>
        <v>14470.39</v>
      </c>
      <c r="J252" t="s">
        <v>5044</v>
      </c>
      <c r="K252" t="s">
        <v>5049</v>
      </c>
      <c r="L252" t="s">
        <v>5050</v>
      </c>
      <c r="M252" t="s">
        <v>5054</v>
      </c>
    </row>
    <row r="253" spans="1:13" x14ac:dyDescent="0.3">
      <c r="A253" s="1">
        <v>45580</v>
      </c>
      <c r="B253" s="1" t="str">
        <f>TEXT(Tabla1[[#This Row],[Fecha]],"MMMM")</f>
        <v>octubre</v>
      </c>
      <c r="C253" t="s">
        <v>263</v>
      </c>
      <c r="D253" t="s">
        <v>5019</v>
      </c>
      <c r="E253" t="s">
        <v>5032</v>
      </c>
      <c r="F253" t="s">
        <v>5037</v>
      </c>
      <c r="G253" s="3">
        <v>5506.98</v>
      </c>
      <c r="H253" s="3">
        <v>0</v>
      </c>
      <c r="I253" s="3">
        <f>SUM(Tabla1[[#This Row],[Monto_Base]],H253)</f>
        <v>5506.98</v>
      </c>
      <c r="J253" t="s">
        <v>5046</v>
      </c>
      <c r="K253" t="s">
        <v>5049</v>
      </c>
      <c r="L253" t="s">
        <v>5052</v>
      </c>
      <c r="M253" t="s">
        <v>5054</v>
      </c>
    </row>
    <row r="254" spans="1:13" x14ac:dyDescent="0.3">
      <c r="A254" s="1">
        <v>45327</v>
      </c>
      <c r="B254" s="1" t="str">
        <f>TEXT(Tabla1[[#This Row],[Fecha]],"MMMM")</f>
        <v>febrero</v>
      </c>
      <c r="C254" t="s">
        <v>264</v>
      </c>
      <c r="D254" t="s">
        <v>5024</v>
      </c>
      <c r="E254" t="s">
        <v>5032</v>
      </c>
      <c r="F254" t="s">
        <v>5038</v>
      </c>
      <c r="G254" s="3">
        <v>12477.66</v>
      </c>
      <c r="H254" s="3">
        <v>0</v>
      </c>
      <c r="I254" s="3">
        <f>SUM(Tabla1[[#This Row],[Monto_Base]],H254)</f>
        <v>12477.66</v>
      </c>
      <c r="J254" t="s">
        <v>5043</v>
      </c>
      <c r="K254" t="s">
        <v>5049</v>
      </c>
      <c r="L254" t="s">
        <v>5050</v>
      </c>
      <c r="M254" t="s">
        <v>5054</v>
      </c>
    </row>
    <row r="255" spans="1:13" x14ac:dyDescent="0.3">
      <c r="A255" s="1">
        <v>45485</v>
      </c>
      <c r="B255" s="1" t="str">
        <f>TEXT(Tabla1[[#This Row],[Fecha]],"MMMM")</f>
        <v>julio</v>
      </c>
      <c r="C255" t="s">
        <v>265</v>
      </c>
      <c r="D255" t="s">
        <v>5024</v>
      </c>
      <c r="E255" t="s">
        <v>5032</v>
      </c>
      <c r="F255" t="s">
        <v>5039</v>
      </c>
      <c r="G255" s="3">
        <v>10742.78</v>
      </c>
      <c r="H255" s="3">
        <v>0</v>
      </c>
      <c r="I255" s="3">
        <f>SUM(Tabla1[[#This Row],[Monto_Base]],H255)</f>
        <v>10742.78</v>
      </c>
      <c r="J255" t="s">
        <v>5045</v>
      </c>
      <c r="K255" t="s">
        <v>5048</v>
      </c>
      <c r="L255" t="s">
        <v>5050</v>
      </c>
      <c r="M255" t="s">
        <v>5055</v>
      </c>
    </row>
    <row r="256" spans="1:13" x14ac:dyDescent="0.3">
      <c r="A256" s="1">
        <v>45566</v>
      </c>
      <c r="B256" s="1" t="str">
        <f>TEXT(Tabla1[[#This Row],[Fecha]],"MMMM")</f>
        <v>octubre</v>
      </c>
      <c r="C256" t="s">
        <v>266</v>
      </c>
      <c r="D256" t="s">
        <v>5016</v>
      </c>
      <c r="E256" t="s">
        <v>5033</v>
      </c>
      <c r="F256" t="s">
        <v>5040</v>
      </c>
      <c r="G256" s="3">
        <v>10539.43</v>
      </c>
      <c r="H256" s="3">
        <v>1370.13</v>
      </c>
      <c r="I256" s="3">
        <f>SUM(Tabla1[[#This Row],[Monto_Base]],H256)</f>
        <v>11909.560000000001</v>
      </c>
      <c r="J256" t="s">
        <v>5042</v>
      </c>
      <c r="K256" t="s">
        <v>5049</v>
      </c>
      <c r="L256" t="s">
        <v>5053</v>
      </c>
      <c r="M256" t="s">
        <v>5054</v>
      </c>
    </row>
    <row r="257" spans="1:13" x14ac:dyDescent="0.3">
      <c r="A257" s="1">
        <v>45622</v>
      </c>
      <c r="B257" s="1" t="str">
        <f>TEXT(Tabla1[[#This Row],[Fecha]],"MMMM")</f>
        <v>noviembre</v>
      </c>
      <c r="C257" t="s">
        <v>267</v>
      </c>
      <c r="D257" t="s">
        <v>5015</v>
      </c>
      <c r="E257" t="s">
        <v>5033</v>
      </c>
      <c r="F257" t="s">
        <v>5035</v>
      </c>
      <c r="G257" s="3">
        <v>8470.14</v>
      </c>
      <c r="H257" s="3">
        <v>1101.1199999999999</v>
      </c>
      <c r="I257" s="3">
        <f>SUM(Tabla1[[#This Row],[Monto_Base]],H257)</f>
        <v>9571.2599999999984</v>
      </c>
      <c r="J257" t="s">
        <v>5043</v>
      </c>
      <c r="K257" t="s">
        <v>5048</v>
      </c>
      <c r="L257" t="s">
        <v>5050</v>
      </c>
      <c r="M257" t="s">
        <v>5054</v>
      </c>
    </row>
    <row r="258" spans="1:13" x14ac:dyDescent="0.3">
      <c r="A258" s="1">
        <v>45557</v>
      </c>
      <c r="B258" s="1" t="str">
        <f>TEXT(Tabla1[[#This Row],[Fecha]],"MMMM")</f>
        <v>septiembre</v>
      </c>
      <c r="C258" t="s">
        <v>268</v>
      </c>
      <c r="D258" t="s">
        <v>5013</v>
      </c>
      <c r="E258" t="s">
        <v>5032</v>
      </c>
      <c r="F258" t="s">
        <v>5034</v>
      </c>
      <c r="G258" s="3">
        <v>7684.61</v>
      </c>
      <c r="H258" s="3">
        <v>0</v>
      </c>
      <c r="I258" s="3">
        <f>SUM(Tabla1[[#This Row],[Monto_Base]],H258)</f>
        <v>7684.61</v>
      </c>
      <c r="J258" t="s">
        <v>5042</v>
      </c>
      <c r="K258" t="s">
        <v>5049</v>
      </c>
      <c r="L258" t="s">
        <v>5052</v>
      </c>
      <c r="M258" t="s">
        <v>5055</v>
      </c>
    </row>
    <row r="259" spans="1:13" x14ac:dyDescent="0.3">
      <c r="A259" s="1">
        <v>45304</v>
      </c>
      <c r="B259" s="1" t="str">
        <f>TEXT(Tabla1[[#This Row],[Fecha]],"MMMM")</f>
        <v>enero</v>
      </c>
      <c r="C259" t="s">
        <v>269</v>
      </c>
      <c r="D259" t="s">
        <v>5019</v>
      </c>
      <c r="E259" t="s">
        <v>5032</v>
      </c>
      <c r="F259" t="s">
        <v>5039</v>
      </c>
      <c r="G259" s="3">
        <v>5207.26</v>
      </c>
      <c r="H259" s="3">
        <v>0</v>
      </c>
      <c r="I259" s="3">
        <f>SUM(Tabla1[[#This Row],[Monto_Base]],H259)</f>
        <v>5207.26</v>
      </c>
      <c r="J259" t="s">
        <v>5043</v>
      </c>
      <c r="K259" t="s">
        <v>5047</v>
      </c>
      <c r="L259" t="s">
        <v>5051</v>
      </c>
      <c r="M259" t="s">
        <v>5055</v>
      </c>
    </row>
    <row r="260" spans="1:13" x14ac:dyDescent="0.3">
      <c r="A260" s="1">
        <v>45525</v>
      </c>
      <c r="B260" s="1" t="str">
        <f>TEXT(Tabla1[[#This Row],[Fecha]],"MMMM")</f>
        <v>agosto</v>
      </c>
      <c r="C260" t="s">
        <v>270</v>
      </c>
      <c r="D260" t="s">
        <v>5013</v>
      </c>
      <c r="E260" t="s">
        <v>5033</v>
      </c>
      <c r="F260" t="s">
        <v>5040</v>
      </c>
      <c r="G260" s="3">
        <v>4712.76</v>
      </c>
      <c r="H260" s="3">
        <v>612.66</v>
      </c>
      <c r="I260" s="3">
        <f>SUM(Tabla1[[#This Row],[Monto_Base]],H260)</f>
        <v>5325.42</v>
      </c>
      <c r="J260" t="s">
        <v>5046</v>
      </c>
      <c r="K260" t="s">
        <v>5049</v>
      </c>
      <c r="L260" t="s">
        <v>5050</v>
      </c>
      <c r="M260" t="s">
        <v>5055</v>
      </c>
    </row>
    <row r="261" spans="1:13" x14ac:dyDescent="0.3">
      <c r="A261" s="1">
        <v>45445</v>
      </c>
      <c r="B261" s="1" t="str">
        <f>TEXT(Tabla1[[#This Row],[Fecha]],"MMMM")</f>
        <v>junio</v>
      </c>
      <c r="C261" t="s">
        <v>271</v>
      </c>
      <c r="D261" t="s">
        <v>5030</v>
      </c>
      <c r="E261" t="s">
        <v>5032</v>
      </c>
      <c r="F261" t="s">
        <v>5041</v>
      </c>
      <c r="G261" s="3">
        <v>4817.7</v>
      </c>
      <c r="H261" s="3">
        <v>0</v>
      </c>
      <c r="I261" s="3">
        <f>SUM(Tabla1[[#This Row],[Monto_Base]],H261)</f>
        <v>4817.7</v>
      </c>
      <c r="J261" t="s">
        <v>5045</v>
      </c>
      <c r="K261" t="s">
        <v>5049</v>
      </c>
      <c r="L261" t="s">
        <v>5053</v>
      </c>
      <c r="M261" t="s">
        <v>5054</v>
      </c>
    </row>
    <row r="262" spans="1:13" x14ac:dyDescent="0.3">
      <c r="A262" s="1">
        <v>45574</v>
      </c>
      <c r="B262" s="1" t="str">
        <f>TEXT(Tabla1[[#This Row],[Fecha]],"MMMM")</f>
        <v>octubre</v>
      </c>
      <c r="C262" t="s">
        <v>272</v>
      </c>
      <c r="D262" t="s">
        <v>5030</v>
      </c>
      <c r="E262" t="s">
        <v>5033</v>
      </c>
      <c r="F262" t="s">
        <v>5034</v>
      </c>
      <c r="G262" s="3">
        <v>7764.11</v>
      </c>
      <c r="H262" s="3">
        <v>1009.33</v>
      </c>
      <c r="I262" s="3">
        <f>SUM(Tabla1[[#This Row],[Monto_Base]],H262)</f>
        <v>8773.44</v>
      </c>
      <c r="J262" t="s">
        <v>5046</v>
      </c>
      <c r="K262" t="s">
        <v>5048</v>
      </c>
      <c r="L262" t="s">
        <v>5050</v>
      </c>
      <c r="M262" t="s">
        <v>5055</v>
      </c>
    </row>
    <row r="263" spans="1:13" x14ac:dyDescent="0.3">
      <c r="A263" s="1">
        <v>45513</v>
      </c>
      <c r="B263" s="1" t="str">
        <f>TEXT(Tabla1[[#This Row],[Fecha]],"MMMM")</f>
        <v>agosto</v>
      </c>
      <c r="C263" t="s">
        <v>273</v>
      </c>
      <c r="D263" t="s">
        <v>5027</v>
      </c>
      <c r="E263" t="s">
        <v>5033</v>
      </c>
      <c r="F263" t="s">
        <v>5039</v>
      </c>
      <c r="G263" s="3">
        <v>9625.16</v>
      </c>
      <c r="H263" s="3">
        <v>1251.27</v>
      </c>
      <c r="I263" s="3">
        <f>SUM(Tabla1[[#This Row],[Monto_Base]],H263)</f>
        <v>10876.43</v>
      </c>
      <c r="J263" t="s">
        <v>5043</v>
      </c>
      <c r="K263" t="s">
        <v>5047</v>
      </c>
      <c r="L263" t="s">
        <v>5052</v>
      </c>
      <c r="M263" t="s">
        <v>5055</v>
      </c>
    </row>
    <row r="264" spans="1:13" x14ac:dyDescent="0.3">
      <c r="A264" s="1">
        <v>45652</v>
      </c>
      <c r="B264" s="1" t="str">
        <f>TEXT(Tabla1[[#This Row],[Fecha]],"MMMM")</f>
        <v>diciembre</v>
      </c>
      <c r="C264" t="s">
        <v>274</v>
      </c>
      <c r="D264" t="s">
        <v>5019</v>
      </c>
      <c r="E264" t="s">
        <v>5033</v>
      </c>
      <c r="F264" t="s">
        <v>5034</v>
      </c>
      <c r="G264" s="3">
        <v>3126.48</v>
      </c>
      <c r="H264" s="3">
        <v>406.44</v>
      </c>
      <c r="I264" s="3">
        <f>SUM(Tabla1[[#This Row],[Monto_Base]],H264)</f>
        <v>3532.92</v>
      </c>
      <c r="J264" t="s">
        <v>5045</v>
      </c>
      <c r="K264" t="s">
        <v>5049</v>
      </c>
      <c r="L264" t="s">
        <v>5053</v>
      </c>
      <c r="M264" t="s">
        <v>5054</v>
      </c>
    </row>
    <row r="265" spans="1:13" x14ac:dyDescent="0.3">
      <c r="A265" s="1">
        <v>45635</v>
      </c>
      <c r="B265" s="1" t="str">
        <f>TEXT(Tabla1[[#This Row],[Fecha]],"MMMM")</f>
        <v>diciembre</v>
      </c>
      <c r="C265" t="s">
        <v>275</v>
      </c>
      <c r="D265" t="s">
        <v>5020</v>
      </c>
      <c r="E265" t="s">
        <v>5033</v>
      </c>
      <c r="F265" t="s">
        <v>5041</v>
      </c>
      <c r="G265" s="3">
        <v>1753.63</v>
      </c>
      <c r="H265" s="3">
        <v>227.97</v>
      </c>
      <c r="I265" s="3">
        <f>SUM(Tabla1[[#This Row],[Monto_Base]],H265)</f>
        <v>1981.6000000000001</v>
      </c>
      <c r="J265" t="s">
        <v>5043</v>
      </c>
      <c r="K265" t="s">
        <v>5049</v>
      </c>
      <c r="L265" t="s">
        <v>5051</v>
      </c>
      <c r="M265" t="s">
        <v>5055</v>
      </c>
    </row>
    <row r="266" spans="1:13" x14ac:dyDescent="0.3">
      <c r="A266" s="1">
        <v>45526</v>
      </c>
      <c r="B266" s="1" t="str">
        <f>TEXT(Tabla1[[#This Row],[Fecha]],"MMMM")</f>
        <v>agosto</v>
      </c>
      <c r="C266" t="s">
        <v>276</v>
      </c>
      <c r="D266" t="s">
        <v>5014</v>
      </c>
      <c r="E266" t="s">
        <v>5033</v>
      </c>
      <c r="F266" t="s">
        <v>5040</v>
      </c>
      <c r="G266" s="3">
        <v>5312.17</v>
      </c>
      <c r="H266" s="3">
        <v>690.58</v>
      </c>
      <c r="I266" s="3">
        <f>SUM(Tabla1[[#This Row],[Monto_Base]],H266)</f>
        <v>6002.75</v>
      </c>
      <c r="J266" t="s">
        <v>5042</v>
      </c>
      <c r="K266" t="s">
        <v>5047</v>
      </c>
      <c r="L266" t="s">
        <v>5051</v>
      </c>
      <c r="M266" t="s">
        <v>5054</v>
      </c>
    </row>
    <row r="267" spans="1:13" x14ac:dyDescent="0.3">
      <c r="A267" s="1">
        <v>45385</v>
      </c>
      <c r="B267" s="1" t="str">
        <f>TEXT(Tabla1[[#This Row],[Fecha]],"MMMM")</f>
        <v>abril</v>
      </c>
      <c r="C267" t="s">
        <v>277</v>
      </c>
      <c r="D267" t="s">
        <v>5015</v>
      </c>
      <c r="E267" t="s">
        <v>5033</v>
      </c>
      <c r="F267" t="s">
        <v>5034</v>
      </c>
      <c r="G267" s="3">
        <v>4615.43</v>
      </c>
      <c r="H267" s="3">
        <v>600.01</v>
      </c>
      <c r="I267" s="3">
        <f>SUM(Tabla1[[#This Row],[Monto_Base]],H267)</f>
        <v>5215.4400000000005</v>
      </c>
      <c r="J267" t="s">
        <v>5044</v>
      </c>
      <c r="K267" t="s">
        <v>5049</v>
      </c>
      <c r="L267" t="s">
        <v>5052</v>
      </c>
      <c r="M267" t="s">
        <v>5055</v>
      </c>
    </row>
    <row r="268" spans="1:13" x14ac:dyDescent="0.3">
      <c r="A268" s="1">
        <v>45541</v>
      </c>
      <c r="B268" s="1" t="str">
        <f>TEXT(Tabla1[[#This Row],[Fecha]],"MMMM")</f>
        <v>septiembre</v>
      </c>
      <c r="C268" t="s">
        <v>278</v>
      </c>
      <c r="D268" t="s">
        <v>5014</v>
      </c>
      <c r="E268" t="s">
        <v>5033</v>
      </c>
      <c r="F268" t="s">
        <v>5037</v>
      </c>
      <c r="G268" s="3">
        <v>6374.43</v>
      </c>
      <c r="H268" s="3">
        <v>828.68</v>
      </c>
      <c r="I268" s="3">
        <f>SUM(Tabla1[[#This Row],[Monto_Base]],H268)</f>
        <v>7203.1100000000006</v>
      </c>
      <c r="J268" t="s">
        <v>5042</v>
      </c>
      <c r="K268" t="s">
        <v>5049</v>
      </c>
      <c r="L268" t="s">
        <v>5052</v>
      </c>
      <c r="M268" t="s">
        <v>5054</v>
      </c>
    </row>
    <row r="269" spans="1:13" x14ac:dyDescent="0.3">
      <c r="A269" s="1">
        <v>45522</v>
      </c>
      <c r="B269" s="1" t="str">
        <f>TEXT(Tabla1[[#This Row],[Fecha]],"MMMM")</f>
        <v>agosto</v>
      </c>
      <c r="C269" t="s">
        <v>279</v>
      </c>
      <c r="D269" t="s">
        <v>5029</v>
      </c>
      <c r="E269" t="s">
        <v>5033</v>
      </c>
      <c r="F269" t="s">
        <v>5039</v>
      </c>
      <c r="G269" s="3">
        <v>4752.97</v>
      </c>
      <c r="H269" s="3">
        <v>617.89</v>
      </c>
      <c r="I269" s="3">
        <f>SUM(Tabla1[[#This Row],[Monto_Base]],H269)</f>
        <v>5370.8600000000006</v>
      </c>
      <c r="J269" t="s">
        <v>5042</v>
      </c>
      <c r="K269" t="s">
        <v>5047</v>
      </c>
      <c r="L269" t="s">
        <v>5051</v>
      </c>
      <c r="M269" t="s">
        <v>5054</v>
      </c>
    </row>
    <row r="270" spans="1:13" x14ac:dyDescent="0.3">
      <c r="A270" s="1">
        <v>45550</v>
      </c>
      <c r="B270" s="1" t="str">
        <f>TEXT(Tabla1[[#This Row],[Fecha]],"MMMM")</f>
        <v>septiembre</v>
      </c>
      <c r="C270" t="s">
        <v>280</v>
      </c>
      <c r="D270" t="s">
        <v>5028</v>
      </c>
      <c r="E270" t="s">
        <v>5033</v>
      </c>
      <c r="F270" t="s">
        <v>5037</v>
      </c>
      <c r="G270" s="3">
        <v>14459.24</v>
      </c>
      <c r="H270" s="3">
        <v>1879.7</v>
      </c>
      <c r="I270" s="3">
        <f>SUM(Tabla1[[#This Row],[Monto_Base]],H270)</f>
        <v>16338.94</v>
      </c>
      <c r="J270" t="s">
        <v>5043</v>
      </c>
      <c r="K270" t="s">
        <v>5048</v>
      </c>
      <c r="L270" t="s">
        <v>5050</v>
      </c>
      <c r="M270" t="s">
        <v>5055</v>
      </c>
    </row>
    <row r="271" spans="1:13" x14ac:dyDescent="0.3">
      <c r="A271" s="1">
        <v>45404</v>
      </c>
      <c r="B271" s="1" t="str">
        <f>TEXT(Tabla1[[#This Row],[Fecha]],"MMMM")</f>
        <v>abril</v>
      </c>
      <c r="C271" t="s">
        <v>281</v>
      </c>
      <c r="D271" t="s">
        <v>5025</v>
      </c>
      <c r="E271" t="s">
        <v>5033</v>
      </c>
      <c r="F271" t="s">
        <v>5036</v>
      </c>
      <c r="G271" s="3">
        <v>8502.7000000000007</v>
      </c>
      <c r="H271" s="3">
        <v>1105.3499999999999</v>
      </c>
      <c r="I271" s="3">
        <f>SUM(Tabla1[[#This Row],[Monto_Base]],H271)</f>
        <v>9608.0500000000011</v>
      </c>
      <c r="J271" t="s">
        <v>5044</v>
      </c>
      <c r="K271" t="s">
        <v>5047</v>
      </c>
      <c r="L271" t="s">
        <v>5051</v>
      </c>
      <c r="M271" t="s">
        <v>5054</v>
      </c>
    </row>
    <row r="272" spans="1:13" x14ac:dyDescent="0.3">
      <c r="A272" s="1">
        <v>45349</v>
      </c>
      <c r="B272" s="1" t="str">
        <f>TEXT(Tabla1[[#This Row],[Fecha]],"MMMM")</f>
        <v>febrero</v>
      </c>
      <c r="C272" t="s">
        <v>282</v>
      </c>
      <c r="D272" t="s">
        <v>5028</v>
      </c>
      <c r="E272" t="s">
        <v>5032</v>
      </c>
      <c r="F272" t="s">
        <v>5041</v>
      </c>
      <c r="G272" s="3">
        <v>8268.41</v>
      </c>
      <c r="H272" s="3">
        <v>0</v>
      </c>
      <c r="I272" s="3">
        <f>SUM(Tabla1[[#This Row],[Monto_Base]],H272)</f>
        <v>8268.41</v>
      </c>
      <c r="J272" t="s">
        <v>5042</v>
      </c>
      <c r="K272" t="s">
        <v>5047</v>
      </c>
      <c r="L272" t="s">
        <v>5051</v>
      </c>
      <c r="M272" t="s">
        <v>5055</v>
      </c>
    </row>
    <row r="273" spans="1:13" x14ac:dyDescent="0.3">
      <c r="A273" s="1">
        <v>45626</v>
      </c>
      <c r="B273" s="1" t="str">
        <f>TEXT(Tabla1[[#This Row],[Fecha]],"MMMM")</f>
        <v>noviembre</v>
      </c>
      <c r="C273" t="s">
        <v>283</v>
      </c>
      <c r="D273" t="s">
        <v>5018</v>
      </c>
      <c r="E273" t="s">
        <v>5033</v>
      </c>
      <c r="F273" t="s">
        <v>5037</v>
      </c>
      <c r="G273" s="3">
        <v>1581.13</v>
      </c>
      <c r="H273" s="3">
        <v>205.55</v>
      </c>
      <c r="I273" s="3">
        <f>SUM(Tabla1[[#This Row],[Monto_Base]],H273)</f>
        <v>1786.68</v>
      </c>
      <c r="J273" t="s">
        <v>5046</v>
      </c>
      <c r="K273" t="s">
        <v>5048</v>
      </c>
      <c r="L273" t="s">
        <v>5053</v>
      </c>
      <c r="M273" t="s">
        <v>5055</v>
      </c>
    </row>
    <row r="274" spans="1:13" x14ac:dyDescent="0.3">
      <c r="A274" s="1">
        <v>45352</v>
      </c>
      <c r="B274" s="1" t="str">
        <f>TEXT(Tabla1[[#This Row],[Fecha]],"MMMM")</f>
        <v>marzo</v>
      </c>
      <c r="C274" t="s">
        <v>284</v>
      </c>
      <c r="D274" t="s">
        <v>5020</v>
      </c>
      <c r="E274" t="s">
        <v>5033</v>
      </c>
      <c r="F274" t="s">
        <v>5041</v>
      </c>
      <c r="G274" s="3">
        <v>12986.09</v>
      </c>
      <c r="H274" s="3">
        <v>1688.19</v>
      </c>
      <c r="I274" s="3">
        <f>SUM(Tabla1[[#This Row],[Monto_Base]],H274)</f>
        <v>14674.28</v>
      </c>
      <c r="J274" t="s">
        <v>5046</v>
      </c>
      <c r="K274" t="s">
        <v>5047</v>
      </c>
      <c r="L274" t="s">
        <v>5051</v>
      </c>
      <c r="M274" t="s">
        <v>5055</v>
      </c>
    </row>
    <row r="275" spans="1:13" x14ac:dyDescent="0.3">
      <c r="A275" s="1">
        <v>45322</v>
      </c>
      <c r="B275" s="1" t="str">
        <f>TEXT(Tabla1[[#This Row],[Fecha]],"MMMM")</f>
        <v>enero</v>
      </c>
      <c r="C275" t="s">
        <v>285</v>
      </c>
      <c r="D275" t="s">
        <v>5031</v>
      </c>
      <c r="E275" t="s">
        <v>5033</v>
      </c>
      <c r="F275" t="s">
        <v>5034</v>
      </c>
      <c r="G275" s="3">
        <v>12212.27</v>
      </c>
      <c r="H275" s="3">
        <v>1587.6</v>
      </c>
      <c r="I275" s="3">
        <f>SUM(Tabla1[[#This Row],[Monto_Base]],H275)</f>
        <v>13799.87</v>
      </c>
      <c r="J275" t="s">
        <v>5042</v>
      </c>
      <c r="K275" t="s">
        <v>5048</v>
      </c>
      <c r="L275" t="s">
        <v>5051</v>
      </c>
      <c r="M275" t="s">
        <v>5054</v>
      </c>
    </row>
    <row r="276" spans="1:13" x14ac:dyDescent="0.3">
      <c r="A276" s="1">
        <v>45555</v>
      </c>
      <c r="B276" s="1" t="str">
        <f>TEXT(Tabla1[[#This Row],[Fecha]],"MMMM")</f>
        <v>septiembre</v>
      </c>
      <c r="C276" t="s">
        <v>286</v>
      </c>
      <c r="D276" t="s">
        <v>5029</v>
      </c>
      <c r="E276" t="s">
        <v>5032</v>
      </c>
      <c r="F276" t="s">
        <v>5038</v>
      </c>
      <c r="G276" s="3">
        <v>14288.34</v>
      </c>
      <c r="H276" s="3">
        <v>0</v>
      </c>
      <c r="I276" s="3">
        <f>SUM(Tabla1[[#This Row],[Monto_Base]],H276)</f>
        <v>14288.34</v>
      </c>
      <c r="J276" t="s">
        <v>5045</v>
      </c>
      <c r="K276" t="s">
        <v>5047</v>
      </c>
      <c r="L276" t="s">
        <v>5050</v>
      </c>
      <c r="M276" t="s">
        <v>5054</v>
      </c>
    </row>
    <row r="277" spans="1:13" x14ac:dyDescent="0.3">
      <c r="A277" s="1">
        <v>45456</v>
      </c>
      <c r="B277" s="1" t="str">
        <f>TEXT(Tabla1[[#This Row],[Fecha]],"MMMM")</f>
        <v>junio</v>
      </c>
      <c r="C277" t="s">
        <v>287</v>
      </c>
      <c r="D277" t="s">
        <v>5028</v>
      </c>
      <c r="E277" t="s">
        <v>5033</v>
      </c>
      <c r="F277" t="s">
        <v>5034</v>
      </c>
      <c r="G277" s="3">
        <v>2236.34</v>
      </c>
      <c r="H277" s="3">
        <v>290.72000000000003</v>
      </c>
      <c r="I277" s="3">
        <f>SUM(Tabla1[[#This Row],[Monto_Base]],H277)</f>
        <v>2527.0600000000004</v>
      </c>
      <c r="J277" t="s">
        <v>5046</v>
      </c>
      <c r="K277" t="s">
        <v>5049</v>
      </c>
      <c r="L277" t="s">
        <v>5050</v>
      </c>
      <c r="M277" t="s">
        <v>5055</v>
      </c>
    </row>
    <row r="278" spans="1:13" x14ac:dyDescent="0.3">
      <c r="A278" s="1">
        <v>45330</v>
      </c>
      <c r="B278" s="1" t="str">
        <f>TEXT(Tabla1[[#This Row],[Fecha]],"MMMM")</f>
        <v>febrero</v>
      </c>
      <c r="C278" t="s">
        <v>288</v>
      </c>
      <c r="D278" t="s">
        <v>5031</v>
      </c>
      <c r="E278" t="s">
        <v>5032</v>
      </c>
      <c r="F278" t="s">
        <v>5037</v>
      </c>
      <c r="G278" s="3">
        <v>5658.83</v>
      </c>
      <c r="H278" s="3">
        <v>0</v>
      </c>
      <c r="I278" s="3">
        <f>SUM(Tabla1[[#This Row],[Monto_Base]],H278)</f>
        <v>5658.83</v>
      </c>
      <c r="J278" t="s">
        <v>5045</v>
      </c>
      <c r="K278" t="s">
        <v>5048</v>
      </c>
      <c r="L278" t="s">
        <v>5051</v>
      </c>
      <c r="M278" t="s">
        <v>5055</v>
      </c>
    </row>
    <row r="279" spans="1:13" x14ac:dyDescent="0.3">
      <c r="A279" s="1">
        <v>45339</v>
      </c>
      <c r="B279" s="1" t="str">
        <f>TEXT(Tabla1[[#This Row],[Fecha]],"MMMM")</f>
        <v>febrero</v>
      </c>
      <c r="C279" t="s">
        <v>289</v>
      </c>
      <c r="D279" t="s">
        <v>5025</v>
      </c>
      <c r="E279" t="s">
        <v>5032</v>
      </c>
      <c r="F279" t="s">
        <v>5035</v>
      </c>
      <c r="G279" s="3">
        <v>13040.17</v>
      </c>
      <c r="H279" s="3">
        <v>0</v>
      </c>
      <c r="I279" s="3">
        <f>SUM(Tabla1[[#This Row],[Monto_Base]],H279)</f>
        <v>13040.17</v>
      </c>
      <c r="J279" t="s">
        <v>5043</v>
      </c>
      <c r="K279" t="s">
        <v>5049</v>
      </c>
      <c r="L279" t="s">
        <v>5051</v>
      </c>
      <c r="M279" t="s">
        <v>5054</v>
      </c>
    </row>
    <row r="280" spans="1:13" x14ac:dyDescent="0.3">
      <c r="A280" s="1">
        <v>45457</v>
      </c>
      <c r="B280" s="1" t="str">
        <f>TEXT(Tabla1[[#This Row],[Fecha]],"MMMM")</f>
        <v>junio</v>
      </c>
      <c r="C280" t="s">
        <v>290</v>
      </c>
      <c r="D280" t="s">
        <v>5024</v>
      </c>
      <c r="E280" t="s">
        <v>5032</v>
      </c>
      <c r="F280" t="s">
        <v>5034</v>
      </c>
      <c r="G280" s="3">
        <v>7445.99</v>
      </c>
      <c r="H280" s="3">
        <v>0</v>
      </c>
      <c r="I280" s="3">
        <f>SUM(Tabla1[[#This Row],[Monto_Base]],H280)</f>
        <v>7445.99</v>
      </c>
      <c r="J280" t="s">
        <v>5044</v>
      </c>
      <c r="K280" t="s">
        <v>5048</v>
      </c>
      <c r="L280" t="s">
        <v>5052</v>
      </c>
      <c r="M280" t="s">
        <v>5055</v>
      </c>
    </row>
    <row r="281" spans="1:13" x14ac:dyDescent="0.3">
      <c r="A281" s="1">
        <v>45527</v>
      </c>
      <c r="B281" s="1" t="str">
        <f>TEXT(Tabla1[[#This Row],[Fecha]],"MMMM")</f>
        <v>agosto</v>
      </c>
      <c r="C281" t="s">
        <v>291</v>
      </c>
      <c r="D281" t="s">
        <v>5022</v>
      </c>
      <c r="E281" t="s">
        <v>5033</v>
      </c>
      <c r="F281" t="s">
        <v>5036</v>
      </c>
      <c r="G281" s="3">
        <v>9411.3799999999992</v>
      </c>
      <c r="H281" s="3">
        <v>1223.48</v>
      </c>
      <c r="I281" s="3">
        <f>SUM(Tabla1[[#This Row],[Monto_Base]],H281)</f>
        <v>10634.859999999999</v>
      </c>
      <c r="J281" t="s">
        <v>5045</v>
      </c>
      <c r="K281" t="s">
        <v>5047</v>
      </c>
      <c r="L281" t="s">
        <v>5052</v>
      </c>
      <c r="M281" t="s">
        <v>5055</v>
      </c>
    </row>
    <row r="282" spans="1:13" x14ac:dyDescent="0.3">
      <c r="A282" s="1">
        <v>45359</v>
      </c>
      <c r="B282" s="1" t="str">
        <f>TEXT(Tabla1[[#This Row],[Fecha]],"MMMM")</f>
        <v>marzo</v>
      </c>
      <c r="C282" t="s">
        <v>292</v>
      </c>
      <c r="D282" t="s">
        <v>5022</v>
      </c>
      <c r="E282" t="s">
        <v>5032</v>
      </c>
      <c r="F282" t="s">
        <v>5034</v>
      </c>
      <c r="G282" s="3">
        <v>14935.63</v>
      </c>
      <c r="H282" s="3">
        <v>0</v>
      </c>
      <c r="I282" s="3">
        <f>SUM(Tabla1[[#This Row],[Monto_Base]],H282)</f>
        <v>14935.63</v>
      </c>
      <c r="J282" t="s">
        <v>5044</v>
      </c>
      <c r="K282" t="s">
        <v>5047</v>
      </c>
      <c r="L282" t="s">
        <v>5051</v>
      </c>
      <c r="M282" t="s">
        <v>5054</v>
      </c>
    </row>
    <row r="283" spans="1:13" x14ac:dyDescent="0.3">
      <c r="A283" s="1">
        <v>45624</v>
      </c>
      <c r="B283" s="1" t="str">
        <f>TEXT(Tabla1[[#This Row],[Fecha]],"MMMM")</f>
        <v>noviembre</v>
      </c>
      <c r="C283" t="s">
        <v>293</v>
      </c>
      <c r="D283" t="s">
        <v>5029</v>
      </c>
      <c r="E283" t="s">
        <v>5033</v>
      </c>
      <c r="F283" t="s">
        <v>5040</v>
      </c>
      <c r="G283" s="3">
        <v>9984.41</v>
      </c>
      <c r="H283" s="3">
        <v>1297.97</v>
      </c>
      <c r="I283" s="3">
        <f>SUM(Tabla1[[#This Row],[Monto_Base]],H283)</f>
        <v>11282.38</v>
      </c>
      <c r="J283" t="s">
        <v>5046</v>
      </c>
      <c r="K283" t="s">
        <v>5047</v>
      </c>
      <c r="L283" t="s">
        <v>5050</v>
      </c>
      <c r="M283" t="s">
        <v>5055</v>
      </c>
    </row>
    <row r="284" spans="1:13" x14ac:dyDescent="0.3">
      <c r="A284" s="1">
        <v>45536</v>
      </c>
      <c r="B284" s="1" t="str">
        <f>TEXT(Tabla1[[#This Row],[Fecha]],"MMMM")</f>
        <v>septiembre</v>
      </c>
      <c r="C284" t="s">
        <v>294</v>
      </c>
      <c r="D284" t="s">
        <v>5027</v>
      </c>
      <c r="E284" t="s">
        <v>5033</v>
      </c>
      <c r="F284" t="s">
        <v>5036</v>
      </c>
      <c r="G284" s="3">
        <v>66.239999999999995</v>
      </c>
      <c r="H284" s="3">
        <v>8.61</v>
      </c>
      <c r="I284" s="3">
        <f>SUM(Tabla1[[#This Row],[Monto_Base]],H284)</f>
        <v>74.849999999999994</v>
      </c>
      <c r="J284" t="s">
        <v>5045</v>
      </c>
      <c r="K284" t="s">
        <v>5047</v>
      </c>
      <c r="L284" t="s">
        <v>5052</v>
      </c>
      <c r="M284" t="s">
        <v>5055</v>
      </c>
    </row>
    <row r="285" spans="1:13" x14ac:dyDescent="0.3">
      <c r="A285" s="1">
        <v>45508</v>
      </c>
      <c r="B285" s="1" t="str">
        <f>TEXT(Tabla1[[#This Row],[Fecha]],"MMMM")</f>
        <v>agosto</v>
      </c>
      <c r="C285" t="s">
        <v>295</v>
      </c>
      <c r="D285" t="s">
        <v>5012</v>
      </c>
      <c r="E285" t="s">
        <v>5032</v>
      </c>
      <c r="F285" t="s">
        <v>5036</v>
      </c>
      <c r="G285" s="3">
        <v>14822.92</v>
      </c>
      <c r="H285" s="3">
        <v>0</v>
      </c>
      <c r="I285" s="3">
        <f>SUM(Tabla1[[#This Row],[Monto_Base]],H285)</f>
        <v>14822.92</v>
      </c>
      <c r="J285" t="s">
        <v>5046</v>
      </c>
      <c r="K285" t="s">
        <v>5048</v>
      </c>
      <c r="L285" t="s">
        <v>5053</v>
      </c>
      <c r="M285" t="s">
        <v>5054</v>
      </c>
    </row>
    <row r="286" spans="1:13" x14ac:dyDescent="0.3">
      <c r="A286" s="1">
        <v>45445</v>
      </c>
      <c r="B286" s="1" t="str">
        <f>TEXT(Tabla1[[#This Row],[Fecha]],"MMMM")</f>
        <v>junio</v>
      </c>
      <c r="C286" t="s">
        <v>296</v>
      </c>
      <c r="D286" t="s">
        <v>5030</v>
      </c>
      <c r="E286" t="s">
        <v>5033</v>
      </c>
      <c r="F286" t="s">
        <v>5036</v>
      </c>
      <c r="G286" s="3">
        <v>4734.6000000000004</v>
      </c>
      <c r="H286" s="3">
        <v>615.5</v>
      </c>
      <c r="I286" s="3">
        <f>SUM(Tabla1[[#This Row],[Monto_Base]],H286)</f>
        <v>5350.1</v>
      </c>
      <c r="J286" t="s">
        <v>5046</v>
      </c>
      <c r="K286" t="s">
        <v>5048</v>
      </c>
      <c r="L286" t="s">
        <v>5052</v>
      </c>
      <c r="M286" t="s">
        <v>5054</v>
      </c>
    </row>
    <row r="287" spans="1:13" x14ac:dyDescent="0.3">
      <c r="A287" s="1">
        <v>45401</v>
      </c>
      <c r="B287" s="1" t="str">
        <f>TEXT(Tabla1[[#This Row],[Fecha]],"MMMM")</f>
        <v>abril</v>
      </c>
      <c r="C287" t="s">
        <v>297</v>
      </c>
      <c r="D287" t="s">
        <v>5023</v>
      </c>
      <c r="E287" t="s">
        <v>5033</v>
      </c>
      <c r="F287" t="s">
        <v>5039</v>
      </c>
      <c r="G287" s="3">
        <v>6629.49</v>
      </c>
      <c r="H287" s="3">
        <v>861.83</v>
      </c>
      <c r="I287" s="3">
        <f>SUM(Tabla1[[#This Row],[Monto_Base]],H287)</f>
        <v>7491.32</v>
      </c>
      <c r="J287" t="s">
        <v>5046</v>
      </c>
      <c r="K287" t="s">
        <v>5048</v>
      </c>
      <c r="L287" t="s">
        <v>5050</v>
      </c>
      <c r="M287" t="s">
        <v>5054</v>
      </c>
    </row>
    <row r="288" spans="1:13" x14ac:dyDescent="0.3">
      <c r="A288" s="1">
        <v>45488</v>
      </c>
      <c r="B288" s="1" t="str">
        <f>TEXT(Tabla1[[#This Row],[Fecha]],"MMMM")</f>
        <v>julio</v>
      </c>
      <c r="C288" t="s">
        <v>298</v>
      </c>
      <c r="D288" t="s">
        <v>5013</v>
      </c>
      <c r="E288" t="s">
        <v>5033</v>
      </c>
      <c r="F288" t="s">
        <v>5036</v>
      </c>
      <c r="G288" s="3">
        <v>8864.1299999999992</v>
      </c>
      <c r="H288" s="3">
        <v>1152.3399999999999</v>
      </c>
      <c r="I288" s="3">
        <f>SUM(Tabla1[[#This Row],[Monto_Base]],H288)</f>
        <v>10016.469999999999</v>
      </c>
      <c r="J288" t="s">
        <v>5044</v>
      </c>
      <c r="K288" t="s">
        <v>5048</v>
      </c>
      <c r="L288" t="s">
        <v>5051</v>
      </c>
      <c r="M288" t="s">
        <v>5054</v>
      </c>
    </row>
    <row r="289" spans="1:13" x14ac:dyDescent="0.3">
      <c r="A289" s="1">
        <v>45599</v>
      </c>
      <c r="B289" s="1" t="str">
        <f>TEXT(Tabla1[[#This Row],[Fecha]],"MMMM")</f>
        <v>noviembre</v>
      </c>
      <c r="C289" t="s">
        <v>299</v>
      </c>
      <c r="D289" t="s">
        <v>5021</v>
      </c>
      <c r="E289" t="s">
        <v>5033</v>
      </c>
      <c r="F289" t="s">
        <v>5034</v>
      </c>
      <c r="G289" s="3">
        <v>8323.2800000000007</v>
      </c>
      <c r="H289" s="3">
        <v>1082.03</v>
      </c>
      <c r="I289" s="3">
        <f>SUM(Tabla1[[#This Row],[Monto_Base]],H289)</f>
        <v>9405.3100000000013</v>
      </c>
      <c r="J289" t="s">
        <v>5042</v>
      </c>
      <c r="K289" t="s">
        <v>5048</v>
      </c>
      <c r="L289" t="s">
        <v>5053</v>
      </c>
      <c r="M289" t="s">
        <v>5055</v>
      </c>
    </row>
    <row r="290" spans="1:13" x14ac:dyDescent="0.3">
      <c r="A290" s="1">
        <v>45319</v>
      </c>
      <c r="B290" s="1" t="str">
        <f>TEXT(Tabla1[[#This Row],[Fecha]],"MMMM")</f>
        <v>enero</v>
      </c>
      <c r="C290" t="s">
        <v>300</v>
      </c>
      <c r="D290" t="s">
        <v>5023</v>
      </c>
      <c r="E290" t="s">
        <v>5033</v>
      </c>
      <c r="F290" t="s">
        <v>5037</v>
      </c>
      <c r="G290" s="3">
        <v>4468.3500000000004</v>
      </c>
      <c r="H290" s="3">
        <v>580.89</v>
      </c>
      <c r="I290" s="3">
        <f>SUM(Tabla1[[#This Row],[Monto_Base]],H290)</f>
        <v>5049.2400000000007</v>
      </c>
      <c r="J290" t="s">
        <v>5046</v>
      </c>
      <c r="K290" t="s">
        <v>5048</v>
      </c>
      <c r="L290" t="s">
        <v>5050</v>
      </c>
      <c r="M290" t="s">
        <v>5054</v>
      </c>
    </row>
    <row r="291" spans="1:13" x14ac:dyDescent="0.3">
      <c r="A291" s="1">
        <v>45454</v>
      </c>
      <c r="B291" s="1" t="str">
        <f>TEXT(Tabla1[[#This Row],[Fecha]],"MMMM")</f>
        <v>junio</v>
      </c>
      <c r="C291" t="s">
        <v>301</v>
      </c>
      <c r="D291" t="s">
        <v>5018</v>
      </c>
      <c r="E291" t="s">
        <v>5033</v>
      </c>
      <c r="F291" t="s">
        <v>5035</v>
      </c>
      <c r="G291" s="3">
        <v>14803.89</v>
      </c>
      <c r="H291" s="3">
        <v>1924.51</v>
      </c>
      <c r="I291" s="3">
        <f>SUM(Tabla1[[#This Row],[Monto_Base]],H291)</f>
        <v>16728.399999999998</v>
      </c>
      <c r="J291" t="s">
        <v>5046</v>
      </c>
      <c r="K291" t="s">
        <v>5048</v>
      </c>
      <c r="L291" t="s">
        <v>5050</v>
      </c>
      <c r="M291" t="s">
        <v>5055</v>
      </c>
    </row>
    <row r="292" spans="1:13" x14ac:dyDescent="0.3">
      <c r="A292" s="1">
        <v>45299</v>
      </c>
      <c r="B292" s="1" t="str">
        <f>TEXT(Tabla1[[#This Row],[Fecha]],"MMMM")</f>
        <v>enero</v>
      </c>
      <c r="C292" t="s">
        <v>302</v>
      </c>
      <c r="D292" t="s">
        <v>5018</v>
      </c>
      <c r="E292" t="s">
        <v>5033</v>
      </c>
      <c r="F292" t="s">
        <v>5035</v>
      </c>
      <c r="G292" s="3">
        <v>8831.08</v>
      </c>
      <c r="H292" s="3">
        <v>1148.04</v>
      </c>
      <c r="I292" s="3">
        <f>SUM(Tabla1[[#This Row],[Monto_Base]],H292)</f>
        <v>9979.119999999999</v>
      </c>
      <c r="J292" t="s">
        <v>5044</v>
      </c>
      <c r="K292" t="s">
        <v>5047</v>
      </c>
      <c r="L292" t="s">
        <v>5053</v>
      </c>
      <c r="M292" t="s">
        <v>5054</v>
      </c>
    </row>
    <row r="293" spans="1:13" x14ac:dyDescent="0.3">
      <c r="A293" s="1">
        <v>45497</v>
      </c>
      <c r="B293" s="1" t="str">
        <f>TEXT(Tabla1[[#This Row],[Fecha]],"MMMM")</f>
        <v>julio</v>
      </c>
      <c r="C293" t="s">
        <v>303</v>
      </c>
      <c r="D293" t="s">
        <v>5016</v>
      </c>
      <c r="E293" t="s">
        <v>5032</v>
      </c>
      <c r="F293" t="s">
        <v>5037</v>
      </c>
      <c r="G293" s="3">
        <v>6382.45</v>
      </c>
      <c r="H293" s="3">
        <v>0</v>
      </c>
      <c r="I293" s="3">
        <f>SUM(Tabla1[[#This Row],[Monto_Base]],H293)</f>
        <v>6382.45</v>
      </c>
      <c r="J293" t="s">
        <v>5045</v>
      </c>
      <c r="K293" t="s">
        <v>5049</v>
      </c>
      <c r="L293" t="s">
        <v>5052</v>
      </c>
      <c r="M293" t="s">
        <v>5055</v>
      </c>
    </row>
    <row r="294" spans="1:13" x14ac:dyDescent="0.3">
      <c r="A294" s="1">
        <v>45371</v>
      </c>
      <c r="B294" s="1" t="str">
        <f>TEXT(Tabla1[[#This Row],[Fecha]],"MMMM")</f>
        <v>marzo</v>
      </c>
      <c r="C294" t="s">
        <v>304</v>
      </c>
      <c r="D294" t="s">
        <v>5021</v>
      </c>
      <c r="E294" t="s">
        <v>5033</v>
      </c>
      <c r="F294" t="s">
        <v>5034</v>
      </c>
      <c r="G294" s="3">
        <v>14615.99</v>
      </c>
      <c r="H294" s="3">
        <v>1900.08</v>
      </c>
      <c r="I294" s="3">
        <f>SUM(Tabla1[[#This Row],[Monto_Base]],H294)</f>
        <v>16516.07</v>
      </c>
      <c r="J294" t="s">
        <v>5042</v>
      </c>
      <c r="K294" t="s">
        <v>5048</v>
      </c>
      <c r="L294" t="s">
        <v>5050</v>
      </c>
      <c r="M294" t="s">
        <v>5054</v>
      </c>
    </row>
    <row r="295" spans="1:13" x14ac:dyDescent="0.3">
      <c r="A295" s="1">
        <v>45514</v>
      </c>
      <c r="B295" s="1" t="str">
        <f>TEXT(Tabla1[[#This Row],[Fecha]],"MMMM")</f>
        <v>agosto</v>
      </c>
      <c r="C295" t="s">
        <v>305</v>
      </c>
      <c r="D295" t="s">
        <v>5019</v>
      </c>
      <c r="E295" t="s">
        <v>5033</v>
      </c>
      <c r="F295" t="s">
        <v>5035</v>
      </c>
      <c r="G295" s="3">
        <v>3704.97</v>
      </c>
      <c r="H295" s="3">
        <v>481.65</v>
      </c>
      <c r="I295" s="3">
        <f>SUM(Tabla1[[#This Row],[Monto_Base]],H295)</f>
        <v>4186.62</v>
      </c>
      <c r="J295" t="s">
        <v>5045</v>
      </c>
      <c r="K295" t="s">
        <v>5048</v>
      </c>
      <c r="L295" t="s">
        <v>5053</v>
      </c>
      <c r="M295" t="s">
        <v>5055</v>
      </c>
    </row>
    <row r="296" spans="1:13" x14ac:dyDescent="0.3">
      <c r="A296" s="1">
        <v>45375</v>
      </c>
      <c r="B296" s="1" t="str">
        <f>TEXT(Tabla1[[#This Row],[Fecha]],"MMMM")</f>
        <v>marzo</v>
      </c>
      <c r="C296" t="s">
        <v>306</v>
      </c>
      <c r="D296" t="s">
        <v>5013</v>
      </c>
      <c r="E296" t="s">
        <v>5033</v>
      </c>
      <c r="F296" t="s">
        <v>5039</v>
      </c>
      <c r="G296" s="3">
        <v>10537.42</v>
      </c>
      <c r="H296" s="3">
        <v>1369.86</v>
      </c>
      <c r="I296" s="3">
        <f>SUM(Tabla1[[#This Row],[Monto_Base]],H296)</f>
        <v>11907.28</v>
      </c>
      <c r="J296" t="s">
        <v>5043</v>
      </c>
      <c r="K296" t="s">
        <v>5048</v>
      </c>
      <c r="L296" t="s">
        <v>5051</v>
      </c>
      <c r="M296" t="s">
        <v>5054</v>
      </c>
    </row>
    <row r="297" spans="1:13" x14ac:dyDescent="0.3">
      <c r="A297" s="1">
        <v>45307</v>
      </c>
      <c r="B297" s="1" t="str">
        <f>TEXT(Tabla1[[#This Row],[Fecha]],"MMMM")</f>
        <v>enero</v>
      </c>
      <c r="C297" t="s">
        <v>307</v>
      </c>
      <c r="D297" t="s">
        <v>5028</v>
      </c>
      <c r="E297" t="s">
        <v>5032</v>
      </c>
      <c r="F297" t="s">
        <v>5036</v>
      </c>
      <c r="G297" s="3">
        <v>11582.88</v>
      </c>
      <c r="H297" s="3">
        <v>0</v>
      </c>
      <c r="I297" s="3">
        <f>SUM(Tabla1[[#This Row],[Monto_Base]],H297)</f>
        <v>11582.88</v>
      </c>
      <c r="J297" t="s">
        <v>5044</v>
      </c>
      <c r="K297" t="s">
        <v>5048</v>
      </c>
      <c r="L297" t="s">
        <v>5051</v>
      </c>
      <c r="M297" t="s">
        <v>5054</v>
      </c>
    </row>
    <row r="298" spans="1:13" x14ac:dyDescent="0.3">
      <c r="A298" s="1">
        <v>45476</v>
      </c>
      <c r="B298" s="1" t="str">
        <f>TEXT(Tabla1[[#This Row],[Fecha]],"MMMM")</f>
        <v>julio</v>
      </c>
      <c r="C298" t="s">
        <v>308</v>
      </c>
      <c r="D298" t="s">
        <v>5014</v>
      </c>
      <c r="E298" t="s">
        <v>5033</v>
      </c>
      <c r="F298" t="s">
        <v>5041</v>
      </c>
      <c r="G298" s="3">
        <v>6855.21</v>
      </c>
      <c r="H298" s="3">
        <v>891.18</v>
      </c>
      <c r="I298" s="3">
        <f>SUM(Tabla1[[#This Row],[Monto_Base]],H298)</f>
        <v>7746.39</v>
      </c>
      <c r="J298" t="s">
        <v>5045</v>
      </c>
      <c r="K298" t="s">
        <v>5048</v>
      </c>
      <c r="L298" t="s">
        <v>5052</v>
      </c>
      <c r="M298" t="s">
        <v>5055</v>
      </c>
    </row>
    <row r="299" spans="1:13" x14ac:dyDescent="0.3">
      <c r="A299" s="1">
        <v>45552</v>
      </c>
      <c r="B299" s="1" t="str">
        <f>TEXT(Tabla1[[#This Row],[Fecha]],"MMMM")</f>
        <v>septiembre</v>
      </c>
      <c r="C299" t="s">
        <v>309</v>
      </c>
      <c r="D299" t="s">
        <v>5021</v>
      </c>
      <c r="E299" t="s">
        <v>5033</v>
      </c>
      <c r="F299" t="s">
        <v>5036</v>
      </c>
      <c r="G299" s="3">
        <v>3464.65</v>
      </c>
      <c r="H299" s="3">
        <v>450.4</v>
      </c>
      <c r="I299" s="3">
        <f>SUM(Tabla1[[#This Row],[Monto_Base]],H299)</f>
        <v>3915.05</v>
      </c>
      <c r="J299" t="s">
        <v>5045</v>
      </c>
      <c r="K299" t="s">
        <v>5047</v>
      </c>
      <c r="L299" t="s">
        <v>5053</v>
      </c>
      <c r="M299" t="s">
        <v>5054</v>
      </c>
    </row>
    <row r="300" spans="1:13" x14ac:dyDescent="0.3">
      <c r="A300" s="1">
        <v>45383</v>
      </c>
      <c r="B300" s="1" t="str">
        <f>TEXT(Tabla1[[#This Row],[Fecha]],"MMMM")</f>
        <v>abril</v>
      </c>
      <c r="C300" t="s">
        <v>310</v>
      </c>
      <c r="D300" t="s">
        <v>5018</v>
      </c>
      <c r="E300" t="s">
        <v>5032</v>
      </c>
      <c r="F300" t="s">
        <v>5037</v>
      </c>
      <c r="G300" s="3">
        <v>13807.39</v>
      </c>
      <c r="H300" s="3">
        <v>0</v>
      </c>
      <c r="I300" s="3">
        <f>SUM(Tabla1[[#This Row],[Monto_Base]],H300)</f>
        <v>13807.39</v>
      </c>
      <c r="J300" t="s">
        <v>5045</v>
      </c>
      <c r="K300" t="s">
        <v>5049</v>
      </c>
      <c r="L300" t="s">
        <v>5050</v>
      </c>
      <c r="M300" t="s">
        <v>5054</v>
      </c>
    </row>
    <row r="301" spans="1:13" x14ac:dyDescent="0.3">
      <c r="A301" s="1">
        <v>45331</v>
      </c>
      <c r="B301" s="1" t="str">
        <f>TEXT(Tabla1[[#This Row],[Fecha]],"MMMM")</f>
        <v>febrero</v>
      </c>
      <c r="C301" t="s">
        <v>311</v>
      </c>
      <c r="D301" t="s">
        <v>5024</v>
      </c>
      <c r="E301" t="s">
        <v>5032</v>
      </c>
      <c r="F301" t="s">
        <v>5040</v>
      </c>
      <c r="G301" s="3">
        <v>4105.3100000000004</v>
      </c>
      <c r="H301" s="3">
        <v>0</v>
      </c>
      <c r="I301" s="3">
        <f>SUM(Tabla1[[#This Row],[Monto_Base]],H301)</f>
        <v>4105.3100000000004</v>
      </c>
      <c r="J301" t="s">
        <v>5042</v>
      </c>
      <c r="K301" t="s">
        <v>5048</v>
      </c>
      <c r="L301" t="s">
        <v>5053</v>
      </c>
      <c r="M301" t="s">
        <v>5054</v>
      </c>
    </row>
    <row r="302" spans="1:13" x14ac:dyDescent="0.3">
      <c r="A302" s="1">
        <v>45530</v>
      </c>
      <c r="B302" s="1" t="str">
        <f>TEXT(Tabla1[[#This Row],[Fecha]],"MMMM")</f>
        <v>agosto</v>
      </c>
      <c r="C302" t="s">
        <v>312</v>
      </c>
      <c r="D302" t="s">
        <v>5017</v>
      </c>
      <c r="E302" t="s">
        <v>5033</v>
      </c>
      <c r="F302" t="s">
        <v>5037</v>
      </c>
      <c r="G302" s="3">
        <v>1080.45</v>
      </c>
      <c r="H302" s="3">
        <v>140.46</v>
      </c>
      <c r="I302" s="3">
        <f>SUM(Tabla1[[#This Row],[Monto_Base]],H302)</f>
        <v>1220.9100000000001</v>
      </c>
      <c r="J302" t="s">
        <v>5044</v>
      </c>
      <c r="K302" t="s">
        <v>5048</v>
      </c>
      <c r="L302" t="s">
        <v>5051</v>
      </c>
      <c r="M302" t="s">
        <v>5054</v>
      </c>
    </row>
    <row r="303" spans="1:13" x14ac:dyDescent="0.3">
      <c r="A303" s="1">
        <v>45447</v>
      </c>
      <c r="B303" s="1" t="str">
        <f>TEXT(Tabla1[[#This Row],[Fecha]],"MMMM")</f>
        <v>junio</v>
      </c>
      <c r="C303" t="s">
        <v>313</v>
      </c>
      <c r="D303" t="s">
        <v>5022</v>
      </c>
      <c r="E303" t="s">
        <v>5032</v>
      </c>
      <c r="F303" t="s">
        <v>5034</v>
      </c>
      <c r="G303" s="3">
        <v>4409.3500000000004</v>
      </c>
      <c r="H303" s="3">
        <v>0</v>
      </c>
      <c r="I303" s="3">
        <f>SUM(Tabla1[[#This Row],[Monto_Base]],H303)</f>
        <v>4409.3500000000004</v>
      </c>
      <c r="J303" t="s">
        <v>5042</v>
      </c>
      <c r="K303" t="s">
        <v>5047</v>
      </c>
      <c r="L303" t="s">
        <v>5050</v>
      </c>
      <c r="M303" t="s">
        <v>5055</v>
      </c>
    </row>
    <row r="304" spans="1:13" x14ac:dyDescent="0.3">
      <c r="A304" s="1">
        <v>45501</v>
      </c>
      <c r="B304" s="1" t="str">
        <f>TEXT(Tabla1[[#This Row],[Fecha]],"MMMM")</f>
        <v>julio</v>
      </c>
      <c r="C304" t="s">
        <v>314</v>
      </c>
      <c r="D304" t="s">
        <v>5024</v>
      </c>
      <c r="E304" t="s">
        <v>5033</v>
      </c>
      <c r="F304" t="s">
        <v>5039</v>
      </c>
      <c r="G304" s="3">
        <v>145.35</v>
      </c>
      <c r="H304" s="3">
        <v>18.899999999999999</v>
      </c>
      <c r="I304" s="3">
        <f>SUM(Tabla1[[#This Row],[Monto_Base]],H304)</f>
        <v>164.25</v>
      </c>
      <c r="J304" t="s">
        <v>5045</v>
      </c>
      <c r="K304" t="s">
        <v>5047</v>
      </c>
      <c r="L304" t="s">
        <v>5051</v>
      </c>
      <c r="M304" t="s">
        <v>5054</v>
      </c>
    </row>
    <row r="305" spans="1:13" x14ac:dyDescent="0.3">
      <c r="A305" s="1">
        <v>45563</v>
      </c>
      <c r="B305" s="1" t="str">
        <f>TEXT(Tabla1[[#This Row],[Fecha]],"MMMM")</f>
        <v>septiembre</v>
      </c>
      <c r="C305" t="s">
        <v>315</v>
      </c>
      <c r="D305" t="s">
        <v>5022</v>
      </c>
      <c r="E305" t="s">
        <v>5032</v>
      </c>
      <c r="F305" t="s">
        <v>5038</v>
      </c>
      <c r="G305" s="3">
        <v>1604.04</v>
      </c>
      <c r="H305" s="3">
        <v>0</v>
      </c>
      <c r="I305" s="3">
        <f>SUM(Tabla1[[#This Row],[Monto_Base]],H305)</f>
        <v>1604.04</v>
      </c>
      <c r="J305" t="s">
        <v>5046</v>
      </c>
      <c r="K305" t="s">
        <v>5048</v>
      </c>
      <c r="L305" t="s">
        <v>5050</v>
      </c>
      <c r="M305" t="s">
        <v>5054</v>
      </c>
    </row>
    <row r="306" spans="1:13" x14ac:dyDescent="0.3">
      <c r="A306" s="1">
        <v>45558</v>
      </c>
      <c r="B306" s="1" t="str">
        <f>TEXT(Tabla1[[#This Row],[Fecha]],"MMMM")</f>
        <v>septiembre</v>
      </c>
      <c r="C306" t="s">
        <v>316</v>
      </c>
      <c r="D306" t="s">
        <v>5021</v>
      </c>
      <c r="E306" t="s">
        <v>5033</v>
      </c>
      <c r="F306" t="s">
        <v>5035</v>
      </c>
      <c r="G306" s="3">
        <v>13823.05</v>
      </c>
      <c r="H306" s="3">
        <v>1797</v>
      </c>
      <c r="I306" s="3">
        <f>SUM(Tabla1[[#This Row],[Monto_Base]],H306)</f>
        <v>15620.05</v>
      </c>
      <c r="J306" t="s">
        <v>5043</v>
      </c>
      <c r="K306" t="s">
        <v>5049</v>
      </c>
      <c r="L306" t="s">
        <v>5051</v>
      </c>
      <c r="M306" t="s">
        <v>5055</v>
      </c>
    </row>
    <row r="307" spans="1:13" x14ac:dyDescent="0.3">
      <c r="A307" s="1">
        <v>45493</v>
      </c>
      <c r="B307" s="1" t="str">
        <f>TEXT(Tabla1[[#This Row],[Fecha]],"MMMM")</f>
        <v>julio</v>
      </c>
      <c r="C307" t="s">
        <v>317</v>
      </c>
      <c r="D307" t="s">
        <v>5031</v>
      </c>
      <c r="E307" t="s">
        <v>5033</v>
      </c>
      <c r="F307" t="s">
        <v>5039</v>
      </c>
      <c r="G307" s="3">
        <v>9576.3700000000008</v>
      </c>
      <c r="H307" s="3">
        <v>1244.93</v>
      </c>
      <c r="I307" s="3">
        <f>SUM(Tabla1[[#This Row],[Monto_Base]],H307)</f>
        <v>10821.300000000001</v>
      </c>
      <c r="J307" t="s">
        <v>5045</v>
      </c>
      <c r="K307" t="s">
        <v>5049</v>
      </c>
      <c r="L307" t="s">
        <v>5053</v>
      </c>
      <c r="M307" t="s">
        <v>5055</v>
      </c>
    </row>
    <row r="308" spans="1:13" x14ac:dyDescent="0.3">
      <c r="A308" s="1">
        <v>45493</v>
      </c>
      <c r="B308" s="1" t="str">
        <f>TEXT(Tabla1[[#This Row],[Fecha]],"MMMM")</f>
        <v>julio</v>
      </c>
      <c r="C308" t="s">
        <v>318</v>
      </c>
      <c r="D308" t="s">
        <v>5017</v>
      </c>
      <c r="E308" t="s">
        <v>5032</v>
      </c>
      <c r="F308" t="s">
        <v>5038</v>
      </c>
      <c r="G308" s="3">
        <v>12771.16</v>
      </c>
      <c r="H308" s="3">
        <v>0</v>
      </c>
      <c r="I308" s="3">
        <f>SUM(Tabla1[[#This Row],[Monto_Base]],H308)</f>
        <v>12771.16</v>
      </c>
      <c r="J308" t="s">
        <v>5044</v>
      </c>
      <c r="K308" t="s">
        <v>5048</v>
      </c>
      <c r="L308" t="s">
        <v>5050</v>
      </c>
      <c r="M308" t="s">
        <v>5055</v>
      </c>
    </row>
    <row r="309" spans="1:13" x14ac:dyDescent="0.3">
      <c r="A309" s="1">
        <v>45591</v>
      </c>
      <c r="B309" s="1" t="str">
        <f>TEXT(Tabla1[[#This Row],[Fecha]],"MMMM")</f>
        <v>octubre</v>
      </c>
      <c r="C309" t="s">
        <v>319</v>
      </c>
      <c r="D309" t="s">
        <v>5013</v>
      </c>
      <c r="E309" t="s">
        <v>5033</v>
      </c>
      <c r="F309" t="s">
        <v>5039</v>
      </c>
      <c r="G309" s="3">
        <v>11710.06</v>
      </c>
      <c r="H309" s="3">
        <v>1522.31</v>
      </c>
      <c r="I309" s="3">
        <f>SUM(Tabla1[[#This Row],[Monto_Base]],H309)</f>
        <v>13232.369999999999</v>
      </c>
      <c r="J309" t="s">
        <v>5045</v>
      </c>
      <c r="K309" t="s">
        <v>5047</v>
      </c>
      <c r="L309" t="s">
        <v>5053</v>
      </c>
      <c r="M309" t="s">
        <v>5054</v>
      </c>
    </row>
    <row r="310" spans="1:13" x14ac:dyDescent="0.3">
      <c r="A310" s="1">
        <v>45475</v>
      </c>
      <c r="B310" s="1" t="str">
        <f>TEXT(Tabla1[[#This Row],[Fecha]],"MMMM")</f>
        <v>julio</v>
      </c>
      <c r="C310" t="s">
        <v>320</v>
      </c>
      <c r="D310" t="s">
        <v>5025</v>
      </c>
      <c r="E310" t="s">
        <v>5032</v>
      </c>
      <c r="F310" t="s">
        <v>5037</v>
      </c>
      <c r="G310" s="3">
        <v>1855.01</v>
      </c>
      <c r="H310" s="3">
        <v>0</v>
      </c>
      <c r="I310" s="3">
        <f>SUM(Tabla1[[#This Row],[Monto_Base]],H310)</f>
        <v>1855.01</v>
      </c>
      <c r="J310" t="s">
        <v>5046</v>
      </c>
      <c r="K310" t="s">
        <v>5048</v>
      </c>
      <c r="L310" t="s">
        <v>5051</v>
      </c>
      <c r="M310" t="s">
        <v>5055</v>
      </c>
    </row>
    <row r="311" spans="1:13" x14ac:dyDescent="0.3">
      <c r="A311" s="1">
        <v>45447</v>
      </c>
      <c r="B311" s="1" t="str">
        <f>TEXT(Tabla1[[#This Row],[Fecha]],"MMMM")</f>
        <v>junio</v>
      </c>
      <c r="C311" t="s">
        <v>321</v>
      </c>
      <c r="D311" t="s">
        <v>5030</v>
      </c>
      <c r="E311" t="s">
        <v>5033</v>
      </c>
      <c r="F311" t="s">
        <v>5039</v>
      </c>
      <c r="G311" s="3">
        <v>12123.57</v>
      </c>
      <c r="H311" s="3">
        <v>1576.06</v>
      </c>
      <c r="I311" s="3">
        <f>SUM(Tabla1[[#This Row],[Monto_Base]],H311)</f>
        <v>13699.63</v>
      </c>
      <c r="J311" t="s">
        <v>5042</v>
      </c>
      <c r="K311" t="s">
        <v>5047</v>
      </c>
      <c r="L311" t="s">
        <v>5052</v>
      </c>
      <c r="M311" t="s">
        <v>5055</v>
      </c>
    </row>
    <row r="312" spans="1:13" x14ac:dyDescent="0.3">
      <c r="A312" s="1">
        <v>45317</v>
      </c>
      <c r="B312" s="1" t="str">
        <f>TEXT(Tabla1[[#This Row],[Fecha]],"MMMM")</f>
        <v>enero</v>
      </c>
      <c r="C312" t="s">
        <v>322</v>
      </c>
      <c r="D312" t="s">
        <v>5013</v>
      </c>
      <c r="E312" t="s">
        <v>5033</v>
      </c>
      <c r="F312" t="s">
        <v>5040</v>
      </c>
      <c r="G312" s="3">
        <v>5973.85</v>
      </c>
      <c r="H312" s="3">
        <v>776.6</v>
      </c>
      <c r="I312" s="3">
        <f>SUM(Tabla1[[#This Row],[Monto_Base]],H312)</f>
        <v>6750.4500000000007</v>
      </c>
      <c r="J312" t="s">
        <v>5044</v>
      </c>
      <c r="K312" t="s">
        <v>5048</v>
      </c>
      <c r="L312" t="s">
        <v>5052</v>
      </c>
      <c r="M312" t="s">
        <v>5054</v>
      </c>
    </row>
    <row r="313" spans="1:13" x14ac:dyDescent="0.3">
      <c r="A313" s="1">
        <v>45363</v>
      </c>
      <c r="B313" s="1" t="str">
        <f>TEXT(Tabla1[[#This Row],[Fecha]],"MMMM")</f>
        <v>marzo</v>
      </c>
      <c r="C313" t="s">
        <v>323</v>
      </c>
      <c r="D313" t="s">
        <v>5025</v>
      </c>
      <c r="E313" t="s">
        <v>5033</v>
      </c>
      <c r="F313" t="s">
        <v>5036</v>
      </c>
      <c r="G313" s="3">
        <v>6957.55</v>
      </c>
      <c r="H313" s="3">
        <v>904.48</v>
      </c>
      <c r="I313" s="3">
        <f>SUM(Tabla1[[#This Row],[Monto_Base]],H313)</f>
        <v>7862.0300000000007</v>
      </c>
      <c r="J313" t="s">
        <v>5045</v>
      </c>
      <c r="K313" t="s">
        <v>5047</v>
      </c>
      <c r="L313" t="s">
        <v>5053</v>
      </c>
      <c r="M313" t="s">
        <v>5054</v>
      </c>
    </row>
    <row r="314" spans="1:13" x14ac:dyDescent="0.3">
      <c r="A314" s="1">
        <v>45622</v>
      </c>
      <c r="B314" s="1" t="str">
        <f>TEXT(Tabla1[[#This Row],[Fecha]],"MMMM")</f>
        <v>noviembre</v>
      </c>
      <c r="C314" t="s">
        <v>324</v>
      </c>
      <c r="D314" t="s">
        <v>5017</v>
      </c>
      <c r="E314" t="s">
        <v>5032</v>
      </c>
      <c r="F314" t="s">
        <v>5040</v>
      </c>
      <c r="G314" s="3">
        <v>10309.959999999999</v>
      </c>
      <c r="H314" s="3">
        <v>0</v>
      </c>
      <c r="I314" s="3">
        <f>SUM(Tabla1[[#This Row],[Monto_Base]],H314)</f>
        <v>10309.959999999999</v>
      </c>
      <c r="J314" t="s">
        <v>5045</v>
      </c>
      <c r="K314" t="s">
        <v>5049</v>
      </c>
      <c r="L314" t="s">
        <v>5051</v>
      </c>
      <c r="M314" t="s">
        <v>5054</v>
      </c>
    </row>
    <row r="315" spans="1:13" x14ac:dyDescent="0.3">
      <c r="A315" s="1">
        <v>45339</v>
      </c>
      <c r="B315" s="1" t="str">
        <f>TEXT(Tabla1[[#This Row],[Fecha]],"MMMM")</f>
        <v>febrero</v>
      </c>
      <c r="C315" t="s">
        <v>325</v>
      </c>
      <c r="D315" t="s">
        <v>5013</v>
      </c>
      <c r="E315" t="s">
        <v>5033</v>
      </c>
      <c r="F315" t="s">
        <v>5041</v>
      </c>
      <c r="G315" s="3">
        <v>12149.02</v>
      </c>
      <c r="H315" s="3">
        <v>1579.37</v>
      </c>
      <c r="I315" s="3">
        <f>SUM(Tabla1[[#This Row],[Monto_Base]],H315)</f>
        <v>13728.39</v>
      </c>
      <c r="J315" t="s">
        <v>5044</v>
      </c>
      <c r="K315" t="s">
        <v>5047</v>
      </c>
      <c r="L315" t="s">
        <v>5053</v>
      </c>
      <c r="M315" t="s">
        <v>5055</v>
      </c>
    </row>
    <row r="316" spans="1:13" x14ac:dyDescent="0.3">
      <c r="A316" s="1">
        <v>45487</v>
      </c>
      <c r="B316" s="1" t="str">
        <f>TEXT(Tabla1[[#This Row],[Fecha]],"MMMM")</f>
        <v>julio</v>
      </c>
      <c r="C316" t="s">
        <v>326</v>
      </c>
      <c r="D316" t="s">
        <v>5026</v>
      </c>
      <c r="E316" t="s">
        <v>5032</v>
      </c>
      <c r="F316" t="s">
        <v>5037</v>
      </c>
      <c r="G316" s="3">
        <v>7467.09</v>
      </c>
      <c r="H316" s="3">
        <v>0</v>
      </c>
      <c r="I316" s="3">
        <f>SUM(Tabla1[[#This Row],[Monto_Base]],H316)</f>
        <v>7467.09</v>
      </c>
      <c r="J316" t="s">
        <v>5043</v>
      </c>
      <c r="K316" t="s">
        <v>5047</v>
      </c>
      <c r="L316" t="s">
        <v>5051</v>
      </c>
      <c r="M316" t="s">
        <v>5054</v>
      </c>
    </row>
    <row r="317" spans="1:13" x14ac:dyDescent="0.3">
      <c r="A317" s="1">
        <v>45309</v>
      </c>
      <c r="B317" s="1" t="str">
        <f>TEXT(Tabla1[[#This Row],[Fecha]],"MMMM")</f>
        <v>enero</v>
      </c>
      <c r="C317" t="s">
        <v>327</v>
      </c>
      <c r="D317" t="s">
        <v>5021</v>
      </c>
      <c r="E317" t="s">
        <v>5032</v>
      </c>
      <c r="F317" t="s">
        <v>5041</v>
      </c>
      <c r="G317" s="3">
        <v>13257.19</v>
      </c>
      <c r="H317" s="3">
        <v>0</v>
      </c>
      <c r="I317" s="3">
        <f>SUM(Tabla1[[#This Row],[Monto_Base]],H317)</f>
        <v>13257.19</v>
      </c>
      <c r="J317" t="s">
        <v>5042</v>
      </c>
      <c r="K317" t="s">
        <v>5049</v>
      </c>
      <c r="L317" t="s">
        <v>5052</v>
      </c>
      <c r="M317" t="s">
        <v>5055</v>
      </c>
    </row>
    <row r="318" spans="1:13" x14ac:dyDescent="0.3">
      <c r="A318" s="1">
        <v>45488</v>
      </c>
      <c r="B318" s="1" t="str">
        <f>TEXT(Tabla1[[#This Row],[Fecha]],"MMMM")</f>
        <v>julio</v>
      </c>
      <c r="C318" t="s">
        <v>328</v>
      </c>
      <c r="D318" t="s">
        <v>5019</v>
      </c>
      <c r="E318" t="s">
        <v>5032</v>
      </c>
      <c r="F318" t="s">
        <v>5035</v>
      </c>
      <c r="G318" s="3">
        <v>1361.44</v>
      </c>
      <c r="H318" s="3">
        <v>0</v>
      </c>
      <c r="I318" s="3">
        <f>SUM(Tabla1[[#This Row],[Monto_Base]],H318)</f>
        <v>1361.44</v>
      </c>
      <c r="J318" t="s">
        <v>5046</v>
      </c>
      <c r="K318" t="s">
        <v>5048</v>
      </c>
      <c r="L318" t="s">
        <v>5052</v>
      </c>
      <c r="M318" t="s">
        <v>5054</v>
      </c>
    </row>
    <row r="319" spans="1:13" x14ac:dyDescent="0.3">
      <c r="A319" s="1">
        <v>45540</v>
      </c>
      <c r="B319" s="1" t="str">
        <f>TEXT(Tabla1[[#This Row],[Fecha]],"MMMM")</f>
        <v>septiembre</v>
      </c>
      <c r="C319" t="s">
        <v>329</v>
      </c>
      <c r="D319" t="s">
        <v>5027</v>
      </c>
      <c r="E319" t="s">
        <v>5032</v>
      </c>
      <c r="F319" t="s">
        <v>5041</v>
      </c>
      <c r="G319" s="3">
        <v>8190.54</v>
      </c>
      <c r="H319" s="3">
        <v>0</v>
      </c>
      <c r="I319" s="3">
        <f>SUM(Tabla1[[#This Row],[Monto_Base]],H319)</f>
        <v>8190.54</v>
      </c>
      <c r="J319" t="s">
        <v>5044</v>
      </c>
      <c r="K319" t="s">
        <v>5049</v>
      </c>
      <c r="L319" t="s">
        <v>5051</v>
      </c>
      <c r="M319" t="s">
        <v>5055</v>
      </c>
    </row>
    <row r="320" spans="1:13" x14ac:dyDescent="0.3">
      <c r="A320" s="1">
        <v>45307</v>
      </c>
      <c r="B320" s="1" t="str">
        <f>TEXT(Tabla1[[#This Row],[Fecha]],"MMMM")</f>
        <v>enero</v>
      </c>
      <c r="C320" t="s">
        <v>330</v>
      </c>
      <c r="D320" t="s">
        <v>5028</v>
      </c>
      <c r="E320" t="s">
        <v>5033</v>
      </c>
      <c r="F320" t="s">
        <v>5040</v>
      </c>
      <c r="G320" s="3">
        <v>8976.89</v>
      </c>
      <c r="H320" s="3">
        <v>1167</v>
      </c>
      <c r="I320" s="3">
        <f>SUM(Tabla1[[#This Row],[Monto_Base]],H320)</f>
        <v>10143.89</v>
      </c>
      <c r="J320" t="s">
        <v>5044</v>
      </c>
      <c r="K320" t="s">
        <v>5047</v>
      </c>
      <c r="L320" t="s">
        <v>5050</v>
      </c>
      <c r="M320" t="s">
        <v>5055</v>
      </c>
    </row>
    <row r="321" spans="1:13" x14ac:dyDescent="0.3">
      <c r="A321" s="1">
        <v>45428</v>
      </c>
      <c r="B321" s="1" t="str">
        <f>TEXT(Tabla1[[#This Row],[Fecha]],"MMMM")</f>
        <v>mayo</v>
      </c>
      <c r="C321" t="s">
        <v>331</v>
      </c>
      <c r="D321" t="s">
        <v>5026</v>
      </c>
      <c r="E321" t="s">
        <v>5033</v>
      </c>
      <c r="F321" t="s">
        <v>5034</v>
      </c>
      <c r="G321" s="3">
        <v>9870.1200000000008</v>
      </c>
      <c r="H321" s="3">
        <v>1283.1199999999999</v>
      </c>
      <c r="I321" s="3">
        <f>SUM(Tabla1[[#This Row],[Monto_Base]],H321)</f>
        <v>11153.240000000002</v>
      </c>
      <c r="J321" t="s">
        <v>5042</v>
      </c>
      <c r="K321" t="s">
        <v>5049</v>
      </c>
      <c r="L321" t="s">
        <v>5053</v>
      </c>
      <c r="M321" t="s">
        <v>5054</v>
      </c>
    </row>
    <row r="322" spans="1:13" x14ac:dyDescent="0.3">
      <c r="A322" s="1">
        <v>45454</v>
      </c>
      <c r="B322" s="1" t="str">
        <f>TEXT(Tabla1[[#This Row],[Fecha]],"MMMM")</f>
        <v>junio</v>
      </c>
      <c r="C322" t="s">
        <v>332</v>
      </c>
      <c r="D322" t="s">
        <v>5020</v>
      </c>
      <c r="E322" t="s">
        <v>5033</v>
      </c>
      <c r="F322" t="s">
        <v>5039</v>
      </c>
      <c r="G322" s="3">
        <v>3586.44</v>
      </c>
      <c r="H322" s="3">
        <v>466.24</v>
      </c>
      <c r="I322" s="3">
        <f>SUM(Tabla1[[#This Row],[Monto_Base]],H322)</f>
        <v>4052.6800000000003</v>
      </c>
      <c r="J322" t="s">
        <v>5044</v>
      </c>
      <c r="K322" t="s">
        <v>5049</v>
      </c>
      <c r="L322" t="s">
        <v>5053</v>
      </c>
      <c r="M322" t="s">
        <v>5055</v>
      </c>
    </row>
    <row r="323" spans="1:13" x14ac:dyDescent="0.3">
      <c r="A323" s="1">
        <v>45381</v>
      </c>
      <c r="B323" s="1" t="str">
        <f>TEXT(Tabla1[[#This Row],[Fecha]],"MMMM")</f>
        <v>marzo</v>
      </c>
      <c r="C323" t="s">
        <v>333</v>
      </c>
      <c r="D323" t="s">
        <v>5031</v>
      </c>
      <c r="E323" t="s">
        <v>5033</v>
      </c>
      <c r="F323" t="s">
        <v>5041</v>
      </c>
      <c r="G323" s="3">
        <v>8154.76</v>
      </c>
      <c r="H323" s="3">
        <v>1060.1199999999999</v>
      </c>
      <c r="I323" s="3">
        <f>SUM(Tabla1[[#This Row],[Monto_Base]],H323)</f>
        <v>9214.880000000001</v>
      </c>
      <c r="J323" t="s">
        <v>5043</v>
      </c>
      <c r="K323" t="s">
        <v>5047</v>
      </c>
      <c r="L323" t="s">
        <v>5053</v>
      </c>
      <c r="M323" t="s">
        <v>5054</v>
      </c>
    </row>
    <row r="324" spans="1:13" x14ac:dyDescent="0.3">
      <c r="A324" s="1">
        <v>45292</v>
      </c>
      <c r="B324" s="1" t="str">
        <f>TEXT(Tabla1[[#This Row],[Fecha]],"MMMM")</f>
        <v>enero</v>
      </c>
      <c r="C324" t="s">
        <v>334</v>
      </c>
      <c r="D324" t="s">
        <v>5031</v>
      </c>
      <c r="E324" t="s">
        <v>5033</v>
      </c>
      <c r="F324" t="s">
        <v>5035</v>
      </c>
      <c r="G324" s="3">
        <v>7920.41</v>
      </c>
      <c r="H324" s="3">
        <v>1029.6500000000001</v>
      </c>
      <c r="I324" s="3">
        <f>SUM(Tabla1[[#This Row],[Monto_Base]],H324)</f>
        <v>8950.06</v>
      </c>
      <c r="J324" t="s">
        <v>5044</v>
      </c>
      <c r="K324" t="s">
        <v>5049</v>
      </c>
      <c r="L324" t="s">
        <v>5052</v>
      </c>
      <c r="M324" t="s">
        <v>5054</v>
      </c>
    </row>
    <row r="325" spans="1:13" x14ac:dyDescent="0.3">
      <c r="A325" s="1">
        <v>45592</v>
      </c>
      <c r="B325" s="1" t="str">
        <f>TEXT(Tabla1[[#This Row],[Fecha]],"MMMM")</f>
        <v>octubre</v>
      </c>
      <c r="C325" t="s">
        <v>335</v>
      </c>
      <c r="D325" t="s">
        <v>5028</v>
      </c>
      <c r="E325" t="s">
        <v>5032</v>
      </c>
      <c r="F325" t="s">
        <v>5035</v>
      </c>
      <c r="G325" s="3">
        <v>377.6</v>
      </c>
      <c r="H325" s="3">
        <v>0</v>
      </c>
      <c r="I325" s="3">
        <f>SUM(Tabla1[[#This Row],[Monto_Base]],H325)</f>
        <v>377.6</v>
      </c>
      <c r="J325" t="s">
        <v>5046</v>
      </c>
      <c r="K325" t="s">
        <v>5047</v>
      </c>
      <c r="L325" t="s">
        <v>5051</v>
      </c>
      <c r="M325" t="s">
        <v>5054</v>
      </c>
    </row>
    <row r="326" spans="1:13" x14ac:dyDescent="0.3">
      <c r="A326" s="1">
        <v>45361</v>
      </c>
      <c r="B326" s="1" t="str">
        <f>TEXT(Tabla1[[#This Row],[Fecha]],"MMMM")</f>
        <v>marzo</v>
      </c>
      <c r="C326" t="s">
        <v>336</v>
      </c>
      <c r="D326" t="s">
        <v>5019</v>
      </c>
      <c r="E326" t="s">
        <v>5033</v>
      </c>
      <c r="F326" t="s">
        <v>5040</v>
      </c>
      <c r="G326" s="3">
        <v>4561.3900000000003</v>
      </c>
      <c r="H326" s="3">
        <v>592.98</v>
      </c>
      <c r="I326" s="3">
        <f>SUM(Tabla1[[#This Row],[Monto_Base]],H326)</f>
        <v>5154.3700000000008</v>
      </c>
      <c r="J326" t="s">
        <v>5046</v>
      </c>
      <c r="K326" t="s">
        <v>5049</v>
      </c>
      <c r="L326" t="s">
        <v>5050</v>
      </c>
      <c r="M326" t="s">
        <v>5055</v>
      </c>
    </row>
    <row r="327" spans="1:13" x14ac:dyDescent="0.3">
      <c r="A327" s="1">
        <v>45381</v>
      </c>
      <c r="B327" s="1" t="str">
        <f>TEXT(Tabla1[[#This Row],[Fecha]],"MMMM")</f>
        <v>marzo</v>
      </c>
      <c r="C327" t="s">
        <v>337</v>
      </c>
      <c r="D327" t="s">
        <v>5028</v>
      </c>
      <c r="E327" t="s">
        <v>5032</v>
      </c>
      <c r="F327" t="s">
        <v>5034</v>
      </c>
      <c r="G327" s="3">
        <v>9999.7000000000007</v>
      </c>
      <c r="H327" s="3">
        <v>0</v>
      </c>
      <c r="I327" s="3">
        <f>SUM(Tabla1[[#This Row],[Monto_Base]],H327)</f>
        <v>9999.7000000000007</v>
      </c>
      <c r="J327" t="s">
        <v>5043</v>
      </c>
      <c r="K327" t="s">
        <v>5048</v>
      </c>
      <c r="L327" t="s">
        <v>5051</v>
      </c>
      <c r="M327" t="s">
        <v>5054</v>
      </c>
    </row>
    <row r="328" spans="1:13" x14ac:dyDescent="0.3">
      <c r="A328" s="1">
        <v>45454</v>
      </c>
      <c r="B328" s="1" t="str">
        <f>TEXT(Tabla1[[#This Row],[Fecha]],"MMMM")</f>
        <v>junio</v>
      </c>
      <c r="C328" t="s">
        <v>338</v>
      </c>
      <c r="D328" t="s">
        <v>5012</v>
      </c>
      <c r="E328" t="s">
        <v>5032</v>
      </c>
      <c r="F328" t="s">
        <v>5035</v>
      </c>
      <c r="G328" s="3">
        <v>2772.12</v>
      </c>
      <c r="H328" s="3">
        <v>0</v>
      </c>
      <c r="I328" s="3">
        <f>SUM(Tabla1[[#This Row],[Monto_Base]],H328)</f>
        <v>2772.12</v>
      </c>
      <c r="J328" t="s">
        <v>5042</v>
      </c>
      <c r="K328" t="s">
        <v>5047</v>
      </c>
      <c r="L328" t="s">
        <v>5053</v>
      </c>
      <c r="M328" t="s">
        <v>5055</v>
      </c>
    </row>
    <row r="329" spans="1:13" x14ac:dyDescent="0.3">
      <c r="A329" s="1">
        <v>45455</v>
      </c>
      <c r="B329" s="1" t="str">
        <f>TEXT(Tabla1[[#This Row],[Fecha]],"MMMM")</f>
        <v>junio</v>
      </c>
      <c r="C329" t="s">
        <v>339</v>
      </c>
      <c r="D329" t="s">
        <v>5015</v>
      </c>
      <c r="E329" t="s">
        <v>5033</v>
      </c>
      <c r="F329" t="s">
        <v>5034</v>
      </c>
      <c r="G329" s="3">
        <v>5234.8100000000004</v>
      </c>
      <c r="H329" s="3">
        <v>680.53</v>
      </c>
      <c r="I329" s="3">
        <f>SUM(Tabla1[[#This Row],[Monto_Base]],H329)</f>
        <v>5915.34</v>
      </c>
      <c r="J329" t="s">
        <v>5046</v>
      </c>
      <c r="K329" t="s">
        <v>5049</v>
      </c>
      <c r="L329" t="s">
        <v>5053</v>
      </c>
      <c r="M329" t="s">
        <v>5055</v>
      </c>
    </row>
    <row r="330" spans="1:13" x14ac:dyDescent="0.3">
      <c r="A330" s="1">
        <v>45326</v>
      </c>
      <c r="B330" s="1" t="str">
        <f>TEXT(Tabla1[[#This Row],[Fecha]],"MMMM")</f>
        <v>febrero</v>
      </c>
      <c r="C330" t="s">
        <v>340</v>
      </c>
      <c r="D330" t="s">
        <v>5022</v>
      </c>
      <c r="E330" t="s">
        <v>5032</v>
      </c>
      <c r="F330" t="s">
        <v>5034</v>
      </c>
      <c r="G330" s="3">
        <v>3780.64</v>
      </c>
      <c r="H330" s="3">
        <v>0</v>
      </c>
      <c r="I330" s="3">
        <f>SUM(Tabla1[[#This Row],[Monto_Base]],H330)</f>
        <v>3780.64</v>
      </c>
      <c r="J330" t="s">
        <v>5044</v>
      </c>
      <c r="K330" t="s">
        <v>5048</v>
      </c>
      <c r="L330" t="s">
        <v>5053</v>
      </c>
      <c r="M330" t="s">
        <v>5054</v>
      </c>
    </row>
    <row r="331" spans="1:13" x14ac:dyDescent="0.3">
      <c r="A331" s="1">
        <v>45503</v>
      </c>
      <c r="B331" s="1" t="str">
        <f>TEXT(Tabla1[[#This Row],[Fecha]],"MMMM")</f>
        <v>julio</v>
      </c>
      <c r="C331" t="s">
        <v>341</v>
      </c>
      <c r="D331" t="s">
        <v>5027</v>
      </c>
      <c r="E331" t="s">
        <v>5032</v>
      </c>
      <c r="F331" t="s">
        <v>5037</v>
      </c>
      <c r="G331" s="3">
        <v>14538.07</v>
      </c>
      <c r="H331" s="3">
        <v>0</v>
      </c>
      <c r="I331" s="3">
        <f>SUM(Tabla1[[#This Row],[Monto_Base]],H331)</f>
        <v>14538.07</v>
      </c>
      <c r="J331" t="s">
        <v>5043</v>
      </c>
      <c r="K331" t="s">
        <v>5048</v>
      </c>
      <c r="L331" t="s">
        <v>5051</v>
      </c>
      <c r="M331" t="s">
        <v>5055</v>
      </c>
    </row>
    <row r="332" spans="1:13" x14ac:dyDescent="0.3">
      <c r="A332" s="1">
        <v>45309</v>
      </c>
      <c r="B332" s="1" t="str">
        <f>TEXT(Tabla1[[#This Row],[Fecha]],"MMMM")</f>
        <v>enero</v>
      </c>
      <c r="C332" t="s">
        <v>342</v>
      </c>
      <c r="D332" t="s">
        <v>5018</v>
      </c>
      <c r="E332" t="s">
        <v>5033</v>
      </c>
      <c r="F332" t="s">
        <v>5039</v>
      </c>
      <c r="G332" s="3">
        <v>6796.75</v>
      </c>
      <c r="H332" s="3">
        <v>883.58</v>
      </c>
      <c r="I332" s="3">
        <f>SUM(Tabla1[[#This Row],[Monto_Base]],H332)</f>
        <v>7680.33</v>
      </c>
      <c r="J332" t="s">
        <v>5044</v>
      </c>
      <c r="K332" t="s">
        <v>5047</v>
      </c>
      <c r="L332" t="s">
        <v>5051</v>
      </c>
      <c r="M332" t="s">
        <v>5055</v>
      </c>
    </row>
    <row r="333" spans="1:13" x14ac:dyDescent="0.3">
      <c r="A333" s="1">
        <v>45374</v>
      </c>
      <c r="B333" s="1" t="str">
        <f>TEXT(Tabla1[[#This Row],[Fecha]],"MMMM")</f>
        <v>marzo</v>
      </c>
      <c r="C333" t="s">
        <v>343</v>
      </c>
      <c r="D333" t="s">
        <v>5013</v>
      </c>
      <c r="E333" t="s">
        <v>5032</v>
      </c>
      <c r="F333" t="s">
        <v>5039</v>
      </c>
      <c r="G333" s="3">
        <v>13324.57</v>
      </c>
      <c r="H333" s="3">
        <v>0</v>
      </c>
      <c r="I333" s="3">
        <f>SUM(Tabla1[[#This Row],[Monto_Base]],H333)</f>
        <v>13324.57</v>
      </c>
      <c r="J333" t="s">
        <v>5045</v>
      </c>
      <c r="K333" t="s">
        <v>5049</v>
      </c>
      <c r="L333" t="s">
        <v>5053</v>
      </c>
      <c r="M333" t="s">
        <v>5055</v>
      </c>
    </row>
    <row r="334" spans="1:13" x14ac:dyDescent="0.3">
      <c r="A334" s="1">
        <v>45514</v>
      </c>
      <c r="B334" s="1" t="str">
        <f>TEXT(Tabla1[[#This Row],[Fecha]],"MMMM")</f>
        <v>agosto</v>
      </c>
      <c r="C334" t="s">
        <v>344</v>
      </c>
      <c r="D334" t="s">
        <v>5022</v>
      </c>
      <c r="E334" t="s">
        <v>5032</v>
      </c>
      <c r="F334" t="s">
        <v>5039</v>
      </c>
      <c r="G334" s="3">
        <v>9129.4</v>
      </c>
      <c r="H334" s="3">
        <v>0</v>
      </c>
      <c r="I334" s="3">
        <f>SUM(Tabla1[[#This Row],[Monto_Base]],H334)</f>
        <v>9129.4</v>
      </c>
      <c r="J334" t="s">
        <v>5046</v>
      </c>
      <c r="K334" t="s">
        <v>5047</v>
      </c>
      <c r="L334" t="s">
        <v>5053</v>
      </c>
      <c r="M334" t="s">
        <v>5055</v>
      </c>
    </row>
    <row r="335" spans="1:13" x14ac:dyDescent="0.3">
      <c r="A335" s="1">
        <v>45444</v>
      </c>
      <c r="B335" s="1" t="str">
        <f>TEXT(Tabla1[[#This Row],[Fecha]],"MMMM")</f>
        <v>junio</v>
      </c>
      <c r="C335" t="s">
        <v>345</v>
      </c>
      <c r="D335" t="s">
        <v>5017</v>
      </c>
      <c r="E335" t="s">
        <v>5032</v>
      </c>
      <c r="F335" t="s">
        <v>5038</v>
      </c>
      <c r="G335" s="3">
        <v>9925.94</v>
      </c>
      <c r="H335" s="3">
        <v>0</v>
      </c>
      <c r="I335" s="3">
        <f>SUM(Tabla1[[#This Row],[Monto_Base]],H335)</f>
        <v>9925.94</v>
      </c>
      <c r="J335" t="s">
        <v>5046</v>
      </c>
      <c r="K335" t="s">
        <v>5047</v>
      </c>
      <c r="L335" t="s">
        <v>5053</v>
      </c>
      <c r="M335" t="s">
        <v>5055</v>
      </c>
    </row>
    <row r="336" spans="1:13" x14ac:dyDescent="0.3">
      <c r="A336" s="1">
        <v>45336</v>
      </c>
      <c r="B336" s="1" t="str">
        <f>TEXT(Tabla1[[#This Row],[Fecha]],"MMMM")</f>
        <v>febrero</v>
      </c>
      <c r="C336" t="s">
        <v>346</v>
      </c>
      <c r="D336" t="s">
        <v>5028</v>
      </c>
      <c r="E336" t="s">
        <v>5033</v>
      </c>
      <c r="F336" t="s">
        <v>5040</v>
      </c>
      <c r="G336" s="3">
        <v>107.04</v>
      </c>
      <c r="H336" s="3">
        <v>13.92</v>
      </c>
      <c r="I336" s="3">
        <f>SUM(Tabla1[[#This Row],[Monto_Base]],H336)</f>
        <v>120.96000000000001</v>
      </c>
      <c r="J336" t="s">
        <v>5044</v>
      </c>
      <c r="K336" t="s">
        <v>5049</v>
      </c>
      <c r="L336" t="s">
        <v>5050</v>
      </c>
      <c r="M336" t="s">
        <v>5054</v>
      </c>
    </row>
    <row r="337" spans="1:13" x14ac:dyDescent="0.3">
      <c r="A337" s="1">
        <v>45333</v>
      </c>
      <c r="B337" s="1" t="str">
        <f>TEXT(Tabla1[[#This Row],[Fecha]],"MMMM")</f>
        <v>febrero</v>
      </c>
      <c r="C337" t="s">
        <v>347</v>
      </c>
      <c r="D337" t="s">
        <v>5012</v>
      </c>
      <c r="E337" t="s">
        <v>5033</v>
      </c>
      <c r="F337" t="s">
        <v>5039</v>
      </c>
      <c r="G337" s="3">
        <v>9590.9500000000007</v>
      </c>
      <c r="H337" s="3">
        <v>1246.82</v>
      </c>
      <c r="I337" s="3">
        <f>SUM(Tabla1[[#This Row],[Monto_Base]],H337)</f>
        <v>10837.77</v>
      </c>
      <c r="J337" t="s">
        <v>5043</v>
      </c>
      <c r="K337" t="s">
        <v>5047</v>
      </c>
      <c r="L337" t="s">
        <v>5051</v>
      </c>
      <c r="M337" t="s">
        <v>5055</v>
      </c>
    </row>
    <row r="338" spans="1:13" x14ac:dyDescent="0.3">
      <c r="A338" s="1">
        <v>45490</v>
      </c>
      <c r="B338" s="1" t="str">
        <f>TEXT(Tabla1[[#This Row],[Fecha]],"MMMM")</f>
        <v>julio</v>
      </c>
      <c r="C338" t="s">
        <v>348</v>
      </c>
      <c r="D338" t="s">
        <v>5025</v>
      </c>
      <c r="E338" t="s">
        <v>5032</v>
      </c>
      <c r="F338" t="s">
        <v>5036</v>
      </c>
      <c r="G338" s="3">
        <v>9645.9</v>
      </c>
      <c r="H338" s="3">
        <v>0</v>
      </c>
      <c r="I338" s="3">
        <f>SUM(Tabla1[[#This Row],[Monto_Base]],H338)</f>
        <v>9645.9</v>
      </c>
      <c r="J338" t="s">
        <v>5046</v>
      </c>
      <c r="K338" t="s">
        <v>5048</v>
      </c>
      <c r="L338" t="s">
        <v>5050</v>
      </c>
      <c r="M338" t="s">
        <v>5055</v>
      </c>
    </row>
    <row r="339" spans="1:13" x14ac:dyDescent="0.3">
      <c r="A339" s="1">
        <v>45426</v>
      </c>
      <c r="B339" s="1" t="str">
        <f>TEXT(Tabla1[[#This Row],[Fecha]],"MMMM")</f>
        <v>mayo</v>
      </c>
      <c r="C339" t="s">
        <v>349</v>
      </c>
      <c r="D339" t="s">
        <v>5018</v>
      </c>
      <c r="E339" t="s">
        <v>5033</v>
      </c>
      <c r="F339" t="s">
        <v>5038</v>
      </c>
      <c r="G339" s="3">
        <v>6624.12</v>
      </c>
      <c r="H339" s="3">
        <v>861.14</v>
      </c>
      <c r="I339" s="3">
        <f>SUM(Tabla1[[#This Row],[Monto_Base]],H339)</f>
        <v>7485.26</v>
      </c>
      <c r="J339" t="s">
        <v>5046</v>
      </c>
      <c r="K339" t="s">
        <v>5048</v>
      </c>
      <c r="L339" t="s">
        <v>5053</v>
      </c>
      <c r="M339" t="s">
        <v>5054</v>
      </c>
    </row>
    <row r="340" spans="1:13" x14ac:dyDescent="0.3">
      <c r="A340" s="1">
        <v>45593</v>
      </c>
      <c r="B340" s="1" t="str">
        <f>TEXT(Tabla1[[#This Row],[Fecha]],"MMMM")</f>
        <v>octubre</v>
      </c>
      <c r="C340" t="s">
        <v>350</v>
      </c>
      <c r="D340" t="s">
        <v>5013</v>
      </c>
      <c r="E340" t="s">
        <v>5032</v>
      </c>
      <c r="F340" t="s">
        <v>5037</v>
      </c>
      <c r="G340" s="3">
        <v>14562.05</v>
      </c>
      <c r="H340" s="3">
        <v>0</v>
      </c>
      <c r="I340" s="3">
        <f>SUM(Tabla1[[#This Row],[Monto_Base]],H340)</f>
        <v>14562.05</v>
      </c>
      <c r="J340" t="s">
        <v>5046</v>
      </c>
      <c r="K340" t="s">
        <v>5049</v>
      </c>
      <c r="L340" t="s">
        <v>5053</v>
      </c>
      <c r="M340" t="s">
        <v>5055</v>
      </c>
    </row>
    <row r="341" spans="1:13" x14ac:dyDescent="0.3">
      <c r="A341" s="1">
        <v>45332</v>
      </c>
      <c r="B341" s="1" t="str">
        <f>TEXT(Tabla1[[#This Row],[Fecha]],"MMMM")</f>
        <v>febrero</v>
      </c>
      <c r="C341" t="s">
        <v>351</v>
      </c>
      <c r="D341" t="s">
        <v>5016</v>
      </c>
      <c r="E341" t="s">
        <v>5032</v>
      </c>
      <c r="F341" t="s">
        <v>5034</v>
      </c>
      <c r="G341" s="3">
        <v>7170.12</v>
      </c>
      <c r="H341" s="3">
        <v>0</v>
      </c>
      <c r="I341" s="3">
        <f>SUM(Tabla1[[#This Row],[Monto_Base]],H341)</f>
        <v>7170.12</v>
      </c>
      <c r="J341" t="s">
        <v>5043</v>
      </c>
      <c r="K341" t="s">
        <v>5049</v>
      </c>
      <c r="L341" t="s">
        <v>5053</v>
      </c>
      <c r="M341" t="s">
        <v>5054</v>
      </c>
    </row>
    <row r="342" spans="1:13" x14ac:dyDescent="0.3">
      <c r="A342" s="1">
        <v>45390</v>
      </c>
      <c r="B342" s="1" t="str">
        <f>TEXT(Tabla1[[#This Row],[Fecha]],"MMMM")</f>
        <v>abril</v>
      </c>
      <c r="C342" t="s">
        <v>352</v>
      </c>
      <c r="D342" t="s">
        <v>5018</v>
      </c>
      <c r="E342" t="s">
        <v>5033</v>
      </c>
      <c r="F342" t="s">
        <v>5039</v>
      </c>
      <c r="G342" s="3">
        <v>14583.86</v>
      </c>
      <c r="H342" s="3">
        <v>1895.9</v>
      </c>
      <c r="I342" s="3">
        <f>SUM(Tabla1[[#This Row],[Monto_Base]],H342)</f>
        <v>16479.760000000002</v>
      </c>
      <c r="J342" t="s">
        <v>5046</v>
      </c>
      <c r="K342" t="s">
        <v>5047</v>
      </c>
      <c r="L342" t="s">
        <v>5050</v>
      </c>
      <c r="M342" t="s">
        <v>5054</v>
      </c>
    </row>
    <row r="343" spans="1:13" x14ac:dyDescent="0.3">
      <c r="A343" s="1">
        <v>45326</v>
      </c>
      <c r="B343" s="1" t="str">
        <f>TEXT(Tabla1[[#This Row],[Fecha]],"MMMM")</f>
        <v>febrero</v>
      </c>
      <c r="C343" t="s">
        <v>353</v>
      </c>
      <c r="D343" t="s">
        <v>5024</v>
      </c>
      <c r="E343" t="s">
        <v>5033</v>
      </c>
      <c r="F343" t="s">
        <v>5038</v>
      </c>
      <c r="G343" s="3">
        <v>4830.25</v>
      </c>
      <c r="H343" s="3">
        <v>627.92999999999995</v>
      </c>
      <c r="I343" s="3">
        <f>SUM(Tabla1[[#This Row],[Monto_Base]],H343)</f>
        <v>5458.18</v>
      </c>
      <c r="J343" t="s">
        <v>5045</v>
      </c>
      <c r="K343" t="s">
        <v>5048</v>
      </c>
      <c r="L343" t="s">
        <v>5050</v>
      </c>
      <c r="M343" t="s">
        <v>5055</v>
      </c>
    </row>
    <row r="344" spans="1:13" x14ac:dyDescent="0.3">
      <c r="A344" s="1">
        <v>45611</v>
      </c>
      <c r="B344" s="1" t="str">
        <f>TEXT(Tabla1[[#This Row],[Fecha]],"MMMM")</f>
        <v>noviembre</v>
      </c>
      <c r="C344" t="s">
        <v>354</v>
      </c>
      <c r="D344" t="s">
        <v>5016</v>
      </c>
      <c r="E344" t="s">
        <v>5032</v>
      </c>
      <c r="F344" t="s">
        <v>5035</v>
      </c>
      <c r="G344" s="3">
        <v>11808.93</v>
      </c>
      <c r="H344" s="3">
        <v>0</v>
      </c>
      <c r="I344" s="3">
        <f>SUM(Tabla1[[#This Row],[Monto_Base]],H344)</f>
        <v>11808.93</v>
      </c>
      <c r="J344" t="s">
        <v>5042</v>
      </c>
      <c r="K344" t="s">
        <v>5049</v>
      </c>
      <c r="L344" t="s">
        <v>5050</v>
      </c>
      <c r="M344" t="s">
        <v>5054</v>
      </c>
    </row>
    <row r="345" spans="1:13" x14ac:dyDescent="0.3">
      <c r="A345" s="1">
        <v>45580</v>
      </c>
      <c r="B345" s="1" t="str">
        <f>TEXT(Tabla1[[#This Row],[Fecha]],"MMMM")</f>
        <v>octubre</v>
      </c>
      <c r="C345" t="s">
        <v>355</v>
      </c>
      <c r="D345" t="s">
        <v>5028</v>
      </c>
      <c r="E345" t="s">
        <v>5033</v>
      </c>
      <c r="F345" t="s">
        <v>5036</v>
      </c>
      <c r="G345" s="3">
        <v>13877.68</v>
      </c>
      <c r="H345" s="3">
        <v>1804.1</v>
      </c>
      <c r="I345" s="3">
        <f>SUM(Tabla1[[#This Row],[Monto_Base]],H345)</f>
        <v>15681.78</v>
      </c>
      <c r="J345" t="s">
        <v>5045</v>
      </c>
      <c r="K345" t="s">
        <v>5048</v>
      </c>
      <c r="L345" t="s">
        <v>5051</v>
      </c>
      <c r="M345" t="s">
        <v>5055</v>
      </c>
    </row>
    <row r="346" spans="1:13" x14ac:dyDescent="0.3">
      <c r="A346" s="1">
        <v>45433</v>
      </c>
      <c r="B346" s="1" t="str">
        <f>TEXT(Tabla1[[#This Row],[Fecha]],"MMMM")</f>
        <v>mayo</v>
      </c>
      <c r="C346" t="s">
        <v>356</v>
      </c>
      <c r="D346" t="s">
        <v>5019</v>
      </c>
      <c r="E346" t="s">
        <v>5032</v>
      </c>
      <c r="F346" t="s">
        <v>5041</v>
      </c>
      <c r="G346" s="3">
        <v>610.11</v>
      </c>
      <c r="H346" s="3">
        <v>0</v>
      </c>
      <c r="I346" s="3">
        <f>SUM(Tabla1[[#This Row],[Monto_Base]],H346)</f>
        <v>610.11</v>
      </c>
      <c r="J346" t="s">
        <v>5043</v>
      </c>
      <c r="K346" t="s">
        <v>5047</v>
      </c>
      <c r="L346" t="s">
        <v>5050</v>
      </c>
      <c r="M346" t="s">
        <v>5054</v>
      </c>
    </row>
    <row r="347" spans="1:13" x14ac:dyDescent="0.3">
      <c r="A347" s="1">
        <v>45429</v>
      </c>
      <c r="B347" s="1" t="str">
        <f>TEXT(Tabla1[[#This Row],[Fecha]],"MMMM")</f>
        <v>mayo</v>
      </c>
      <c r="C347" t="s">
        <v>357</v>
      </c>
      <c r="D347" t="s">
        <v>5020</v>
      </c>
      <c r="E347" t="s">
        <v>5033</v>
      </c>
      <c r="F347" t="s">
        <v>5035</v>
      </c>
      <c r="G347" s="3">
        <v>11198.96</v>
      </c>
      <c r="H347" s="3">
        <v>1455.86</v>
      </c>
      <c r="I347" s="3">
        <f>SUM(Tabla1[[#This Row],[Monto_Base]],H347)</f>
        <v>12654.82</v>
      </c>
      <c r="J347" t="s">
        <v>5044</v>
      </c>
      <c r="K347" t="s">
        <v>5047</v>
      </c>
      <c r="L347" t="s">
        <v>5051</v>
      </c>
      <c r="M347" t="s">
        <v>5055</v>
      </c>
    </row>
    <row r="348" spans="1:13" x14ac:dyDescent="0.3">
      <c r="A348" s="1">
        <v>45408</v>
      </c>
      <c r="B348" s="1" t="str">
        <f>TEXT(Tabla1[[#This Row],[Fecha]],"MMMM")</f>
        <v>abril</v>
      </c>
      <c r="C348" t="s">
        <v>358</v>
      </c>
      <c r="D348" t="s">
        <v>5029</v>
      </c>
      <c r="E348" t="s">
        <v>5032</v>
      </c>
      <c r="F348" t="s">
        <v>5036</v>
      </c>
      <c r="G348" s="3">
        <v>14588.82</v>
      </c>
      <c r="H348" s="3">
        <v>0</v>
      </c>
      <c r="I348" s="3">
        <f>SUM(Tabla1[[#This Row],[Monto_Base]],H348)</f>
        <v>14588.82</v>
      </c>
      <c r="J348" t="s">
        <v>5046</v>
      </c>
      <c r="K348" t="s">
        <v>5048</v>
      </c>
      <c r="L348" t="s">
        <v>5050</v>
      </c>
      <c r="M348" t="s">
        <v>5055</v>
      </c>
    </row>
    <row r="349" spans="1:13" x14ac:dyDescent="0.3">
      <c r="A349" s="1">
        <v>45500</v>
      </c>
      <c r="B349" s="1" t="str">
        <f>TEXT(Tabla1[[#This Row],[Fecha]],"MMMM")</f>
        <v>julio</v>
      </c>
      <c r="C349" t="s">
        <v>359</v>
      </c>
      <c r="D349" t="s">
        <v>5019</v>
      </c>
      <c r="E349" t="s">
        <v>5033</v>
      </c>
      <c r="F349" t="s">
        <v>5034</v>
      </c>
      <c r="G349" s="3">
        <v>6653.66</v>
      </c>
      <c r="H349" s="3">
        <v>864.98</v>
      </c>
      <c r="I349" s="3">
        <f>SUM(Tabla1[[#This Row],[Monto_Base]],H349)</f>
        <v>7518.6399999999994</v>
      </c>
      <c r="J349" t="s">
        <v>5043</v>
      </c>
      <c r="K349" t="s">
        <v>5049</v>
      </c>
      <c r="L349" t="s">
        <v>5051</v>
      </c>
      <c r="M349" t="s">
        <v>5054</v>
      </c>
    </row>
    <row r="350" spans="1:13" x14ac:dyDescent="0.3">
      <c r="A350" s="1">
        <v>45560</v>
      </c>
      <c r="B350" s="1" t="str">
        <f>TEXT(Tabla1[[#This Row],[Fecha]],"MMMM")</f>
        <v>septiembre</v>
      </c>
      <c r="C350" t="s">
        <v>360</v>
      </c>
      <c r="D350" t="s">
        <v>5013</v>
      </c>
      <c r="E350" t="s">
        <v>5032</v>
      </c>
      <c r="F350" t="s">
        <v>5037</v>
      </c>
      <c r="G350" s="3">
        <v>2077.96</v>
      </c>
      <c r="H350" s="3">
        <v>0</v>
      </c>
      <c r="I350" s="3">
        <f>SUM(Tabla1[[#This Row],[Monto_Base]],H350)</f>
        <v>2077.96</v>
      </c>
      <c r="J350" t="s">
        <v>5042</v>
      </c>
      <c r="K350" t="s">
        <v>5047</v>
      </c>
      <c r="L350" t="s">
        <v>5052</v>
      </c>
      <c r="M350" t="s">
        <v>5054</v>
      </c>
    </row>
    <row r="351" spans="1:13" x14ac:dyDescent="0.3">
      <c r="A351" s="1">
        <v>45476</v>
      </c>
      <c r="B351" s="1" t="str">
        <f>TEXT(Tabla1[[#This Row],[Fecha]],"MMMM")</f>
        <v>julio</v>
      </c>
      <c r="C351" t="s">
        <v>361</v>
      </c>
      <c r="D351" t="s">
        <v>5012</v>
      </c>
      <c r="E351" t="s">
        <v>5033</v>
      </c>
      <c r="F351" t="s">
        <v>5035</v>
      </c>
      <c r="G351" s="3">
        <v>6873.91</v>
      </c>
      <c r="H351" s="3">
        <v>893.61</v>
      </c>
      <c r="I351" s="3">
        <f>SUM(Tabla1[[#This Row],[Monto_Base]],H351)</f>
        <v>7767.5199999999995</v>
      </c>
      <c r="J351" t="s">
        <v>5046</v>
      </c>
      <c r="K351" t="s">
        <v>5048</v>
      </c>
      <c r="L351" t="s">
        <v>5051</v>
      </c>
      <c r="M351" t="s">
        <v>5055</v>
      </c>
    </row>
    <row r="352" spans="1:13" x14ac:dyDescent="0.3">
      <c r="A352" s="1">
        <v>45596</v>
      </c>
      <c r="B352" s="1" t="str">
        <f>TEXT(Tabla1[[#This Row],[Fecha]],"MMMM")</f>
        <v>octubre</v>
      </c>
      <c r="C352" t="s">
        <v>362</v>
      </c>
      <c r="D352" t="s">
        <v>5030</v>
      </c>
      <c r="E352" t="s">
        <v>5033</v>
      </c>
      <c r="F352" t="s">
        <v>5034</v>
      </c>
      <c r="G352" s="3">
        <v>5618.38</v>
      </c>
      <c r="H352" s="3">
        <v>730.39</v>
      </c>
      <c r="I352" s="3">
        <f>SUM(Tabla1[[#This Row],[Monto_Base]],H352)</f>
        <v>6348.77</v>
      </c>
      <c r="J352" t="s">
        <v>5043</v>
      </c>
      <c r="K352" t="s">
        <v>5047</v>
      </c>
      <c r="L352" t="s">
        <v>5050</v>
      </c>
      <c r="M352" t="s">
        <v>5055</v>
      </c>
    </row>
    <row r="353" spans="1:13" x14ac:dyDescent="0.3">
      <c r="A353" s="1">
        <v>45489</v>
      </c>
      <c r="B353" s="1" t="str">
        <f>TEXT(Tabla1[[#This Row],[Fecha]],"MMMM")</f>
        <v>julio</v>
      </c>
      <c r="C353" t="s">
        <v>363</v>
      </c>
      <c r="D353" t="s">
        <v>5028</v>
      </c>
      <c r="E353" t="s">
        <v>5032</v>
      </c>
      <c r="F353" t="s">
        <v>5036</v>
      </c>
      <c r="G353" s="3">
        <v>4311.79</v>
      </c>
      <c r="H353" s="3">
        <v>0</v>
      </c>
      <c r="I353" s="3">
        <f>SUM(Tabla1[[#This Row],[Monto_Base]],H353)</f>
        <v>4311.79</v>
      </c>
      <c r="J353" t="s">
        <v>5045</v>
      </c>
      <c r="K353" t="s">
        <v>5047</v>
      </c>
      <c r="L353" t="s">
        <v>5052</v>
      </c>
      <c r="M353" t="s">
        <v>5054</v>
      </c>
    </row>
    <row r="354" spans="1:13" x14ac:dyDescent="0.3">
      <c r="A354" s="1">
        <v>45641</v>
      </c>
      <c r="B354" s="1" t="str">
        <f>TEXT(Tabla1[[#This Row],[Fecha]],"MMMM")</f>
        <v>diciembre</v>
      </c>
      <c r="C354" t="s">
        <v>364</v>
      </c>
      <c r="D354" t="s">
        <v>5017</v>
      </c>
      <c r="E354" t="s">
        <v>5032</v>
      </c>
      <c r="F354" t="s">
        <v>5037</v>
      </c>
      <c r="G354" s="3">
        <v>7723.55</v>
      </c>
      <c r="H354" s="3">
        <v>0</v>
      </c>
      <c r="I354" s="3">
        <f>SUM(Tabla1[[#This Row],[Monto_Base]],H354)</f>
        <v>7723.55</v>
      </c>
      <c r="J354" t="s">
        <v>5045</v>
      </c>
      <c r="K354" t="s">
        <v>5048</v>
      </c>
      <c r="L354" t="s">
        <v>5052</v>
      </c>
      <c r="M354" t="s">
        <v>5054</v>
      </c>
    </row>
    <row r="355" spans="1:13" x14ac:dyDescent="0.3">
      <c r="A355" s="1">
        <v>45655</v>
      </c>
      <c r="B355" s="1" t="str">
        <f>TEXT(Tabla1[[#This Row],[Fecha]],"MMMM")</f>
        <v>diciembre</v>
      </c>
      <c r="C355" t="s">
        <v>365</v>
      </c>
      <c r="D355" t="s">
        <v>5017</v>
      </c>
      <c r="E355" t="s">
        <v>5032</v>
      </c>
      <c r="F355" t="s">
        <v>5038</v>
      </c>
      <c r="G355" s="3">
        <v>10705.47</v>
      </c>
      <c r="H355" s="3">
        <v>0</v>
      </c>
      <c r="I355" s="3">
        <f>SUM(Tabla1[[#This Row],[Monto_Base]],H355)</f>
        <v>10705.47</v>
      </c>
      <c r="J355" t="s">
        <v>5044</v>
      </c>
      <c r="K355" t="s">
        <v>5048</v>
      </c>
      <c r="L355" t="s">
        <v>5050</v>
      </c>
      <c r="M355" t="s">
        <v>5055</v>
      </c>
    </row>
    <row r="356" spans="1:13" x14ac:dyDescent="0.3">
      <c r="A356" s="1">
        <v>45558</v>
      </c>
      <c r="B356" s="1" t="str">
        <f>TEXT(Tabla1[[#This Row],[Fecha]],"MMMM")</f>
        <v>septiembre</v>
      </c>
      <c r="C356" t="s">
        <v>366</v>
      </c>
      <c r="D356" t="s">
        <v>5029</v>
      </c>
      <c r="E356" t="s">
        <v>5033</v>
      </c>
      <c r="F356" t="s">
        <v>5041</v>
      </c>
      <c r="G356" s="3">
        <v>4567.07</v>
      </c>
      <c r="H356" s="3">
        <v>593.72</v>
      </c>
      <c r="I356" s="3">
        <f>SUM(Tabla1[[#This Row],[Monto_Base]],H356)</f>
        <v>5160.79</v>
      </c>
      <c r="J356" t="s">
        <v>5042</v>
      </c>
      <c r="K356" t="s">
        <v>5048</v>
      </c>
      <c r="L356" t="s">
        <v>5053</v>
      </c>
      <c r="M356" t="s">
        <v>5054</v>
      </c>
    </row>
    <row r="357" spans="1:13" x14ac:dyDescent="0.3">
      <c r="A357" s="1">
        <v>45538</v>
      </c>
      <c r="B357" s="1" t="str">
        <f>TEXT(Tabla1[[#This Row],[Fecha]],"MMMM")</f>
        <v>septiembre</v>
      </c>
      <c r="C357" t="s">
        <v>367</v>
      </c>
      <c r="D357" t="s">
        <v>5016</v>
      </c>
      <c r="E357" t="s">
        <v>5032</v>
      </c>
      <c r="F357" t="s">
        <v>5038</v>
      </c>
      <c r="G357" s="3">
        <v>10281.98</v>
      </c>
      <c r="H357" s="3">
        <v>0</v>
      </c>
      <c r="I357" s="3">
        <f>SUM(Tabla1[[#This Row],[Monto_Base]],H357)</f>
        <v>10281.98</v>
      </c>
      <c r="J357" t="s">
        <v>5045</v>
      </c>
      <c r="K357" t="s">
        <v>5048</v>
      </c>
      <c r="L357" t="s">
        <v>5051</v>
      </c>
      <c r="M357" t="s">
        <v>5055</v>
      </c>
    </row>
    <row r="358" spans="1:13" x14ac:dyDescent="0.3">
      <c r="A358" s="1">
        <v>45415</v>
      </c>
      <c r="B358" s="1" t="str">
        <f>TEXT(Tabla1[[#This Row],[Fecha]],"MMMM")</f>
        <v>mayo</v>
      </c>
      <c r="C358" t="s">
        <v>368</v>
      </c>
      <c r="D358" t="s">
        <v>5029</v>
      </c>
      <c r="E358" t="s">
        <v>5032</v>
      </c>
      <c r="F358" t="s">
        <v>5034</v>
      </c>
      <c r="G358" s="3">
        <v>2291.44</v>
      </c>
      <c r="H358" s="3">
        <v>0</v>
      </c>
      <c r="I358" s="3">
        <f>SUM(Tabla1[[#This Row],[Monto_Base]],H358)</f>
        <v>2291.44</v>
      </c>
      <c r="J358" t="s">
        <v>5045</v>
      </c>
      <c r="K358" t="s">
        <v>5049</v>
      </c>
      <c r="L358" t="s">
        <v>5050</v>
      </c>
      <c r="M358" t="s">
        <v>5055</v>
      </c>
    </row>
    <row r="359" spans="1:13" x14ac:dyDescent="0.3">
      <c r="A359" s="1">
        <v>45506</v>
      </c>
      <c r="B359" s="1" t="str">
        <f>TEXT(Tabla1[[#This Row],[Fecha]],"MMMM")</f>
        <v>agosto</v>
      </c>
      <c r="C359" t="s">
        <v>369</v>
      </c>
      <c r="D359" t="s">
        <v>5012</v>
      </c>
      <c r="E359" t="s">
        <v>5032</v>
      </c>
      <c r="F359" t="s">
        <v>5038</v>
      </c>
      <c r="G359" s="3">
        <v>3928.42</v>
      </c>
      <c r="H359" s="3">
        <v>0</v>
      </c>
      <c r="I359" s="3">
        <f>SUM(Tabla1[[#This Row],[Monto_Base]],H359)</f>
        <v>3928.42</v>
      </c>
      <c r="J359" t="s">
        <v>5043</v>
      </c>
      <c r="K359" t="s">
        <v>5048</v>
      </c>
      <c r="L359" t="s">
        <v>5053</v>
      </c>
      <c r="M359" t="s">
        <v>5054</v>
      </c>
    </row>
    <row r="360" spans="1:13" x14ac:dyDescent="0.3">
      <c r="A360" s="1">
        <v>45379</v>
      </c>
      <c r="B360" s="1" t="str">
        <f>TEXT(Tabla1[[#This Row],[Fecha]],"MMMM")</f>
        <v>marzo</v>
      </c>
      <c r="C360" t="s">
        <v>370</v>
      </c>
      <c r="D360" t="s">
        <v>5024</v>
      </c>
      <c r="E360" t="s">
        <v>5032</v>
      </c>
      <c r="F360" t="s">
        <v>5040</v>
      </c>
      <c r="G360" s="3">
        <v>7634.36</v>
      </c>
      <c r="H360" s="3">
        <v>0</v>
      </c>
      <c r="I360" s="3">
        <f>SUM(Tabla1[[#This Row],[Monto_Base]],H360)</f>
        <v>7634.36</v>
      </c>
      <c r="J360" t="s">
        <v>5042</v>
      </c>
      <c r="K360" t="s">
        <v>5047</v>
      </c>
      <c r="L360" t="s">
        <v>5051</v>
      </c>
      <c r="M360" t="s">
        <v>5054</v>
      </c>
    </row>
    <row r="361" spans="1:13" x14ac:dyDescent="0.3">
      <c r="A361" s="1">
        <v>45463</v>
      </c>
      <c r="B361" s="1" t="str">
        <f>TEXT(Tabla1[[#This Row],[Fecha]],"MMMM")</f>
        <v>junio</v>
      </c>
      <c r="C361" t="s">
        <v>371</v>
      </c>
      <c r="D361" t="s">
        <v>5028</v>
      </c>
      <c r="E361" t="s">
        <v>5032</v>
      </c>
      <c r="F361" t="s">
        <v>5039</v>
      </c>
      <c r="G361" s="3">
        <v>14206.5</v>
      </c>
      <c r="H361" s="3">
        <v>0</v>
      </c>
      <c r="I361" s="3">
        <f>SUM(Tabla1[[#This Row],[Monto_Base]],H361)</f>
        <v>14206.5</v>
      </c>
      <c r="J361" t="s">
        <v>5045</v>
      </c>
      <c r="K361" t="s">
        <v>5047</v>
      </c>
      <c r="L361" t="s">
        <v>5051</v>
      </c>
      <c r="M361" t="s">
        <v>5054</v>
      </c>
    </row>
    <row r="362" spans="1:13" x14ac:dyDescent="0.3">
      <c r="A362" s="1">
        <v>45442</v>
      </c>
      <c r="B362" s="1" t="str">
        <f>TEXT(Tabla1[[#This Row],[Fecha]],"MMMM")</f>
        <v>mayo</v>
      </c>
      <c r="C362" t="s">
        <v>372</v>
      </c>
      <c r="D362" t="s">
        <v>5019</v>
      </c>
      <c r="E362" t="s">
        <v>5032</v>
      </c>
      <c r="F362" t="s">
        <v>5040</v>
      </c>
      <c r="G362" s="3">
        <v>3945.36</v>
      </c>
      <c r="H362" s="3">
        <v>0</v>
      </c>
      <c r="I362" s="3">
        <f>SUM(Tabla1[[#This Row],[Monto_Base]],H362)</f>
        <v>3945.36</v>
      </c>
      <c r="J362" t="s">
        <v>5043</v>
      </c>
      <c r="K362" t="s">
        <v>5047</v>
      </c>
      <c r="L362" t="s">
        <v>5050</v>
      </c>
      <c r="M362" t="s">
        <v>5054</v>
      </c>
    </row>
    <row r="363" spans="1:13" x14ac:dyDescent="0.3">
      <c r="A363" s="1">
        <v>45487</v>
      </c>
      <c r="B363" s="1" t="str">
        <f>TEXT(Tabla1[[#This Row],[Fecha]],"MMMM")</f>
        <v>julio</v>
      </c>
      <c r="C363" t="s">
        <v>373</v>
      </c>
      <c r="D363" t="s">
        <v>5018</v>
      </c>
      <c r="E363" t="s">
        <v>5033</v>
      </c>
      <c r="F363" t="s">
        <v>5036</v>
      </c>
      <c r="G363" s="3">
        <v>13019.09</v>
      </c>
      <c r="H363" s="3">
        <v>1692.48</v>
      </c>
      <c r="I363" s="3">
        <f>SUM(Tabla1[[#This Row],[Monto_Base]],H363)</f>
        <v>14711.57</v>
      </c>
      <c r="J363" t="s">
        <v>5042</v>
      </c>
      <c r="K363" t="s">
        <v>5048</v>
      </c>
      <c r="L363" t="s">
        <v>5050</v>
      </c>
      <c r="M363" t="s">
        <v>5054</v>
      </c>
    </row>
    <row r="364" spans="1:13" x14ac:dyDescent="0.3">
      <c r="A364" s="1">
        <v>45583</v>
      </c>
      <c r="B364" s="1" t="str">
        <f>TEXT(Tabla1[[#This Row],[Fecha]],"MMMM")</f>
        <v>octubre</v>
      </c>
      <c r="C364" t="s">
        <v>374</v>
      </c>
      <c r="D364" t="s">
        <v>5026</v>
      </c>
      <c r="E364" t="s">
        <v>5033</v>
      </c>
      <c r="F364" t="s">
        <v>5040</v>
      </c>
      <c r="G364" s="3">
        <v>6167.42</v>
      </c>
      <c r="H364" s="3">
        <v>801.76</v>
      </c>
      <c r="I364" s="3">
        <f>SUM(Tabla1[[#This Row],[Monto_Base]],H364)</f>
        <v>6969.18</v>
      </c>
      <c r="J364" t="s">
        <v>5043</v>
      </c>
      <c r="K364" t="s">
        <v>5047</v>
      </c>
      <c r="L364" t="s">
        <v>5051</v>
      </c>
      <c r="M364" t="s">
        <v>5054</v>
      </c>
    </row>
    <row r="365" spans="1:13" x14ac:dyDescent="0.3">
      <c r="A365" s="1">
        <v>45321</v>
      </c>
      <c r="B365" s="1" t="str">
        <f>TEXT(Tabla1[[#This Row],[Fecha]],"MMMM")</f>
        <v>enero</v>
      </c>
      <c r="C365" t="s">
        <v>375</v>
      </c>
      <c r="D365" t="s">
        <v>5018</v>
      </c>
      <c r="E365" t="s">
        <v>5032</v>
      </c>
      <c r="F365" t="s">
        <v>5039</v>
      </c>
      <c r="G365" s="3">
        <v>4735.54</v>
      </c>
      <c r="H365" s="3">
        <v>0</v>
      </c>
      <c r="I365" s="3">
        <f>SUM(Tabla1[[#This Row],[Monto_Base]],H365)</f>
        <v>4735.54</v>
      </c>
      <c r="J365" t="s">
        <v>5045</v>
      </c>
      <c r="K365" t="s">
        <v>5048</v>
      </c>
      <c r="L365" t="s">
        <v>5051</v>
      </c>
      <c r="M365" t="s">
        <v>5054</v>
      </c>
    </row>
    <row r="366" spans="1:13" x14ac:dyDescent="0.3">
      <c r="A366" s="1">
        <v>45337</v>
      </c>
      <c r="B366" s="1" t="str">
        <f>TEXT(Tabla1[[#This Row],[Fecha]],"MMMM")</f>
        <v>febrero</v>
      </c>
      <c r="C366" t="s">
        <v>376</v>
      </c>
      <c r="D366" t="s">
        <v>5031</v>
      </c>
      <c r="E366" t="s">
        <v>5033</v>
      </c>
      <c r="F366" t="s">
        <v>5041</v>
      </c>
      <c r="G366" s="3">
        <v>11788.9</v>
      </c>
      <c r="H366" s="3">
        <v>1532.56</v>
      </c>
      <c r="I366" s="3">
        <f>SUM(Tabla1[[#This Row],[Monto_Base]],H366)</f>
        <v>13321.46</v>
      </c>
      <c r="J366" t="s">
        <v>5046</v>
      </c>
      <c r="K366" t="s">
        <v>5049</v>
      </c>
      <c r="L366" t="s">
        <v>5050</v>
      </c>
      <c r="M366" t="s">
        <v>5055</v>
      </c>
    </row>
    <row r="367" spans="1:13" x14ac:dyDescent="0.3">
      <c r="A367" s="1">
        <v>45565</v>
      </c>
      <c r="B367" s="1" t="str">
        <f>TEXT(Tabla1[[#This Row],[Fecha]],"MMMM")</f>
        <v>septiembre</v>
      </c>
      <c r="C367" t="s">
        <v>377</v>
      </c>
      <c r="D367" t="s">
        <v>5019</v>
      </c>
      <c r="E367" t="s">
        <v>5032</v>
      </c>
      <c r="F367" t="s">
        <v>5037</v>
      </c>
      <c r="G367" s="3">
        <v>119.8</v>
      </c>
      <c r="H367" s="3">
        <v>0</v>
      </c>
      <c r="I367" s="3">
        <f>SUM(Tabla1[[#This Row],[Monto_Base]],H367)</f>
        <v>119.8</v>
      </c>
      <c r="J367" t="s">
        <v>5046</v>
      </c>
      <c r="K367" t="s">
        <v>5049</v>
      </c>
      <c r="L367" t="s">
        <v>5051</v>
      </c>
      <c r="M367" t="s">
        <v>5054</v>
      </c>
    </row>
    <row r="368" spans="1:13" x14ac:dyDescent="0.3">
      <c r="A368" s="1">
        <v>45612</v>
      </c>
      <c r="B368" s="1" t="str">
        <f>TEXT(Tabla1[[#This Row],[Fecha]],"MMMM")</f>
        <v>noviembre</v>
      </c>
      <c r="C368" t="s">
        <v>378</v>
      </c>
      <c r="D368" t="s">
        <v>5016</v>
      </c>
      <c r="E368" t="s">
        <v>5033</v>
      </c>
      <c r="F368" t="s">
        <v>5035</v>
      </c>
      <c r="G368" s="3">
        <v>10167.379999999999</v>
      </c>
      <c r="H368" s="3">
        <v>1321.76</v>
      </c>
      <c r="I368" s="3">
        <f>SUM(Tabla1[[#This Row],[Monto_Base]],H368)</f>
        <v>11489.14</v>
      </c>
      <c r="J368" t="s">
        <v>5046</v>
      </c>
      <c r="K368" t="s">
        <v>5047</v>
      </c>
      <c r="L368" t="s">
        <v>5051</v>
      </c>
      <c r="M368" t="s">
        <v>5055</v>
      </c>
    </row>
    <row r="369" spans="1:13" x14ac:dyDescent="0.3">
      <c r="A369" s="1">
        <v>45315</v>
      </c>
      <c r="B369" s="1" t="str">
        <f>TEXT(Tabla1[[#This Row],[Fecha]],"MMMM")</f>
        <v>enero</v>
      </c>
      <c r="C369" t="s">
        <v>379</v>
      </c>
      <c r="D369" t="s">
        <v>5013</v>
      </c>
      <c r="E369" t="s">
        <v>5032</v>
      </c>
      <c r="F369" t="s">
        <v>5038</v>
      </c>
      <c r="G369" s="3">
        <v>2546.9499999999998</v>
      </c>
      <c r="H369" s="3">
        <v>0</v>
      </c>
      <c r="I369" s="3">
        <f>SUM(Tabla1[[#This Row],[Monto_Base]],H369)</f>
        <v>2546.9499999999998</v>
      </c>
      <c r="J369" t="s">
        <v>5044</v>
      </c>
      <c r="K369" t="s">
        <v>5048</v>
      </c>
      <c r="L369" t="s">
        <v>5050</v>
      </c>
      <c r="M369" t="s">
        <v>5055</v>
      </c>
    </row>
    <row r="370" spans="1:13" x14ac:dyDescent="0.3">
      <c r="A370" s="1">
        <v>45388</v>
      </c>
      <c r="B370" s="1" t="str">
        <f>TEXT(Tabla1[[#This Row],[Fecha]],"MMMM")</f>
        <v>abril</v>
      </c>
      <c r="C370" t="s">
        <v>380</v>
      </c>
      <c r="D370" t="s">
        <v>5028</v>
      </c>
      <c r="E370" t="s">
        <v>5032</v>
      </c>
      <c r="F370" t="s">
        <v>5041</v>
      </c>
      <c r="G370" s="3">
        <v>5420.8</v>
      </c>
      <c r="H370" s="3">
        <v>0</v>
      </c>
      <c r="I370" s="3">
        <f>SUM(Tabla1[[#This Row],[Monto_Base]],H370)</f>
        <v>5420.8</v>
      </c>
      <c r="J370" t="s">
        <v>5046</v>
      </c>
      <c r="K370" t="s">
        <v>5048</v>
      </c>
      <c r="L370" t="s">
        <v>5053</v>
      </c>
      <c r="M370" t="s">
        <v>5054</v>
      </c>
    </row>
    <row r="371" spans="1:13" x14ac:dyDescent="0.3">
      <c r="A371" s="1">
        <v>45378</v>
      </c>
      <c r="B371" s="1" t="str">
        <f>TEXT(Tabla1[[#This Row],[Fecha]],"MMMM")</f>
        <v>marzo</v>
      </c>
      <c r="C371" t="s">
        <v>381</v>
      </c>
      <c r="D371" t="s">
        <v>5026</v>
      </c>
      <c r="E371" t="s">
        <v>5033</v>
      </c>
      <c r="F371" t="s">
        <v>5035</v>
      </c>
      <c r="G371" s="3">
        <v>8865.91</v>
      </c>
      <c r="H371" s="3">
        <v>1152.57</v>
      </c>
      <c r="I371" s="3">
        <f>SUM(Tabla1[[#This Row],[Monto_Base]],H371)</f>
        <v>10018.48</v>
      </c>
      <c r="J371" t="s">
        <v>5045</v>
      </c>
      <c r="K371" t="s">
        <v>5048</v>
      </c>
      <c r="L371" t="s">
        <v>5053</v>
      </c>
      <c r="M371" t="s">
        <v>5055</v>
      </c>
    </row>
    <row r="372" spans="1:13" x14ac:dyDescent="0.3">
      <c r="A372" s="1">
        <v>45626</v>
      </c>
      <c r="B372" s="1" t="str">
        <f>TEXT(Tabla1[[#This Row],[Fecha]],"MMMM")</f>
        <v>noviembre</v>
      </c>
      <c r="C372" t="s">
        <v>382</v>
      </c>
      <c r="D372" t="s">
        <v>5016</v>
      </c>
      <c r="E372" t="s">
        <v>5033</v>
      </c>
      <c r="F372" t="s">
        <v>5035</v>
      </c>
      <c r="G372" s="3">
        <v>9946.4500000000007</v>
      </c>
      <c r="H372" s="3">
        <v>1293.04</v>
      </c>
      <c r="I372" s="3">
        <f>SUM(Tabla1[[#This Row],[Monto_Base]],H372)</f>
        <v>11239.490000000002</v>
      </c>
      <c r="J372" t="s">
        <v>5045</v>
      </c>
      <c r="K372" t="s">
        <v>5047</v>
      </c>
      <c r="L372" t="s">
        <v>5053</v>
      </c>
      <c r="M372" t="s">
        <v>5055</v>
      </c>
    </row>
    <row r="373" spans="1:13" x14ac:dyDescent="0.3">
      <c r="A373" s="1">
        <v>45370</v>
      </c>
      <c r="B373" s="1" t="str">
        <f>TEXT(Tabla1[[#This Row],[Fecha]],"MMMM")</f>
        <v>marzo</v>
      </c>
      <c r="C373" t="s">
        <v>383</v>
      </c>
      <c r="D373" t="s">
        <v>5019</v>
      </c>
      <c r="E373" t="s">
        <v>5033</v>
      </c>
      <c r="F373" t="s">
        <v>5038</v>
      </c>
      <c r="G373" s="3">
        <v>7142.23</v>
      </c>
      <c r="H373" s="3">
        <v>928.49</v>
      </c>
      <c r="I373" s="3">
        <f>SUM(Tabla1[[#This Row],[Monto_Base]],H373)</f>
        <v>8070.7199999999993</v>
      </c>
      <c r="J373" t="s">
        <v>5046</v>
      </c>
      <c r="K373" t="s">
        <v>5049</v>
      </c>
      <c r="L373" t="s">
        <v>5053</v>
      </c>
      <c r="M373" t="s">
        <v>5055</v>
      </c>
    </row>
    <row r="374" spans="1:13" x14ac:dyDescent="0.3">
      <c r="A374" s="1">
        <v>45345</v>
      </c>
      <c r="B374" s="1" t="str">
        <f>TEXT(Tabla1[[#This Row],[Fecha]],"MMMM")</f>
        <v>febrero</v>
      </c>
      <c r="C374" t="s">
        <v>384</v>
      </c>
      <c r="D374" t="s">
        <v>5030</v>
      </c>
      <c r="E374" t="s">
        <v>5032</v>
      </c>
      <c r="F374" t="s">
        <v>5039</v>
      </c>
      <c r="G374" s="3">
        <v>6311.44</v>
      </c>
      <c r="H374" s="3">
        <v>0</v>
      </c>
      <c r="I374" s="3">
        <f>SUM(Tabla1[[#This Row],[Monto_Base]],H374)</f>
        <v>6311.44</v>
      </c>
      <c r="J374" t="s">
        <v>5042</v>
      </c>
      <c r="K374" t="s">
        <v>5049</v>
      </c>
      <c r="L374" t="s">
        <v>5053</v>
      </c>
      <c r="M374" t="s">
        <v>5055</v>
      </c>
    </row>
    <row r="375" spans="1:13" x14ac:dyDescent="0.3">
      <c r="A375" s="1">
        <v>45426</v>
      </c>
      <c r="B375" s="1" t="str">
        <f>TEXT(Tabla1[[#This Row],[Fecha]],"MMMM")</f>
        <v>mayo</v>
      </c>
      <c r="C375" t="s">
        <v>385</v>
      </c>
      <c r="D375" t="s">
        <v>5013</v>
      </c>
      <c r="E375" t="s">
        <v>5032</v>
      </c>
      <c r="F375" t="s">
        <v>5034</v>
      </c>
      <c r="G375" s="3">
        <v>9154.58</v>
      </c>
      <c r="H375" s="3">
        <v>0</v>
      </c>
      <c r="I375" s="3">
        <f>SUM(Tabla1[[#This Row],[Monto_Base]],H375)</f>
        <v>9154.58</v>
      </c>
      <c r="J375" t="s">
        <v>5042</v>
      </c>
      <c r="K375" t="s">
        <v>5047</v>
      </c>
      <c r="L375" t="s">
        <v>5051</v>
      </c>
      <c r="M375" t="s">
        <v>5055</v>
      </c>
    </row>
    <row r="376" spans="1:13" x14ac:dyDescent="0.3">
      <c r="A376" s="1">
        <v>45644</v>
      </c>
      <c r="B376" s="1" t="str">
        <f>TEXT(Tabla1[[#This Row],[Fecha]],"MMMM")</f>
        <v>diciembre</v>
      </c>
      <c r="C376" t="s">
        <v>386</v>
      </c>
      <c r="D376" t="s">
        <v>5028</v>
      </c>
      <c r="E376" t="s">
        <v>5033</v>
      </c>
      <c r="F376" t="s">
        <v>5041</v>
      </c>
      <c r="G376" s="3">
        <v>13659.83</v>
      </c>
      <c r="H376" s="3">
        <v>1775.78</v>
      </c>
      <c r="I376" s="3">
        <f>SUM(Tabla1[[#This Row],[Monto_Base]],H376)</f>
        <v>15435.61</v>
      </c>
      <c r="J376" t="s">
        <v>5043</v>
      </c>
      <c r="K376" t="s">
        <v>5048</v>
      </c>
      <c r="L376" t="s">
        <v>5052</v>
      </c>
      <c r="M376" t="s">
        <v>5054</v>
      </c>
    </row>
    <row r="377" spans="1:13" x14ac:dyDescent="0.3">
      <c r="A377" s="1">
        <v>45338</v>
      </c>
      <c r="B377" s="1" t="str">
        <f>TEXT(Tabla1[[#This Row],[Fecha]],"MMMM")</f>
        <v>febrero</v>
      </c>
      <c r="C377" t="s">
        <v>387</v>
      </c>
      <c r="D377" t="s">
        <v>5013</v>
      </c>
      <c r="E377" t="s">
        <v>5033</v>
      </c>
      <c r="F377" t="s">
        <v>5041</v>
      </c>
      <c r="G377" s="3">
        <v>2279.71</v>
      </c>
      <c r="H377" s="3">
        <v>296.36</v>
      </c>
      <c r="I377" s="3">
        <f>SUM(Tabla1[[#This Row],[Monto_Base]],H377)</f>
        <v>2576.0700000000002</v>
      </c>
      <c r="J377" t="s">
        <v>5042</v>
      </c>
      <c r="K377" t="s">
        <v>5047</v>
      </c>
      <c r="L377" t="s">
        <v>5053</v>
      </c>
      <c r="M377" t="s">
        <v>5055</v>
      </c>
    </row>
    <row r="378" spans="1:13" x14ac:dyDescent="0.3">
      <c r="A378" s="1">
        <v>45343</v>
      </c>
      <c r="B378" s="1" t="str">
        <f>TEXT(Tabla1[[#This Row],[Fecha]],"MMMM")</f>
        <v>febrero</v>
      </c>
      <c r="C378" t="s">
        <v>388</v>
      </c>
      <c r="D378" t="s">
        <v>5018</v>
      </c>
      <c r="E378" t="s">
        <v>5032</v>
      </c>
      <c r="F378" t="s">
        <v>5038</v>
      </c>
      <c r="G378" s="3">
        <v>6990.95</v>
      </c>
      <c r="H378" s="3">
        <v>0</v>
      </c>
      <c r="I378" s="3">
        <f>SUM(Tabla1[[#This Row],[Monto_Base]],H378)</f>
        <v>6990.95</v>
      </c>
      <c r="J378" t="s">
        <v>5046</v>
      </c>
      <c r="K378" t="s">
        <v>5047</v>
      </c>
      <c r="L378" t="s">
        <v>5051</v>
      </c>
      <c r="M378" t="s">
        <v>5055</v>
      </c>
    </row>
    <row r="379" spans="1:13" x14ac:dyDescent="0.3">
      <c r="A379" s="1">
        <v>45315</v>
      </c>
      <c r="B379" s="1" t="str">
        <f>TEXT(Tabla1[[#This Row],[Fecha]],"MMMM")</f>
        <v>enero</v>
      </c>
      <c r="C379" t="s">
        <v>389</v>
      </c>
      <c r="D379" t="s">
        <v>5019</v>
      </c>
      <c r="E379" t="s">
        <v>5033</v>
      </c>
      <c r="F379" t="s">
        <v>5036</v>
      </c>
      <c r="G379" s="3">
        <v>12776.13</v>
      </c>
      <c r="H379" s="3">
        <v>1660.9</v>
      </c>
      <c r="I379" s="3">
        <f>SUM(Tabla1[[#This Row],[Monto_Base]],H379)</f>
        <v>14437.029999999999</v>
      </c>
      <c r="J379" t="s">
        <v>5045</v>
      </c>
      <c r="K379" t="s">
        <v>5047</v>
      </c>
      <c r="L379" t="s">
        <v>5052</v>
      </c>
      <c r="M379" t="s">
        <v>5055</v>
      </c>
    </row>
    <row r="380" spans="1:13" x14ac:dyDescent="0.3">
      <c r="A380" s="1">
        <v>45467</v>
      </c>
      <c r="B380" s="1" t="str">
        <f>TEXT(Tabla1[[#This Row],[Fecha]],"MMMM")</f>
        <v>junio</v>
      </c>
      <c r="C380" t="s">
        <v>390</v>
      </c>
      <c r="D380" t="s">
        <v>5025</v>
      </c>
      <c r="E380" t="s">
        <v>5032</v>
      </c>
      <c r="F380" t="s">
        <v>5036</v>
      </c>
      <c r="G380" s="3">
        <v>5620.7</v>
      </c>
      <c r="H380" s="3">
        <v>0</v>
      </c>
      <c r="I380" s="3">
        <f>SUM(Tabla1[[#This Row],[Monto_Base]],H380)</f>
        <v>5620.7</v>
      </c>
      <c r="J380" t="s">
        <v>5046</v>
      </c>
      <c r="K380" t="s">
        <v>5047</v>
      </c>
      <c r="L380" t="s">
        <v>5050</v>
      </c>
      <c r="M380" t="s">
        <v>5055</v>
      </c>
    </row>
    <row r="381" spans="1:13" x14ac:dyDescent="0.3">
      <c r="A381" s="1">
        <v>45624</v>
      </c>
      <c r="B381" s="1" t="str">
        <f>TEXT(Tabla1[[#This Row],[Fecha]],"MMMM")</f>
        <v>noviembre</v>
      </c>
      <c r="C381" t="s">
        <v>391</v>
      </c>
      <c r="D381" t="s">
        <v>5029</v>
      </c>
      <c r="E381" t="s">
        <v>5032</v>
      </c>
      <c r="F381" t="s">
        <v>5041</v>
      </c>
      <c r="G381" s="3">
        <v>12008.49</v>
      </c>
      <c r="H381" s="3">
        <v>0</v>
      </c>
      <c r="I381" s="3">
        <f>SUM(Tabla1[[#This Row],[Monto_Base]],H381)</f>
        <v>12008.49</v>
      </c>
      <c r="J381" t="s">
        <v>5046</v>
      </c>
      <c r="K381" t="s">
        <v>5047</v>
      </c>
      <c r="L381" t="s">
        <v>5052</v>
      </c>
      <c r="M381" t="s">
        <v>5054</v>
      </c>
    </row>
    <row r="382" spans="1:13" x14ac:dyDescent="0.3">
      <c r="A382" s="1">
        <v>45639</v>
      </c>
      <c r="B382" s="1" t="str">
        <f>TEXT(Tabla1[[#This Row],[Fecha]],"MMMM")</f>
        <v>diciembre</v>
      </c>
      <c r="C382" t="s">
        <v>392</v>
      </c>
      <c r="D382" t="s">
        <v>5013</v>
      </c>
      <c r="E382" t="s">
        <v>5032</v>
      </c>
      <c r="F382" t="s">
        <v>5041</v>
      </c>
      <c r="G382" s="3">
        <v>12043.86</v>
      </c>
      <c r="H382" s="3">
        <v>0</v>
      </c>
      <c r="I382" s="3">
        <f>SUM(Tabla1[[#This Row],[Monto_Base]],H382)</f>
        <v>12043.86</v>
      </c>
      <c r="J382" t="s">
        <v>5043</v>
      </c>
      <c r="K382" t="s">
        <v>5047</v>
      </c>
      <c r="L382" t="s">
        <v>5050</v>
      </c>
      <c r="M382" t="s">
        <v>5055</v>
      </c>
    </row>
    <row r="383" spans="1:13" x14ac:dyDescent="0.3">
      <c r="A383" s="1">
        <v>45502</v>
      </c>
      <c r="B383" s="1" t="str">
        <f>TEXT(Tabla1[[#This Row],[Fecha]],"MMMM")</f>
        <v>julio</v>
      </c>
      <c r="C383" t="s">
        <v>393</v>
      </c>
      <c r="D383" t="s">
        <v>5026</v>
      </c>
      <c r="E383" t="s">
        <v>5032</v>
      </c>
      <c r="F383" t="s">
        <v>5041</v>
      </c>
      <c r="G383" s="3">
        <v>1738.42</v>
      </c>
      <c r="H383" s="3">
        <v>0</v>
      </c>
      <c r="I383" s="3">
        <f>SUM(Tabla1[[#This Row],[Monto_Base]],H383)</f>
        <v>1738.42</v>
      </c>
      <c r="J383" t="s">
        <v>5043</v>
      </c>
      <c r="K383" t="s">
        <v>5047</v>
      </c>
      <c r="L383" t="s">
        <v>5053</v>
      </c>
      <c r="M383" t="s">
        <v>5055</v>
      </c>
    </row>
    <row r="384" spans="1:13" x14ac:dyDescent="0.3">
      <c r="A384" s="1">
        <v>45644</v>
      </c>
      <c r="B384" s="1" t="str">
        <f>TEXT(Tabla1[[#This Row],[Fecha]],"MMMM")</f>
        <v>diciembre</v>
      </c>
      <c r="C384" t="s">
        <v>394</v>
      </c>
      <c r="D384" t="s">
        <v>5022</v>
      </c>
      <c r="E384" t="s">
        <v>5033</v>
      </c>
      <c r="F384" t="s">
        <v>5040</v>
      </c>
      <c r="G384" s="3">
        <v>7810.54</v>
      </c>
      <c r="H384" s="3">
        <v>1015.37</v>
      </c>
      <c r="I384" s="3">
        <f>SUM(Tabla1[[#This Row],[Monto_Base]],H384)</f>
        <v>8825.91</v>
      </c>
      <c r="J384" t="s">
        <v>5042</v>
      </c>
      <c r="K384" t="s">
        <v>5047</v>
      </c>
      <c r="L384" t="s">
        <v>5050</v>
      </c>
      <c r="M384" t="s">
        <v>5054</v>
      </c>
    </row>
    <row r="385" spans="1:13" x14ac:dyDescent="0.3">
      <c r="A385" s="1">
        <v>45577</v>
      </c>
      <c r="B385" s="1" t="str">
        <f>TEXT(Tabla1[[#This Row],[Fecha]],"MMMM")</f>
        <v>octubre</v>
      </c>
      <c r="C385" t="s">
        <v>395</v>
      </c>
      <c r="D385" t="s">
        <v>5020</v>
      </c>
      <c r="E385" t="s">
        <v>5032</v>
      </c>
      <c r="F385" t="s">
        <v>5039</v>
      </c>
      <c r="G385" s="3">
        <v>12593.54</v>
      </c>
      <c r="H385" s="3">
        <v>0</v>
      </c>
      <c r="I385" s="3">
        <f>SUM(Tabla1[[#This Row],[Monto_Base]],H385)</f>
        <v>12593.54</v>
      </c>
      <c r="J385" t="s">
        <v>5042</v>
      </c>
      <c r="K385" t="s">
        <v>5047</v>
      </c>
      <c r="L385" t="s">
        <v>5053</v>
      </c>
      <c r="M385" t="s">
        <v>5054</v>
      </c>
    </row>
    <row r="386" spans="1:13" x14ac:dyDescent="0.3">
      <c r="A386" s="1">
        <v>45456</v>
      </c>
      <c r="B386" s="1" t="str">
        <f>TEXT(Tabla1[[#This Row],[Fecha]],"MMMM")</f>
        <v>junio</v>
      </c>
      <c r="C386" t="s">
        <v>396</v>
      </c>
      <c r="D386" t="s">
        <v>5025</v>
      </c>
      <c r="E386" t="s">
        <v>5033</v>
      </c>
      <c r="F386" t="s">
        <v>5036</v>
      </c>
      <c r="G386" s="3">
        <v>11283.88</v>
      </c>
      <c r="H386" s="3">
        <v>1466.9</v>
      </c>
      <c r="I386" s="3">
        <f>SUM(Tabla1[[#This Row],[Monto_Base]],H386)</f>
        <v>12750.779999999999</v>
      </c>
      <c r="J386" t="s">
        <v>5046</v>
      </c>
      <c r="K386" t="s">
        <v>5048</v>
      </c>
      <c r="L386" t="s">
        <v>5051</v>
      </c>
      <c r="M386" t="s">
        <v>5054</v>
      </c>
    </row>
    <row r="387" spans="1:13" x14ac:dyDescent="0.3">
      <c r="A387" s="1">
        <v>45332</v>
      </c>
      <c r="B387" s="1" t="str">
        <f>TEXT(Tabla1[[#This Row],[Fecha]],"MMMM")</f>
        <v>febrero</v>
      </c>
      <c r="C387" t="s">
        <v>397</v>
      </c>
      <c r="D387" t="s">
        <v>5023</v>
      </c>
      <c r="E387" t="s">
        <v>5032</v>
      </c>
      <c r="F387" t="s">
        <v>5037</v>
      </c>
      <c r="G387" s="3">
        <v>12265.69</v>
      </c>
      <c r="H387" s="3">
        <v>0</v>
      </c>
      <c r="I387" s="3">
        <f>SUM(Tabla1[[#This Row],[Monto_Base]],H387)</f>
        <v>12265.69</v>
      </c>
      <c r="J387" t="s">
        <v>5043</v>
      </c>
      <c r="K387" t="s">
        <v>5048</v>
      </c>
      <c r="L387" t="s">
        <v>5050</v>
      </c>
      <c r="M387" t="s">
        <v>5054</v>
      </c>
    </row>
    <row r="388" spans="1:13" x14ac:dyDescent="0.3">
      <c r="A388" s="1">
        <v>45626</v>
      </c>
      <c r="B388" s="1" t="str">
        <f>TEXT(Tabla1[[#This Row],[Fecha]],"MMMM")</f>
        <v>noviembre</v>
      </c>
      <c r="C388" t="s">
        <v>398</v>
      </c>
      <c r="D388" t="s">
        <v>5025</v>
      </c>
      <c r="E388" t="s">
        <v>5032</v>
      </c>
      <c r="F388" t="s">
        <v>5036</v>
      </c>
      <c r="G388" s="3">
        <v>14711.03</v>
      </c>
      <c r="H388" s="3">
        <v>0</v>
      </c>
      <c r="I388" s="3">
        <f>SUM(Tabla1[[#This Row],[Monto_Base]],H388)</f>
        <v>14711.03</v>
      </c>
      <c r="J388" t="s">
        <v>5045</v>
      </c>
      <c r="K388" t="s">
        <v>5047</v>
      </c>
      <c r="L388" t="s">
        <v>5050</v>
      </c>
      <c r="M388" t="s">
        <v>5055</v>
      </c>
    </row>
    <row r="389" spans="1:13" x14ac:dyDescent="0.3">
      <c r="A389" s="1">
        <v>45608</v>
      </c>
      <c r="B389" s="1" t="str">
        <f>TEXT(Tabla1[[#This Row],[Fecha]],"MMMM")</f>
        <v>noviembre</v>
      </c>
      <c r="C389" t="s">
        <v>399</v>
      </c>
      <c r="D389" t="s">
        <v>5023</v>
      </c>
      <c r="E389" t="s">
        <v>5033</v>
      </c>
      <c r="F389" t="s">
        <v>5036</v>
      </c>
      <c r="G389" s="3">
        <v>11887.16</v>
      </c>
      <c r="H389" s="3">
        <v>1545.33</v>
      </c>
      <c r="I389" s="3">
        <f>SUM(Tabla1[[#This Row],[Monto_Base]],H389)</f>
        <v>13432.49</v>
      </c>
      <c r="J389" t="s">
        <v>5044</v>
      </c>
      <c r="K389" t="s">
        <v>5049</v>
      </c>
      <c r="L389" t="s">
        <v>5052</v>
      </c>
      <c r="M389" t="s">
        <v>5055</v>
      </c>
    </row>
    <row r="390" spans="1:13" x14ac:dyDescent="0.3">
      <c r="A390" s="1">
        <v>45461</v>
      </c>
      <c r="B390" s="1" t="str">
        <f>TEXT(Tabla1[[#This Row],[Fecha]],"MMMM")</f>
        <v>junio</v>
      </c>
      <c r="C390" t="s">
        <v>400</v>
      </c>
      <c r="D390" t="s">
        <v>5020</v>
      </c>
      <c r="E390" t="s">
        <v>5033</v>
      </c>
      <c r="F390" t="s">
        <v>5034</v>
      </c>
      <c r="G390" s="3">
        <v>12672.55</v>
      </c>
      <c r="H390" s="3">
        <v>1647.43</v>
      </c>
      <c r="I390" s="3">
        <f>SUM(Tabla1[[#This Row],[Monto_Base]],H390)</f>
        <v>14319.98</v>
      </c>
      <c r="J390" t="s">
        <v>5042</v>
      </c>
      <c r="K390" t="s">
        <v>5049</v>
      </c>
      <c r="L390" t="s">
        <v>5050</v>
      </c>
      <c r="M390" t="s">
        <v>5055</v>
      </c>
    </row>
    <row r="391" spans="1:13" x14ac:dyDescent="0.3">
      <c r="A391" s="1">
        <v>45473</v>
      </c>
      <c r="B391" s="1" t="str">
        <f>TEXT(Tabla1[[#This Row],[Fecha]],"MMMM")</f>
        <v>junio</v>
      </c>
      <c r="C391" t="s">
        <v>401</v>
      </c>
      <c r="D391" t="s">
        <v>5030</v>
      </c>
      <c r="E391" t="s">
        <v>5033</v>
      </c>
      <c r="F391" t="s">
        <v>5034</v>
      </c>
      <c r="G391" s="3">
        <v>82.84</v>
      </c>
      <c r="H391" s="3">
        <v>10.77</v>
      </c>
      <c r="I391" s="3">
        <f>SUM(Tabla1[[#This Row],[Monto_Base]],H391)</f>
        <v>93.61</v>
      </c>
      <c r="J391" t="s">
        <v>5044</v>
      </c>
      <c r="K391" t="s">
        <v>5049</v>
      </c>
      <c r="L391" t="s">
        <v>5051</v>
      </c>
      <c r="M391" t="s">
        <v>5054</v>
      </c>
    </row>
    <row r="392" spans="1:13" x14ac:dyDescent="0.3">
      <c r="A392" s="1">
        <v>45501</v>
      </c>
      <c r="B392" s="1" t="str">
        <f>TEXT(Tabla1[[#This Row],[Fecha]],"MMMM")</f>
        <v>julio</v>
      </c>
      <c r="C392" t="s">
        <v>402</v>
      </c>
      <c r="D392" t="s">
        <v>5026</v>
      </c>
      <c r="E392" t="s">
        <v>5032</v>
      </c>
      <c r="F392" t="s">
        <v>5039</v>
      </c>
      <c r="G392" s="3">
        <v>12336.49</v>
      </c>
      <c r="H392" s="3">
        <v>0</v>
      </c>
      <c r="I392" s="3">
        <f>SUM(Tabla1[[#This Row],[Monto_Base]],H392)</f>
        <v>12336.49</v>
      </c>
      <c r="J392" t="s">
        <v>5045</v>
      </c>
      <c r="K392" t="s">
        <v>5048</v>
      </c>
      <c r="L392" t="s">
        <v>5052</v>
      </c>
      <c r="M392" t="s">
        <v>5054</v>
      </c>
    </row>
    <row r="393" spans="1:13" x14ac:dyDescent="0.3">
      <c r="A393" s="1">
        <v>45389</v>
      </c>
      <c r="B393" s="1" t="str">
        <f>TEXT(Tabla1[[#This Row],[Fecha]],"MMMM")</f>
        <v>abril</v>
      </c>
      <c r="C393" t="s">
        <v>403</v>
      </c>
      <c r="D393" t="s">
        <v>5027</v>
      </c>
      <c r="E393" t="s">
        <v>5033</v>
      </c>
      <c r="F393" t="s">
        <v>5041</v>
      </c>
      <c r="G393" s="3">
        <v>12377.08</v>
      </c>
      <c r="H393" s="3">
        <v>1609.02</v>
      </c>
      <c r="I393" s="3">
        <f>SUM(Tabla1[[#This Row],[Monto_Base]],H393)</f>
        <v>13986.1</v>
      </c>
      <c r="J393" t="s">
        <v>5044</v>
      </c>
      <c r="K393" t="s">
        <v>5047</v>
      </c>
      <c r="L393" t="s">
        <v>5050</v>
      </c>
      <c r="M393" t="s">
        <v>5054</v>
      </c>
    </row>
    <row r="394" spans="1:13" x14ac:dyDescent="0.3">
      <c r="A394" s="1">
        <v>45294</v>
      </c>
      <c r="B394" s="1" t="str">
        <f>TEXT(Tabla1[[#This Row],[Fecha]],"MMMM")</f>
        <v>enero</v>
      </c>
      <c r="C394" t="s">
        <v>404</v>
      </c>
      <c r="D394" t="s">
        <v>5018</v>
      </c>
      <c r="E394" t="s">
        <v>5032</v>
      </c>
      <c r="F394" t="s">
        <v>5039</v>
      </c>
      <c r="G394" s="3">
        <v>14459.63</v>
      </c>
      <c r="H394" s="3">
        <v>0</v>
      </c>
      <c r="I394" s="3">
        <f>SUM(Tabla1[[#This Row],[Monto_Base]],H394)</f>
        <v>14459.63</v>
      </c>
      <c r="J394" t="s">
        <v>5042</v>
      </c>
      <c r="K394" t="s">
        <v>5049</v>
      </c>
      <c r="L394" t="s">
        <v>5053</v>
      </c>
      <c r="M394" t="s">
        <v>5055</v>
      </c>
    </row>
    <row r="395" spans="1:13" x14ac:dyDescent="0.3">
      <c r="A395" s="1">
        <v>45357</v>
      </c>
      <c r="B395" s="1" t="str">
        <f>TEXT(Tabla1[[#This Row],[Fecha]],"MMMM")</f>
        <v>marzo</v>
      </c>
      <c r="C395" t="s">
        <v>405</v>
      </c>
      <c r="D395" t="s">
        <v>5016</v>
      </c>
      <c r="E395" t="s">
        <v>5033</v>
      </c>
      <c r="F395" t="s">
        <v>5039</v>
      </c>
      <c r="G395" s="3">
        <v>10970.9</v>
      </c>
      <c r="H395" s="3">
        <v>1426.22</v>
      </c>
      <c r="I395" s="3">
        <f>SUM(Tabla1[[#This Row],[Monto_Base]],H395)</f>
        <v>12397.119999999999</v>
      </c>
      <c r="J395" t="s">
        <v>5045</v>
      </c>
      <c r="K395" t="s">
        <v>5048</v>
      </c>
      <c r="L395" t="s">
        <v>5051</v>
      </c>
      <c r="M395" t="s">
        <v>5055</v>
      </c>
    </row>
    <row r="396" spans="1:13" x14ac:dyDescent="0.3">
      <c r="A396" s="1">
        <v>45467</v>
      </c>
      <c r="B396" s="1" t="str">
        <f>TEXT(Tabla1[[#This Row],[Fecha]],"MMMM")</f>
        <v>junio</v>
      </c>
      <c r="C396" t="s">
        <v>406</v>
      </c>
      <c r="D396" t="s">
        <v>5014</v>
      </c>
      <c r="E396" t="s">
        <v>5033</v>
      </c>
      <c r="F396" t="s">
        <v>5038</v>
      </c>
      <c r="G396" s="3">
        <v>5998.16</v>
      </c>
      <c r="H396" s="3">
        <v>779.76</v>
      </c>
      <c r="I396" s="3">
        <f>SUM(Tabla1[[#This Row],[Monto_Base]],H396)</f>
        <v>6777.92</v>
      </c>
      <c r="J396" t="s">
        <v>5044</v>
      </c>
      <c r="K396" t="s">
        <v>5048</v>
      </c>
      <c r="L396" t="s">
        <v>5052</v>
      </c>
      <c r="M396" t="s">
        <v>5054</v>
      </c>
    </row>
    <row r="397" spans="1:13" x14ac:dyDescent="0.3">
      <c r="A397" s="1">
        <v>45575</v>
      </c>
      <c r="B397" s="1" t="str">
        <f>TEXT(Tabla1[[#This Row],[Fecha]],"MMMM")</f>
        <v>octubre</v>
      </c>
      <c r="C397" t="s">
        <v>407</v>
      </c>
      <c r="D397" t="s">
        <v>5014</v>
      </c>
      <c r="E397" t="s">
        <v>5032</v>
      </c>
      <c r="F397" t="s">
        <v>5040</v>
      </c>
      <c r="G397" s="3">
        <v>10692.52</v>
      </c>
      <c r="H397" s="3">
        <v>0</v>
      </c>
      <c r="I397" s="3">
        <f>SUM(Tabla1[[#This Row],[Monto_Base]],H397)</f>
        <v>10692.52</v>
      </c>
      <c r="J397" t="s">
        <v>5046</v>
      </c>
      <c r="K397" t="s">
        <v>5047</v>
      </c>
      <c r="L397" t="s">
        <v>5052</v>
      </c>
      <c r="M397" t="s">
        <v>5055</v>
      </c>
    </row>
    <row r="398" spans="1:13" x14ac:dyDescent="0.3">
      <c r="A398" s="1">
        <v>45472</v>
      </c>
      <c r="B398" s="1" t="str">
        <f>TEXT(Tabla1[[#This Row],[Fecha]],"MMMM")</f>
        <v>junio</v>
      </c>
      <c r="C398" t="s">
        <v>408</v>
      </c>
      <c r="D398" t="s">
        <v>5028</v>
      </c>
      <c r="E398" t="s">
        <v>5033</v>
      </c>
      <c r="F398" t="s">
        <v>5040</v>
      </c>
      <c r="G398" s="3">
        <v>10669.77</v>
      </c>
      <c r="H398" s="3">
        <v>1387.07</v>
      </c>
      <c r="I398" s="3">
        <f>SUM(Tabla1[[#This Row],[Monto_Base]],H398)</f>
        <v>12056.84</v>
      </c>
      <c r="J398" t="s">
        <v>5042</v>
      </c>
      <c r="K398" t="s">
        <v>5048</v>
      </c>
      <c r="L398" t="s">
        <v>5050</v>
      </c>
      <c r="M398" t="s">
        <v>5055</v>
      </c>
    </row>
    <row r="399" spans="1:13" x14ac:dyDescent="0.3">
      <c r="A399" s="1">
        <v>45319</v>
      </c>
      <c r="B399" s="1" t="str">
        <f>TEXT(Tabla1[[#This Row],[Fecha]],"MMMM")</f>
        <v>enero</v>
      </c>
      <c r="C399" t="s">
        <v>409</v>
      </c>
      <c r="D399" t="s">
        <v>5022</v>
      </c>
      <c r="E399" t="s">
        <v>5033</v>
      </c>
      <c r="F399" t="s">
        <v>5035</v>
      </c>
      <c r="G399" s="3">
        <v>5744.01</v>
      </c>
      <c r="H399" s="3">
        <v>746.72</v>
      </c>
      <c r="I399" s="3">
        <f>SUM(Tabla1[[#This Row],[Monto_Base]],H399)</f>
        <v>6490.7300000000005</v>
      </c>
      <c r="J399" t="s">
        <v>5045</v>
      </c>
      <c r="K399" t="s">
        <v>5047</v>
      </c>
      <c r="L399" t="s">
        <v>5051</v>
      </c>
      <c r="M399" t="s">
        <v>5054</v>
      </c>
    </row>
    <row r="400" spans="1:13" x14ac:dyDescent="0.3">
      <c r="A400" s="1">
        <v>45443</v>
      </c>
      <c r="B400" s="1" t="str">
        <f>TEXT(Tabla1[[#This Row],[Fecha]],"MMMM")</f>
        <v>mayo</v>
      </c>
      <c r="C400" t="s">
        <v>410</v>
      </c>
      <c r="D400" t="s">
        <v>5029</v>
      </c>
      <c r="E400" t="s">
        <v>5033</v>
      </c>
      <c r="F400" t="s">
        <v>5035</v>
      </c>
      <c r="G400" s="3">
        <v>10374.39</v>
      </c>
      <c r="H400" s="3">
        <v>1348.67</v>
      </c>
      <c r="I400" s="3">
        <f>SUM(Tabla1[[#This Row],[Monto_Base]],H400)</f>
        <v>11723.06</v>
      </c>
      <c r="J400" t="s">
        <v>5046</v>
      </c>
      <c r="K400" t="s">
        <v>5049</v>
      </c>
      <c r="L400" t="s">
        <v>5053</v>
      </c>
      <c r="M400" t="s">
        <v>5055</v>
      </c>
    </row>
    <row r="401" spans="1:13" x14ac:dyDescent="0.3">
      <c r="A401" s="1">
        <v>45648</v>
      </c>
      <c r="B401" s="1" t="str">
        <f>TEXT(Tabla1[[#This Row],[Fecha]],"MMMM")</f>
        <v>diciembre</v>
      </c>
      <c r="C401" t="s">
        <v>411</v>
      </c>
      <c r="D401" t="s">
        <v>5030</v>
      </c>
      <c r="E401" t="s">
        <v>5033</v>
      </c>
      <c r="F401" t="s">
        <v>5037</v>
      </c>
      <c r="G401" s="3">
        <v>3602.05</v>
      </c>
      <c r="H401" s="3">
        <v>468.27</v>
      </c>
      <c r="I401" s="3">
        <f>SUM(Tabla1[[#This Row],[Monto_Base]],H401)</f>
        <v>4070.32</v>
      </c>
      <c r="J401" t="s">
        <v>5044</v>
      </c>
      <c r="K401" t="s">
        <v>5049</v>
      </c>
      <c r="L401" t="s">
        <v>5053</v>
      </c>
      <c r="M401" t="s">
        <v>5055</v>
      </c>
    </row>
    <row r="402" spans="1:13" x14ac:dyDescent="0.3">
      <c r="A402" s="1">
        <v>45420</v>
      </c>
      <c r="B402" s="1" t="str">
        <f>TEXT(Tabla1[[#This Row],[Fecha]],"MMMM")</f>
        <v>mayo</v>
      </c>
      <c r="C402" t="s">
        <v>412</v>
      </c>
      <c r="D402" t="s">
        <v>5019</v>
      </c>
      <c r="E402" t="s">
        <v>5032</v>
      </c>
      <c r="F402" t="s">
        <v>5035</v>
      </c>
      <c r="G402" s="3">
        <v>243.83</v>
      </c>
      <c r="H402" s="3">
        <v>0</v>
      </c>
      <c r="I402" s="3">
        <f>SUM(Tabla1[[#This Row],[Monto_Base]],H402)</f>
        <v>243.83</v>
      </c>
      <c r="J402" t="s">
        <v>5046</v>
      </c>
      <c r="K402" t="s">
        <v>5049</v>
      </c>
      <c r="L402" t="s">
        <v>5050</v>
      </c>
      <c r="M402" t="s">
        <v>5054</v>
      </c>
    </row>
    <row r="403" spans="1:13" x14ac:dyDescent="0.3">
      <c r="A403" s="1">
        <v>45382</v>
      </c>
      <c r="B403" s="1" t="str">
        <f>TEXT(Tabla1[[#This Row],[Fecha]],"MMMM")</f>
        <v>marzo</v>
      </c>
      <c r="C403" t="s">
        <v>413</v>
      </c>
      <c r="D403" t="s">
        <v>5014</v>
      </c>
      <c r="E403" t="s">
        <v>5033</v>
      </c>
      <c r="F403" t="s">
        <v>5034</v>
      </c>
      <c r="G403" s="3">
        <v>4447.96</v>
      </c>
      <c r="H403" s="3">
        <v>578.23</v>
      </c>
      <c r="I403" s="3">
        <f>SUM(Tabla1[[#This Row],[Monto_Base]],H403)</f>
        <v>5026.1900000000005</v>
      </c>
      <c r="J403" t="s">
        <v>5045</v>
      </c>
      <c r="K403" t="s">
        <v>5047</v>
      </c>
      <c r="L403" t="s">
        <v>5052</v>
      </c>
      <c r="M403" t="s">
        <v>5054</v>
      </c>
    </row>
    <row r="404" spans="1:13" x14ac:dyDescent="0.3">
      <c r="A404" s="1">
        <v>45358</v>
      </c>
      <c r="B404" s="1" t="str">
        <f>TEXT(Tabla1[[#This Row],[Fecha]],"MMMM")</f>
        <v>marzo</v>
      </c>
      <c r="C404" t="s">
        <v>414</v>
      </c>
      <c r="D404" t="s">
        <v>5022</v>
      </c>
      <c r="E404" t="s">
        <v>5032</v>
      </c>
      <c r="F404" t="s">
        <v>5038</v>
      </c>
      <c r="G404" s="3">
        <v>8371.15</v>
      </c>
      <c r="H404" s="3">
        <v>0</v>
      </c>
      <c r="I404" s="3">
        <f>SUM(Tabla1[[#This Row],[Monto_Base]],H404)</f>
        <v>8371.15</v>
      </c>
      <c r="J404" t="s">
        <v>5046</v>
      </c>
      <c r="K404" t="s">
        <v>5049</v>
      </c>
      <c r="L404" t="s">
        <v>5051</v>
      </c>
      <c r="M404" t="s">
        <v>5054</v>
      </c>
    </row>
    <row r="405" spans="1:13" x14ac:dyDescent="0.3">
      <c r="A405" s="1">
        <v>45457</v>
      </c>
      <c r="B405" s="1" t="str">
        <f>TEXT(Tabla1[[#This Row],[Fecha]],"MMMM")</f>
        <v>junio</v>
      </c>
      <c r="C405" t="s">
        <v>415</v>
      </c>
      <c r="D405" t="s">
        <v>5025</v>
      </c>
      <c r="E405" t="s">
        <v>5033</v>
      </c>
      <c r="F405" t="s">
        <v>5035</v>
      </c>
      <c r="G405" s="3">
        <v>2347.87</v>
      </c>
      <c r="H405" s="3">
        <v>305.22000000000003</v>
      </c>
      <c r="I405" s="3">
        <f>SUM(Tabla1[[#This Row],[Monto_Base]],H405)</f>
        <v>2653.09</v>
      </c>
      <c r="J405" t="s">
        <v>5042</v>
      </c>
      <c r="K405" t="s">
        <v>5047</v>
      </c>
      <c r="L405" t="s">
        <v>5051</v>
      </c>
      <c r="M405" t="s">
        <v>5055</v>
      </c>
    </row>
    <row r="406" spans="1:13" x14ac:dyDescent="0.3">
      <c r="A406" s="1">
        <v>45558</v>
      </c>
      <c r="B406" s="1" t="str">
        <f>TEXT(Tabla1[[#This Row],[Fecha]],"MMMM")</f>
        <v>septiembre</v>
      </c>
      <c r="C406" t="s">
        <v>416</v>
      </c>
      <c r="D406" t="s">
        <v>5030</v>
      </c>
      <c r="E406" t="s">
        <v>5032</v>
      </c>
      <c r="F406" t="s">
        <v>5034</v>
      </c>
      <c r="G406" s="3">
        <v>14356.97</v>
      </c>
      <c r="H406" s="3">
        <v>0</v>
      </c>
      <c r="I406" s="3">
        <f>SUM(Tabla1[[#This Row],[Monto_Base]],H406)</f>
        <v>14356.97</v>
      </c>
      <c r="J406" t="s">
        <v>5045</v>
      </c>
      <c r="K406" t="s">
        <v>5049</v>
      </c>
      <c r="L406" t="s">
        <v>5052</v>
      </c>
      <c r="M406" t="s">
        <v>5055</v>
      </c>
    </row>
    <row r="407" spans="1:13" x14ac:dyDescent="0.3">
      <c r="A407" s="1">
        <v>45631</v>
      </c>
      <c r="B407" s="1" t="str">
        <f>TEXT(Tabla1[[#This Row],[Fecha]],"MMMM")</f>
        <v>diciembre</v>
      </c>
      <c r="C407" t="s">
        <v>417</v>
      </c>
      <c r="D407" t="s">
        <v>5030</v>
      </c>
      <c r="E407" t="s">
        <v>5032</v>
      </c>
      <c r="F407" t="s">
        <v>5034</v>
      </c>
      <c r="G407" s="3">
        <v>13256.78</v>
      </c>
      <c r="H407" s="3">
        <v>0</v>
      </c>
      <c r="I407" s="3">
        <f>SUM(Tabla1[[#This Row],[Monto_Base]],H407)</f>
        <v>13256.78</v>
      </c>
      <c r="J407" t="s">
        <v>5044</v>
      </c>
      <c r="K407" t="s">
        <v>5048</v>
      </c>
      <c r="L407" t="s">
        <v>5051</v>
      </c>
      <c r="M407" t="s">
        <v>5055</v>
      </c>
    </row>
    <row r="408" spans="1:13" x14ac:dyDescent="0.3">
      <c r="A408" s="1">
        <v>45469</v>
      </c>
      <c r="B408" s="1" t="str">
        <f>TEXT(Tabla1[[#This Row],[Fecha]],"MMMM")</f>
        <v>junio</v>
      </c>
      <c r="C408" t="s">
        <v>418</v>
      </c>
      <c r="D408" t="s">
        <v>5031</v>
      </c>
      <c r="E408" t="s">
        <v>5032</v>
      </c>
      <c r="F408" t="s">
        <v>5035</v>
      </c>
      <c r="G408" s="3">
        <v>1765.09</v>
      </c>
      <c r="H408" s="3">
        <v>0</v>
      </c>
      <c r="I408" s="3">
        <f>SUM(Tabla1[[#This Row],[Monto_Base]],H408)</f>
        <v>1765.09</v>
      </c>
      <c r="J408" t="s">
        <v>5043</v>
      </c>
      <c r="K408" t="s">
        <v>5047</v>
      </c>
      <c r="L408" t="s">
        <v>5052</v>
      </c>
      <c r="M408" t="s">
        <v>5054</v>
      </c>
    </row>
    <row r="409" spans="1:13" x14ac:dyDescent="0.3">
      <c r="A409" s="1">
        <v>45436</v>
      </c>
      <c r="B409" s="1" t="str">
        <f>TEXT(Tabla1[[#This Row],[Fecha]],"MMMM")</f>
        <v>mayo</v>
      </c>
      <c r="C409" t="s">
        <v>419</v>
      </c>
      <c r="D409" t="s">
        <v>5019</v>
      </c>
      <c r="E409" t="s">
        <v>5033</v>
      </c>
      <c r="F409" t="s">
        <v>5037</v>
      </c>
      <c r="G409" s="3">
        <v>3886.03</v>
      </c>
      <c r="H409" s="3">
        <v>505.18</v>
      </c>
      <c r="I409" s="3">
        <f>SUM(Tabla1[[#This Row],[Monto_Base]],H409)</f>
        <v>4391.21</v>
      </c>
      <c r="J409" t="s">
        <v>5045</v>
      </c>
      <c r="K409" t="s">
        <v>5049</v>
      </c>
      <c r="L409" t="s">
        <v>5051</v>
      </c>
      <c r="M409" t="s">
        <v>5055</v>
      </c>
    </row>
    <row r="410" spans="1:13" x14ac:dyDescent="0.3">
      <c r="A410" s="1">
        <v>45334</v>
      </c>
      <c r="B410" s="1" t="str">
        <f>TEXT(Tabla1[[#This Row],[Fecha]],"MMMM")</f>
        <v>febrero</v>
      </c>
      <c r="C410" t="s">
        <v>420</v>
      </c>
      <c r="D410" t="s">
        <v>5022</v>
      </c>
      <c r="E410" t="s">
        <v>5032</v>
      </c>
      <c r="F410" t="s">
        <v>5034</v>
      </c>
      <c r="G410" s="3">
        <v>4838.68</v>
      </c>
      <c r="H410" s="3">
        <v>0</v>
      </c>
      <c r="I410" s="3">
        <f>SUM(Tabla1[[#This Row],[Monto_Base]],H410)</f>
        <v>4838.68</v>
      </c>
      <c r="J410" t="s">
        <v>5045</v>
      </c>
      <c r="K410" t="s">
        <v>5047</v>
      </c>
      <c r="L410" t="s">
        <v>5053</v>
      </c>
      <c r="M410" t="s">
        <v>5054</v>
      </c>
    </row>
    <row r="411" spans="1:13" x14ac:dyDescent="0.3">
      <c r="A411" s="1">
        <v>45651</v>
      </c>
      <c r="B411" s="1" t="str">
        <f>TEXT(Tabla1[[#This Row],[Fecha]],"MMMM")</f>
        <v>diciembre</v>
      </c>
      <c r="C411" t="s">
        <v>421</v>
      </c>
      <c r="D411" t="s">
        <v>5017</v>
      </c>
      <c r="E411" t="s">
        <v>5032</v>
      </c>
      <c r="F411" t="s">
        <v>5036</v>
      </c>
      <c r="G411" s="3">
        <v>3123.41</v>
      </c>
      <c r="H411" s="3">
        <v>0</v>
      </c>
      <c r="I411" s="3">
        <f>SUM(Tabla1[[#This Row],[Monto_Base]],H411)</f>
        <v>3123.41</v>
      </c>
      <c r="J411" t="s">
        <v>5043</v>
      </c>
      <c r="K411" t="s">
        <v>5049</v>
      </c>
      <c r="L411" t="s">
        <v>5053</v>
      </c>
      <c r="M411" t="s">
        <v>5054</v>
      </c>
    </row>
    <row r="412" spans="1:13" x14ac:dyDescent="0.3">
      <c r="A412" s="1">
        <v>45319</v>
      </c>
      <c r="B412" s="1" t="str">
        <f>TEXT(Tabla1[[#This Row],[Fecha]],"MMMM")</f>
        <v>enero</v>
      </c>
      <c r="C412" t="s">
        <v>422</v>
      </c>
      <c r="D412" t="s">
        <v>5018</v>
      </c>
      <c r="E412" t="s">
        <v>5032</v>
      </c>
      <c r="F412" t="s">
        <v>5035</v>
      </c>
      <c r="G412" s="3">
        <v>1358.44</v>
      </c>
      <c r="H412" s="3">
        <v>0</v>
      </c>
      <c r="I412" s="3">
        <f>SUM(Tabla1[[#This Row],[Monto_Base]],H412)</f>
        <v>1358.44</v>
      </c>
      <c r="J412" t="s">
        <v>5046</v>
      </c>
      <c r="K412" t="s">
        <v>5048</v>
      </c>
      <c r="L412" t="s">
        <v>5053</v>
      </c>
      <c r="M412" t="s">
        <v>5054</v>
      </c>
    </row>
    <row r="413" spans="1:13" x14ac:dyDescent="0.3">
      <c r="A413" s="1">
        <v>45513</v>
      </c>
      <c r="B413" s="1" t="str">
        <f>TEXT(Tabla1[[#This Row],[Fecha]],"MMMM")</f>
        <v>agosto</v>
      </c>
      <c r="C413" t="s">
        <v>423</v>
      </c>
      <c r="D413" t="s">
        <v>5019</v>
      </c>
      <c r="E413" t="s">
        <v>5032</v>
      </c>
      <c r="F413" t="s">
        <v>5041</v>
      </c>
      <c r="G413" s="3">
        <v>9471.75</v>
      </c>
      <c r="H413" s="3">
        <v>0</v>
      </c>
      <c r="I413" s="3">
        <f>SUM(Tabla1[[#This Row],[Monto_Base]],H413)</f>
        <v>9471.75</v>
      </c>
      <c r="J413" t="s">
        <v>5044</v>
      </c>
      <c r="K413" t="s">
        <v>5047</v>
      </c>
      <c r="L413" t="s">
        <v>5050</v>
      </c>
      <c r="M413" t="s">
        <v>5054</v>
      </c>
    </row>
    <row r="414" spans="1:13" x14ac:dyDescent="0.3">
      <c r="A414" s="1">
        <v>45329</v>
      </c>
      <c r="B414" s="1" t="str">
        <f>TEXT(Tabla1[[#This Row],[Fecha]],"MMMM")</f>
        <v>febrero</v>
      </c>
      <c r="C414" t="s">
        <v>424</v>
      </c>
      <c r="D414" t="s">
        <v>5031</v>
      </c>
      <c r="E414" t="s">
        <v>5033</v>
      </c>
      <c r="F414" t="s">
        <v>5035</v>
      </c>
      <c r="G414" s="3">
        <v>10528.19</v>
      </c>
      <c r="H414" s="3">
        <v>1368.66</v>
      </c>
      <c r="I414" s="3">
        <f>SUM(Tabla1[[#This Row],[Monto_Base]],H414)</f>
        <v>11896.85</v>
      </c>
      <c r="J414" t="s">
        <v>5044</v>
      </c>
      <c r="K414" t="s">
        <v>5049</v>
      </c>
      <c r="L414" t="s">
        <v>5053</v>
      </c>
      <c r="M414" t="s">
        <v>5055</v>
      </c>
    </row>
    <row r="415" spans="1:13" x14ac:dyDescent="0.3">
      <c r="A415" s="1">
        <v>45516</v>
      </c>
      <c r="B415" s="1" t="str">
        <f>TEXT(Tabla1[[#This Row],[Fecha]],"MMMM")</f>
        <v>agosto</v>
      </c>
      <c r="C415" t="s">
        <v>425</v>
      </c>
      <c r="D415" t="s">
        <v>5014</v>
      </c>
      <c r="E415" t="s">
        <v>5033</v>
      </c>
      <c r="F415" t="s">
        <v>5038</v>
      </c>
      <c r="G415" s="3">
        <v>11490.85</v>
      </c>
      <c r="H415" s="3">
        <v>1493.81</v>
      </c>
      <c r="I415" s="3">
        <f>SUM(Tabla1[[#This Row],[Monto_Base]],H415)</f>
        <v>12984.66</v>
      </c>
      <c r="J415" t="s">
        <v>5043</v>
      </c>
      <c r="K415" t="s">
        <v>5048</v>
      </c>
      <c r="L415" t="s">
        <v>5053</v>
      </c>
      <c r="M415" t="s">
        <v>5055</v>
      </c>
    </row>
    <row r="416" spans="1:13" x14ac:dyDescent="0.3">
      <c r="A416" s="1">
        <v>45571</v>
      </c>
      <c r="B416" s="1" t="str">
        <f>TEXT(Tabla1[[#This Row],[Fecha]],"MMMM")</f>
        <v>octubre</v>
      </c>
      <c r="C416" t="s">
        <v>426</v>
      </c>
      <c r="D416" t="s">
        <v>5023</v>
      </c>
      <c r="E416" t="s">
        <v>5033</v>
      </c>
      <c r="F416" t="s">
        <v>5039</v>
      </c>
      <c r="G416" s="3">
        <v>11213.97</v>
      </c>
      <c r="H416" s="3">
        <v>1457.82</v>
      </c>
      <c r="I416" s="3">
        <f>SUM(Tabla1[[#This Row],[Monto_Base]],H416)</f>
        <v>12671.789999999999</v>
      </c>
      <c r="J416" t="s">
        <v>5044</v>
      </c>
      <c r="K416" t="s">
        <v>5049</v>
      </c>
      <c r="L416" t="s">
        <v>5052</v>
      </c>
      <c r="M416" t="s">
        <v>5055</v>
      </c>
    </row>
    <row r="417" spans="1:13" x14ac:dyDescent="0.3">
      <c r="A417" s="1">
        <v>45585</v>
      </c>
      <c r="B417" s="1" t="str">
        <f>TEXT(Tabla1[[#This Row],[Fecha]],"MMMM")</f>
        <v>octubre</v>
      </c>
      <c r="C417" t="s">
        <v>427</v>
      </c>
      <c r="D417" t="s">
        <v>5022</v>
      </c>
      <c r="E417" t="s">
        <v>5033</v>
      </c>
      <c r="F417" t="s">
        <v>5036</v>
      </c>
      <c r="G417" s="3">
        <v>674.51</v>
      </c>
      <c r="H417" s="3">
        <v>87.69</v>
      </c>
      <c r="I417" s="3">
        <f>SUM(Tabla1[[#This Row],[Monto_Base]],H417)</f>
        <v>762.2</v>
      </c>
      <c r="J417" t="s">
        <v>5042</v>
      </c>
      <c r="K417" t="s">
        <v>5048</v>
      </c>
      <c r="L417" t="s">
        <v>5053</v>
      </c>
      <c r="M417" t="s">
        <v>5055</v>
      </c>
    </row>
    <row r="418" spans="1:13" x14ac:dyDescent="0.3">
      <c r="A418" s="1">
        <v>45554</v>
      </c>
      <c r="B418" s="1" t="str">
        <f>TEXT(Tabla1[[#This Row],[Fecha]],"MMMM")</f>
        <v>septiembre</v>
      </c>
      <c r="C418" t="s">
        <v>428</v>
      </c>
      <c r="D418" t="s">
        <v>5015</v>
      </c>
      <c r="E418" t="s">
        <v>5033</v>
      </c>
      <c r="F418" t="s">
        <v>5037</v>
      </c>
      <c r="G418" s="3">
        <v>13589.14</v>
      </c>
      <c r="H418" s="3">
        <v>1766.59</v>
      </c>
      <c r="I418" s="3">
        <f>SUM(Tabla1[[#This Row],[Monto_Base]],H418)</f>
        <v>15355.73</v>
      </c>
      <c r="J418" t="s">
        <v>5046</v>
      </c>
      <c r="K418" t="s">
        <v>5047</v>
      </c>
      <c r="L418" t="s">
        <v>5052</v>
      </c>
      <c r="M418" t="s">
        <v>5054</v>
      </c>
    </row>
    <row r="419" spans="1:13" x14ac:dyDescent="0.3">
      <c r="A419" s="1">
        <v>45582</v>
      </c>
      <c r="B419" s="1" t="str">
        <f>TEXT(Tabla1[[#This Row],[Fecha]],"MMMM")</f>
        <v>octubre</v>
      </c>
      <c r="C419" t="s">
        <v>429</v>
      </c>
      <c r="D419" t="s">
        <v>5024</v>
      </c>
      <c r="E419" t="s">
        <v>5033</v>
      </c>
      <c r="F419" t="s">
        <v>5039</v>
      </c>
      <c r="G419" s="3">
        <v>10081.120000000001</v>
      </c>
      <c r="H419" s="3">
        <v>1310.55</v>
      </c>
      <c r="I419" s="3">
        <f>SUM(Tabla1[[#This Row],[Monto_Base]],H419)</f>
        <v>11391.67</v>
      </c>
      <c r="J419" t="s">
        <v>5045</v>
      </c>
      <c r="K419" t="s">
        <v>5049</v>
      </c>
      <c r="L419" t="s">
        <v>5050</v>
      </c>
      <c r="M419" t="s">
        <v>5054</v>
      </c>
    </row>
    <row r="420" spans="1:13" x14ac:dyDescent="0.3">
      <c r="A420" s="1">
        <v>45589</v>
      </c>
      <c r="B420" s="1" t="str">
        <f>TEXT(Tabla1[[#This Row],[Fecha]],"MMMM")</f>
        <v>octubre</v>
      </c>
      <c r="C420" t="s">
        <v>430</v>
      </c>
      <c r="D420" t="s">
        <v>5030</v>
      </c>
      <c r="E420" t="s">
        <v>5032</v>
      </c>
      <c r="F420" t="s">
        <v>5036</v>
      </c>
      <c r="G420" s="3">
        <v>3001.39</v>
      </c>
      <c r="H420" s="3">
        <v>0</v>
      </c>
      <c r="I420" s="3">
        <f>SUM(Tabla1[[#This Row],[Monto_Base]],H420)</f>
        <v>3001.39</v>
      </c>
      <c r="J420" t="s">
        <v>5043</v>
      </c>
      <c r="K420" t="s">
        <v>5048</v>
      </c>
      <c r="L420" t="s">
        <v>5051</v>
      </c>
      <c r="M420" t="s">
        <v>5054</v>
      </c>
    </row>
    <row r="421" spans="1:13" x14ac:dyDescent="0.3">
      <c r="A421" s="1">
        <v>45454</v>
      </c>
      <c r="B421" s="1" t="str">
        <f>TEXT(Tabla1[[#This Row],[Fecha]],"MMMM")</f>
        <v>junio</v>
      </c>
      <c r="C421" t="s">
        <v>431</v>
      </c>
      <c r="D421" t="s">
        <v>5013</v>
      </c>
      <c r="E421" t="s">
        <v>5032</v>
      </c>
      <c r="F421" t="s">
        <v>5036</v>
      </c>
      <c r="G421" s="3">
        <v>13506.77</v>
      </c>
      <c r="H421" s="3">
        <v>0</v>
      </c>
      <c r="I421" s="3">
        <f>SUM(Tabla1[[#This Row],[Monto_Base]],H421)</f>
        <v>13506.77</v>
      </c>
      <c r="J421" t="s">
        <v>5043</v>
      </c>
      <c r="K421" t="s">
        <v>5048</v>
      </c>
      <c r="L421" t="s">
        <v>5051</v>
      </c>
      <c r="M421" t="s">
        <v>5055</v>
      </c>
    </row>
    <row r="422" spans="1:13" x14ac:dyDescent="0.3">
      <c r="A422" s="1">
        <v>45378</v>
      </c>
      <c r="B422" s="1" t="str">
        <f>TEXT(Tabla1[[#This Row],[Fecha]],"MMMM")</f>
        <v>marzo</v>
      </c>
      <c r="C422" t="s">
        <v>432</v>
      </c>
      <c r="D422" t="s">
        <v>5031</v>
      </c>
      <c r="E422" t="s">
        <v>5032</v>
      </c>
      <c r="F422" t="s">
        <v>5040</v>
      </c>
      <c r="G422" s="3">
        <v>14381.95</v>
      </c>
      <c r="H422" s="3">
        <v>0</v>
      </c>
      <c r="I422" s="3">
        <f>SUM(Tabla1[[#This Row],[Monto_Base]],H422)</f>
        <v>14381.95</v>
      </c>
      <c r="J422" t="s">
        <v>5045</v>
      </c>
      <c r="K422" t="s">
        <v>5048</v>
      </c>
      <c r="L422" t="s">
        <v>5052</v>
      </c>
      <c r="M422" t="s">
        <v>5054</v>
      </c>
    </row>
    <row r="423" spans="1:13" x14ac:dyDescent="0.3">
      <c r="A423" s="1">
        <v>45461</v>
      </c>
      <c r="B423" s="1" t="str">
        <f>TEXT(Tabla1[[#This Row],[Fecha]],"MMMM")</f>
        <v>junio</v>
      </c>
      <c r="C423" t="s">
        <v>433</v>
      </c>
      <c r="D423" t="s">
        <v>5029</v>
      </c>
      <c r="E423" t="s">
        <v>5032</v>
      </c>
      <c r="F423" t="s">
        <v>5039</v>
      </c>
      <c r="G423" s="3">
        <v>10209.719999999999</v>
      </c>
      <c r="H423" s="3">
        <v>0</v>
      </c>
      <c r="I423" s="3">
        <f>SUM(Tabla1[[#This Row],[Monto_Base]],H423)</f>
        <v>10209.719999999999</v>
      </c>
      <c r="J423" t="s">
        <v>5043</v>
      </c>
      <c r="K423" t="s">
        <v>5048</v>
      </c>
      <c r="L423" t="s">
        <v>5050</v>
      </c>
      <c r="M423" t="s">
        <v>5055</v>
      </c>
    </row>
    <row r="424" spans="1:13" x14ac:dyDescent="0.3">
      <c r="A424" s="1">
        <v>45333</v>
      </c>
      <c r="B424" s="1" t="str">
        <f>TEXT(Tabla1[[#This Row],[Fecha]],"MMMM")</f>
        <v>febrero</v>
      </c>
      <c r="C424" t="s">
        <v>434</v>
      </c>
      <c r="D424" t="s">
        <v>5025</v>
      </c>
      <c r="E424" t="s">
        <v>5033</v>
      </c>
      <c r="F424" t="s">
        <v>5039</v>
      </c>
      <c r="G424" s="3">
        <v>9701</v>
      </c>
      <c r="H424" s="3">
        <v>1261.1300000000001</v>
      </c>
      <c r="I424" s="3">
        <f>SUM(Tabla1[[#This Row],[Monto_Base]],H424)</f>
        <v>10962.130000000001</v>
      </c>
      <c r="J424" t="s">
        <v>5044</v>
      </c>
      <c r="K424" t="s">
        <v>5047</v>
      </c>
      <c r="L424" t="s">
        <v>5052</v>
      </c>
      <c r="M424" t="s">
        <v>5055</v>
      </c>
    </row>
    <row r="425" spans="1:13" x14ac:dyDescent="0.3">
      <c r="A425" s="1">
        <v>45588</v>
      </c>
      <c r="B425" s="1" t="str">
        <f>TEXT(Tabla1[[#This Row],[Fecha]],"MMMM")</f>
        <v>octubre</v>
      </c>
      <c r="C425" t="s">
        <v>435</v>
      </c>
      <c r="D425" t="s">
        <v>5013</v>
      </c>
      <c r="E425" t="s">
        <v>5033</v>
      </c>
      <c r="F425" t="s">
        <v>5035</v>
      </c>
      <c r="G425" s="3">
        <v>12199</v>
      </c>
      <c r="H425" s="3">
        <v>1585.87</v>
      </c>
      <c r="I425" s="3">
        <f>SUM(Tabla1[[#This Row],[Monto_Base]],H425)</f>
        <v>13784.869999999999</v>
      </c>
      <c r="J425" t="s">
        <v>5043</v>
      </c>
      <c r="K425" t="s">
        <v>5049</v>
      </c>
      <c r="L425" t="s">
        <v>5052</v>
      </c>
      <c r="M425" t="s">
        <v>5054</v>
      </c>
    </row>
    <row r="426" spans="1:13" x14ac:dyDescent="0.3">
      <c r="A426" s="1">
        <v>45406</v>
      </c>
      <c r="B426" s="1" t="str">
        <f>TEXT(Tabla1[[#This Row],[Fecha]],"MMMM")</f>
        <v>abril</v>
      </c>
      <c r="C426" t="s">
        <v>436</v>
      </c>
      <c r="D426" t="s">
        <v>5016</v>
      </c>
      <c r="E426" t="s">
        <v>5032</v>
      </c>
      <c r="F426" t="s">
        <v>5039</v>
      </c>
      <c r="G426" s="3">
        <v>5518.99</v>
      </c>
      <c r="H426" s="3">
        <v>0</v>
      </c>
      <c r="I426" s="3">
        <f>SUM(Tabla1[[#This Row],[Monto_Base]],H426)</f>
        <v>5518.99</v>
      </c>
      <c r="J426" t="s">
        <v>5042</v>
      </c>
      <c r="K426" t="s">
        <v>5049</v>
      </c>
      <c r="L426" t="s">
        <v>5051</v>
      </c>
      <c r="M426" t="s">
        <v>5054</v>
      </c>
    </row>
    <row r="427" spans="1:13" x14ac:dyDescent="0.3">
      <c r="A427" s="1">
        <v>45297</v>
      </c>
      <c r="B427" s="1" t="str">
        <f>TEXT(Tabla1[[#This Row],[Fecha]],"MMMM")</f>
        <v>enero</v>
      </c>
      <c r="C427" t="s">
        <v>437</v>
      </c>
      <c r="D427" t="s">
        <v>5016</v>
      </c>
      <c r="E427" t="s">
        <v>5033</v>
      </c>
      <c r="F427" t="s">
        <v>5037</v>
      </c>
      <c r="G427" s="3">
        <v>5489.79</v>
      </c>
      <c r="H427" s="3">
        <v>713.67</v>
      </c>
      <c r="I427" s="3">
        <f>SUM(Tabla1[[#This Row],[Monto_Base]],H427)</f>
        <v>6203.46</v>
      </c>
      <c r="J427" t="s">
        <v>5046</v>
      </c>
      <c r="K427" t="s">
        <v>5049</v>
      </c>
      <c r="L427" t="s">
        <v>5052</v>
      </c>
      <c r="M427" t="s">
        <v>5054</v>
      </c>
    </row>
    <row r="428" spans="1:13" x14ac:dyDescent="0.3">
      <c r="A428" s="1">
        <v>45539</v>
      </c>
      <c r="B428" s="1" t="str">
        <f>TEXT(Tabla1[[#This Row],[Fecha]],"MMMM")</f>
        <v>septiembre</v>
      </c>
      <c r="C428" t="s">
        <v>438</v>
      </c>
      <c r="D428" t="s">
        <v>5028</v>
      </c>
      <c r="E428" t="s">
        <v>5033</v>
      </c>
      <c r="F428" t="s">
        <v>5039</v>
      </c>
      <c r="G428" s="3">
        <v>11052</v>
      </c>
      <c r="H428" s="3">
        <v>1436.76</v>
      </c>
      <c r="I428" s="3">
        <f>SUM(Tabla1[[#This Row],[Monto_Base]],H428)</f>
        <v>12488.76</v>
      </c>
      <c r="J428" t="s">
        <v>5044</v>
      </c>
      <c r="K428" t="s">
        <v>5047</v>
      </c>
      <c r="L428" t="s">
        <v>5052</v>
      </c>
      <c r="M428" t="s">
        <v>5055</v>
      </c>
    </row>
    <row r="429" spans="1:13" x14ac:dyDescent="0.3">
      <c r="A429" s="1">
        <v>45634</v>
      </c>
      <c r="B429" s="1" t="str">
        <f>TEXT(Tabla1[[#This Row],[Fecha]],"MMMM")</f>
        <v>diciembre</v>
      </c>
      <c r="C429" t="s">
        <v>439</v>
      </c>
      <c r="D429" t="s">
        <v>5013</v>
      </c>
      <c r="E429" t="s">
        <v>5032</v>
      </c>
      <c r="F429" t="s">
        <v>5040</v>
      </c>
      <c r="G429" s="3">
        <v>3548.58</v>
      </c>
      <c r="H429" s="3">
        <v>0</v>
      </c>
      <c r="I429" s="3">
        <f>SUM(Tabla1[[#This Row],[Monto_Base]],H429)</f>
        <v>3548.58</v>
      </c>
      <c r="J429" t="s">
        <v>5046</v>
      </c>
      <c r="K429" t="s">
        <v>5049</v>
      </c>
      <c r="L429" t="s">
        <v>5051</v>
      </c>
      <c r="M429" t="s">
        <v>5055</v>
      </c>
    </row>
    <row r="430" spans="1:13" x14ac:dyDescent="0.3">
      <c r="A430" s="1">
        <v>45457</v>
      </c>
      <c r="B430" s="1" t="str">
        <f>TEXT(Tabla1[[#This Row],[Fecha]],"MMMM")</f>
        <v>junio</v>
      </c>
      <c r="C430" t="s">
        <v>440</v>
      </c>
      <c r="D430" t="s">
        <v>5025</v>
      </c>
      <c r="E430" t="s">
        <v>5033</v>
      </c>
      <c r="F430" t="s">
        <v>5035</v>
      </c>
      <c r="G430" s="3">
        <v>14709.82</v>
      </c>
      <c r="H430" s="3">
        <v>1912.28</v>
      </c>
      <c r="I430" s="3">
        <f>SUM(Tabla1[[#This Row],[Monto_Base]],H430)</f>
        <v>16622.099999999999</v>
      </c>
      <c r="J430" t="s">
        <v>5045</v>
      </c>
      <c r="K430" t="s">
        <v>5049</v>
      </c>
      <c r="L430" t="s">
        <v>5051</v>
      </c>
      <c r="M430" t="s">
        <v>5055</v>
      </c>
    </row>
    <row r="431" spans="1:13" x14ac:dyDescent="0.3">
      <c r="A431" s="1">
        <v>45331</v>
      </c>
      <c r="B431" s="1" t="str">
        <f>TEXT(Tabla1[[#This Row],[Fecha]],"MMMM")</f>
        <v>febrero</v>
      </c>
      <c r="C431" t="s">
        <v>441</v>
      </c>
      <c r="D431" t="s">
        <v>5027</v>
      </c>
      <c r="E431" t="s">
        <v>5032</v>
      </c>
      <c r="F431" t="s">
        <v>5040</v>
      </c>
      <c r="G431" s="3">
        <v>8835.7999999999993</v>
      </c>
      <c r="H431" s="3">
        <v>0</v>
      </c>
      <c r="I431" s="3">
        <f>SUM(Tabla1[[#This Row],[Monto_Base]],H431)</f>
        <v>8835.7999999999993</v>
      </c>
      <c r="J431" t="s">
        <v>5042</v>
      </c>
      <c r="K431" t="s">
        <v>5048</v>
      </c>
      <c r="L431" t="s">
        <v>5050</v>
      </c>
      <c r="M431" t="s">
        <v>5054</v>
      </c>
    </row>
    <row r="432" spans="1:13" x14ac:dyDescent="0.3">
      <c r="A432" s="1">
        <v>45601</v>
      </c>
      <c r="B432" s="1" t="str">
        <f>TEXT(Tabla1[[#This Row],[Fecha]],"MMMM")</f>
        <v>noviembre</v>
      </c>
      <c r="C432" t="s">
        <v>442</v>
      </c>
      <c r="D432" t="s">
        <v>5020</v>
      </c>
      <c r="E432" t="s">
        <v>5032</v>
      </c>
      <c r="F432" t="s">
        <v>5041</v>
      </c>
      <c r="G432" s="3">
        <v>11900.23</v>
      </c>
      <c r="H432" s="3">
        <v>0</v>
      </c>
      <c r="I432" s="3">
        <f>SUM(Tabla1[[#This Row],[Monto_Base]],H432)</f>
        <v>11900.23</v>
      </c>
      <c r="J432" t="s">
        <v>5045</v>
      </c>
      <c r="K432" t="s">
        <v>5049</v>
      </c>
      <c r="L432" t="s">
        <v>5052</v>
      </c>
      <c r="M432" t="s">
        <v>5055</v>
      </c>
    </row>
    <row r="433" spans="1:13" x14ac:dyDescent="0.3">
      <c r="A433" s="1">
        <v>45387</v>
      </c>
      <c r="B433" s="1" t="str">
        <f>TEXT(Tabla1[[#This Row],[Fecha]],"MMMM")</f>
        <v>abril</v>
      </c>
      <c r="C433" t="s">
        <v>443</v>
      </c>
      <c r="D433" t="s">
        <v>5017</v>
      </c>
      <c r="E433" t="s">
        <v>5033</v>
      </c>
      <c r="F433" t="s">
        <v>5038</v>
      </c>
      <c r="G433" s="3">
        <v>3212.18</v>
      </c>
      <c r="H433" s="3">
        <v>417.58</v>
      </c>
      <c r="I433" s="3">
        <f>SUM(Tabla1[[#This Row],[Monto_Base]],H433)</f>
        <v>3629.7599999999998</v>
      </c>
      <c r="J433" t="s">
        <v>5046</v>
      </c>
      <c r="K433" t="s">
        <v>5048</v>
      </c>
      <c r="L433" t="s">
        <v>5053</v>
      </c>
      <c r="M433" t="s">
        <v>5054</v>
      </c>
    </row>
    <row r="434" spans="1:13" x14ac:dyDescent="0.3">
      <c r="A434" s="1">
        <v>45537</v>
      </c>
      <c r="B434" s="1" t="str">
        <f>TEXT(Tabla1[[#This Row],[Fecha]],"MMMM")</f>
        <v>septiembre</v>
      </c>
      <c r="C434" t="s">
        <v>444</v>
      </c>
      <c r="D434" t="s">
        <v>5020</v>
      </c>
      <c r="E434" t="s">
        <v>5033</v>
      </c>
      <c r="F434" t="s">
        <v>5041</v>
      </c>
      <c r="G434" s="3">
        <v>10144.68</v>
      </c>
      <c r="H434" s="3">
        <v>1318.81</v>
      </c>
      <c r="I434" s="3">
        <f>SUM(Tabla1[[#This Row],[Monto_Base]],H434)</f>
        <v>11463.49</v>
      </c>
      <c r="J434" t="s">
        <v>5046</v>
      </c>
      <c r="K434" t="s">
        <v>5049</v>
      </c>
      <c r="L434" t="s">
        <v>5052</v>
      </c>
      <c r="M434" t="s">
        <v>5055</v>
      </c>
    </row>
    <row r="435" spans="1:13" x14ac:dyDescent="0.3">
      <c r="A435" s="1">
        <v>45374</v>
      </c>
      <c r="B435" s="1" t="str">
        <f>TEXT(Tabla1[[#This Row],[Fecha]],"MMMM")</f>
        <v>marzo</v>
      </c>
      <c r="C435" t="s">
        <v>445</v>
      </c>
      <c r="D435" t="s">
        <v>5017</v>
      </c>
      <c r="E435" t="s">
        <v>5033</v>
      </c>
      <c r="F435" t="s">
        <v>5039</v>
      </c>
      <c r="G435" s="3">
        <v>8623.6200000000008</v>
      </c>
      <c r="H435" s="3">
        <v>1121.07</v>
      </c>
      <c r="I435" s="3">
        <f>SUM(Tabla1[[#This Row],[Monto_Base]],H435)</f>
        <v>9744.69</v>
      </c>
      <c r="J435" t="s">
        <v>5046</v>
      </c>
      <c r="K435" t="s">
        <v>5049</v>
      </c>
      <c r="L435" t="s">
        <v>5053</v>
      </c>
      <c r="M435" t="s">
        <v>5054</v>
      </c>
    </row>
    <row r="436" spans="1:13" x14ac:dyDescent="0.3">
      <c r="A436" s="1">
        <v>45499</v>
      </c>
      <c r="B436" s="1" t="str">
        <f>TEXT(Tabla1[[#This Row],[Fecha]],"MMMM")</f>
        <v>julio</v>
      </c>
      <c r="C436" t="s">
        <v>446</v>
      </c>
      <c r="D436" t="s">
        <v>5026</v>
      </c>
      <c r="E436" t="s">
        <v>5032</v>
      </c>
      <c r="F436" t="s">
        <v>5039</v>
      </c>
      <c r="G436" s="3">
        <v>7773.78</v>
      </c>
      <c r="H436" s="3">
        <v>0</v>
      </c>
      <c r="I436" s="3">
        <f>SUM(Tabla1[[#This Row],[Monto_Base]],H436)</f>
        <v>7773.78</v>
      </c>
      <c r="J436" t="s">
        <v>5042</v>
      </c>
      <c r="K436" t="s">
        <v>5049</v>
      </c>
      <c r="L436" t="s">
        <v>5053</v>
      </c>
      <c r="M436" t="s">
        <v>5055</v>
      </c>
    </row>
    <row r="437" spans="1:13" x14ac:dyDescent="0.3">
      <c r="A437" s="1">
        <v>45379</v>
      </c>
      <c r="B437" s="1" t="str">
        <f>TEXT(Tabla1[[#This Row],[Fecha]],"MMMM")</f>
        <v>marzo</v>
      </c>
      <c r="C437" t="s">
        <v>447</v>
      </c>
      <c r="D437" t="s">
        <v>5017</v>
      </c>
      <c r="E437" t="s">
        <v>5032</v>
      </c>
      <c r="F437" t="s">
        <v>5041</v>
      </c>
      <c r="G437" s="3">
        <v>13016.17</v>
      </c>
      <c r="H437" s="3">
        <v>0</v>
      </c>
      <c r="I437" s="3">
        <f>SUM(Tabla1[[#This Row],[Monto_Base]],H437)</f>
        <v>13016.17</v>
      </c>
      <c r="J437" t="s">
        <v>5046</v>
      </c>
      <c r="K437" t="s">
        <v>5048</v>
      </c>
      <c r="L437" t="s">
        <v>5052</v>
      </c>
      <c r="M437" t="s">
        <v>5054</v>
      </c>
    </row>
    <row r="438" spans="1:13" x14ac:dyDescent="0.3">
      <c r="A438" s="1">
        <v>45327</v>
      </c>
      <c r="B438" s="1" t="str">
        <f>TEXT(Tabla1[[#This Row],[Fecha]],"MMMM")</f>
        <v>febrero</v>
      </c>
      <c r="C438" t="s">
        <v>448</v>
      </c>
      <c r="D438" t="s">
        <v>5028</v>
      </c>
      <c r="E438" t="s">
        <v>5032</v>
      </c>
      <c r="F438" t="s">
        <v>5041</v>
      </c>
      <c r="G438" s="3">
        <v>8968.17</v>
      </c>
      <c r="H438" s="3">
        <v>0</v>
      </c>
      <c r="I438" s="3">
        <f>SUM(Tabla1[[#This Row],[Monto_Base]],H438)</f>
        <v>8968.17</v>
      </c>
      <c r="J438" t="s">
        <v>5046</v>
      </c>
      <c r="K438" t="s">
        <v>5048</v>
      </c>
      <c r="L438" t="s">
        <v>5050</v>
      </c>
      <c r="M438" t="s">
        <v>5054</v>
      </c>
    </row>
    <row r="439" spans="1:13" x14ac:dyDescent="0.3">
      <c r="A439" s="1">
        <v>45602</v>
      </c>
      <c r="B439" s="1" t="str">
        <f>TEXT(Tabla1[[#This Row],[Fecha]],"MMMM")</f>
        <v>noviembre</v>
      </c>
      <c r="C439" t="s">
        <v>449</v>
      </c>
      <c r="D439" t="s">
        <v>5012</v>
      </c>
      <c r="E439" t="s">
        <v>5033</v>
      </c>
      <c r="F439" t="s">
        <v>5037</v>
      </c>
      <c r="G439" s="3">
        <v>12406.39</v>
      </c>
      <c r="H439" s="3">
        <v>1612.83</v>
      </c>
      <c r="I439" s="3">
        <f>SUM(Tabla1[[#This Row],[Monto_Base]],H439)</f>
        <v>14019.22</v>
      </c>
      <c r="J439" t="s">
        <v>5045</v>
      </c>
      <c r="K439" t="s">
        <v>5047</v>
      </c>
      <c r="L439" t="s">
        <v>5050</v>
      </c>
      <c r="M439" t="s">
        <v>5054</v>
      </c>
    </row>
    <row r="440" spans="1:13" x14ac:dyDescent="0.3">
      <c r="A440" s="1">
        <v>45568</v>
      </c>
      <c r="B440" s="1" t="str">
        <f>TEXT(Tabla1[[#This Row],[Fecha]],"MMMM")</f>
        <v>octubre</v>
      </c>
      <c r="C440" t="s">
        <v>450</v>
      </c>
      <c r="D440" t="s">
        <v>5013</v>
      </c>
      <c r="E440" t="s">
        <v>5032</v>
      </c>
      <c r="F440" t="s">
        <v>5039</v>
      </c>
      <c r="G440" s="3">
        <v>13534.67</v>
      </c>
      <c r="H440" s="3">
        <v>0</v>
      </c>
      <c r="I440" s="3">
        <f>SUM(Tabla1[[#This Row],[Monto_Base]],H440)</f>
        <v>13534.67</v>
      </c>
      <c r="J440" t="s">
        <v>5045</v>
      </c>
      <c r="K440" t="s">
        <v>5049</v>
      </c>
      <c r="L440" t="s">
        <v>5050</v>
      </c>
      <c r="M440" t="s">
        <v>5055</v>
      </c>
    </row>
    <row r="441" spans="1:13" x14ac:dyDescent="0.3">
      <c r="A441" s="1">
        <v>45538</v>
      </c>
      <c r="B441" s="1" t="str">
        <f>TEXT(Tabla1[[#This Row],[Fecha]],"MMMM")</f>
        <v>septiembre</v>
      </c>
      <c r="C441" t="s">
        <v>451</v>
      </c>
      <c r="D441" t="s">
        <v>5022</v>
      </c>
      <c r="E441" t="s">
        <v>5032</v>
      </c>
      <c r="F441" t="s">
        <v>5034</v>
      </c>
      <c r="G441" s="3">
        <v>14079.4</v>
      </c>
      <c r="H441" s="3">
        <v>0</v>
      </c>
      <c r="I441" s="3">
        <f>SUM(Tabla1[[#This Row],[Monto_Base]],H441)</f>
        <v>14079.4</v>
      </c>
      <c r="J441" t="s">
        <v>5043</v>
      </c>
      <c r="K441" t="s">
        <v>5048</v>
      </c>
      <c r="L441" t="s">
        <v>5053</v>
      </c>
      <c r="M441" t="s">
        <v>5055</v>
      </c>
    </row>
    <row r="442" spans="1:13" x14ac:dyDescent="0.3">
      <c r="A442" s="1">
        <v>45334</v>
      </c>
      <c r="B442" s="1" t="str">
        <f>TEXT(Tabla1[[#This Row],[Fecha]],"MMMM")</f>
        <v>febrero</v>
      </c>
      <c r="C442" t="s">
        <v>452</v>
      </c>
      <c r="D442" t="s">
        <v>5021</v>
      </c>
      <c r="E442" t="s">
        <v>5032</v>
      </c>
      <c r="F442" t="s">
        <v>5034</v>
      </c>
      <c r="G442" s="3">
        <v>13655.78</v>
      </c>
      <c r="H442" s="3">
        <v>0</v>
      </c>
      <c r="I442" s="3">
        <f>SUM(Tabla1[[#This Row],[Monto_Base]],H442)</f>
        <v>13655.78</v>
      </c>
      <c r="J442" t="s">
        <v>5044</v>
      </c>
      <c r="K442" t="s">
        <v>5049</v>
      </c>
      <c r="L442" t="s">
        <v>5050</v>
      </c>
      <c r="M442" t="s">
        <v>5055</v>
      </c>
    </row>
    <row r="443" spans="1:13" x14ac:dyDescent="0.3">
      <c r="A443" s="1">
        <v>45484</v>
      </c>
      <c r="B443" s="1" t="str">
        <f>TEXT(Tabla1[[#This Row],[Fecha]],"MMMM")</f>
        <v>julio</v>
      </c>
      <c r="C443" t="s">
        <v>453</v>
      </c>
      <c r="D443" t="s">
        <v>5012</v>
      </c>
      <c r="E443" t="s">
        <v>5033</v>
      </c>
      <c r="F443" t="s">
        <v>5036</v>
      </c>
      <c r="G443" s="3">
        <v>7820.44</v>
      </c>
      <c r="H443" s="3">
        <v>1016.66</v>
      </c>
      <c r="I443" s="3">
        <f>SUM(Tabla1[[#This Row],[Monto_Base]],H443)</f>
        <v>8837.1</v>
      </c>
      <c r="J443" t="s">
        <v>5046</v>
      </c>
      <c r="K443" t="s">
        <v>5049</v>
      </c>
      <c r="L443" t="s">
        <v>5051</v>
      </c>
      <c r="M443" t="s">
        <v>5055</v>
      </c>
    </row>
    <row r="444" spans="1:13" x14ac:dyDescent="0.3">
      <c r="A444" s="1">
        <v>45421</v>
      </c>
      <c r="B444" s="1" t="str">
        <f>TEXT(Tabla1[[#This Row],[Fecha]],"MMMM")</f>
        <v>mayo</v>
      </c>
      <c r="C444" t="s">
        <v>454</v>
      </c>
      <c r="D444" t="s">
        <v>5030</v>
      </c>
      <c r="E444" t="s">
        <v>5033</v>
      </c>
      <c r="F444" t="s">
        <v>5037</v>
      </c>
      <c r="G444" s="3">
        <v>9791.06</v>
      </c>
      <c r="H444" s="3">
        <v>1272.8399999999999</v>
      </c>
      <c r="I444" s="3">
        <f>SUM(Tabla1[[#This Row],[Monto_Base]],H444)</f>
        <v>11063.9</v>
      </c>
      <c r="J444" t="s">
        <v>5044</v>
      </c>
      <c r="K444" t="s">
        <v>5049</v>
      </c>
      <c r="L444" t="s">
        <v>5050</v>
      </c>
      <c r="M444" t="s">
        <v>5055</v>
      </c>
    </row>
    <row r="445" spans="1:13" x14ac:dyDescent="0.3">
      <c r="A445" s="1">
        <v>45577</v>
      </c>
      <c r="B445" s="1" t="str">
        <f>TEXT(Tabla1[[#This Row],[Fecha]],"MMMM")</f>
        <v>octubre</v>
      </c>
      <c r="C445" t="s">
        <v>455</v>
      </c>
      <c r="D445" t="s">
        <v>5019</v>
      </c>
      <c r="E445" t="s">
        <v>5033</v>
      </c>
      <c r="F445" t="s">
        <v>5037</v>
      </c>
      <c r="G445" s="3">
        <v>8303.9699999999993</v>
      </c>
      <c r="H445" s="3">
        <v>1079.52</v>
      </c>
      <c r="I445" s="3">
        <f>SUM(Tabla1[[#This Row],[Monto_Base]],H445)</f>
        <v>9383.49</v>
      </c>
      <c r="J445" t="s">
        <v>5043</v>
      </c>
      <c r="K445" t="s">
        <v>5047</v>
      </c>
      <c r="L445" t="s">
        <v>5051</v>
      </c>
      <c r="M445" t="s">
        <v>5055</v>
      </c>
    </row>
    <row r="446" spans="1:13" x14ac:dyDescent="0.3">
      <c r="A446" s="1">
        <v>45629</v>
      </c>
      <c r="B446" s="1" t="str">
        <f>TEXT(Tabla1[[#This Row],[Fecha]],"MMMM")</f>
        <v>diciembre</v>
      </c>
      <c r="C446" t="s">
        <v>456</v>
      </c>
      <c r="D446" t="s">
        <v>5029</v>
      </c>
      <c r="E446" t="s">
        <v>5032</v>
      </c>
      <c r="F446" t="s">
        <v>5037</v>
      </c>
      <c r="G446" s="3">
        <v>11049.95</v>
      </c>
      <c r="H446" s="3">
        <v>0</v>
      </c>
      <c r="I446" s="3">
        <f>SUM(Tabla1[[#This Row],[Monto_Base]],H446)</f>
        <v>11049.95</v>
      </c>
      <c r="J446" t="s">
        <v>5045</v>
      </c>
      <c r="K446" t="s">
        <v>5049</v>
      </c>
      <c r="L446" t="s">
        <v>5052</v>
      </c>
      <c r="M446" t="s">
        <v>5055</v>
      </c>
    </row>
    <row r="447" spans="1:13" x14ac:dyDescent="0.3">
      <c r="A447" s="1">
        <v>45573</v>
      </c>
      <c r="B447" s="1" t="str">
        <f>TEXT(Tabla1[[#This Row],[Fecha]],"MMMM")</f>
        <v>octubre</v>
      </c>
      <c r="C447" t="s">
        <v>457</v>
      </c>
      <c r="D447" t="s">
        <v>5013</v>
      </c>
      <c r="E447" t="s">
        <v>5033</v>
      </c>
      <c r="F447" t="s">
        <v>5037</v>
      </c>
      <c r="G447" s="3">
        <v>11801.91</v>
      </c>
      <c r="H447" s="3">
        <v>1534.25</v>
      </c>
      <c r="I447" s="3">
        <f>SUM(Tabla1[[#This Row],[Monto_Base]],H447)</f>
        <v>13336.16</v>
      </c>
      <c r="J447" t="s">
        <v>5042</v>
      </c>
      <c r="K447" t="s">
        <v>5049</v>
      </c>
      <c r="L447" t="s">
        <v>5053</v>
      </c>
      <c r="M447" t="s">
        <v>5054</v>
      </c>
    </row>
    <row r="448" spans="1:13" x14ac:dyDescent="0.3">
      <c r="A448" s="1">
        <v>45599</v>
      </c>
      <c r="B448" s="1" t="str">
        <f>TEXT(Tabla1[[#This Row],[Fecha]],"MMMM")</f>
        <v>noviembre</v>
      </c>
      <c r="C448" t="s">
        <v>458</v>
      </c>
      <c r="D448" t="s">
        <v>5022</v>
      </c>
      <c r="E448" t="s">
        <v>5033</v>
      </c>
      <c r="F448" t="s">
        <v>5039</v>
      </c>
      <c r="G448" s="3">
        <v>7101.45</v>
      </c>
      <c r="H448" s="3">
        <v>923.19</v>
      </c>
      <c r="I448" s="3">
        <f>SUM(Tabla1[[#This Row],[Monto_Base]],H448)</f>
        <v>8024.6399999999994</v>
      </c>
      <c r="J448" t="s">
        <v>5043</v>
      </c>
      <c r="K448" t="s">
        <v>5047</v>
      </c>
      <c r="L448" t="s">
        <v>5053</v>
      </c>
      <c r="M448" t="s">
        <v>5055</v>
      </c>
    </row>
    <row r="449" spans="1:13" x14ac:dyDescent="0.3">
      <c r="A449" s="1">
        <v>45497</v>
      </c>
      <c r="B449" s="1" t="str">
        <f>TEXT(Tabla1[[#This Row],[Fecha]],"MMMM")</f>
        <v>julio</v>
      </c>
      <c r="C449" t="s">
        <v>459</v>
      </c>
      <c r="D449" t="s">
        <v>5015</v>
      </c>
      <c r="E449" t="s">
        <v>5033</v>
      </c>
      <c r="F449" t="s">
        <v>5035</v>
      </c>
      <c r="G449" s="3">
        <v>10881.2</v>
      </c>
      <c r="H449" s="3">
        <v>1414.56</v>
      </c>
      <c r="I449" s="3">
        <f>SUM(Tabla1[[#This Row],[Monto_Base]],H449)</f>
        <v>12295.76</v>
      </c>
      <c r="J449" t="s">
        <v>5042</v>
      </c>
      <c r="K449" t="s">
        <v>5049</v>
      </c>
      <c r="L449" t="s">
        <v>5051</v>
      </c>
      <c r="M449" t="s">
        <v>5054</v>
      </c>
    </row>
    <row r="450" spans="1:13" x14ac:dyDescent="0.3">
      <c r="A450" s="1">
        <v>45628</v>
      </c>
      <c r="B450" s="1" t="str">
        <f>TEXT(Tabla1[[#This Row],[Fecha]],"MMMM")</f>
        <v>diciembre</v>
      </c>
      <c r="C450" t="s">
        <v>460</v>
      </c>
      <c r="D450" t="s">
        <v>5018</v>
      </c>
      <c r="E450" t="s">
        <v>5032</v>
      </c>
      <c r="F450" t="s">
        <v>5035</v>
      </c>
      <c r="G450" s="3">
        <v>3065.52</v>
      </c>
      <c r="H450" s="3">
        <v>0</v>
      </c>
      <c r="I450" s="3">
        <f>SUM(Tabla1[[#This Row],[Monto_Base]],H450)</f>
        <v>3065.52</v>
      </c>
      <c r="J450" t="s">
        <v>5042</v>
      </c>
      <c r="K450" t="s">
        <v>5048</v>
      </c>
      <c r="L450" t="s">
        <v>5052</v>
      </c>
      <c r="M450" t="s">
        <v>5054</v>
      </c>
    </row>
    <row r="451" spans="1:13" x14ac:dyDescent="0.3">
      <c r="A451" s="1">
        <v>45627</v>
      </c>
      <c r="B451" s="1" t="str">
        <f>TEXT(Tabla1[[#This Row],[Fecha]],"MMMM")</f>
        <v>diciembre</v>
      </c>
      <c r="C451" t="s">
        <v>461</v>
      </c>
      <c r="D451" t="s">
        <v>5031</v>
      </c>
      <c r="E451" t="s">
        <v>5033</v>
      </c>
      <c r="F451" t="s">
        <v>5035</v>
      </c>
      <c r="G451" s="3">
        <v>5428.11</v>
      </c>
      <c r="H451" s="3">
        <v>705.65</v>
      </c>
      <c r="I451" s="3">
        <f>SUM(Tabla1[[#This Row],[Monto_Base]],H451)</f>
        <v>6133.7599999999993</v>
      </c>
      <c r="J451" t="s">
        <v>5045</v>
      </c>
      <c r="K451" t="s">
        <v>5047</v>
      </c>
      <c r="L451" t="s">
        <v>5053</v>
      </c>
      <c r="M451" t="s">
        <v>5055</v>
      </c>
    </row>
    <row r="452" spans="1:13" x14ac:dyDescent="0.3">
      <c r="A452" s="1">
        <v>45557</v>
      </c>
      <c r="B452" s="1" t="str">
        <f>TEXT(Tabla1[[#This Row],[Fecha]],"MMMM")</f>
        <v>septiembre</v>
      </c>
      <c r="C452" t="s">
        <v>462</v>
      </c>
      <c r="D452" t="s">
        <v>5020</v>
      </c>
      <c r="E452" t="s">
        <v>5032</v>
      </c>
      <c r="F452" t="s">
        <v>5037</v>
      </c>
      <c r="G452" s="3">
        <v>8811.9</v>
      </c>
      <c r="H452" s="3">
        <v>0</v>
      </c>
      <c r="I452" s="3">
        <f>SUM(Tabla1[[#This Row],[Monto_Base]],H452)</f>
        <v>8811.9</v>
      </c>
      <c r="J452" t="s">
        <v>5045</v>
      </c>
      <c r="K452" t="s">
        <v>5049</v>
      </c>
      <c r="L452" t="s">
        <v>5053</v>
      </c>
      <c r="M452" t="s">
        <v>5054</v>
      </c>
    </row>
    <row r="453" spans="1:13" x14ac:dyDescent="0.3">
      <c r="A453" s="1">
        <v>45433</v>
      </c>
      <c r="B453" s="1" t="str">
        <f>TEXT(Tabla1[[#This Row],[Fecha]],"MMMM")</f>
        <v>mayo</v>
      </c>
      <c r="C453" t="s">
        <v>463</v>
      </c>
      <c r="D453" t="s">
        <v>5016</v>
      </c>
      <c r="E453" t="s">
        <v>5032</v>
      </c>
      <c r="F453" t="s">
        <v>5040</v>
      </c>
      <c r="G453" s="3">
        <v>14451.15</v>
      </c>
      <c r="H453" s="3">
        <v>0</v>
      </c>
      <c r="I453" s="3">
        <f>SUM(Tabla1[[#This Row],[Monto_Base]],H453)</f>
        <v>14451.15</v>
      </c>
      <c r="J453" t="s">
        <v>5046</v>
      </c>
      <c r="K453" t="s">
        <v>5049</v>
      </c>
      <c r="L453" t="s">
        <v>5052</v>
      </c>
      <c r="M453" t="s">
        <v>5055</v>
      </c>
    </row>
    <row r="454" spans="1:13" x14ac:dyDescent="0.3">
      <c r="A454" s="1">
        <v>45551</v>
      </c>
      <c r="B454" s="1" t="str">
        <f>TEXT(Tabla1[[#This Row],[Fecha]],"MMMM")</f>
        <v>septiembre</v>
      </c>
      <c r="C454" t="s">
        <v>464</v>
      </c>
      <c r="D454" t="s">
        <v>5014</v>
      </c>
      <c r="E454" t="s">
        <v>5033</v>
      </c>
      <c r="F454" t="s">
        <v>5038</v>
      </c>
      <c r="G454" s="3">
        <v>2666.77</v>
      </c>
      <c r="H454" s="3">
        <v>346.68</v>
      </c>
      <c r="I454" s="3">
        <f>SUM(Tabla1[[#This Row],[Monto_Base]],H454)</f>
        <v>3013.45</v>
      </c>
      <c r="J454" t="s">
        <v>5045</v>
      </c>
      <c r="K454" t="s">
        <v>5049</v>
      </c>
      <c r="L454" t="s">
        <v>5053</v>
      </c>
      <c r="M454" t="s">
        <v>5055</v>
      </c>
    </row>
    <row r="455" spans="1:13" x14ac:dyDescent="0.3">
      <c r="A455" s="1">
        <v>45485</v>
      </c>
      <c r="B455" s="1" t="str">
        <f>TEXT(Tabla1[[#This Row],[Fecha]],"MMMM")</f>
        <v>julio</v>
      </c>
      <c r="C455" t="s">
        <v>465</v>
      </c>
      <c r="D455" t="s">
        <v>5030</v>
      </c>
      <c r="E455" t="s">
        <v>5032</v>
      </c>
      <c r="F455" t="s">
        <v>5038</v>
      </c>
      <c r="G455" s="3">
        <v>10428.17</v>
      </c>
      <c r="H455" s="3">
        <v>0</v>
      </c>
      <c r="I455" s="3">
        <f>SUM(Tabla1[[#This Row],[Monto_Base]],H455)</f>
        <v>10428.17</v>
      </c>
      <c r="J455" t="s">
        <v>5042</v>
      </c>
      <c r="K455" t="s">
        <v>5048</v>
      </c>
      <c r="L455" t="s">
        <v>5052</v>
      </c>
      <c r="M455" t="s">
        <v>5055</v>
      </c>
    </row>
    <row r="456" spans="1:13" x14ac:dyDescent="0.3">
      <c r="A456" s="1">
        <v>45326</v>
      </c>
      <c r="B456" s="1" t="str">
        <f>TEXT(Tabla1[[#This Row],[Fecha]],"MMMM")</f>
        <v>febrero</v>
      </c>
      <c r="C456" t="s">
        <v>466</v>
      </c>
      <c r="D456" t="s">
        <v>5025</v>
      </c>
      <c r="E456" t="s">
        <v>5033</v>
      </c>
      <c r="F456" t="s">
        <v>5041</v>
      </c>
      <c r="G456" s="3">
        <v>1788.21</v>
      </c>
      <c r="H456" s="3">
        <v>232.47</v>
      </c>
      <c r="I456" s="3">
        <f>SUM(Tabla1[[#This Row],[Monto_Base]],H456)</f>
        <v>2020.68</v>
      </c>
      <c r="J456" t="s">
        <v>5043</v>
      </c>
      <c r="K456" t="s">
        <v>5049</v>
      </c>
      <c r="L456" t="s">
        <v>5052</v>
      </c>
      <c r="M456" t="s">
        <v>5054</v>
      </c>
    </row>
    <row r="457" spans="1:13" x14ac:dyDescent="0.3">
      <c r="A457" s="1">
        <v>45426</v>
      </c>
      <c r="B457" s="1" t="str">
        <f>TEXT(Tabla1[[#This Row],[Fecha]],"MMMM")</f>
        <v>mayo</v>
      </c>
      <c r="C457" t="s">
        <v>467</v>
      </c>
      <c r="D457" t="s">
        <v>5019</v>
      </c>
      <c r="E457" t="s">
        <v>5032</v>
      </c>
      <c r="F457" t="s">
        <v>5035</v>
      </c>
      <c r="G457" s="3">
        <v>10527.24</v>
      </c>
      <c r="H457" s="3">
        <v>0</v>
      </c>
      <c r="I457" s="3">
        <f>SUM(Tabla1[[#This Row],[Monto_Base]],H457)</f>
        <v>10527.24</v>
      </c>
      <c r="J457" t="s">
        <v>5046</v>
      </c>
      <c r="K457" t="s">
        <v>5048</v>
      </c>
      <c r="L457" t="s">
        <v>5053</v>
      </c>
      <c r="M457" t="s">
        <v>5055</v>
      </c>
    </row>
    <row r="458" spans="1:13" x14ac:dyDescent="0.3">
      <c r="A458" s="1">
        <v>45403</v>
      </c>
      <c r="B458" s="1" t="str">
        <f>TEXT(Tabla1[[#This Row],[Fecha]],"MMMM")</f>
        <v>abril</v>
      </c>
      <c r="C458" t="s">
        <v>468</v>
      </c>
      <c r="D458" t="s">
        <v>5030</v>
      </c>
      <c r="E458" t="s">
        <v>5033</v>
      </c>
      <c r="F458" t="s">
        <v>5041</v>
      </c>
      <c r="G458" s="3">
        <v>4742.3999999999996</v>
      </c>
      <c r="H458" s="3">
        <v>616.51</v>
      </c>
      <c r="I458" s="3">
        <f>SUM(Tabla1[[#This Row],[Monto_Base]],H458)</f>
        <v>5358.91</v>
      </c>
      <c r="J458" t="s">
        <v>5042</v>
      </c>
      <c r="K458" t="s">
        <v>5048</v>
      </c>
      <c r="L458" t="s">
        <v>5052</v>
      </c>
      <c r="M458" t="s">
        <v>5054</v>
      </c>
    </row>
    <row r="459" spans="1:13" x14ac:dyDescent="0.3">
      <c r="A459" s="1">
        <v>45397</v>
      </c>
      <c r="B459" s="1" t="str">
        <f>TEXT(Tabla1[[#This Row],[Fecha]],"MMMM")</f>
        <v>abril</v>
      </c>
      <c r="C459" t="s">
        <v>469</v>
      </c>
      <c r="D459" t="s">
        <v>5024</v>
      </c>
      <c r="E459" t="s">
        <v>5033</v>
      </c>
      <c r="F459" t="s">
        <v>5034</v>
      </c>
      <c r="G459" s="3">
        <v>13097.5</v>
      </c>
      <c r="H459" s="3">
        <v>1702.67</v>
      </c>
      <c r="I459" s="3">
        <f>SUM(Tabla1[[#This Row],[Monto_Base]],H459)</f>
        <v>14800.17</v>
      </c>
      <c r="J459" t="s">
        <v>5046</v>
      </c>
      <c r="K459" t="s">
        <v>5047</v>
      </c>
      <c r="L459" t="s">
        <v>5052</v>
      </c>
      <c r="M459" t="s">
        <v>5055</v>
      </c>
    </row>
    <row r="460" spans="1:13" x14ac:dyDescent="0.3">
      <c r="A460" s="1">
        <v>45631</v>
      </c>
      <c r="B460" s="1" t="str">
        <f>TEXT(Tabla1[[#This Row],[Fecha]],"MMMM")</f>
        <v>diciembre</v>
      </c>
      <c r="C460" t="s">
        <v>470</v>
      </c>
      <c r="D460" t="s">
        <v>5013</v>
      </c>
      <c r="E460" t="s">
        <v>5033</v>
      </c>
      <c r="F460" t="s">
        <v>5036</v>
      </c>
      <c r="G460" s="3">
        <v>10153.39</v>
      </c>
      <c r="H460" s="3">
        <v>1319.94</v>
      </c>
      <c r="I460" s="3">
        <f>SUM(Tabla1[[#This Row],[Monto_Base]],H460)</f>
        <v>11473.33</v>
      </c>
      <c r="J460" t="s">
        <v>5043</v>
      </c>
      <c r="K460" t="s">
        <v>5049</v>
      </c>
      <c r="L460" t="s">
        <v>5053</v>
      </c>
      <c r="M460" t="s">
        <v>5054</v>
      </c>
    </row>
    <row r="461" spans="1:13" x14ac:dyDescent="0.3">
      <c r="A461" s="1">
        <v>45586</v>
      </c>
      <c r="B461" s="1" t="str">
        <f>TEXT(Tabla1[[#This Row],[Fecha]],"MMMM")</f>
        <v>octubre</v>
      </c>
      <c r="C461" t="s">
        <v>471</v>
      </c>
      <c r="D461" t="s">
        <v>5020</v>
      </c>
      <c r="E461" t="s">
        <v>5032</v>
      </c>
      <c r="F461" t="s">
        <v>5041</v>
      </c>
      <c r="G461" s="3">
        <v>13476.91</v>
      </c>
      <c r="H461" s="3">
        <v>0</v>
      </c>
      <c r="I461" s="3">
        <f>SUM(Tabla1[[#This Row],[Monto_Base]],H461)</f>
        <v>13476.91</v>
      </c>
      <c r="J461" t="s">
        <v>5044</v>
      </c>
      <c r="K461" t="s">
        <v>5048</v>
      </c>
      <c r="L461" t="s">
        <v>5052</v>
      </c>
      <c r="M461" t="s">
        <v>5055</v>
      </c>
    </row>
    <row r="462" spans="1:13" x14ac:dyDescent="0.3">
      <c r="A462" s="1">
        <v>45508</v>
      </c>
      <c r="B462" s="1" t="str">
        <f>TEXT(Tabla1[[#This Row],[Fecha]],"MMMM")</f>
        <v>agosto</v>
      </c>
      <c r="C462" t="s">
        <v>472</v>
      </c>
      <c r="D462" t="s">
        <v>5024</v>
      </c>
      <c r="E462" t="s">
        <v>5033</v>
      </c>
      <c r="F462" t="s">
        <v>5035</v>
      </c>
      <c r="G462" s="3">
        <v>7909.74</v>
      </c>
      <c r="H462" s="3">
        <v>1028.27</v>
      </c>
      <c r="I462" s="3">
        <f>SUM(Tabla1[[#This Row],[Monto_Base]],H462)</f>
        <v>8938.01</v>
      </c>
      <c r="J462" t="s">
        <v>5043</v>
      </c>
      <c r="K462" t="s">
        <v>5049</v>
      </c>
      <c r="L462" t="s">
        <v>5053</v>
      </c>
      <c r="M462" t="s">
        <v>5055</v>
      </c>
    </row>
    <row r="463" spans="1:13" x14ac:dyDescent="0.3">
      <c r="A463" s="1">
        <v>45527</v>
      </c>
      <c r="B463" s="1" t="str">
        <f>TEXT(Tabla1[[#This Row],[Fecha]],"MMMM")</f>
        <v>agosto</v>
      </c>
      <c r="C463" t="s">
        <v>473</v>
      </c>
      <c r="D463" t="s">
        <v>5028</v>
      </c>
      <c r="E463" t="s">
        <v>5032</v>
      </c>
      <c r="F463" t="s">
        <v>5036</v>
      </c>
      <c r="G463" s="3">
        <v>10488.76</v>
      </c>
      <c r="H463" s="3">
        <v>0</v>
      </c>
      <c r="I463" s="3">
        <f>SUM(Tabla1[[#This Row],[Monto_Base]],H463)</f>
        <v>10488.76</v>
      </c>
      <c r="J463" t="s">
        <v>5044</v>
      </c>
      <c r="K463" t="s">
        <v>5049</v>
      </c>
      <c r="L463" t="s">
        <v>5053</v>
      </c>
      <c r="M463" t="s">
        <v>5054</v>
      </c>
    </row>
    <row r="464" spans="1:13" x14ac:dyDescent="0.3">
      <c r="A464" s="1">
        <v>45424</v>
      </c>
      <c r="B464" s="1" t="str">
        <f>TEXT(Tabla1[[#This Row],[Fecha]],"MMMM")</f>
        <v>mayo</v>
      </c>
      <c r="C464" t="s">
        <v>474</v>
      </c>
      <c r="D464" t="s">
        <v>5027</v>
      </c>
      <c r="E464" t="s">
        <v>5033</v>
      </c>
      <c r="F464" t="s">
        <v>5040</v>
      </c>
      <c r="G464" s="3">
        <v>5455.95</v>
      </c>
      <c r="H464" s="3">
        <v>709.27</v>
      </c>
      <c r="I464" s="3">
        <f>SUM(Tabla1[[#This Row],[Monto_Base]],H464)</f>
        <v>6165.2199999999993</v>
      </c>
      <c r="J464" t="s">
        <v>5046</v>
      </c>
      <c r="K464" t="s">
        <v>5049</v>
      </c>
      <c r="L464" t="s">
        <v>5051</v>
      </c>
      <c r="M464" t="s">
        <v>5054</v>
      </c>
    </row>
    <row r="465" spans="1:13" x14ac:dyDescent="0.3">
      <c r="A465" s="1">
        <v>45509</v>
      </c>
      <c r="B465" s="1" t="str">
        <f>TEXT(Tabla1[[#This Row],[Fecha]],"MMMM")</f>
        <v>agosto</v>
      </c>
      <c r="C465" t="s">
        <v>475</v>
      </c>
      <c r="D465" t="s">
        <v>5025</v>
      </c>
      <c r="E465" t="s">
        <v>5032</v>
      </c>
      <c r="F465" t="s">
        <v>5040</v>
      </c>
      <c r="G465" s="3">
        <v>2799.51</v>
      </c>
      <c r="H465" s="3">
        <v>0</v>
      </c>
      <c r="I465" s="3">
        <f>SUM(Tabla1[[#This Row],[Monto_Base]],H465)</f>
        <v>2799.51</v>
      </c>
      <c r="J465" t="s">
        <v>5046</v>
      </c>
      <c r="K465" t="s">
        <v>5048</v>
      </c>
      <c r="L465" t="s">
        <v>5051</v>
      </c>
      <c r="M465" t="s">
        <v>5055</v>
      </c>
    </row>
    <row r="466" spans="1:13" x14ac:dyDescent="0.3">
      <c r="A466" s="1">
        <v>45586</v>
      </c>
      <c r="B466" s="1" t="str">
        <f>TEXT(Tabla1[[#This Row],[Fecha]],"MMMM")</f>
        <v>octubre</v>
      </c>
      <c r="C466" t="s">
        <v>476</v>
      </c>
      <c r="D466" t="s">
        <v>5029</v>
      </c>
      <c r="E466" t="s">
        <v>5032</v>
      </c>
      <c r="F466" t="s">
        <v>5039</v>
      </c>
      <c r="G466" s="3">
        <v>8592.58</v>
      </c>
      <c r="H466" s="3">
        <v>0</v>
      </c>
      <c r="I466" s="3">
        <f>SUM(Tabla1[[#This Row],[Monto_Base]],H466)</f>
        <v>8592.58</v>
      </c>
      <c r="J466" t="s">
        <v>5046</v>
      </c>
      <c r="K466" t="s">
        <v>5047</v>
      </c>
      <c r="L466" t="s">
        <v>5051</v>
      </c>
      <c r="M466" t="s">
        <v>5054</v>
      </c>
    </row>
    <row r="467" spans="1:13" x14ac:dyDescent="0.3">
      <c r="A467" s="1">
        <v>45368</v>
      </c>
      <c r="B467" s="1" t="str">
        <f>TEXT(Tabla1[[#This Row],[Fecha]],"MMMM")</f>
        <v>marzo</v>
      </c>
      <c r="C467" t="s">
        <v>477</v>
      </c>
      <c r="D467" t="s">
        <v>5019</v>
      </c>
      <c r="E467" t="s">
        <v>5033</v>
      </c>
      <c r="F467" t="s">
        <v>5039</v>
      </c>
      <c r="G467" s="3">
        <v>12010.56</v>
      </c>
      <c r="H467" s="3">
        <v>1561.37</v>
      </c>
      <c r="I467" s="3">
        <f>SUM(Tabla1[[#This Row],[Monto_Base]],H467)</f>
        <v>13571.93</v>
      </c>
      <c r="J467" t="s">
        <v>5043</v>
      </c>
      <c r="K467" t="s">
        <v>5047</v>
      </c>
      <c r="L467" t="s">
        <v>5052</v>
      </c>
      <c r="M467" t="s">
        <v>5055</v>
      </c>
    </row>
    <row r="468" spans="1:13" x14ac:dyDescent="0.3">
      <c r="A468" s="1">
        <v>45579</v>
      </c>
      <c r="B468" s="1" t="str">
        <f>TEXT(Tabla1[[#This Row],[Fecha]],"MMMM")</f>
        <v>octubre</v>
      </c>
      <c r="C468" t="s">
        <v>478</v>
      </c>
      <c r="D468" t="s">
        <v>5028</v>
      </c>
      <c r="E468" t="s">
        <v>5032</v>
      </c>
      <c r="F468" t="s">
        <v>5041</v>
      </c>
      <c r="G468" s="3">
        <v>4535.51</v>
      </c>
      <c r="H468" s="3">
        <v>0</v>
      </c>
      <c r="I468" s="3">
        <f>SUM(Tabla1[[#This Row],[Monto_Base]],H468)</f>
        <v>4535.51</v>
      </c>
      <c r="J468" t="s">
        <v>5042</v>
      </c>
      <c r="K468" t="s">
        <v>5047</v>
      </c>
      <c r="L468" t="s">
        <v>5050</v>
      </c>
      <c r="M468" t="s">
        <v>5054</v>
      </c>
    </row>
    <row r="469" spans="1:13" x14ac:dyDescent="0.3">
      <c r="A469" s="1">
        <v>45614</v>
      </c>
      <c r="B469" s="1" t="str">
        <f>TEXT(Tabla1[[#This Row],[Fecha]],"MMMM")</f>
        <v>noviembre</v>
      </c>
      <c r="C469" t="s">
        <v>479</v>
      </c>
      <c r="D469" t="s">
        <v>5012</v>
      </c>
      <c r="E469" t="s">
        <v>5033</v>
      </c>
      <c r="F469" t="s">
        <v>5038</v>
      </c>
      <c r="G469" s="3">
        <v>7174.26</v>
      </c>
      <c r="H469" s="3">
        <v>932.65</v>
      </c>
      <c r="I469" s="3">
        <f>SUM(Tabla1[[#This Row],[Monto_Base]],H469)</f>
        <v>8106.91</v>
      </c>
      <c r="J469" t="s">
        <v>5045</v>
      </c>
      <c r="K469" t="s">
        <v>5048</v>
      </c>
      <c r="L469" t="s">
        <v>5051</v>
      </c>
      <c r="M469" t="s">
        <v>5055</v>
      </c>
    </row>
    <row r="470" spans="1:13" x14ac:dyDescent="0.3">
      <c r="A470" s="1">
        <v>45354</v>
      </c>
      <c r="B470" s="1" t="str">
        <f>TEXT(Tabla1[[#This Row],[Fecha]],"MMMM")</f>
        <v>marzo</v>
      </c>
      <c r="C470" t="s">
        <v>480</v>
      </c>
      <c r="D470" t="s">
        <v>5020</v>
      </c>
      <c r="E470" t="s">
        <v>5032</v>
      </c>
      <c r="F470" t="s">
        <v>5040</v>
      </c>
      <c r="G470" s="3">
        <v>346.54</v>
      </c>
      <c r="H470" s="3">
        <v>0</v>
      </c>
      <c r="I470" s="3">
        <f>SUM(Tabla1[[#This Row],[Monto_Base]],H470)</f>
        <v>346.54</v>
      </c>
      <c r="J470" t="s">
        <v>5044</v>
      </c>
      <c r="K470" t="s">
        <v>5049</v>
      </c>
      <c r="L470" t="s">
        <v>5052</v>
      </c>
      <c r="M470" t="s">
        <v>5054</v>
      </c>
    </row>
    <row r="471" spans="1:13" x14ac:dyDescent="0.3">
      <c r="A471" s="1">
        <v>45520</v>
      </c>
      <c r="B471" s="1" t="str">
        <f>TEXT(Tabla1[[#This Row],[Fecha]],"MMMM")</f>
        <v>agosto</v>
      </c>
      <c r="C471" t="s">
        <v>481</v>
      </c>
      <c r="D471" t="s">
        <v>5020</v>
      </c>
      <c r="E471" t="s">
        <v>5032</v>
      </c>
      <c r="F471" t="s">
        <v>5041</v>
      </c>
      <c r="G471" s="3">
        <v>11632.43</v>
      </c>
      <c r="H471" s="3">
        <v>0</v>
      </c>
      <c r="I471" s="3">
        <f>SUM(Tabla1[[#This Row],[Monto_Base]],H471)</f>
        <v>11632.43</v>
      </c>
      <c r="J471" t="s">
        <v>5045</v>
      </c>
      <c r="K471" t="s">
        <v>5048</v>
      </c>
      <c r="L471" t="s">
        <v>5051</v>
      </c>
      <c r="M471" t="s">
        <v>5055</v>
      </c>
    </row>
    <row r="472" spans="1:13" x14ac:dyDescent="0.3">
      <c r="A472" s="1">
        <v>45584</v>
      </c>
      <c r="B472" s="1" t="str">
        <f>TEXT(Tabla1[[#This Row],[Fecha]],"MMMM")</f>
        <v>octubre</v>
      </c>
      <c r="C472" t="s">
        <v>482</v>
      </c>
      <c r="D472" t="s">
        <v>5026</v>
      </c>
      <c r="E472" t="s">
        <v>5032</v>
      </c>
      <c r="F472" t="s">
        <v>5037</v>
      </c>
      <c r="G472" s="3">
        <v>9487.5400000000009</v>
      </c>
      <c r="H472" s="3">
        <v>0</v>
      </c>
      <c r="I472" s="3">
        <f>SUM(Tabla1[[#This Row],[Monto_Base]],H472)</f>
        <v>9487.5400000000009</v>
      </c>
      <c r="J472" t="s">
        <v>5043</v>
      </c>
      <c r="K472" t="s">
        <v>5047</v>
      </c>
      <c r="L472" t="s">
        <v>5053</v>
      </c>
      <c r="M472" t="s">
        <v>5054</v>
      </c>
    </row>
    <row r="473" spans="1:13" x14ac:dyDescent="0.3">
      <c r="A473" s="1">
        <v>45655</v>
      </c>
      <c r="B473" s="1" t="str">
        <f>TEXT(Tabla1[[#This Row],[Fecha]],"MMMM")</f>
        <v>diciembre</v>
      </c>
      <c r="C473" t="s">
        <v>483</v>
      </c>
      <c r="D473" t="s">
        <v>5024</v>
      </c>
      <c r="E473" t="s">
        <v>5032</v>
      </c>
      <c r="F473" t="s">
        <v>5040</v>
      </c>
      <c r="G473" s="3">
        <v>9812.5499999999993</v>
      </c>
      <c r="H473" s="3">
        <v>0</v>
      </c>
      <c r="I473" s="3">
        <f>SUM(Tabla1[[#This Row],[Monto_Base]],H473)</f>
        <v>9812.5499999999993</v>
      </c>
      <c r="J473" t="s">
        <v>5044</v>
      </c>
      <c r="K473" t="s">
        <v>5049</v>
      </c>
      <c r="L473" t="s">
        <v>5050</v>
      </c>
      <c r="M473" t="s">
        <v>5055</v>
      </c>
    </row>
    <row r="474" spans="1:13" x14ac:dyDescent="0.3">
      <c r="A474" s="1">
        <v>45303</v>
      </c>
      <c r="B474" s="1" t="str">
        <f>TEXT(Tabla1[[#This Row],[Fecha]],"MMMM")</f>
        <v>enero</v>
      </c>
      <c r="C474" t="s">
        <v>484</v>
      </c>
      <c r="D474" t="s">
        <v>5020</v>
      </c>
      <c r="E474" t="s">
        <v>5032</v>
      </c>
      <c r="F474" t="s">
        <v>5037</v>
      </c>
      <c r="G474" s="3">
        <v>2551.41</v>
      </c>
      <c r="H474" s="3">
        <v>0</v>
      </c>
      <c r="I474" s="3">
        <f>SUM(Tabla1[[#This Row],[Monto_Base]],H474)</f>
        <v>2551.41</v>
      </c>
      <c r="J474" t="s">
        <v>5046</v>
      </c>
      <c r="K474" t="s">
        <v>5049</v>
      </c>
      <c r="L474" t="s">
        <v>5052</v>
      </c>
      <c r="M474" t="s">
        <v>5055</v>
      </c>
    </row>
    <row r="475" spans="1:13" x14ac:dyDescent="0.3">
      <c r="A475" s="1">
        <v>45324</v>
      </c>
      <c r="B475" s="1" t="str">
        <f>TEXT(Tabla1[[#This Row],[Fecha]],"MMMM")</f>
        <v>febrero</v>
      </c>
      <c r="C475" t="s">
        <v>485</v>
      </c>
      <c r="D475" t="s">
        <v>5017</v>
      </c>
      <c r="E475" t="s">
        <v>5033</v>
      </c>
      <c r="F475" t="s">
        <v>5037</v>
      </c>
      <c r="G475" s="3">
        <v>1589.99</v>
      </c>
      <c r="H475" s="3">
        <v>206.7</v>
      </c>
      <c r="I475" s="3">
        <f>SUM(Tabla1[[#This Row],[Monto_Base]],H475)</f>
        <v>1796.69</v>
      </c>
      <c r="J475" t="s">
        <v>5043</v>
      </c>
      <c r="K475" t="s">
        <v>5049</v>
      </c>
      <c r="L475" t="s">
        <v>5053</v>
      </c>
      <c r="M475" t="s">
        <v>5054</v>
      </c>
    </row>
    <row r="476" spans="1:13" x14ac:dyDescent="0.3">
      <c r="A476" s="1">
        <v>45371</v>
      </c>
      <c r="B476" s="1" t="str">
        <f>TEXT(Tabla1[[#This Row],[Fecha]],"MMMM")</f>
        <v>marzo</v>
      </c>
      <c r="C476" t="s">
        <v>486</v>
      </c>
      <c r="D476" t="s">
        <v>5016</v>
      </c>
      <c r="E476" t="s">
        <v>5033</v>
      </c>
      <c r="F476" t="s">
        <v>5036</v>
      </c>
      <c r="G476" s="3">
        <v>3973.66</v>
      </c>
      <c r="H476" s="3">
        <v>516.58000000000004</v>
      </c>
      <c r="I476" s="3">
        <f>SUM(Tabla1[[#This Row],[Monto_Base]],H476)</f>
        <v>4490.24</v>
      </c>
      <c r="J476" t="s">
        <v>5045</v>
      </c>
      <c r="K476" t="s">
        <v>5049</v>
      </c>
      <c r="L476" t="s">
        <v>5050</v>
      </c>
      <c r="M476" t="s">
        <v>5055</v>
      </c>
    </row>
    <row r="477" spans="1:13" x14ac:dyDescent="0.3">
      <c r="A477" s="1">
        <v>45359</v>
      </c>
      <c r="B477" s="1" t="str">
        <f>TEXT(Tabla1[[#This Row],[Fecha]],"MMMM")</f>
        <v>marzo</v>
      </c>
      <c r="C477" t="s">
        <v>487</v>
      </c>
      <c r="D477" t="s">
        <v>5017</v>
      </c>
      <c r="E477" t="s">
        <v>5032</v>
      </c>
      <c r="F477" t="s">
        <v>5041</v>
      </c>
      <c r="G477" s="3">
        <v>9415.89</v>
      </c>
      <c r="H477" s="3">
        <v>0</v>
      </c>
      <c r="I477" s="3">
        <f>SUM(Tabla1[[#This Row],[Monto_Base]],H477)</f>
        <v>9415.89</v>
      </c>
      <c r="J477" t="s">
        <v>5042</v>
      </c>
      <c r="K477" t="s">
        <v>5047</v>
      </c>
      <c r="L477" t="s">
        <v>5053</v>
      </c>
      <c r="M477" t="s">
        <v>5054</v>
      </c>
    </row>
    <row r="478" spans="1:13" x14ac:dyDescent="0.3">
      <c r="A478" s="1">
        <v>45568</v>
      </c>
      <c r="B478" s="1" t="str">
        <f>TEXT(Tabla1[[#This Row],[Fecha]],"MMMM")</f>
        <v>octubre</v>
      </c>
      <c r="C478" t="s">
        <v>488</v>
      </c>
      <c r="D478" t="s">
        <v>5020</v>
      </c>
      <c r="E478" t="s">
        <v>5032</v>
      </c>
      <c r="F478" t="s">
        <v>5041</v>
      </c>
      <c r="G478" s="3">
        <v>14625.97</v>
      </c>
      <c r="H478" s="3">
        <v>0</v>
      </c>
      <c r="I478" s="3">
        <f>SUM(Tabla1[[#This Row],[Monto_Base]],H478)</f>
        <v>14625.97</v>
      </c>
      <c r="J478" t="s">
        <v>5044</v>
      </c>
      <c r="K478" t="s">
        <v>5049</v>
      </c>
      <c r="L478" t="s">
        <v>5050</v>
      </c>
      <c r="M478" t="s">
        <v>5054</v>
      </c>
    </row>
    <row r="479" spans="1:13" x14ac:dyDescent="0.3">
      <c r="A479" s="1">
        <v>45619</v>
      </c>
      <c r="B479" s="1" t="str">
        <f>TEXT(Tabla1[[#This Row],[Fecha]],"MMMM")</f>
        <v>noviembre</v>
      </c>
      <c r="C479" t="s">
        <v>489</v>
      </c>
      <c r="D479" t="s">
        <v>5031</v>
      </c>
      <c r="E479" t="s">
        <v>5032</v>
      </c>
      <c r="F479" t="s">
        <v>5037</v>
      </c>
      <c r="G479" s="3">
        <v>7875.72</v>
      </c>
      <c r="H479" s="3">
        <v>0</v>
      </c>
      <c r="I479" s="3">
        <f>SUM(Tabla1[[#This Row],[Monto_Base]],H479)</f>
        <v>7875.72</v>
      </c>
      <c r="J479" t="s">
        <v>5042</v>
      </c>
      <c r="K479" t="s">
        <v>5048</v>
      </c>
      <c r="L479" t="s">
        <v>5051</v>
      </c>
      <c r="M479" t="s">
        <v>5055</v>
      </c>
    </row>
    <row r="480" spans="1:13" x14ac:dyDescent="0.3">
      <c r="A480" s="1">
        <v>45425</v>
      </c>
      <c r="B480" s="1" t="str">
        <f>TEXT(Tabla1[[#This Row],[Fecha]],"MMMM")</f>
        <v>mayo</v>
      </c>
      <c r="C480" t="s">
        <v>490</v>
      </c>
      <c r="D480" t="s">
        <v>5013</v>
      </c>
      <c r="E480" t="s">
        <v>5032</v>
      </c>
      <c r="F480" t="s">
        <v>5038</v>
      </c>
      <c r="G480" s="3">
        <v>5518.46</v>
      </c>
      <c r="H480" s="3">
        <v>0</v>
      </c>
      <c r="I480" s="3">
        <f>SUM(Tabla1[[#This Row],[Monto_Base]],H480)</f>
        <v>5518.46</v>
      </c>
      <c r="J480" t="s">
        <v>5046</v>
      </c>
      <c r="K480" t="s">
        <v>5048</v>
      </c>
      <c r="L480" t="s">
        <v>5053</v>
      </c>
      <c r="M480" t="s">
        <v>5054</v>
      </c>
    </row>
    <row r="481" spans="1:13" x14ac:dyDescent="0.3">
      <c r="A481" s="1">
        <v>45644</v>
      </c>
      <c r="B481" s="1" t="str">
        <f>TEXT(Tabla1[[#This Row],[Fecha]],"MMMM")</f>
        <v>diciembre</v>
      </c>
      <c r="C481" t="s">
        <v>491</v>
      </c>
      <c r="D481" t="s">
        <v>5015</v>
      </c>
      <c r="E481" t="s">
        <v>5032</v>
      </c>
      <c r="F481" t="s">
        <v>5041</v>
      </c>
      <c r="G481" s="3">
        <v>8049.73</v>
      </c>
      <c r="H481" s="3">
        <v>0</v>
      </c>
      <c r="I481" s="3">
        <f>SUM(Tabla1[[#This Row],[Monto_Base]],H481)</f>
        <v>8049.73</v>
      </c>
      <c r="J481" t="s">
        <v>5043</v>
      </c>
      <c r="K481" t="s">
        <v>5048</v>
      </c>
      <c r="L481" t="s">
        <v>5051</v>
      </c>
      <c r="M481" t="s">
        <v>5054</v>
      </c>
    </row>
    <row r="482" spans="1:13" x14ac:dyDescent="0.3">
      <c r="A482" s="1">
        <v>45388</v>
      </c>
      <c r="B482" s="1" t="str">
        <f>TEXT(Tabla1[[#This Row],[Fecha]],"MMMM")</f>
        <v>abril</v>
      </c>
      <c r="C482" t="s">
        <v>492</v>
      </c>
      <c r="D482" t="s">
        <v>5029</v>
      </c>
      <c r="E482" t="s">
        <v>5033</v>
      </c>
      <c r="F482" t="s">
        <v>5035</v>
      </c>
      <c r="G482" s="3">
        <v>8245.77</v>
      </c>
      <c r="H482" s="3">
        <v>1071.95</v>
      </c>
      <c r="I482" s="3">
        <f>SUM(Tabla1[[#This Row],[Monto_Base]],H482)</f>
        <v>9317.7200000000012</v>
      </c>
      <c r="J482" t="s">
        <v>5043</v>
      </c>
      <c r="K482" t="s">
        <v>5049</v>
      </c>
      <c r="L482" t="s">
        <v>5050</v>
      </c>
      <c r="M482" t="s">
        <v>5055</v>
      </c>
    </row>
    <row r="483" spans="1:13" x14ac:dyDescent="0.3">
      <c r="A483" s="1">
        <v>45332</v>
      </c>
      <c r="B483" s="1" t="str">
        <f>TEXT(Tabla1[[#This Row],[Fecha]],"MMMM")</f>
        <v>febrero</v>
      </c>
      <c r="C483" t="s">
        <v>493</v>
      </c>
      <c r="D483" t="s">
        <v>5026</v>
      </c>
      <c r="E483" t="s">
        <v>5032</v>
      </c>
      <c r="F483" t="s">
        <v>5037</v>
      </c>
      <c r="G483" s="3">
        <v>3347.86</v>
      </c>
      <c r="H483" s="3">
        <v>0</v>
      </c>
      <c r="I483" s="3">
        <f>SUM(Tabla1[[#This Row],[Monto_Base]],H483)</f>
        <v>3347.86</v>
      </c>
      <c r="J483" t="s">
        <v>5043</v>
      </c>
      <c r="K483" t="s">
        <v>5049</v>
      </c>
      <c r="L483" t="s">
        <v>5052</v>
      </c>
      <c r="M483" t="s">
        <v>5055</v>
      </c>
    </row>
    <row r="484" spans="1:13" x14ac:dyDescent="0.3">
      <c r="A484" s="1">
        <v>45327</v>
      </c>
      <c r="B484" s="1" t="str">
        <f>TEXT(Tabla1[[#This Row],[Fecha]],"MMMM")</f>
        <v>febrero</v>
      </c>
      <c r="C484" t="s">
        <v>494</v>
      </c>
      <c r="D484" t="s">
        <v>5016</v>
      </c>
      <c r="E484" t="s">
        <v>5032</v>
      </c>
      <c r="F484" t="s">
        <v>5037</v>
      </c>
      <c r="G484" s="3">
        <v>2860.61</v>
      </c>
      <c r="H484" s="3">
        <v>0</v>
      </c>
      <c r="I484" s="3">
        <f>SUM(Tabla1[[#This Row],[Monto_Base]],H484)</f>
        <v>2860.61</v>
      </c>
      <c r="J484" t="s">
        <v>5046</v>
      </c>
      <c r="K484" t="s">
        <v>5047</v>
      </c>
      <c r="L484" t="s">
        <v>5051</v>
      </c>
      <c r="M484" t="s">
        <v>5054</v>
      </c>
    </row>
    <row r="485" spans="1:13" x14ac:dyDescent="0.3">
      <c r="A485" s="1">
        <v>45543</v>
      </c>
      <c r="B485" s="1" t="str">
        <f>TEXT(Tabla1[[#This Row],[Fecha]],"MMMM")</f>
        <v>septiembre</v>
      </c>
      <c r="C485" t="s">
        <v>495</v>
      </c>
      <c r="D485" t="s">
        <v>5014</v>
      </c>
      <c r="E485" t="s">
        <v>5032</v>
      </c>
      <c r="F485" t="s">
        <v>5038</v>
      </c>
      <c r="G485" s="3">
        <v>10522.07</v>
      </c>
      <c r="H485" s="3">
        <v>0</v>
      </c>
      <c r="I485" s="3">
        <f>SUM(Tabla1[[#This Row],[Monto_Base]],H485)</f>
        <v>10522.07</v>
      </c>
      <c r="J485" t="s">
        <v>5046</v>
      </c>
      <c r="K485" t="s">
        <v>5048</v>
      </c>
      <c r="L485" t="s">
        <v>5053</v>
      </c>
      <c r="M485" t="s">
        <v>5054</v>
      </c>
    </row>
    <row r="486" spans="1:13" x14ac:dyDescent="0.3">
      <c r="A486" s="1">
        <v>45436</v>
      </c>
      <c r="B486" s="1" t="str">
        <f>TEXT(Tabla1[[#This Row],[Fecha]],"MMMM")</f>
        <v>mayo</v>
      </c>
      <c r="C486" t="s">
        <v>496</v>
      </c>
      <c r="D486" t="s">
        <v>5023</v>
      </c>
      <c r="E486" t="s">
        <v>5033</v>
      </c>
      <c r="F486" t="s">
        <v>5039</v>
      </c>
      <c r="G486" s="3">
        <v>14586.37</v>
      </c>
      <c r="H486" s="3">
        <v>1896.23</v>
      </c>
      <c r="I486" s="3">
        <f>SUM(Tabla1[[#This Row],[Monto_Base]],H486)</f>
        <v>16482.600000000002</v>
      </c>
      <c r="J486" t="s">
        <v>5044</v>
      </c>
      <c r="K486" t="s">
        <v>5047</v>
      </c>
      <c r="L486" t="s">
        <v>5050</v>
      </c>
      <c r="M486" t="s">
        <v>5054</v>
      </c>
    </row>
    <row r="487" spans="1:13" x14ac:dyDescent="0.3">
      <c r="A487" s="1">
        <v>45467</v>
      </c>
      <c r="B487" s="1" t="str">
        <f>TEXT(Tabla1[[#This Row],[Fecha]],"MMMM")</f>
        <v>junio</v>
      </c>
      <c r="C487" t="s">
        <v>497</v>
      </c>
      <c r="D487" t="s">
        <v>5013</v>
      </c>
      <c r="E487" t="s">
        <v>5033</v>
      </c>
      <c r="F487" t="s">
        <v>5035</v>
      </c>
      <c r="G487" s="3">
        <v>7429.01</v>
      </c>
      <c r="H487" s="3">
        <v>965.77</v>
      </c>
      <c r="I487" s="3">
        <f>SUM(Tabla1[[#This Row],[Monto_Base]],H487)</f>
        <v>8394.7800000000007</v>
      </c>
      <c r="J487" t="s">
        <v>5043</v>
      </c>
      <c r="K487" t="s">
        <v>5048</v>
      </c>
      <c r="L487" t="s">
        <v>5050</v>
      </c>
      <c r="M487" t="s">
        <v>5055</v>
      </c>
    </row>
    <row r="488" spans="1:13" x14ac:dyDescent="0.3">
      <c r="A488" s="1">
        <v>45366</v>
      </c>
      <c r="B488" s="1" t="str">
        <f>TEXT(Tabla1[[#This Row],[Fecha]],"MMMM")</f>
        <v>marzo</v>
      </c>
      <c r="C488" t="s">
        <v>498</v>
      </c>
      <c r="D488" t="s">
        <v>5022</v>
      </c>
      <c r="E488" t="s">
        <v>5032</v>
      </c>
      <c r="F488" t="s">
        <v>5036</v>
      </c>
      <c r="G488" s="3">
        <v>12661.02</v>
      </c>
      <c r="H488" s="3">
        <v>0</v>
      </c>
      <c r="I488" s="3">
        <f>SUM(Tabla1[[#This Row],[Monto_Base]],H488)</f>
        <v>12661.02</v>
      </c>
      <c r="J488" t="s">
        <v>5045</v>
      </c>
      <c r="K488" t="s">
        <v>5048</v>
      </c>
      <c r="L488" t="s">
        <v>5050</v>
      </c>
      <c r="M488" t="s">
        <v>5054</v>
      </c>
    </row>
    <row r="489" spans="1:13" x14ac:dyDescent="0.3">
      <c r="A489" s="1">
        <v>45298</v>
      </c>
      <c r="B489" s="1" t="str">
        <f>TEXT(Tabla1[[#This Row],[Fecha]],"MMMM")</f>
        <v>enero</v>
      </c>
      <c r="C489" t="s">
        <v>499</v>
      </c>
      <c r="D489" t="s">
        <v>5028</v>
      </c>
      <c r="E489" t="s">
        <v>5033</v>
      </c>
      <c r="F489" t="s">
        <v>5038</v>
      </c>
      <c r="G489" s="3">
        <v>12267.9</v>
      </c>
      <c r="H489" s="3">
        <v>1594.83</v>
      </c>
      <c r="I489" s="3">
        <f>SUM(Tabla1[[#This Row],[Monto_Base]],H489)</f>
        <v>13862.73</v>
      </c>
      <c r="J489" t="s">
        <v>5045</v>
      </c>
      <c r="K489" t="s">
        <v>5049</v>
      </c>
      <c r="L489" t="s">
        <v>5052</v>
      </c>
      <c r="M489" t="s">
        <v>5055</v>
      </c>
    </row>
    <row r="490" spans="1:13" x14ac:dyDescent="0.3">
      <c r="A490" s="1">
        <v>45340</v>
      </c>
      <c r="B490" s="1" t="str">
        <f>TEXT(Tabla1[[#This Row],[Fecha]],"MMMM")</f>
        <v>febrero</v>
      </c>
      <c r="C490" t="s">
        <v>500</v>
      </c>
      <c r="D490" t="s">
        <v>5024</v>
      </c>
      <c r="E490" t="s">
        <v>5033</v>
      </c>
      <c r="F490" t="s">
        <v>5034</v>
      </c>
      <c r="G490" s="3">
        <v>6939.48</v>
      </c>
      <c r="H490" s="3">
        <v>902.13</v>
      </c>
      <c r="I490" s="3">
        <f>SUM(Tabla1[[#This Row],[Monto_Base]],H490)</f>
        <v>7841.61</v>
      </c>
      <c r="J490" t="s">
        <v>5042</v>
      </c>
      <c r="K490" t="s">
        <v>5049</v>
      </c>
      <c r="L490" t="s">
        <v>5052</v>
      </c>
      <c r="M490" t="s">
        <v>5055</v>
      </c>
    </row>
    <row r="491" spans="1:13" x14ac:dyDescent="0.3">
      <c r="A491" s="1">
        <v>45313</v>
      </c>
      <c r="B491" s="1" t="str">
        <f>TEXT(Tabla1[[#This Row],[Fecha]],"MMMM")</f>
        <v>enero</v>
      </c>
      <c r="C491" t="s">
        <v>501</v>
      </c>
      <c r="D491" t="s">
        <v>5029</v>
      </c>
      <c r="E491" t="s">
        <v>5032</v>
      </c>
      <c r="F491" t="s">
        <v>5039</v>
      </c>
      <c r="G491" s="3">
        <v>9456.01</v>
      </c>
      <c r="H491" s="3">
        <v>0</v>
      </c>
      <c r="I491" s="3">
        <f>SUM(Tabla1[[#This Row],[Monto_Base]],H491)</f>
        <v>9456.01</v>
      </c>
      <c r="J491" t="s">
        <v>5042</v>
      </c>
      <c r="K491" t="s">
        <v>5049</v>
      </c>
      <c r="L491" t="s">
        <v>5053</v>
      </c>
      <c r="M491" t="s">
        <v>5055</v>
      </c>
    </row>
    <row r="492" spans="1:13" x14ac:dyDescent="0.3">
      <c r="A492" s="1">
        <v>45633</v>
      </c>
      <c r="B492" s="1" t="str">
        <f>TEXT(Tabla1[[#This Row],[Fecha]],"MMMM")</f>
        <v>diciembre</v>
      </c>
      <c r="C492" t="s">
        <v>502</v>
      </c>
      <c r="D492" t="s">
        <v>5029</v>
      </c>
      <c r="E492" t="s">
        <v>5033</v>
      </c>
      <c r="F492" t="s">
        <v>5040</v>
      </c>
      <c r="G492" s="3">
        <v>13318.42</v>
      </c>
      <c r="H492" s="3">
        <v>1731.39</v>
      </c>
      <c r="I492" s="3">
        <f>SUM(Tabla1[[#This Row],[Monto_Base]],H492)</f>
        <v>15049.81</v>
      </c>
      <c r="J492" t="s">
        <v>5046</v>
      </c>
      <c r="K492" t="s">
        <v>5047</v>
      </c>
      <c r="L492" t="s">
        <v>5052</v>
      </c>
      <c r="M492" t="s">
        <v>5055</v>
      </c>
    </row>
    <row r="493" spans="1:13" x14ac:dyDescent="0.3">
      <c r="A493" s="1">
        <v>45494</v>
      </c>
      <c r="B493" s="1" t="str">
        <f>TEXT(Tabla1[[#This Row],[Fecha]],"MMMM")</f>
        <v>julio</v>
      </c>
      <c r="C493" t="s">
        <v>503</v>
      </c>
      <c r="D493" t="s">
        <v>5022</v>
      </c>
      <c r="E493" t="s">
        <v>5033</v>
      </c>
      <c r="F493" t="s">
        <v>5038</v>
      </c>
      <c r="G493" s="3">
        <v>8791.2199999999993</v>
      </c>
      <c r="H493" s="3">
        <v>1142.8599999999999</v>
      </c>
      <c r="I493" s="3">
        <f>SUM(Tabla1[[#This Row],[Monto_Base]],H493)</f>
        <v>9934.08</v>
      </c>
      <c r="J493" t="s">
        <v>5046</v>
      </c>
      <c r="K493" t="s">
        <v>5047</v>
      </c>
      <c r="L493" t="s">
        <v>5053</v>
      </c>
      <c r="M493" t="s">
        <v>5055</v>
      </c>
    </row>
    <row r="494" spans="1:13" x14ac:dyDescent="0.3">
      <c r="A494" s="1">
        <v>45338</v>
      </c>
      <c r="B494" s="1" t="str">
        <f>TEXT(Tabla1[[#This Row],[Fecha]],"MMMM")</f>
        <v>febrero</v>
      </c>
      <c r="C494" t="s">
        <v>504</v>
      </c>
      <c r="D494" t="s">
        <v>5015</v>
      </c>
      <c r="E494" t="s">
        <v>5033</v>
      </c>
      <c r="F494" t="s">
        <v>5034</v>
      </c>
      <c r="G494" s="3">
        <v>2407.59</v>
      </c>
      <c r="H494" s="3">
        <v>312.99</v>
      </c>
      <c r="I494" s="3">
        <f>SUM(Tabla1[[#This Row],[Monto_Base]],H494)</f>
        <v>2720.58</v>
      </c>
      <c r="J494" t="s">
        <v>5042</v>
      </c>
      <c r="K494" t="s">
        <v>5048</v>
      </c>
      <c r="L494" t="s">
        <v>5053</v>
      </c>
      <c r="M494" t="s">
        <v>5054</v>
      </c>
    </row>
    <row r="495" spans="1:13" x14ac:dyDescent="0.3">
      <c r="A495" s="1">
        <v>45454</v>
      </c>
      <c r="B495" s="1" t="str">
        <f>TEXT(Tabla1[[#This Row],[Fecha]],"MMMM")</f>
        <v>junio</v>
      </c>
      <c r="C495" t="s">
        <v>505</v>
      </c>
      <c r="D495" t="s">
        <v>5028</v>
      </c>
      <c r="E495" t="s">
        <v>5033</v>
      </c>
      <c r="F495" t="s">
        <v>5039</v>
      </c>
      <c r="G495" s="3">
        <v>7343.25</v>
      </c>
      <c r="H495" s="3">
        <v>954.62</v>
      </c>
      <c r="I495" s="3">
        <f>SUM(Tabla1[[#This Row],[Monto_Base]],H495)</f>
        <v>8297.8700000000008</v>
      </c>
      <c r="J495" t="s">
        <v>5042</v>
      </c>
      <c r="K495" t="s">
        <v>5049</v>
      </c>
      <c r="L495" t="s">
        <v>5051</v>
      </c>
      <c r="M495" t="s">
        <v>5055</v>
      </c>
    </row>
    <row r="496" spans="1:13" x14ac:dyDescent="0.3">
      <c r="A496" s="1">
        <v>45420</v>
      </c>
      <c r="B496" s="1" t="str">
        <f>TEXT(Tabla1[[#This Row],[Fecha]],"MMMM")</f>
        <v>mayo</v>
      </c>
      <c r="C496" t="s">
        <v>506</v>
      </c>
      <c r="D496" t="s">
        <v>5012</v>
      </c>
      <c r="E496" t="s">
        <v>5032</v>
      </c>
      <c r="F496" t="s">
        <v>5040</v>
      </c>
      <c r="G496" s="3">
        <v>10879.77</v>
      </c>
      <c r="H496" s="3">
        <v>0</v>
      </c>
      <c r="I496" s="3">
        <f>SUM(Tabla1[[#This Row],[Monto_Base]],H496)</f>
        <v>10879.77</v>
      </c>
      <c r="J496" t="s">
        <v>5045</v>
      </c>
      <c r="K496" t="s">
        <v>5048</v>
      </c>
      <c r="L496" t="s">
        <v>5050</v>
      </c>
      <c r="M496" t="s">
        <v>5055</v>
      </c>
    </row>
    <row r="497" spans="1:13" x14ac:dyDescent="0.3">
      <c r="A497" s="1">
        <v>45531</v>
      </c>
      <c r="B497" s="1" t="str">
        <f>TEXT(Tabla1[[#This Row],[Fecha]],"MMMM")</f>
        <v>agosto</v>
      </c>
      <c r="C497" t="s">
        <v>507</v>
      </c>
      <c r="D497" t="s">
        <v>5024</v>
      </c>
      <c r="E497" t="s">
        <v>5033</v>
      </c>
      <c r="F497" t="s">
        <v>5040</v>
      </c>
      <c r="G497" s="3">
        <v>4889.03</v>
      </c>
      <c r="H497" s="3">
        <v>635.57000000000005</v>
      </c>
      <c r="I497" s="3">
        <f>SUM(Tabla1[[#This Row],[Monto_Base]],H497)</f>
        <v>5524.5999999999995</v>
      </c>
      <c r="J497" t="s">
        <v>5044</v>
      </c>
      <c r="K497" t="s">
        <v>5049</v>
      </c>
      <c r="L497" t="s">
        <v>5052</v>
      </c>
      <c r="M497" t="s">
        <v>5054</v>
      </c>
    </row>
    <row r="498" spans="1:13" x14ac:dyDescent="0.3">
      <c r="A498" s="1">
        <v>45524</v>
      </c>
      <c r="B498" s="1" t="str">
        <f>TEXT(Tabla1[[#This Row],[Fecha]],"MMMM")</f>
        <v>agosto</v>
      </c>
      <c r="C498" t="s">
        <v>508</v>
      </c>
      <c r="D498" t="s">
        <v>5018</v>
      </c>
      <c r="E498" t="s">
        <v>5032</v>
      </c>
      <c r="F498" t="s">
        <v>5038</v>
      </c>
      <c r="G498" s="3">
        <v>8147.01</v>
      </c>
      <c r="H498" s="3">
        <v>0</v>
      </c>
      <c r="I498" s="3">
        <f>SUM(Tabla1[[#This Row],[Monto_Base]],H498)</f>
        <v>8147.01</v>
      </c>
      <c r="J498" t="s">
        <v>5045</v>
      </c>
      <c r="K498" t="s">
        <v>5049</v>
      </c>
      <c r="L498" t="s">
        <v>5050</v>
      </c>
      <c r="M498" t="s">
        <v>5054</v>
      </c>
    </row>
    <row r="499" spans="1:13" x14ac:dyDescent="0.3">
      <c r="A499" s="1">
        <v>45324</v>
      </c>
      <c r="B499" s="1" t="str">
        <f>TEXT(Tabla1[[#This Row],[Fecha]],"MMMM")</f>
        <v>febrero</v>
      </c>
      <c r="C499" t="s">
        <v>509</v>
      </c>
      <c r="D499" t="s">
        <v>5031</v>
      </c>
      <c r="E499" t="s">
        <v>5032</v>
      </c>
      <c r="F499" t="s">
        <v>5034</v>
      </c>
      <c r="G499" s="3">
        <v>4844.38</v>
      </c>
      <c r="H499" s="3">
        <v>0</v>
      </c>
      <c r="I499" s="3">
        <f>SUM(Tabla1[[#This Row],[Monto_Base]],H499)</f>
        <v>4844.38</v>
      </c>
      <c r="J499" t="s">
        <v>5042</v>
      </c>
      <c r="K499" t="s">
        <v>5048</v>
      </c>
      <c r="L499" t="s">
        <v>5052</v>
      </c>
      <c r="M499" t="s">
        <v>5055</v>
      </c>
    </row>
    <row r="500" spans="1:13" x14ac:dyDescent="0.3">
      <c r="A500" s="1">
        <v>45456</v>
      </c>
      <c r="B500" s="1" t="str">
        <f>TEXT(Tabla1[[#This Row],[Fecha]],"MMMM")</f>
        <v>junio</v>
      </c>
      <c r="C500" t="s">
        <v>510</v>
      </c>
      <c r="D500" t="s">
        <v>5031</v>
      </c>
      <c r="E500" t="s">
        <v>5032</v>
      </c>
      <c r="F500" t="s">
        <v>5040</v>
      </c>
      <c r="G500" s="3">
        <v>6176.58</v>
      </c>
      <c r="H500" s="3">
        <v>0</v>
      </c>
      <c r="I500" s="3">
        <f>SUM(Tabla1[[#This Row],[Monto_Base]],H500)</f>
        <v>6176.58</v>
      </c>
      <c r="J500" t="s">
        <v>5045</v>
      </c>
      <c r="K500" t="s">
        <v>5047</v>
      </c>
      <c r="L500" t="s">
        <v>5053</v>
      </c>
      <c r="M500" t="s">
        <v>5054</v>
      </c>
    </row>
    <row r="501" spans="1:13" x14ac:dyDescent="0.3">
      <c r="A501" s="1">
        <v>45390</v>
      </c>
      <c r="B501" s="1" t="str">
        <f>TEXT(Tabla1[[#This Row],[Fecha]],"MMMM")</f>
        <v>abril</v>
      </c>
      <c r="C501" t="s">
        <v>511</v>
      </c>
      <c r="D501" t="s">
        <v>5026</v>
      </c>
      <c r="E501" t="s">
        <v>5033</v>
      </c>
      <c r="F501" t="s">
        <v>5034</v>
      </c>
      <c r="G501" s="3">
        <v>1650.47</v>
      </c>
      <c r="H501" s="3">
        <v>214.56</v>
      </c>
      <c r="I501" s="3">
        <f>SUM(Tabla1[[#This Row],[Monto_Base]],H501)</f>
        <v>1865.03</v>
      </c>
      <c r="J501" t="s">
        <v>5045</v>
      </c>
      <c r="K501" t="s">
        <v>5047</v>
      </c>
      <c r="L501" t="s">
        <v>5050</v>
      </c>
      <c r="M501" t="s">
        <v>5055</v>
      </c>
    </row>
    <row r="502" spans="1:13" x14ac:dyDescent="0.3">
      <c r="A502" s="1">
        <v>45328</v>
      </c>
      <c r="B502" s="1" t="str">
        <f>TEXT(Tabla1[[#This Row],[Fecha]],"MMMM")</f>
        <v>febrero</v>
      </c>
      <c r="C502" t="s">
        <v>512</v>
      </c>
      <c r="D502" t="s">
        <v>5022</v>
      </c>
      <c r="E502" t="s">
        <v>5032</v>
      </c>
      <c r="F502" t="s">
        <v>5034</v>
      </c>
      <c r="G502" s="3">
        <v>9109.01</v>
      </c>
      <c r="H502" s="3">
        <v>0</v>
      </c>
      <c r="I502" s="3">
        <f>SUM(Tabla1[[#This Row],[Monto_Base]],H502)</f>
        <v>9109.01</v>
      </c>
      <c r="J502" t="s">
        <v>5045</v>
      </c>
      <c r="K502" t="s">
        <v>5047</v>
      </c>
      <c r="L502" t="s">
        <v>5050</v>
      </c>
      <c r="M502" t="s">
        <v>5054</v>
      </c>
    </row>
    <row r="503" spans="1:13" x14ac:dyDescent="0.3">
      <c r="A503" s="1">
        <v>45654</v>
      </c>
      <c r="B503" s="1" t="str">
        <f>TEXT(Tabla1[[#This Row],[Fecha]],"MMMM")</f>
        <v>diciembre</v>
      </c>
      <c r="C503" t="s">
        <v>513</v>
      </c>
      <c r="D503" t="s">
        <v>5022</v>
      </c>
      <c r="E503" t="s">
        <v>5032</v>
      </c>
      <c r="F503" t="s">
        <v>5037</v>
      </c>
      <c r="G503" s="3">
        <v>12339.3</v>
      </c>
      <c r="H503" s="3">
        <v>0</v>
      </c>
      <c r="I503" s="3">
        <f>SUM(Tabla1[[#This Row],[Monto_Base]],H503)</f>
        <v>12339.3</v>
      </c>
      <c r="J503" t="s">
        <v>5045</v>
      </c>
      <c r="K503" t="s">
        <v>5049</v>
      </c>
      <c r="L503" t="s">
        <v>5051</v>
      </c>
      <c r="M503" t="s">
        <v>5054</v>
      </c>
    </row>
    <row r="504" spans="1:13" x14ac:dyDescent="0.3">
      <c r="A504" s="1">
        <v>45341</v>
      </c>
      <c r="B504" s="1" t="str">
        <f>TEXT(Tabla1[[#This Row],[Fecha]],"MMMM")</f>
        <v>febrero</v>
      </c>
      <c r="C504" t="s">
        <v>514</v>
      </c>
      <c r="D504" t="s">
        <v>5021</v>
      </c>
      <c r="E504" t="s">
        <v>5033</v>
      </c>
      <c r="F504" t="s">
        <v>5034</v>
      </c>
      <c r="G504" s="3">
        <v>14410.77</v>
      </c>
      <c r="H504" s="3">
        <v>1873.4</v>
      </c>
      <c r="I504" s="3">
        <f>SUM(Tabla1[[#This Row],[Monto_Base]],H504)</f>
        <v>16284.17</v>
      </c>
      <c r="J504" t="s">
        <v>5045</v>
      </c>
      <c r="K504" t="s">
        <v>5049</v>
      </c>
      <c r="L504" t="s">
        <v>5052</v>
      </c>
      <c r="M504" t="s">
        <v>5055</v>
      </c>
    </row>
    <row r="505" spans="1:13" x14ac:dyDescent="0.3">
      <c r="A505" s="1">
        <v>45577</v>
      </c>
      <c r="B505" s="1" t="str">
        <f>TEXT(Tabla1[[#This Row],[Fecha]],"MMMM")</f>
        <v>octubre</v>
      </c>
      <c r="C505" t="s">
        <v>515</v>
      </c>
      <c r="D505" t="s">
        <v>5017</v>
      </c>
      <c r="E505" t="s">
        <v>5033</v>
      </c>
      <c r="F505" t="s">
        <v>5039</v>
      </c>
      <c r="G505" s="3">
        <v>8398.43</v>
      </c>
      <c r="H505" s="3">
        <v>1091.8</v>
      </c>
      <c r="I505" s="3">
        <f>SUM(Tabla1[[#This Row],[Monto_Base]],H505)</f>
        <v>9490.23</v>
      </c>
      <c r="J505" t="s">
        <v>5043</v>
      </c>
      <c r="K505" t="s">
        <v>5049</v>
      </c>
      <c r="L505" t="s">
        <v>5053</v>
      </c>
      <c r="M505" t="s">
        <v>5055</v>
      </c>
    </row>
    <row r="506" spans="1:13" x14ac:dyDescent="0.3">
      <c r="A506" s="1">
        <v>45573</v>
      </c>
      <c r="B506" s="1" t="str">
        <f>TEXT(Tabla1[[#This Row],[Fecha]],"MMMM")</f>
        <v>octubre</v>
      </c>
      <c r="C506" t="s">
        <v>516</v>
      </c>
      <c r="D506" t="s">
        <v>5019</v>
      </c>
      <c r="E506" t="s">
        <v>5033</v>
      </c>
      <c r="F506" t="s">
        <v>5039</v>
      </c>
      <c r="G506" s="3">
        <v>11897.3</v>
      </c>
      <c r="H506" s="3">
        <v>1546.65</v>
      </c>
      <c r="I506" s="3">
        <f>SUM(Tabla1[[#This Row],[Monto_Base]],H506)</f>
        <v>13443.949999999999</v>
      </c>
      <c r="J506" t="s">
        <v>5043</v>
      </c>
      <c r="K506" t="s">
        <v>5049</v>
      </c>
      <c r="L506" t="s">
        <v>5051</v>
      </c>
      <c r="M506" t="s">
        <v>5054</v>
      </c>
    </row>
    <row r="507" spans="1:13" x14ac:dyDescent="0.3">
      <c r="A507" s="1">
        <v>45503</v>
      </c>
      <c r="B507" s="1" t="str">
        <f>TEXT(Tabla1[[#This Row],[Fecha]],"MMMM")</f>
        <v>julio</v>
      </c>
      <c r="C507" t="s">
        <v>517</v>
      </c>
      <c r="D507" t="s">
        <v>5020</v>
      </c>
      <c r="E507" t="s">
        <v>5032</v>
      </c>
      <c r="F507" t="s">
        <v>5040</v>
      </c>
      <c r="G507" s="3">
        <v>12680.57</v>
      </c>
      <c r="H507" s="3">
        <v>0</v>
      </c>
      <c r="I507" s="3">
        <f>SUM(Tabla1[[#This Row],[Monto_Base]],H507)</f>
        <v>12680.57</v>
      </c>
      <c r="J507" t="s">
        <v>5043</v>
      </c>
      <c r="K507" t="s">
        <v>5049</v>
      </c>
      <c r="L507" t="s">
        <v>5051</v>
      </c>
      <c r="M507" t="s">
        <v>5054</v>
      </c>
    </row>
    <row r="508" spans="1:13" x14ac:dyDescent="0.3">
      <c r="A508" s="1">
        <v>45521</v>
      </c>
      <c r="B508" s="1" t="str">
        <f>TEXT(Tabla1[[#This Row],[Fecha]],"MMMM")</f>
        <v>agosto</v>
      </c>
      <c r="C508" t="s">
        <v>518</v>
      </c>
      <c r="D508" t="s">
        <v>5027</v>
      </c>
      <c r="E508" t="s">
        <v>5032</v>
      </c>
      <c r="F508" t="s">
        <v>5040</v>
      </c>
      <c r="G508" s="3">
        <v>14426.69</v>
      </c>
      <c r="H508" s="3">
        <v>0</v>
      </c>
      <c r="I508" s="3">
        <f>SUM(Tabla1[[#This Row],[Monto_Base]],H508)</f>
        <v>14426.69</v>
      </c>
      <c r="J508" t="s">
        <v>5043</v>
      </c>
      <c r="K508" t="s">
        <v>5047</v>
      </c>
      <c r="L508" t="s">
        <v>5053</v>
      </c>
      <c r="M508" t="s">
        <v>5055</v>
      </c>
    </row>
    <row r="509" spans="1:13" x14ac:dyDescent="0.3">
      <c r="A509" s="1">
        <v>45405</v>
      </c>
      <c r="B509" s="1" t="str">
        <f>TEXT(Tabla1[[#This Row],[Fecha]],"MMMM")</f>
        <v>abril</v>
      </c>
      <c r="C509" t="s">
        <v>519</v>
      </c>
      <c r="D509" t="s">
        <v>5023</v>
      </c>
      <c r="E509" t="s">
        <v>5033</v>
      </c>
      <c r="F509" t="s">
        <v>5038</v>
      </c>
      <c r="G509" s="3">
        <v>148.19999999999999</v>
      </c>
      <c r="H509" s="3">
        <v>19.27</v>
      </c>
      <c r="I509" s="3">
        <f>SUM(Tabla1[[#This Row],[Monto_Base]],H509)</f>
        <v>167.47</v>
      </c>
      <c r="J509" t="s">
        <v>5046</v>
      </c>
      <c r="K509" t="s">
        <v>5048</v>
      </c>
      <c r="L509" t="s">
        <v>5053</v>
      </c>
      <c r="M509" t="s">
        <v>5055</v>
      </c>
    </row>
    <row r="510" spans="1:13" x14ac:dyDescent="0.3">
      <c r="A510" s="1">
        <v>45362</v>
      </c>
      <c r="B510" s="1" t="str">
        <f>TEXT(Tabla1[[#This Row],[Fecha]],"MMMM")</f>
        <v>marzo</v>
      </c>
      <c r="C510" t="s">
        <v>520</v>
      </c>
      <c r="D510" t="s">
        <v>5013</v>
      </c>
      <c r="E510" t="s">
        <v>5033</v>
      </c>
      <c r="F510" t="s">
        <v>5041</v>
      </c>
      <c r="G510" s="3">
        <v>5367.05</v>
      </c>
      <c r="H510" s="3">
        <v>697.72</v>
      </c>
      <c r="I510" s="3">
        <f>SUM(Tabla1[[#This Row],[Monto_Base]],H510)</f>
        <v>6064.77</v>
      </c>
      <c r="J510" t="s">
        <v>5044</v>
      </c>
      <c r="K510" t="s">
        <v>5048</v>
      </c>
      <c r="L510" t="s">
        <v>5052</v>
      </c>
      <c r="M510" t="s">
        <v>5054</v>
      </c>
    </row>
    <row r="511" spans="1:13" x14ac:dyDescent="0.3">
      <c r="A511" s="1">
        <v>45403</v>
      </c>
      <c r="B511" s="1" t="str">
        <f>TEXT(Tabla1[[#This Row],[Fecha]],"MMMM")</f>
        <v>abril</v>
      </c>
      <c r="C511" t="s">
        <v>521</v>
      </c>
      <c r="D511" t="s">
        <v>5029</v>
      </c>
      <c r="E511" t="s">
        <v>5033</v>
      </c>
      <c r="F511" t="s">
        <v>5037</v>
      </c>
      <c r="G511" s="3">
        <v>8557.52</v>
      </c>
      <c r="H511" s="3">
        <v>1112.48</v>
      </c>
      <c r="I511" s="3">
        <f>SUM(Tabla1[[#This Row],[Monto_Base]],H511)</f>
        <v>9670</v>
      </c>
      <c r="J511" t="s">
        <v>5045</v>
      </c>
      <c r="K511" t="s">
        <v>5049</v>
      </c>
      <c r="L511" t="s">
        <v>5051</v>
      </c>
      <c r="M511" t="s">
        <v>5055</v>
      </c>
    </row>
    <row r="512" spans="1:13" x14ac:dyDescent="0.3">
      <c r="A512" s="1">
        <v>45587</v>
      </c>
      <c r="B512" s="1" t="str">
        <f>TEXT(Tabla1[[#This Row],[Fecha]],"MMMM")</f>
        <v>octubre</v>
      </c>
      <c r="C512" t="s">
        <v>522</v>
      </c>
      <c r="D512" t="s">
        <v>5018</v>
      </c>
      <c r="E512" t="s">
        <v>5033</v>
      </c>
      <c r="F512" t="s">
        <v>5038</v>
      </c>
      <c r="G512" s="3">
        <v>608.71</v>
      </c>
      <c r="H512" s="3">
        <v>79.13</v>
      </c>
      <c r="I512" s="3">
        <f>SUM(Tabla1[[#This Row],[Monto_Base]],H512)</f>
        <v>687.84</v>
      </c>
      <c r="J512" t="s">
        <v>5043</v>
      </c>
      <c r="K512" t="s">
        <v>5047</v>
      </c>
      <c r="L512" t="s">
        <v>5053</v>
      </c>
      <c r="M512" t="s">
        <v>5055</v>
      </c>
    </row>
    <row r="513" spans="1:13" x14ac:dyDescent="0.3">
      <c r="A513" s="1">
        <v>45408</v>
      </c>
      <c r="B513" s="1" t="str">
        <f>TEXT(Tabla1[[#This Row],[Fecha]],"MMMM")</f>
        <v>abril</v>
      </c>
      <c r="C513" t="s">
        <v>523</v>
      </c>
      <c r="D513" t="s">
        <v>5019</v>
      </c>
      <c r="E513" t="s">
        <v>5032</v>
      </c>
      <c r="F513" t="s">
        <v>5036</v>
      </c>
      <c r="G513" s="3">
        <v>13053.31</v>
      </c>
      <c r="H513" s="3">
        <v>0</v>
      </c>
      <c r="I513" s="3">
        <f>SUM(Tabla1[[#This Row],[Monto_Base]],H513)</f>
        <v>13053.31</v>
      </c>
      <c r="J513" t="s">
        <v>5042</v>
      </c>
      <c r="K513" t="s">
        <v>5047</v>
      </c>
      <c r="L513" t="s">
        <v>5050</v>
      </c>
      <c r="M513" t="s">
        <v>5054</v>
      </c>
    </row>
    <row r="514" spans="1:13" x14ac:dyDescent="0.3">
      <c r="A514" s="1">
        <v>45368</v>
      </c>
      <c r="B514" s="1" t="str">
        <f>TEXT(Tabla1[[#This Row],[Fecha]],"MMMM")</f>
        <v>marzo</v>
      </c>
      <c r="C514" t="s">
        <v>524</v>
      </c>
      <c r="D514" t="s">
        <v>5016</v>
      </c>
      <c r="E514" t="s">
        <v>5033</v>
      </c>
      <c r="F514" t="s">
        <v>5040</v>
      </c>
      <c r="G514" s="3">
        <v>8121.95</v>
      </c>
      <c r="H514" s="3">
        <v>1055.8499999999999</v>
      </c>
      <c r="I514" s="3">
        <f>SUM(Tabla1[[#This Row],[Monto_Base]],H514)</f>
        <v>9177.7999999999993</v>
      </c>
      <c r="J514" t="s">
        <v>5044</v>
      </c>
      <c r="K514" t="s">
        <v>5049</v>
      </c>
      <c r="L514" t="s">
        <v>5052</v>
      </c>
      <c r="M514" t="s">
        <v>5054</v>
      </c>
    </row>
    <row r="515" spans="1:13" x14ac:dyDescent="0.3">
      <c r="A515" s="1">
        <v>45440</v>
      </c>
      <c r="B515" s="1" t="str">
        <f>TEXT(Tabla1[[#This Row],[Fecha]],"MMMM")</f>
        <v>mayo</v>
      </c>
      <c r="C515" t="s">
        <v>525</v>
      </c>
      <c r="D515" t="s">
        <v>5027</v>
      </c>
      <c r="E515" t="s">
        <v>5032</v>
      </c>
      <c r="F515" t="s">
        <v>5036</v>
      </c>
      <c r="G515" s="3">
        <v>3370.18</v>
      </c>
      <c r="H515" s="3">
        <v>0</v>
      </c>
      <c r="I515" s="3">
        <f>SUM(Tabla1[[#This Row],[Monto_Base]],H515)</f>
        <v>3370.18</v>
      </c>
      <c r="J515" t="s">
        <v>5043</v>
      </c>
      <c r="K515" t="s">
        <v>5047</v>
      </c>
      <c r="L515" t="s">
        <v>5052</v>
      </c>
      <c r="M515" t="s">
        <v>5055</v>
      </c>
    </row>
    <row r="516" spans="1:13" x14ac:dyDescent="0.3">
      <c r="A516" s="1">
        <v>45496</v>
      </c>
      <c r="B516" s="1" t="str">
        <f>TEXT(Tabla1[[#This Row],[Fecha]],"MMMM")</f>
        <v>julio</v>
      </c>
      <c r="C516" t="s">
        <v>526</v>
      </c>
      <c r="D516" t="s">
        <v>5018</v>
      </c>
      <c r="E516" t="s">
        <v>5033</v>
      </c>
      <c r="F516" t="s">
        <v>5037</v>
      </c>
      <c r="G516" s="3">
        <v>3975.24</v>
      </c>
      <c r="H516" s="3">
        <v>516.78</v>
      </c>
      <c r="I516" s="3">
        <f>SUM(Tabla1[[#This Row],[Monto_Base]],H516)</f>
        <v>4492.0199999999995</v>
      </c>
      <c r="J516" t="s">
        <v>5042</v>
      </c>
      <c r="K516" t="s">
        <v>5048</v>
      </c>
      <c r="L516" t="s">
        <v>5052</v>
      </c>
      <c r="M516" t="s">
        <v>5054</v>
      </c>
    </row>
    <row r="517" spans="1:13" x14ac:dyDescent="0.3">
      <c r="A517" s="1">
        <v>45584</v>
      </c>
      <c r="B517" s="1" t="str">
        <f>TEXT(Tabla1[[#This Row],[Fecha]],"MMMM")</f>
        <v>octubre</v>
      </c>
      <c r="C517" t="s">
        <v>527</v>
      </c>
      <c r="D517" t="s">
        <v>5016</v>
      </c>
      <c r="E517" t="s">
        <v>5033</v>
      </c>
      <c r="F517" t="s">
        <v>5041</v>
      </c>
      <c r="G517" s="3">
        <v>5960.02</v>
      </c>
      <c r="H517" s="3">
        <v>774.8</v>
      </c>
      <c r="I517" s="3">
        <f>SUM(Tabla1[[#This Row],[Monto_Base]],H517)</f>
        <v>6734.8200000000006</v>
      </c>
      <c r="J517" t="s">
        <v>5046</v>
      </c>
      <c r="K517" t="s">
        <v>5049</v>
      </c>
      <c r="L517" t="s">
        <v>5052</v>
      </c>
      <c r="M517" t="s">
        <v>5054</v>
      </c>
    </row>
    <row r="518" spans="1:13" x14ac:dyDescent="0.3">
      <c r="A518" s="1">
        <v>45586</v>
      </c>
      <c r="B518" s="1" t="str">
        <f>TEXT(Tabla1[[#This Row],[Fecha]],"MMMM")</f>
        <v>octubre</v>
      </c>
      <c r="C518" t="s">
        <v>528</v>
      </c>
      <c r="D518" t="s">
        <v>5021</v>
      </c>
      <c r="E518" t="s">
        <v>5032</v>
      </c>
      <c r="F518" t="s">
        <v>5040</v>
      </c>
      <c r="G518" s="3">
        <v>10286.83</v>
      </c>
      <c r="H518" s="3">
        <v>0</v>
      </c>
      <c r="I518" s="3">
        <f>SUM(Tabla1[[#This Row],[Monto_Base]],H518)</f>
        <v>10286.83</v>
      </c>
      <c r="J518" t="s">
        <v>5045</v>
      </c>
      <c r="K518" t="s">
        <v>5047</v>
      </c>
      <c r="L518" t="s">
        <v>5050</v>
      </c>
      <c r="M518" t="s">
        <v>5055</v>
      </c>
    </row>
    <row r="519" spans="1:13" x14ac:dyDescent="0.3">
      <c r="A519" s="1">
        <v>45627</v>
      </c>
      <c r="B519" s="1" t="str">
        <f>TEXT(Tabla1[[#This Row],[Fecha]],"MMMM")</f>
        <v>diciembre</v>
      </c>
      <c r="C519" t="s">
        <v>529</v>
      </c>
      <c r="D519" t="s">
        <v>5020</v>
      </c>
      <c r="E519" t="s">
        <v>5033</v>
      </c>
      <c r="F519" t="s">
        <v>5040</v>
      </c>
      <c r="G519" s="3">
        <v>5200.6499999999996</v>
      </c>
      <c r="H519" s="3">
        <v>676.08</v>
      </c>
      <c r="I519" s="3">
        <f>SUM(Tabla1[[#This Row],[Monto_Base]],H519)</f>
        <v>5876.73</v>
      </c>
      <c r="J519" t="s">
        <v>5045</v>
      </c>
      <c r="K519" t="s">
        <v>5048</v>
      </c>
      <c r="L519" t="s">
        <v>5052</v>
      </c>
      <c r="M519" t="s">
        <v>5055</v>
      </c>
    </row>
    <row r="520" spans="1:13" x14ac:dyDescent="0.3">
      <c r="A520" s="1">
        <v>45411</v>
      </c>
      <c r="B520" s="1" t="str">
        <f>TEXT(Tabla1[[#This Row],[Fecha]],"MMMM")</f>
        <v>abril</v>
      </c>
      <c r="C520" t="s">
        <v>530</v>
      </c>
      <c r="D520" t="s">
        <v>5014</v>
      </c>
      <c r="E520" t="s">
        <v>5033</v>
      </c>
      <c r="F520" t="s">
        <v>5041</v>
      </c>
      <c r="G520" s="3">
        <v>720.92</v>
      </c>
      <c r="H520" s="3">
        <v>93.72</v>
      </c>
      <c r="I520" s="3">
        <f>SUM(Tabla1[[#This Row],[Monto_Base]],H520)</f>
        <v>814.64</v>
      </c>
      <c r="J520" t="s">
        <v>5046</v>
      </c>
      <c r="K520" t="s">
        <v>5049</v>
      </c>
      <c r="L520" t="s">
        <v>5051</v>
      </c>
      <c r="M520" t="s">
        <v>5054</v>
      </c>
    </row>
    <row r="521" spans="1:13" x14ac:dyDescent="0.3">
      <c r="A521" s="1">
        <v>45367</v>
      </c>
      <c r="B521" s="1" t="str">
        <f>TEXT(Tabla1[[#This Row],[Fecha]],"MMMM")</f>
        <v>marzo</v>
      </c>
      <c r="C521" t="s">
        <v>531</v>
      </c>
      <c r="D521" t="s">
        <v>5013</v>
      </c>
      <c r="E521" t="s">
        <v>5033</v>
      </c>
      <c r="F521" t="s">
        <v>5034</v>
      </c>
      <c r="G521" s="3">
        <v>14236.67</v>
      </c>
      <c r="H521" s="3">
        <v>1850.77</v>
      </c>
      <c r="I521" s="3">
        <f>SUM(Tabla1[[#This Row],[Monto_Base]],H521)</f>
        <v>16087.44</v>
      </c>
      <c r="J521" t="s">
        <v>5044</v>
      </c>
      <c r="K521" t="s">
        <v>5047</v>
      </c>
      <c r="L521" t="s">
        <v>5051</v>
      </c>
      <c r="M521" t="s">
        <v>5054</v>
      </c>
    </row>
    <row r="522" spans="1:13" x14ac:dyDescent="0.3">
      <c r="A522" s="1">
        <v>45567</v>
      </c>
      <c r="B522" s="1" t="str">
        <f>TEXT(Tabla1[[#This Row],[Fecha]],"MMMM")</f>
        <v>octubre</v>
      </c>
      <c r="C522" t="s">
        <v>532</v>
      </c>
      <c r="D522" t="s">
        <v>5025</v>
      </c>
      <c r="E522" t="s">
        <v>5032</v>
      </c>
      <c r="F522" t="s">
        <v>5035</v>
      </c>
      <c r="G522" s="3">
        <v>5011.5600000000004</v>
      </c>
      <c r="H522" s="3">
        <v>0</v>
      </c>
      <c r="I522" s="3">
        <f>SUM(Tabla1[[#This Row],[Monto_Base]],H522)</f>
        <v>5011.5600000000004</v>
      </c>
      <c r="J522" t="s">
        <v>5046</v>
      </c>
      <c r="K522" t="s">
        <v>5047</v>
      </c>
      <c r="L522" t="s">
        <v>5051</v>
      </c>
      <c r="M522" t="s">
        <v>5055</v>
      </c>
    </row>
    <row r="523" spans="1:13" x14ac:dyDescent="0.3">
      <c r="A523" s="1">
        <v>45322</v>
      </c>
      <c r="B523" s="1" t="str">
        <f>TEXT(Tabla1[[#This Row],[Fecha]],"MMMM")</f>
        <v>enero</v>
      </c>
      <c r="C523" t="s">
        <v>533</v>
      </c>
      <c r="D523" t="s">
        <v>5012</v>
      </c>
      <c r="E523" t="s">
        <v>5032</v>
      </c>
      <c r="F523" t="s">
        <v>5035</v>
      </c>
      <c r="G523" s="3">
        <v>3869.07</v>
      </c>
      <c r="H523" s="3">
        <v>0</v>
      </c>
      <c r="I523" s="3">
        <f>SUM(Tabla1[[#This Row],[Monto_Base]],H523)</f>
        <v>3869.07</v>
      </c>
      <c r="J523" t="s">
        <v>5044</v>
      </c>
      <c r="K523" t="s">
        <v>5047</v>
      </c>
      <c r="L523" t="s">
        <v>5051</v>
      </c>
      <c r="M523" t="s">
        <v>5054</v>
      </c>
    </row>
    <row r="524" spans="1:13" x14ac:dyDescent="0.3">
      <c r="A524" s="1">
        <v>45631</v>
      </c>
      <c r="B524" s="1" t="str">
        <f>TEXT(Tabla1[[#This Row],[Fecha]],"MMMM")</f>
        <v>diciembre</v>
      </c>
      <c r="C524" t="s">
        <v>534</v>
      </c>
      <c r="D524" t="s">
        <v>5022</v>
      </c>
      <c r="E524" t="s">
        <v>5033</v>
      </c>
      <c r="F524" t="s">
        <v>5037</v>
      </c>
      <c r="G524" s="3">
        <v>9922.57</v>
      </c>
      <c r="H524" s="3">
        <v>1289.93</v>
      </c>
      <c r="I524" s="3">
        <f>SUM(Tabla1[[#This Row],[Monto_Base]],H524)</f>
        <v>11212.5</v>
      </c>
      <c r="J524" t="s">
        <v>5044</v>
      </c>
      <c r="K524" t="s">
        <v>5047</v>
      </c>
      <c r="L524" t="s">
        <v>5053</v>
      </c>
      <c r="M524" t="s">
        <v>5055</v>
      </c>
    </row>
    <row r="525" spans="1:13" x14ac:dyDescent="0.3">
      <c r="A525" s="1">
        <v>45540</v>
      </c>
      <c r="B525" s="1" t="str">
        <f>TEXT(Tabla1[[#This Row],[Fecha]],"MMMM")</f>
        <v>septiembre</v>
      </c>
      <c r="C525" t="s">
        <v>535</v>
      </c>
      <c r="D525" t="s">
        <v>5024</v>
      </c>
      <c r="E525" t="s">
        <v>5032</v>
      </c>
      <c r="F525" t="s">
        <v>5036</v>
      </c>
      <c r="G525" s="3">
        <v>13562.89</v>
      </c>
      <c r="H525" s="3">
        <v>0</v>
      </c>
      <c r="I525" s="3">
        <f>SUM(Tabla1[[#This Row],[Monto_Base]],H525)</f>
        <v>13562.89</v>
      </c>
      <c r="J525" t="s">
        <v>5042</v>
      </c>
      <c r="K525" t="s">
        <v>5049</v>
      </c>
      <c r="L525" t="s">
        <v>5053</v>
      </c>
      <c r="M525" t="s">
        <v>5054</v>
      </c>
    </row>
    <row r="526" spans="1:13" x14ac:dyDescent="0.3">
      <c r="A526" s="1">
        <v>45563</v>
      </c>
      <c r="B526" s="1" t="str">
        <f>TEXT(Tabla1[[#This Row],[Fecha]],"MMMM")</f>
        <v>septiembre</v>
      </c>
      <c r="C526" t="s">
        <v>536</v>
      </c>
      <c r="D526" t="s">
        <v>5023</v>
      </c>
      <c r="E526" t="s">
        <v>5032</v>
      </c>
      <c r="F526" t="s">
        <v>5035</v>
      </c>
      <c r="G526" s="3">
        <v>644.29999999999995</v>
      </c>
      <c r="H526" s="3">
        <v>0</v>
      </c>
      <c r="I526" s="3">
        <f>SUM(Tabla1[[#This Row],[Monto_Base]],H526)</f>
        <v>644.29999999999995</v>
      </c>
      <c r="J526" t="s">
        <v>5044</v>
      </c>
      <c r="K526" t="s">
        <v>5048</v>
      </c>
      <c r="L526" t="s">
        <v>5050</v>
      </c>
      <c r="M526" t="s">
        <v>5055</v>
      </c>
    </row>
    <row r="527" spans="1:13" x14ac:dyDescent="0.3">
      <c r="A527" s="1">
        <v>45446</v>
      </c>
      <c r="B527" s="1" t="str">
        <f>TEXT(Tabla1[[#This Row],[Fecha]],"MMMM")</f>
        <v>junio</v>
      </c>
      <c r="C527" t="s">
        <v>537</v>
      </c>
      <c r="D527" t="s">
        <v>5012</v>
      </c>
      <c r="E527" t="s">
        <v>5032</v>
      </c>
      <c r="F527" t="s">
        <v>5040</v>
      </c>
      <c r="G527" s="3">
        <v>5362.9</v>
      </c>
      <c r="H527" s="3">
        <v>0</v>
      </c>
      <c r="I527" s="3">
        <f>SUM(Tabla1[[#This Row],[Monto_Base]],H527)</f>
        <v>5362.9</v>
      </c>
      <c r="J527" t="s">
        <v>5046</v>
      </c>
      <c r="K527" t="s">
        <v>5049</v>
      </c>
      <c r="L527" t="s">
        <v>5051</v>
      </c>
      <c r="M527" t="s">
        <v>5054</v>
      </c>
    </row>
    <row r="528" spans="1:13" x14ac:dyDescent="0.3">
      <c r="A528" s="1">
        <v>45466</v>
      </c>
      <c r="B528" s="1" t="str">
        <f>TEXT(Tabla1[[#This Row],[Fecha]],"MMMM")</f>
        <v>junio</v>
      </c>
      <c r="C528" t="s">
        <v>538</v>
      </c>
      <c r="D528" t="s">
        <v>5019</v>
      </c>
      <c r="E528" t="s">
        <v>5033</v>
      </c>
      <c r="F528" t="s">
        <v>5038</v>
      </c>
      <c r="G528" s="3">
        <v>3422.46</v>
      </c>
      <c r="H528" s="3">
        <v>444.92</v>
      </c>
      <c r="I528" s="3">
        <f>SUM(Tabla1[[#This Row],[Monto_Base]],H528)</f>
        <v>3867.38</v>
      </c>
      <c r="J528" t="s">
        <v>5043</v>
      </c>
      <c r="K528" t="s">
        <v>5049</v>
      </c>
      <c r="L528" t="s">
        <v>5052</v>
      </c>
      <c r="M528" t="s">
        <v>5054</v>
      </c>
    </row>
    <row r="529" spans="1:13" x14ac:dyDescent="0.3">
      <c r="A529" s="1">
        <v>45370</v>
      </c>
      <c r="B529" s="1" t="str">
        <f>TEXT(Tabla1[[#This Row],[Fecha]],"MMMM")</f>
        <v>marzo</v>
      </c>
      <c r="C529" t="s">
        <v>539</v>
      </c>
      <c r="D529" t="s">
        <v>5016</v>
      </c>
      <c r="E529" t="s">
        <v>5033</v>
      </c>
      <c r="F529" t="s">
        <v>5037</v>
      </c>
      <c r="G529" s="3">
        <v>3643.39</v>
      </c>
      <c r="H529" s="3">
        <v>473.64</v>
      </c>
      <c r="I529" s="3">
        <f>SUM(Tabla1[[#This Row],[Monto_Base]],H529)</f>
        <v>4117.03</v>
      </c>
      <c r="J529" t="s">
        <v>5043</v>
      </c>
      <c r="K529" t="s">
        <v>5048</v>
      </c>
      <c r="L529" t="s">
        <v>5051</v>
      </c>
      <c r="M529" t="s">
        <v>5055</v>
      </c>
    </row>
    <row r="530" spans="1:13" x14ac:dyDescent="0.3">
      <c r="A530" s="1">
        <v>45450</v>
      </c>
      <c r="B530" s="1" t="str">
        <f>TEXT(Tabla1[[#This Row],[Fecha]],"MMMM")</f>
        <v>junio</v>
      </c>
      <c r="C530" t="s">
        <v>540</v>
      </c>
      <c r="D530" t="s">
        <v>5017</v>
      </c>
      <c r="E530" t="s">
        <v>5033</v>
      </c>
      <c r="F530" t="s">
        <v>5034</v>
      </c>
      <c r="G530" s="3">
        <v>12945.69</v>
      </c>
      <c r="H530" s="3">
        <v>1682.94</v>
      </c>
      <c r="I530" s="3">
        <f>SUM(Tabla1[[#This Row],[Monto_Base]],H530)</f>
        <v>14628.630000000001</v>
      </c>
      <c r="J530" t="s">
        <v>5042</v>
      </c>
      <c r="K530" t="s">
        <v>5047</v>
      </c>
      <c r="L530" t="s">
        <v>5050</v>
      </c>
      <c r="M530" t="s">
        <v>5054</v>
      </c>
    </row>
    <row r="531" spans="1:13" x14ac:dyDescent="0.3">
      <c r="A531" s="1">
        <v>45366</v>
      </c>
      <c r="B531" s="1" t="str">
        <f>TEXT(Tabla1[[#This Row],[Fecha]],"MMMM")</f>
        <v>marzo</v>
      </c>
      <c r="C531" t="s">
        <v>541</v>
      </c>
      <c r="D531" t="s">
        <v>5015</v>
      </c>
      <c r="E531" t="s">
        <v>5033</v>
      </c>
      <c r="F531" t="s">
        <v>5036</v>
      </c>
      <c r="G531" s="3">
        <v>2802.82</v>
      </c>
      <c r="H531" s="3">
        <v>364.37</v>
      </c>
      <c r="I531" s="3">
        <f>SUM(Tabla1[[#This Row],[Monto_Base]],H531)</f>
        <v>3167.19</v>
      </c>
      <c r="J531" t="s">
        <v>5045</v>
      </c>
      <c r="K531" t="s">
        <v>5048</v>
      </c>
      <c r="L531" t="s">
        <v>5050</v>
      </c>
      <c r="M531" t="s">
        <v>5055</v>
      </c>
    </row>
    <row r="532" spans="1:13" x14ac:dyDescent="0.3">
      <c r="A532" s="1">
        <v>45346</v>
      </c>
      <c r="B532" s="1" t="str">
        <f>TEXT(Tabla1[[#This Row],[Fecha]],"MMMM")</f>
        <v>febrero</v>
      </c>
      <c r="C532" t="s">
        <v>542</v>
      </c>
      <c r="D532" t="s">
        <v>5025</v>
      </c>
      <c r="E532" t="s">
        <v>5032</v>
      </c>
      <c r="F532" t="s">
        <v>5039</v>
      </c>
      <c r="G532" s="3">
        <v>11697.66</v>
      </c>
      <c r="H532" s="3">
        <v>0</v>
      </c>
      <c r="I532" s="3">
        <f>SUM(Tabla1[[#This Row],[Monto_Base]],H532)</f>
        <v>11697.66</v>
      </c>
      <c r="J532" t="s">
        <v>5046</v>
      </c>
      <c r="K532" t="s">
        <v>5047</v>
      </c>
      <c r="L532" t="s">
        <v>5053</v>
      </c>
      <c r="M532" t="s">
        <v>5055</v>
      </c>
    </row>
    <row r="533" spans="1:13" x14ac:dyDescent="0.3">
      <c r="A533" s="1">
        <v>45475</v>
      </c>
      <c r="B533" s="1" t="str">
        <f>TEXT(Tabla1[[#This Row],[Fecha]],"MMMM")</f>
        <v>julio</v>
      </c>
      <c r="C533" t="s">
        <v>543</v>
      </c>
      <c r="D533" t="s">
        <v>5031</v>
      </c>
      <c r="E533" t="s">
        <v>5033</v>
      </c>
      <c r="F533" t="s">
        <v>5034</v>
      </c>
      <c r="G533" s="3">
        <v>10326.299999999999</v>
      </c>
      <c r="H533" s="3">
        <v>1342.42</v>
      </c>
      <c r="I533" s="3">
        <f>SUM(Tabla1[[#This Row],[Monto_Base]],H533)</f>
        <v>11668.72</v>
      </c>
      <c r="J533" t="s">
        <v>5045</v>
      </c>
      <c r="K533" t="s">
        <v>5049</v>
      </c>
      <c r="L533" t="s">
        <v>5050</v>
      </c>
      <c r="M533" t="s">
        <v>5054</v>
      </c>
    </row>
    <row r="534" spans="1:13" x14ac:dyDescent="0.3">
      <c r="A534" s="1">
        <v>45362</v>
      </c>
      <c r="B534" s="1" t="str">
        <f>TEXT(Tabla1[[#This Row],[Fecha]],"MMMM")</f>
        <v>marzo</v>
      </c>
      <c r="C534" t="s">
        <v>544</v>
      </c>
      <c r="D534" t="s">
        <v>5020</v>
      </c>
      <c r="E534" t="s">
        <v>5033</v>
      </c>
      <c r="F534" t="s">
        <v>5037</v>
      </c>
      <c r="G534" s="3">
        <v>7397.11</v>
      </c>
      <c r="H534" s="3">
        <v>961.62</v>
      </c>
      <c r="I534" s="3">
        <f>SUM(Tabla1[[#This Row],[Monto_Base]],H534)</f>
        <v>8358.73</v>
      </c>
      <c r="J534" t="s">
        <v>5046</v>
      </c>
      <c r="K534" t="s">
        <v>5047</v>
      </c>
      <c r="L534" t="s">
        <v>5052</v>
      </c>
      <c r="M534" t="s">
        <v>5054</v>
      </c>
    </row>
    <row r="535" spans="1:13" x14ac:dyDescent="0.3">
      <c r="A535" s="1">
        <v>45635</v>
      </c>
      <c r="B535" s="1" t="str">
        <f>TEXT(Tabla1[[#This Row],[Fecha]],"MMMM")</f>
        <v>diciembre</v>
      </c>
      <c r="C535" t="s">
        <v>545</v>
      </c>
      <c r="D535" t="s">
        <v>5022</v>
      </c>
      <c r="E535" t="s">
        <v>5032</v>
      </c>
      <c r="F535" t="s">
        <v>5037</v>
      </c>
      <c r="G535" s="3">
        <v>3377.19</v>
      </c>
      <c r="H535" s="3">
        <v>0</v>
      </c>
      <c r="I535" s="3">
        <f>SUM(Tabla1[[#This Row],[Monto_Base]],H535)</f>
        <v>3377.19</v>
      </c>
      <c r="J535" t="s">
        <v>5046</v>
      </c>
      <c r="K535" t="s">
        <v>5047</v>
      </c>
      <c r="L535" t="s">
        <v>5053</v>
      </c>
      <c r="M535" t="s">
        <v>5054</v>
      </c>
    </row>
    <row r="536" spans="1:13" x14ac:dyDescent="0.3">
      <c r="A536" s="1">
        <v>45418</v>
      </c>
      <c r="B536" s="1" t="str">
        <f>TEXT(Tabla1[[#This Row],[Fecha]],"MMMM")</f>
        <v>mayo</v>
      </c>
      <c r="C536" t="s">
        <v>546</v>
      </c>
      <c r="D536" t="s">
        <v>5014</v>
      </c>
      <c r="E536" t="s">
        <v>5032</v>
      </c>
      <c r="F536" t="s">
        <v>5040</v>
      </c>
      <c r="G536" s="3">
        <v>13008.28</v>
      </c>
      <c r="H536" s="3">
        <v>0</v>
      </c>
      <c r="I536" s="3">
        <f>SUM(Tabla1[[#This Row],[Monto_Base]],H536)</f>
        <v>13008.28</v>
      </c>
      <c r="J536" t="s">
        <v>5043</v>
      </c>
      <c r="K536" t="s">
        <v>5048</v>
      </c>
      <c r="L536" t="s">
        <v>5053</v>
      </c>
      <c r="M536" t="s">
        <v>5055</v>
      </c>
    </row>
    <row r="537" spans="1:13" x14ac:dyDescent="0.3">
      <c r="A537" s="1">
        <v>45313</v>
      </c>
      <c r="B537" s="1" t="str">
        <f>TEXT(Tabla1[[#This Row],[Fecha]],"MMMM")</f>
        <v>enero</v>
      </c>
      <c r="C537" t="s">
        <v>547</v>
      </c>
      <c r="D537" t="s">
        <v>5019</v>
      </c>
      <c r="E537" t="s">
        <v>5033</v>
      </c>
      <c r="F537" t="s">
        <v>5036</v>
      </c>
      <c r="G537" s="3">
        <v>6801.56</v>
      </c>
      <c r="H537" s="3">
        <v>884.2</v>
      </c>
      <c r="I537" s="3">
        <f>SUM(Tabla1[[#This Row],[Monto_Base]],H537)</f>
        <v>7685.76</v>
      </c>
      <c r="J537" t="s">
        <v>5046</v>
      </c>
      <c r="K537" t="s">
        <v>5049</v>
      </c>
      <c r="L537" t="s">
        <v>5050</v>
      </c>
      <c r="M537" t="s">
        <v>5054</v>
      </c>
    </row>
    <row r="538" spans="1:13" x14ac:dyDescent="0.3">
      <c r="A538" s="1">
        <v>45495</v>
      </c>
      <c r="B538" s="1" t="str">
        <f>TEXT(Tabla1[[#This Row],[Fecha]],"MMMM")</f>
        <v>julio</v>
      </c>
      <c r="C538" t="s">
        <v>548</v>
      </c>
      <c r="D538" t="s">
        <v>5016</v>
      </c>
      <c r="E538" t="s">
        <v>5033</v>
      </c>
      <c r="F538" t="s">
        <v>5034</v>
      </c>
      <c r="G538" s="3">
        <v>4403.13</v>
      </c>
      <c r="H538" s="3">
        <v>572.41</v>
      </c>
      <c r="I538" s="3">
        <f>SUM(Tabla1[[#This Row],[Monto_Base]],H538)</f>
        <v>4975.54</v>
      </c>
      <c r="J538" t="s">
        <v>5044</v>
      </c>
      <c r="K538" t="s">
        <v>5048</v>
      </c>
      <c r="L538" t="s">
        <v>5050</v>
      </c>
      <c r="M538" t="s">
        <v>5054</v>
      </c>
    </row>
    <row r="539" spans="1:13" x14ac:dyDescent="0.3">
      <c r="A539" s="1">
        <v>45622</v>
      </c>
      <c r="B539" s="1" t="str">
        <f>TEXT(Tabla1[[#This Row],[Fecha]],"MMMM")</f>
        <v>noviembre</v>
      </c>
      <c r="C539" t="s">
        <v>549</v>
      </c>
      <c r="D539" t="s">
        <v>5029</v>
      </c>
      <c r="E539" t="s">
        <v>5033</v>
      </c>
      <c r="F539" t="s">
        <v>5039</v>
      </c>
      <c r="G539" s="3">
        <v>6980.51</v>
      </c>
      <c r="H539" s="3">
        <v>907.47</v>
      </c>
      <c r="I539" s="3">
        <f>SUM(Tabla1[[#This Row],[Monto_Base]],H539)</f>
        <v>7887.9800000000005</v>
      </c>
      <c r="J539" t="s">
        <v>5043</v>
      </c>
      <c r="K539" t="s">
        <v>5047</v>
      </c>
      <c r="L539" t="s">
        <v>5053</v>
      </c>
      <c r="M539" t="s">
        <v>5054</v>
      </c>
    </row>
    <row r="540" spans="1:13" x14ac:dyDescent="0.3">
      <c r="A540" s="1">
        <v>45383</v>
      </c>
      <c r="B540" s="1" t="str">
        <f>TEXT(Tabla1[[#This Row],[Fecha]],"MMMM")</f>
        <v>abril</v>
      </c>
      <c r="C540" t="s">
        <v>550</v>
      </c>
      <c r="D540" t="s">
        <v>5027</v>
      </c>
      <c r="E540" t="s">
        <v>5032</v>
      </c>
      <c r="F540" t="s">
        <v>5040</v>
      </c>
      <c r="G540" s="3">
        <v>6790.74</v>
      </c>
      <c r="H540" s="3">
        <v>0</v>
      </c>
      <c r="I540" s="3">
        <f>SUM(Tabla1[[#This Row],[Monto_Base]],H540)</f>
        <v>6790.74</v>
      </c>
      <c r="J540" t="s">
        <v>5043</v>
      </c>
      <c r="K540" t="s">
        <v>5049</v>
      </c>
      <c r="L540" t="s">
        <v>5052</v>
      </c>
      <c r="M540" t="s">
        <v>5055</v>
      </c>
    </row>
    <row r="541" spans="1:13" x14ac:dyDescent="0.3">
      <c r="A541" s="1">
        <v>45355</v>
      </c>
      <c r="B541" s="1" t="str">
        <f>TEXT(Tabla1[[#This Row],[Fecha]],"MMMM")</f>
        <v>marzo</v>
      </c>
      <c r="C541" t="s">
        <v>551</v>
      </c>
      <c r="D541" t="s">
        <v>5021</v>
      </c>
      <c r="E541" t="s">
        <v>5032</v>
      </c>
      <c r="F541" t="s">
        <v>5039</v>
      </c>
      <c r="G541" s="3">
        <v>10789.7</v>
      </c>
      <c r="H541" s="3">
        <v>0</v>
      </c>
      <c r="I541" s="3">
        <f>SUM(Tabla1[[#This Row],[Monto_Base]],H541)</f>
        <v>10789.7</v>
      </c>
      <c r="J541" t="s">
        <v>5045</v>
      </c>
      <c r="K541" t="s">
        <v>5047</v>
      </c>
      <c r="L541" t="s">
        <v>5050</v>
      </c>
      <c r="M541" t="s">
        <v>5055</v>
      </c>
    </row>
    <row r="542" spans="1:13" x14ac:dyDescent="0.3">
      <c r="A542" s="1">
        <v>45486</v>
      </c>
      <c r="B542" s="1" t="str">
        <f>TEXT(Tabla1[[#This Row],[Fecha]],"MMMM")</f>
        <v>julio</v>
      </c>
      <c r="C542" t="s">
        <v>552</v>
      </c>
      <c r="D542" t="s">
        <v>5023</v>
      </c>
      <c r="E542" t="s">
        <v>5032</v>
      </c>
      <c r="F542" t="s">
        <v>5039</v>
      </c>
      <c r="G542" s="3">
        <v>5711.25</v>
      </c>
      <c r="H542" s="3">
        <v>0</v>
      </c>
      <c r="I542" s="3">
        <f>SUM(Tabla1[[#This Row],[Monto_Base]],H542)</f>
        <v>5711.25</v>
      </c>
      <c r="J542" t="s">
        <v>5045</v>
      </c>
      <c r="K542" t="s">
        <v>5047</v>
      </c>
      <c r="L542" t="s">
        <v>5051</v>
      </c>
      <c r="M542" t="s">
        <v>5054</v>
      </c>
    </row>
    <row r="543" spans="1:13" x14ac:dyDescent="0.3">
      <c r="A543" s="1">
        <v>45450</v>
      </c>
      <c r="B543" s="1" t="str">
        <f>TEXT(Tabla1[[#This Row],[Fecha]],"MMMM")</f>
        <v>junio</v>
      </c>
      <c r="C543" t="s">
        <v>553</v>
      </c>
      <c r="D543" t="s">
        <v>5026</v>
      </c>
      <c r="E543" t="s">
        <v>5033</v>
      </c>
      <c r="F543" t="s">
        <v>5035</v>
      </c>
      <c r="G543" s="3">
        <v>6322.75</v>
      </c>
      <c r="H543" s="3">
        <v>821.96</v>
      </c>
      <c r="I543" s="3">
        <f>SUM(Tabla1[[#This Row],[Monto_Base]],H543)</f>
        <v>7144.71</v>
      </c>
      <c r="J543" t="s">
        <v>5043</v>
      </c>
      <c r="K543" t="s">
        <v>5048</v>
      </c>
      <c r="L543" t="s">
        <v>5052</v>
      </c>
      <c r="M543" t="s">
        <v>5054</v>
      </c>
    </row>
    <row r="544" spans="1:13" x14ac:dyDescent="0.3">
      <c r="A544" s="1">
        <v>45546</v>
      </c>
      <c r="B544" s="1" t="str">
        <f>TEXT(Tabla1[[#This Row],[Fecha]],"MMMM")</f>
        <v>septiembre</v>
      </c>
      <c r="C544" t="s">
        <v>554</v>
      </c>
      <c r="D544" t="s">
        <v>5017</v>
      </c>
      <c r="E544" t="s">
        <v>5033</v>
      </c>
      <c r="F544" t="s">
        <v>5038</v>
      </c>
      <c r="G544" s="3">
        <v>232.51</v>
      </c>
      <c r="H544" s="3">
        <v>30.23</v>
      </c>
      <c r="I544" s="3">
        <f>SUM(Tabla1[[#This Row],[Monto_Base]],H544)</f>
        <v>262.74</v>
      </c>
      <c r="J544" t="s">
        <v>5043</v>
      </c>
      <c r="K544" t="s">
        <v>5049</v>
      </c>
      <c r="L544" t="s">
        <v>5053</v>
      </c>
      <c r="M544" t="s">
        <v>5055</v>
      </c>
    </row>
    <row r="545" spans="1:13" x14ac:dyDescent="0.3">
      <c r="A545" s="1">
        <v>45332</v>
      </c>
      <c r="B545" s="1" t="str">
        <f>TEXT(Tabla1[[#This Row],[Fecha]],"MMMM")</f>
        <v>febrero</v>
      </c>
      <c r="C545" t="s">
        <v>555</v>
      </c>
      <c r="D545" t="s">
        <v>5017</v>
      </c>
      <c r="E545" t="s">
        <v>5032</v>
      </c>
      <c r="F545" t="s">
        <v>5041</v>
      </c>
      <c r="G545" s="3">
        <v>6181.76</v>
      </c>
      <c r="H545" s="3">
        <v>0</v>
      </c>
      <c r="I545" s="3">
        <f>SUM(Tabla1[[#This Row],[Monto_Base]],H545)</f>
        <v>6181.76</v>
      </c>
      <c r="J545" t="s">
        <v>5042</v>
      </c>
      <c r="K545" t="s">
        <v>5049</v>
      </c>
      <c r="L545" t="s">
        <v>5053</v>
      </c>
      <c r="M545" t="s">
        <v>5054</v>
      </c>
    </row>
    <row r="546" spans="1:13" x14ac:dyDescent="0.3">
      <c r="A546" s="1">
        <v>45320</v>
      </c>
      <c r="B546" s="1" t="str">
        <f>TEXT(Tabla1[[#This Row],[Fecha]],"MMMM")</f>
        <v>enero</v>
      </c>
      <c r="C546" t="s">
        <v>556</v>
      </c>
      <c r="D546" t="s">
        <v>5014</v>
      </c>
      <c r="E546" t="s">
        <v>5033</v>
      </c>
      <c r="F546" t="s">
        <v>5035</v>
      </c>
      <c r="G546" s="3">
        <v>2813.36</v>
      </c>
      <c r="H546" s="3">
        <v>365.74</v>
      </c>
      <c r="I546" s="3">
        <f>SUM(Tabla1[[#This Row],[Monto_Base]],H546)</f>
        <v>3179.1000000000004</v>
      </c>
      <c r="J546" t="s">
        <v>5044</v>
      </c>
      <c r="K546" t="s">
        <v>5047</v>
      </c>
      <c r="L546" t="s">
        <v>5052</v>
      </c>
      <c r="M546" t="s">
        <v>5054</v>
      </c>
    </row>
    <row r="547" spans="1:13" x14ac:dyDescent="0.3">
      <c r="A547" s="1">
        <v>45383</v>
      </c>
      <c r="B547" s="1" t="str">
        <f>TEXT(Tabla1[[#This Row],[Fecha]],"MMMM")</f>
        <v>abril</v>
      </c>
      <c r="C547" t="s">
        <v>557</v>
      </c>
      <c r="D547" t="s">
        <v>5020</v>
      </c>
      <c r="E547" t="s">
        <v>5033</v>
      </c>
      <c r="F547" t="s">
        <v>5035</v>
      </c>
      <c r="G547" s="3">
        <v>1677.87</v>
      </c>
      <c r="H547" s="3">
        <v>218.12</v>
      </c>
      <c r="I547" s="3">
        <f>SUM(Tabla1[[#This Row],[Monto_Base]],H547)</f>
        <v>1895.9899999999998</v>
      </c>
      <c r="J547" t="s">
        <v>5046</v>
      </c>
      <c r="K547" t="s">
        <v>5049</v>
      </c>
      <c r="L547" t="s">
        <v>5051</v>
      </c>
      <c r="M547" t="s">
        <v>5054</v>
      </c>
    </row>
    <row r="548" spans="1:13" x14ac:dyDescent="0.3">
      <c r="A548" s="1">
        <v>45445</v>
      </c>
      <c r="B548" s="1" t="str">
        <f>TEXT(Tabla1[[#This Row],[Fecha]],"MMMM")</f>
        <v>junio</v>
      </c>
      <c r="C548" t="s">
        <v>558</v>
      </c>
      <c r="D548" t="s">
        <v>5014</v>
      </c>
      <c r="E548" t="s">
        <v>5032</v>
      </c>
      <c r="F548" t="s">
        <v>5035</v>
      </c>
      <c r="G548" s="3">
        <v>1442.24</v>
      </c>
      <c r="H548" s="3">
        <v>0</v>
      </c>
      <c r="I548" s="3">
        <f>SUM(Tabla1[[#This Row],[Monto_Base]],H548)</f>
        <v>1442.24</v>
      </c>
      <c r="J548" t="s">
        <v>5044</v>
      </c>
      <c r="K548" t="s">
        <v>5048</v>
      </c>
      <c r="L548" t="s">
        <v>5050</v>
      </c>
      <c r="M548" t="s">
        <v>5054</v>
      </c>
    </row>
    <row r="549" spans="1:13" x14ac:dyDescent="0.3">
      <c r="A549" s="1">
        <v>45354</v>
      </c>
      <c r="B549" s="1" t="str">
        <f>TEXT(Tabla1[[#This Row],[Fecha]],"MMMM")</f>
        <v>marzo</v>
      </c>
      <c r="C549" t="s">
        <v>559</v>
      </c>
      <c r="D549" t="s">
        <v>5016</v>
      </c>
      <c r="E549" t="s">
        <v>5033</v>
      </c>
      <c r="F549" t="s">
        <v>5038</v>
      </c>
      <c r="G549" s="3">
        <v>7088.71</v>
      </c>
      <c r="H549" s="3">
        <v>921.53</v>
      </c>
      <c r="I549" s="3">
        <f>SUM(Tabla1[[#This Row],[Monto_Base]],H549)</f>
        <v>8010.24</v>
      </c>
      <c r="J549" t="s">
        <v>5044</v>
      </c>
      <c r="K549" t="s">
        <v>5048</v>
      </c>
      <c r="L549" t="s">
        <v>5050</v>
      </c>
      <c r="M549" t="s">
        <v>5054</v>
      </c>
    </row>
    <row r="550" spans="1:13" x14ac:dyDescent="0.3">
      <c r="A550" s="1">
        <v>45614</v>
      </c>
      <c r="B550" s="1" t="str">
        <f>TEXT(Tabla1[[#This Row],[Fecha]],"MMMM")</f>
        <v>noviembre</v>
      </c>
      <c r="C550" t="s">
        <v>560</v>
      </c>
      <c r="D550" t="s">
        <v>5031</v>
      </c>
      <c r="E550" t="s">
        <v>5033</v>
      </c>
      <c r="F550" t="s">
        <v>5036</v>
      </c>
      <c r="G550" s="3">
        <v>8591.94</v>
      </c>
      <c r="H550" s="3">
        <v>1116.95</v>
      </c>
      <c r="I550" s="3">
        <f>SUM(Tabla1[[#This Row],[Monto_Base]],H550)</f>
        <v>9708.8900000000012</v>
      </c>
      <c r="J550" t="s">
        <v>5042</v>
      </c>
      <c r="K550" t="s">
        <v>5047</v>
      </c>
      <c r="L550" t="s">
        <v>5050</v>
      </c>
      <c r="M550" t="s">
        <v>5055</v>
      </c>
    </row>
    <row r="551" spans="1:13" x14ac:dyDescent="0.3">
      <c r="A551" s="1">
        <v>45611</v>
      </c>
      <c r="B551" s="1" t="str">
        <f>TEXT(Tabla1[[#This Row],[Fecha]],"MMMM")</f>
        <v>noviembre</v>
      </c>
      <c r="C551" t="s">
        <v>561</v>
      </c>
      <c r="D551" t="s">
        <v>5014</v>
      </c>
      <c r="E551" t="s">
        <v>5032</v>
      </c>
      <c r="F551" t="s">
        <v>5038</v>
      </c>
      <c r="G551" s="3">
        <v>7904.6</v>
      </c>
      <c r="H551" s="3">
        <v>0</v>
      </c>
      <c r="I551" s="3">
        <f>SUM(Tabla1[[#This Row],[Monto_Base]],H551)</f>
        <v>7904.6</v>
      </c>
      <c r="J551" t="s">
        <v>5044</v>
      </c>
      <c r="K551" t="s">
        <v>5047</v>
      </c>
      <c r="L551" t="s">
        <v>5050</v>
      </c>
      <c r="M551" t="s">
        <v>5055</v>
      </c>
    </row>
    <row r="552" spans="1:13" x14ac:dyDescent="0.3">
      <c r="A552" s="1">
        <v>45292</v>
      </c>
      <c r="B552" s="1" t="str">
        <f>TEXT(Tabla1[[#This Row],[Fecha]],"MMMM")</f>
        <v>enero</v>
      </c>
      <c r="C552" t="s">
        <v>562</v>
      </c>
      <c r="D552" t="s">
        <v>5028</v>
      </c>
      <c r="E552" t="s">
        <v>5033</v>
      </c>
      <c r="F552" t="s">
        <v>5038</v>
      </c>
      <c r="G552" s="3">
        <v>14689.9</v>
      </c>
      <c r="H552" s="3">
        <v>1909.69</v>
      </c>
      <c r="I552" s="3">
        <f>SUM(Tabla1[[#This Row],[Monto_Base]],H552)</f>
        <v>16599.59</v>
      </c>
      <c r="J552" t="s">
        <v>5045</v>
      </c>
      <c r="K552" t="s">
        <v>5047</v>
      </c>
      <c r="L552" t="s">
        <v>5050</v>
      </c>
      <c r="M552" t="s">
        <v>5054</v>
      </c>
    </row>
    <row r="553" spans="1:13" x14ac:dyDescent="0.3">
      <c r="A553" s="1">
        <v>45471</v>
      </c>
      <c r="B553" s="1" t="str">
        <f>TEXT(Tabla1[[#This Row],[Fecha]],"MMMM")</f>
        <v>junio</v>
      </c>
      <c r="C553" t="s">
        <v>563</v>
      </c>
      <c r="D553" t="s">
        <v>5031</v>
      </c>
      <c r="E553" t="s">
        <v>5032</v>
      </c>
      <c r="F553" t="s">
        <v>5037</v>
      </c>
      <c r="G553" s="3">
        <v>730.11</v>
      </c>
      <c r="H553" s="3">
        <v>0</v>
      </c>
      <c r="I553" s="3">
        <f>SUM(Tabla1[[#This Row],[Monto_Base]],H553)</f>
        <v>730.11</v>
      </c>
      <c r="J553" t="s">
        <v>5042</v>
      </c>
      <c r="K553" t="s">
        <v>5049</v>
      </c>
      <c r="L553" t="s">
        <v>5052</v>
      </c>
      <c r="M553" t="s">
        <v>5054</v>
      </c>
    </row>
    <row r="554" spans="1:13" x14ac:dyDescent="0.3">
      <c r="A554" s="1">
        <v>45551</v>
      </c>
      <c r="B554" s="1" t="str">
        <f>TEXT(Tabla1[[#This Row],[Fecha]],"MMMM")</f>
        <v>septiembre</v>
      </c>
      <c r="C554" t="s">
        <v>564</v>
      </c>
      <c r="D554" t="s">
        <v>5021</v>
      </c>
      <c r="E554" t="s">
        <v>5032</v>
      </c>
      <c r="F554" t="s">
        <v>5036</v>
      </c>
      <c r="G554" s="3">
        <v>4651.2</v>
      </c>
      <c r="H554" s="3">
        <v>0</v>
      </c>
      <c r="I554" s="3">
        <f>SUM(Tabla1[[#This Row],[Monto_Base]],H554)</f>
        <v>4651.2</v>
      </c>
      <c r="J554" t="s">
        <v>5042</v>
      </c>
      <c r="K554" t="s">
        <v>5048</v>
      </c>
      <c r="L554" t="s">
        <v>5053</v>
      </c>
      <c r="M554" t="s">
        <v>5054</v>
      </c>
    </row>
    <row r="555" spans="1:13" x14ac:dyDescent="0.3">
      <c r="A555" s="1">
        <v>45391</v>
      </c>
      <c r="B555" s="1" t="str">
        <f>TEXT(Tabla1[[#This Row],[Fecha]],"MMMM")</f>
        <v>abril</v>
      </c>
      <c r="C555" t="s">
        <v>565</v>
      </c>
      <c r="D555" t="s">
        <v>5020</v>
      </c>
      <c r="E555" t="s">
        <v>5032</v>
      </c>
      <c r="F555" t="s">
        <v>5035</v>
      </c>
      <c r="G555" s="3">
        <v>12489.04</v>
      </c>
      <c r="H555" s="3">
        <v>0</v>
      </c>
      <c r="I555" s="3">
        <f>SUM(Tabla1[[#This Row],[Monto_Base]],H555)</f>
        <v>12489.04</v>
      </c>
      <c r="J555" t="s">
        <v>5044</v>
      </c>
      <c r="K555" t="s">
        <v>5048</v>
      </c>
      <c r="L555" t="s">
        <v>5050</v>
      </c>
      <c r="M555" t="s">
        <v>5055</v>
      </c>
    </row>
    <row r="556" spans="1:13" x14ac:dyDescent="0.3">
      <c r="A556" s="1">
        <v>45566</v>
      </c>
      <c r="B556" s="1" t="str">
        <f>TEXT(Tabla1[[#This Row],[Fecha]],"MMMM")</f>
        <v>octubre</v>
      </c>
      <c r="C556" t="s">
        <v>566</v>
      </c>
      <c r="D556" t="s">
        <v>5026</v>
      </c>
      <c r="E556" t="s">
        <v>5032</v>
      </c>
      <c r="F556" t="s">
        <v>5039</v>
      </c>
      <c r="G556" s="3">
        <v>9426.65</v>
      </c>
      <c r="H556" s="3">
        <v>0</v>
      </c>
      <c r="I556" s="3">
        <f>SUM(Tabla1[[#This Row],[Monto_Base]],H556)</f>
        <v>9426.65</v>
      </c>
      <c r="J556" t="s">
        <v>5044</v>
      </c>
      <c r="K556" t="s">
        <v>5048</v>
      </c>
      <c r="L556" t="s">
        <v>5050</v>
      </c>
      <c r="M556" t="s">
        <v>5054</v>
      </c>
    </row>
    <row r="557" spans="1:13" x14ac:dyDescent="0.3">
      <c r="A557" s="1">
        <v>45642</v>
      </c>
      <c r="B557" s="1" t="str">
        <f>TEXT(Tabla1[[#This Row],[Fecha]],"MMMM")</f>
        <v>diciembre</v>
      </c>
      <c r="C557" t="s">
        <v>567</v>
      </c>
      <c r="D557" t="s">
        <v>5014</v>
      </c>
      <c r="E557" t="s">
        <v>5032</v>
      </c>
      <c r="F557" t="s">
        <v>5035</v>
      </c>
      <c r="G557" s="3">
        <v>3163.52</v>
      </c>
      <c r="H557" s="3">
        <v>0</v>
      </c>
      <c r="I557" s="3">
        <f>SUM(Tabla1[[#This Row],[Monto_Base]],H557)</f>
        <v>3163.52</v>
      </c>
      <c r="J557" t="s">
        <v>5044</v>
      </c>
      <c r="K557" t="s">
        <v>5048</v>
      </c>
      <c r="L557" t="s">
        <v>5053</v>
      </c>
      <c r="M557" t="s">
        <v>5054</v>
      </c>
    </row>
    <row r="558" spans="1:13" x14ac:dyDescent="0.3">
      <c r="A558" s="1">
        <v>45376</v>
      </c>
      <c r="B558" s="1" t="str">
        <f>TEXT(Tabla1[[#This Row],[Fecha]],"MMMM")</f>
        <v>marzo</v>
      </c>
      <c r="C558" t="s">
        <v>568</v>
      </c>
      <c r="D558" t="s">
        <v>5022</v>
      </c>
      <c r="E558" t="s">
        <v>5032</v>
      </c>
      <c r="F558" t="s">
        <v>5037</v>
      </c>
      <c r="G558" s="3">
        <v>9416.34</v>
      </c>
      <c r="H558" s="3">
        <v>0</v>
      </c>
      <c r="I558" s="3">
        <f>SUM(Tabla1[[#This Row],[Monto_Base]],H558)</f>
        <v>9416.34</v>
      </c>
      <c r="J558" t="s">
        <v>5042</v>
      </c>
      <c r="K558" t="s">
        <v>5049</v>
      </c>
      <c r="L558" t="s">
        <v>5050</v>
      </c>
      <c r="M558" t="s">
        <v>5054</v>
      </c>
    </row>
    <row r="559" spans="1:13" x14ac:dyDescent="0.3">
      <c r="A559" s="1">
        <v>45336</v>
      </c>
      <c r="B559" s="1" t="str">
        <f>TEXT(Tabla1[[#This Row],[Fecha]],"MMMM")</f>
        <v>febrero</v>
      </c>
      <c r="C559" t="s">
        <v>569</v>
      </c>
      <c r="D559" t="s">
        <v>5021</v>
      </c>
      <c r="E559" t="s">
        <v>5032</v>
      </c>
      <c r="F559" t="s">
        <v>5035</v>
      </c>
      <c r="G559" s="3">
        <v>4108.8900000000003</v>
      </c>
      <c r="H559" s="3">
        <v>0</v>
      </c>
      <c r="I559" s="3">
        <f>SUM(Tabla1[[#This Row],[Monto_Base]],H559)</f>
        <v>4108.8900000000003</v>
      </c>
      <c r="J559" t="s">
        <v>5043</v>
      </c>
      <c r="K559" t="s">
        <v>5047</v>
      </c>
      <c r="L559" t="s">
        <v>5051</v>
      </c>
      <c r="M559" t="s">
        <v>5055</v>
      </c>
    </row>
    <row r="560" spans="1:13" x14ac:dyDescent="0.3">
      <c r="A560" s="1">
        <v>45311</v>
      </c>
      <c r="B560" s="1" t="str">
        <f>TEXT(Tabla1[[#This Row],[Fecha]],"MMMM")</f>
        <v>enero</v>
      </c>
      <c r="C560" t="s">
        <v>570</v>
      </c>
      <c r="D560" t="s">
        <v>5024</v>
      </c>
      <c r="E560" t="s">
        <v>5032</v>
      </c>
      <c r="F560" t="s">
        <v>5039</v>
      </c>
      <c r="G560" s="3">
        <v>1727.86</v>
      </c>
      <c r="H560" s="3">
        <v>0</v>
      </c>
      <c r="I560" s="3">
        <f>SUM(Tabla1[[#This Row],[Monto_Base]],H560)</f>
        <v>1727.86</v>
      </c>
      <c r="J560" t="s">
        <v>5046</v>
      </c>
      <c r="K560" t="s">
        <v>5047</v>
      </c>
      <c r="L560" t="s">
        <v>5050</v>
      </c>
      <c r="M560" t="s">
        <v>5054</v>
      </c>
    </row>
    <row r="561" spans="1:13" x14ac:dyDescent="0.3">
      <c r="A561" s="1">
        <v>45539</v>
      </c>
      <c r="B561" s="1" t="str">
        <f>TEXT(Tabla1[[#This Row],[Fecha]],"MMMM")</f>
        <v>septiembre</v>
      </c>
      <c r="C561" t="s">
        <v>571</v>
      </c>
      <c r="D561" t="s">
        <v>5016</v>
      </c>
      <c r="E561" t="s">
        <v>5033</v>
      </c>
      <c r="F561" t="s">
        <v>5034</v>
      </c>
      <c r="G561" s="3">
        <v>5134.7299999999996</v>
      </c>
      <c r="H561" s="3">
        <v>667.51</v>
      </c>
      <c r="I561" s="3">
        <f>SUM(Tabla1[[#This Row],[Monto_Base]],H561)</f>
        <v>5802.24</v>
      </c>
      <c r="J561" t="s">
        <v>5042</v>
      </c>
      <c r="K561" t="s">
        <v>5048</v>
      </c>
      <c r="L561" t="s">
        <v>5051</v>
      </c>
      <c r="M561" t="s">
        <v>5054</v>
      </c>
    </row>
    <row r="562" spans="1:13" x14ac:dyDescent="0.3">
      <c r="A562" s="1">
        <v>45527</v>
      </c>
      <c r="B562" s="1" t="str">
        <f>TEXT(Tabla1[[#This Row],[Fecha]],"MMMM")</f>
        <v>agosto</v>
      </c>
      <c r="C562" t="s">
        <v>572</v>
      </c>
      <c r="D562" t="s">
        <v>5023</v>
      </c>
      <c r="E562" t="s">
        <v>5033</v>
      </c>
      <c r="F562" t="s">
        <v>5034</v>
      </c>
      <c r="G562" s="3">
        <v>10882.33</v>
      </c>
      <c r="H562" s="3">
        <v>1414.7</v>
      </c>
      <c r="I562" s="3">
        <f>SUM(Tabla1[[#This Row],[Monto_Base]],H562)</f>
        <v>12297.03</v>
      </c>
      <c r="J562" t="s">
        <v>5043</v>
      </c>
      <c r="K562" t="s">
        <v>5049</v>
      </c>
      <c r="L562" t="s">
        <v>5053</v>
      </c>
      <c r="M562" t="s">
        <v>5054</v>
      </c>
    </row>
    <row r="563" spans="1:13" x14ac:dyDescent="0.3">
      <c r="A563" s="1">
        <v>45315</v>
      </c>
      <c r="B563" s="1" t="str">
        <f>TEXT(Tabla1[[#This Row],[Fecha]],"MMMM")</f>
        <v>enero</v>
      </c>
      <c r="C563" t="s">
        <v>573</v>
      </c>
      <c r="D563" t="s">
        <v>5022</v>
      </c>
      <c r="E563" t="s">
        <v>5033</v>
      </c>
      <c r="F563" t="s">
        <v>5040</v>
      </c>
      <c r="G563" s="3">
        <v>7029.79</v>
      </c>
      <c r="H563" s="3">
        <v>913.87</v>
      </c>
      <c r="I563" s="3">
        <f>SUM(Tabla1[[#This Row],[Monto_Base]],H563)</f>
        <v>7943.66</v>
      </c>
      <c r="J563" t="s">
        <v>5045</v>
      </c>
      <c r="K563" t="s">
        <v>5049</v>
      </c>
      <c r="L563" t="s">
        <v>5051</v>
      </c>
      <c r="M563" t="s">
        <v>5054</v>
      </c>
    </row>
    <row r="564" spans="1:13" x14ac:dyDescent="0.3">
      <c r="A564" s="1">
        <v>45433</v>
      </c>
      <c r="B564" s="1" t="str">
        <f>TEXT(Tabla1[[#This Row],[Fecha]],"MMMM")</f>
        <v>mayo</v>
      </c>
      <c r="C564" t="s">
        <v>574</v>
      </c>
      <c r="D564" t="s">
        <v>5024</v>
      </c>
      <c r="E564" t="s">
        <v>5032</v>
      </c>
      <c r="F564" t="s">
        <v>5034</v>
      </c>
      <c r="G564" s="3">
        <v>2928.56</v>
      </c>
      <c r="H564" s="3">
        <v>0</v>
      </c>
      <c r="I564" s="3">
        <f>SUM(Tabla1[[#This Row],[Monto_Base]],H564)</f>
        <v>2928.56</v>
      </c>
      <c r="J564" t="s">
        <v>5042</v>
      </c>
      <c r="K564" t="s">
        <v>5048</v>
      </c>
      <c r="L564" t="s">
        <v>5050</v>
      </c>
      <c r="M564" t="s">
        <v>5054</v>
      </c>
    </row>
    <row r="565" spans="1:13" x14ac:dyDescent="0.3">
      <c r="A565" s="1">
        <v>45610</v>
      </c>
      <c r="B565" s="1" t="str">
        <f>TEXT(Tabla1[[#This Row],[Fecha]],"MMMM")</f>
        <v>noviembre</v>
      </c>
      <c r="C565" t="s">
        <v>575</v>
      </c>
      <c r="D565" t="s">
        <v>5028</v>
      </c>
      <c r="E565" t="s">
        <v>5033</v>
      </c>
      <c r="F565" t="s">
        <v>5038</v>
      </c>
      <c r="G565" s="3">
        <v>1761.18</v>
      </c>
      <c r="H565" s="3">
        <v>228.95</v>
      </c>
      <c r="I565" s="3">
        <f>SUM(Tabla1[[#This Row],[Monto_Base]],H565)</f>
        <v>1990.13</v>
      </c>
      <c r="J565" t="s">
        <v>5042</v>
      </c>
      <c r="K565" t="s">
        <v>5049</v>
      </c>
      <c r="L565" t="s">
        <v>5053</v>
      </c>
      <c r="M565" t="s">
        <v>5054</v>
      </c>
    </row>
    <row r="566" spans="1:13" x14ac:dyDescent="0.3">
      <c r="A566" s="1">
        <v>45652</v>
      </c>
      <c r="B566" s="1" t="str">
        <f>TEXT(Tabla1[[#This Row],[Fecha]],"MMMM")</f>
        <v>diciembre</v>
      </c>
      <c r="C566" t="s">
        <v>576</v>
      </c>
      <c r="D566" t="s">
        <v>5016</v>
      </c>
      <c r="E566" t="s">
        <v>5032</v>
      </c>
      <c r="F566" t="s">
        <v>5038</v>
      </c>
      <c r="G566" s="3">
        <v>2166.27</v>
      </c>
      <c r="H566" s="3">
        <v>0</v>
      </c>
      <c r="I566" s="3">
        <f>SUM(Tabla1[[#This Row],[Monto_Base]],H566)</f>
        <v>2166.27</v>
      </c>
      <c r="J566" t="s">
        <v>5044</v>
      </c>
      <c r="K566" t="s">
        <v>5049</v>
      </c>
      <c r="L566" t="s">
        <v>5052</v>
      </c>
      <c r="M566" t="s">
        <v>5054</v>
      </c>
    </row>
    <row r="567" spans="1:13" x14ac:dyDescent="0.3">
      <c r="A567" s="1">
        <v>45306</v>
      </c>
      <c r="B567" s="1" t="str">
        <f>TEXT(Tabla1[[#This Row],[Fecha]],"MMMM")</f>
        <v>enero</v>
      </c>
      <c r="C567" t="s">
        <v>577</v>
      </c>
      <c r="D567" t="s">
        <v>5021</v>
      </c>
      <c r="E567" t="s">
        <v>5032</v>
      </c>
      <c r="F567" t="s">
        <v>5041</v>
      </c>
      <c r="G567" s="3">
        <v>808.36</v>
      </c>
      <c r="H567" s="3">
        <v>0</v>
      </c>
      <c r="I567" s="3">
        <f>SUM(Tabla1[[#This Row],[Monto_Base]],H567)</f>
        <v>808.36</v>
      </c>
      <c r="J567" t="s">
        <v>5043</v>
      </c>
      <c r="K567" t="s">
        <v>5049</v>
      </c>
      <c r="L567" t="s">
        <v>5053</v>
      </c>
      <c r="M567" t="s">
        <v>5054</v>
      </c>
    </row>
    <row r="568" spans="1:13" x14ac:dyDescent="0.3">
      <c r="A568" s="1">
        <v>45652</v>
      </c>
      <c r="B568" s="1" t="str">
        <f>TEXT(Tabla1[[#This Row],[Fecha]],"MMMM")</f>
        <v>diciembre</v>
      </c>
      <c r="C568" t="s">
        <v>578</v>
      </c>
      <c r="D568" t="s">
        <v>5022</v>
      </c>
      <c r="E568" t="s">
        <v>5033</v>
      </c>
      <c r="F568" t="s">
        <v>5037</v>
      </c>
      <c r="G568" s="3">
        <v>5909.16</v>
      </c>
      <c r="H568" s="3">
        <v>768.19</v>
      </c>
      <c r="I568" s="3">
        <f>SUM(Tabla1[[#This Row],[Monto_Base]],H568)</f>
        <v>6677.35</v>
      </c>
      <c r="J568" t="s">
        <v>5042</v>
      </c>
      <c r="K568" t="s">
        <v>5049</v>
      </c>
      <c r="L568" t="s">
        <v>5050</v>
      </c>
      <c r="M568" t="s">
        <v>5055</v>
      </c>
    </row>
    <row r="569" spans="1:13" x14ac:dyDescent="0.3">
      <c r="A569" s="1">
        <v>45530</v>
      </c>
      <c r="B569" s="1" t="str">
        <f>TEXT(Tabla1[[#This Row],[Fecha]],"MMMM")</f>
        <v>agosto</v>
      </c>
      <c r="C569" t="s">
        <v>579</v>
      </c>
      <c r="D569" t="s">
        <v>5020</v>
      </c>
      <c r="E569" t="s">
        <v>5033</v>
      </c>
      <c r="F569" t="s">
        <v>5036</v>
      </c>
      <c r="G569" s="3">
        <v>14606.54</v>
      </c>
      <c r="H569" s="3">
        <v>1898.85</v>
      </c>
      <c r="I569" s="3">
        <f>SUM(Tabla1[[#This Row],[Monto_Base]],H569)</f>
        <v>16505.39</v>
      </c>
      <c r="J569" t="s">
        <v>5042</v>
      </c>
      <c r="K569" t="s">
        <v>5047</v>
      </c>
      <c r="L569" t="s">
        <v>5053</v>
      </c>
      <c r="M569" t="s">
        <v>5055</v>
      </c>
    </row>
    <row r="570" spans="1:13" x14ac:dyDescent="0.3">
      <c r="A570" s="1">
        <v>45406</v>
      </c>
      <c r="B570" s="1" t="str">
        <f>TEXT(Tabla1[[#This Row],[Fecha]],"MMMM")</f>
        <v>abril</v>
      </c>
      <c r="C570" t="s">
        <v>580</v>
      </c>
      <c r="D570" t="s">
        <v>5018</v>
      </c>
      <c r="E570" t="s">
        <v>5032</v>
      </c>
      <c r="F570" t="s">
        <v>5041</v>
      </c>
      <c r="G570" s="3">
        <v>7084.66</v>
      </c>
      <c r="H570" s="3">
        <v>0</v>
      </c>
      <c r="I570" s="3">
        <f>SUM(Tabla1[[#This Row],[Monto_Base]],H570)</f>
        <v>7084.66</v>
      </c>
      <c r="J570" t="s">
        <v>5046</v>
      </c>
      <c r="K570" t="s">
        <v>5049</v>
      </c>
      <c r="L570" t="s">
        <v>5051</v>
      </c>
      <c r="M570" t="s">
        <v>5055</v>
      </c>
    </row>
    <row r="571" spans="1:13" x14ac:dyDescent="0.3">
      <c r="A571" s="1">
        <v>45307</v>
      </c>
      <c r="B571" s="1" t="str">
        <f>TEXT(Tabla1[[#This Row],[Fecha]],"MMMM")</f>
        <v>enero</v>
      </c>
      <c r="C571" t="s">
        <v>581</v>
      </c>
      <c r="D571" t="s">
        <v>5028</v>
      </c>
      <c r="E571" t="s">
        <v>5032</v>
      </c>
      <c r="F571" t="s">
        <v>5040</v>
      </c>
      <c r="G571" s="3">
        <v>6826.58</v>
      </c>
      <c r="H571" s="3">
        <v>0</v>
      </c>
      <c r="I571" s="3">
        <f>SUM(Tabla1[[#This Row],[Monto_Base]],H571)</f>
        <v>6826.58</v>
      </c>
      <c r="J571" t="s">
        <v>5045</v>
      </c>
      <c r="K571" t="s">
        <v>5048</v>
      </c>
      <c r="L571" t="s">
        <v>5053</v>
      </c>
      <c r="M571" t="s">
        <v>5055</v>
      </c>
    </row>
    <row r="572" spans="1:13" x14ac:dyDescent="0.3">
      <c r="A572" s="1">
        <v>45601</v>
      </c>
      <c r="B572" s="1" t="str">
        <f>TEXT(Tabla1[[#This Row],[Fecha]],"MMMM")</f>
        <v>noviembre</v>
      </c>
      <c r="C572" t="s">
        <v>582</v>
      </c>
      <c r="D572" t="s">
        <v>5025</v>
      </c>
      <c r="E572" t="s">
        <v>5033</v>
      </c>
      <c r="F572" t="s">
        <v>5038</v>
      </c>
      <c r="G572" s="3">
        <v>11530.73</v>
      </c>
      <c r="H572" s="3">
        <v>1498.99</v>
      </c>
      <c r="I572" s="3">
        <f>SUM(Tabla1[[#This Row],[Monto_Base]],H572)</f>
        <v>13029.72</v>
      </c>
      <c r="J572" t="s">
        <v>5042</v>
      </c>
      <c r="K572" t="s">
        <v>5047</v>
      </c>
      <c r="L572" t="s">
        <v>5053</v>
      </c>
      <c r="M572" t="s">
        <v>5055</v>
      </c>
    </row>
    <row r="573" spans="1:13" x14ac:dyDescent="0.3">
      <c r="A573" s="1">
        <v>45497</v>
      </c>
      <c r="B573" s="1" t="str">
        <f>TEXT(Tabla1[[#This Row],[Fecha]],"MMMM")</f>
        <v>julio</v>
      </c>
      <c r="C573" t="s">
        <v>583</v>
      </c>
      <c r="D573" t="s">
        <v>5015</v>
      </c>
      <c r="E573" t="s">
        <v>5033</v>
      </c>
      <c r="F573" t="s">
        <v>5038</v>
      </c>
      <c r="G573" s="3">
        <v>8014.55</v>
      </c>
      <c r="H573" s="3">
        <v>1041.8900000000001</v>
      </c>
      <c r="I573" s="3">
        <f>SUM(Tabla1[[#This Row],[Monto_Base]],H573)</f>
        <v>9056.44</v>
      </c>
      <c r="J573" t="s">
        <v>5042</v>
      </c>
      <c r="K573" t="s">
        <v>5048</v>
      </c>
      <c r="L573" t="s">
        <v>5052</v>
      </c>
      <c r="M573" t="s">
        <v>5054</v>
      </c>
    </row>
    <row r="574" spans="1:13" x14ac:dyDescent="0.3">
      <c r="A574" s="1">
        <v>45647</v>
      </c>
      <c r="B574" s="1" t="str">
        <f>TEXT(Tabla1[[#This Row],[Fecha]],"MMMM")</f>
        <v>diciembre</v>
      </c>
      <c r="C574" t="s">
        <v>584</v>
      </c>
      <c r="D574" t="s">
        <v>5018</v>
      </c>
      <c r="E574" t="s">
        <v>5032</v>
      </c>
      <c r="F574" t="s">
        <v>5036</v>
      </c>
      <c r="G574" s="3">
        <v>5143.68</v>
      </c>
      <c r="H574" s="3">
        <v>0</v>
      </c>
      <c r="I574" s="3">
        <f>SUM(Tabla1[[#This Row],[Monto_Base]],H574)</f>
        <v>5143.68</v>
      </c>
      <c r="J574" t="s">
        <v>5042</v>
      </c>
      <c r="K574" t="s">
        <v>5048</v>
      </c>
      <c r="L574" t="s">
        <v>5050</v>
      </c>
      <c r="M574" t="s">
        <v>5055</v>
      </c>
    </row>
    <row r="575" spans="1:13" x14ac:dyDescent="0.3">
      <c r="A575" s="1">
        <v>45597</v>
      </c>
      <c r="B575" s="1" t="str">
        <f>TEXT(Tabla1[[#This Row],[Fecha]],"MMMM")</f>
        <v>noviembre</v>
      </c>
      <c r="C575" t="s">
        <v>585</v>
      </c>
      <c r="D575" t="s">
        <v>5026</v>
      </c>
      <c r="E575" t="s">
        <v>5033</v>
      </c>
      <c r="F575" t="s">
        <v>5041</v>
      </c>
      <c r="G575" s="3">
        <v>1759.13</v>
      </c>
      <c r="H575" s="3">
        <v>228.69</v>
      </c>
      <c r="I575" s="3">
        <f>SUM(Tabla1[[#This Row],[Monto_Base]],H575)</f>
        <v>1987.8200000000002</v>
      </c>
      <c r="J575" t="s">
        <v>5043</v>
      </c>
      <c r="K575" t="s">
        <v>5048</v>
      </c>
      <c r="L575" t="s">
        <v>5053</v>
      </c>
      <c r="M575" t="s">
        <v>5055</v>
      </c>
    </row>
    <row r="576" spans="1:13" x14ac:dyDescent="0.3">
      <c r="A576" s="1">
        <v>45642</v>
      </c>
      <c r="B576" s="1" t="str">
        <f>TEXT(Tabla1[[#This Row],[Fecha]],"MMMM")</f>
        <v>diciembre</v>
      </c>
      <c r="C576" t="s">
        <v>586</v>
      </c>
      <c r="D576" t="s">
        <v>5021</v>
      </c>
      <c r="E576" t="s">
        <v>5032</v>
      </c>
      <c r="F576" t="s">
        <v>5036</v>
      </c>
      <c r="G576" s="3">
        <v>8993.9699999999993</v>
      </c>
      <c r="H576" s="3">
        <v>0</v>
      </c>
      <c r="I576" s="3">
        <f>SUM(Tabla1[[#This Row],[Monto_Base]],H576)</f>
        <v>8993.9699999999993</v>
      </c>
      <c r="J576" t="s">
        <v>5042</v>
      </c>
      <c r="K576" t="s">
        <v>5048</v>
      </c>
      <c r="L576" t="s">
        <v>5051</v>
      </c>
      <c r="M576" t="s">
        <v>5055</v>
      </c>
    </row>
    <row r="577" spans="1:13" x14ac:dyDescent="0.3">
      <c r="A577" s="1">
        <v>45617</v>
      </c>
      <c r="B577" s="1" t="str">
        <f>TEXT(Tabla1[[#This Row],[Fecha]],"MMMM")</f>
        <v>noviembre</v>
      </c>
      <c r="C577" t="s">
        <v>587</v>
      </c>
      <c r="D577" t="s">
        <v>5013</v>
      </c>
      <c r="E577" t="s">
        <v>5033</v>
      </c>
      <c r="F577" t="s">
        <v>5039</v>
      </c>
      <c r="G577" s="3">
        <v>13314.56</v>
      </c>
      <c r="H577" s="3">
        <v>1730.89</v>
      </c>
      <c r="I577" s="3">
        <f>SUM(Tabla1[[#This Row],[Monto_Base]],H577)</f>
        <v>15045.449999999999</v>
      </c>
      <c r="J577" t="s">
        <v>5045</v>
      </c>
      <c r="K577" t="s">
        <v>5047</v>
      </c>
      <c r="L577" t="s">
        <v>5052</v>
      </c>
      <c r="M577" t="s">
        <v>5055</v>
      </c>
    </row>
    <row r="578" spans="1:13" x14ac:dyDescent="0.3">
      <c r="A578" s="1">
        <v>45454</v>
      </c>
      <c r="B578" s="1" t="str">
        <f>TEXT(Tabla1[[#This Row],[Fecha]],"MMMM")</f>
        <v>junio</v>
      </c>
      <c r="C578" t="s">
        <v>588</v>
      </c>
      <c r="D578" t="s">
        <v>5019</v>
      </c>
      <c r="E578" t="s">
        <v>5032</v>
      </c>
      <c r="F578" t="s">
        <v>5034</v>
      </c>
      <c r="G578" s="3">
        <v>3124.64</v>
      </c>
      <c r="H578" s="3">
        <v>0</v>
      </c>
      <c r="I578" s="3">
        <f>SUM(Tabla1[[#This Row],[Monto_Base]],H578)</f>
        <v>3124.64</v>
      </c>
      <c r="J578" t="s">
        <v>5044</v>
      </c>
      <c r="K578" t="s">
        <v>5049</v>
      </c>
      <c r="L578" t="s">
        <v>5051</v>
      </c>
      <c r="M578" t="s">
        <v>5055</v>
      </c>
    </row>
    <row r="579" spans="1:13" x14ac:dyDescent="0.3">
      <c r="A579" s="1">
        <v>45442</v>
      </c>
      <c r="B579" s="1" t="str">
        <f>TEXT(Tabla1[[#This Row],[Fecha]],"MMMM")</f>
        <v>mayo</v>
      </c>
      <c r="C579" t="s">
        <v>589</v>
      </c>
      <c r="D579" t="s">
        <v>5030</v>
      </c>
      <c r="E579" t="s">
        <v>5033</v>
      </c>
      <c r="F579" t="s">
        <v>5037</v>
      </c>
      <c r="G579" s="3">
        <v>12722.17</v>
      </c>
      <c r="H579" s="3">
        <v>1653.88</v>
      </c>
      <c r="I579" s="3">
        <f>SUM(Tabla1[[#This Row],[Monto_Base]],H579)</f>
        <v>14376.05</v>
      </c>
      <c r="J579" t="s">
        <v>5045</v>
      </c>
      <c r="K579" t="s">
        <v>5048</v>
      </c>
      <c r="L579" t="s">
        <v>5053</v>
      </c>
      <c r="M579" t="s">
        <v>5054</v>
      </c>
    </row>
    <row r="580" spans="1:13" x14ac:dyDescent="0.3">
      <c r="A580" s="1">
        <v>45651</v>
      </c>
      <c r="B580" s="1" t="str">
        <f>TEXT(Tabla1[[#This Row],[Fecha]],"MMMM")</f>
        <v>diciembre</v>
      </c>
      <c r="C580" t="s">
        <v>590</v>
      </c>
      <c r="D580" t="s">
        <v>5030</v>
      </c>
      <c r="E580" t="s">
        <v>5032</v>
      </c>
      <c r="F580" t="s">
        <v>5035</v>
      </c>
      <c r="G580" s="3">
        <v>3566.86</v>
      </c>
      <c r="H580" s="3">
        <v>0</v>
      </c>
      <c r="I580" s="3">
        <f>SUM(Tabla1[[#This Row],[Monto_Base]],H580)</f>
        <v>3566.86</v>
      </c>
      <c r="J580" t="s">
        <v>5042</v>
      </c>
      <c r="K580" t="s">
        <v>5048</v>
      </c>
      <c r="L580" t="s">
        <v>5051</v>
      </c>
      <c r="M580" t="s">
        <v>5055</v>
      </c>
    </row>
    <row r="581" spans="1:13" x14ac:dyDescent="0.3">
      <c r="A581" s="1">
        <v>45535</v>
      </c>
      <c r="B581" s="1" t="str">
        <f>TEXT(Tabla1[[#This Row],[Fecha]],"MMMM")</f>
        <v>agosto</v>
      </c>
      <c r="C581" t="s">
        <v>591</v>
      </c>
      <c r="D581" t="s">
        <v>5019</v>
      </c>
      <c r="E581" t="s">
        <v>5032</v>
      </c>
      <c r="F581" t="s">
        <v>5034</v>
      </c>
      <c r="G581" s="3">
        <v>9954.19</v>
      </c>
      <c r="H581" s="3">
        <v>0</v>
      </c>
      <c r="I581" s="3">
        <f>SUM(Tabla1[[#This Row],[Monto_Base]],H581)</f>
        <v>9954.19</v>
      </c>
      <c r="J581" t="s">
        <v>5046</v>
      </c>
      <c r="K581" t="s">
        <v>5047</v>
      </c>
      <c r="L581" t="s">
        <v>5050</v>
      </c>
      <c r="M581" t="s">
        <v>5055</v>
      </c>
    </row>
    <row r="582" spans="1:13" x14ac:dyDescent="0.3">
      <c r="A582" s="1">
        <v>45328</v>
      </c>
      <c r="B582" s="1" t="str">
        <f>TEXT(Tabla1[[#This Row],[Fecha]],"MMMM")</f>
        <v>febrero</v>
      </c>
      <c r="C582" t="s">
        <v>592</v>
      </c>
      <c r="D582" t="s">
        <v>5028</v>
      </c>
      <c r="E582" t="s">
        <v>5032</v>
      </c>
      <c r="F582" t="s">
        <v>5039</v>
      </c>
      <c r="G582" s="3">
        <v>2057.4499999999998</v>
      </c>
      <c r="H582" s="3">
        <v>0</v>
      </c>
      <c r="I582" s="3">
        <f>SUM(Tabla1[[#This Row],[Monto_Base]],H582)</f>
        <v>2057.4499999999998</v>
      </c>
      <c r="J582" t="s">
        <v>5045</v>
      </c>
      <c r="K582" t="s">
        <v>5047</v>
      </c>
      <c r="L582" t="s">
        <v>5050</v>
      </c>
      <c r="M582" t="s">
        <v>5055</v>
      </c>
    </row>
    <row r="583" spans="1:13" x14ac:dyDescent="0.3">
      <c r="A583" s="1">
        <v>45648</v>
      </c>
      <c r="B583" s="1" t="str">
        <f>TEXT(Tabla1[[#This Row],[Fecha]],"MMMM")</f>
        <v>diciembre</v>
      </c>
      <c r="C583" t="s">
        <v>593</v>
      </c>
      <c r="D583" t="s">
        <v>5013</v>
      </c>
      <c r="E583" t="s">
        <v>5033</v>
      </c>
      <c r="F583" t="s">
        <v>5037</v>
      </c>
      <c r="G583" s="3">
        <v>12909.28</v>
      </c>
      <c r="H583" s="3">
        <v>1678.21</v>
      </c>
      <c r="I583" s="3">
        <f>SUM(Tabla1[[#This Row],[Monto_Base]],H583)</f>
        <v>14587.490000000002</v>
      </c>
      <c r="J583" t="s">
        <v>5042</v>
      </c>
      <c r="K583" t="s">
        <v>5048</v>
      </c>
      <c r="L583" t="s">
        <v>5052</v>
      </c>
      <c r="M583" t="s">
        <v>5055</v>
      </c>
    </row>
    <row r="584" spans="1:13" x14ac:dyDescent="0.3">
      <c r="A584" s="1">
        <v>45387</v>
      </c>
      <c r="B584" s="1" t="str">
        <f>TEXT(Tabla1[[#This Row],[Fecha]],"MMMM")</f>
        <v>abril</v>
      </c>
      <c r="C584" t="s">
        <v>594</v>
      </c>
      <c r="D584" t="s">
        <v>5016</v>
      </c>
      <c r="E584" t="s">
        <v>5032</v>
      </c>
      <c r="F584" t="s">
        <v>5037</v>
      </c>
      <c r="G584" s="3">
        <v>5361.84</v>
      </c>
      <c r="H584" s="3">
        <v>0</v>
      </c>
      <c r="I584" s="3">
        <f>SUM(Tabla1[[#This Row],[Monto_Base]],H584)</f>
        <v>5361.84</v>
      </c>
      <c r="J584" t="s">
        <v>5043</v>
      </c>
      <c r="K584" t="s">
        <v>5049</v>
      </c>
      <c r="L584" t="s">
        <v>5053</v>
      </c>
      <c r="M584" t="s">
        <v>5055</v>
      </c>
    </row>
    <row r="585" spans="1:13" x14ac:dyDescent="0.3">
      <c r="A585" s="1">
        <v>45587</v>
      </c>
      <c r="B585" s="1" t="str">
        <f>TEXT(Tabla1[[#This Row],[Fecha]],"MMMM")</f>
        <v>octubre</v>
      </c>
      <c r="C585" t="s">
        <v>595</v>
      </c>
      <c r="D585" t="s">
        <v>5023</v>
      </c>
      <c r="E585" t="s">
        <v>5032</v>
      </c>
      <c r="F585" t="s">
        <v>5037</v>
      </c>
      <c r="G585" s="3">
        <v>13902.14</v>
      </c>
      <c r="H585" s="3">
        <v>0</v>
      </c>
      <c r="I585" s="3">
        <f>SUM(Tabla1[[#This Row],[Monto_Base]],H585)</f>
        <v>13902.14</v>
      </c>
      <c r="J585" t="s">
        <v>5044</v>
      </c>
      <c r="K585" t="s">
        <v>5047</v>
      </c>
      <c r="L585" t="s">
        <v>5053</v>
      </c>
      <c r="M585" t="s">
        <v>5055</v>
      </c>
    </row>
    <row r="586" spans="1:13" x14ac:dyDescent="0.3">
      <c r="A586" s="1">
        <v>45561</v>
      </c>
      <c r="B586" s="1" t="str">
        <f>TEXT(Tabla1[[#This Row],[Fecha]],"MMMM")</f>
        <v>septiembre</v>
      </c>
      <c r="C586" t="s">
        <v>596</v>
      </c>
      <c r="D586" t="s">
        <v>5030</v>
      </c>
      <c r="E586" t="s">
        <v>5032</v>
      </c>
      <c r="F586" t="s">
        <v>5036</v>
      </c>
      <c r="G586" s="3">
        <v>2174.21</v>
      </c>
      <c r="H586" s="3">
        <v>0</v>
      </c>
      <c r="I586" s="3">
        <f>SUM(Tabla1[[#This Row],[Monto_Base]],H586)</f>
        <v>2174.21</v>
      </c>
      <c r="J586" t="s">
        <v>5044</v>
      </c>
      <c r="K586" t="s">
        <v>5048</v>
      </c>
      <c r="L586" t="s">
        <v>5053</v>
      </c>
      <c r="M586" t="s">
        <v>5054</v>
      </c>
    </row>
    <row r="587" spans="1:13" x14ac:dyDescent="0.3">
      <c r="A587" s="1">
        <v>45467</v>
      </c>
      <c r="B587" s="1" t="str">
        <f>TEXT(Tabla1[[#This Row],[Fecha]],"MMMM")</f>
        <v>junio</v>
      </c>
      <c r="C587" t="s">
        <v>597</v>
      </c>
      <c r="D587" t="s">
        <v>5018</v>
      </c>
      <c r="E587" t="s">
        <v>5033</v>
      </c>
      <c r="F587" t="s">
        <v>5038</v>
      </c>
      <c r="G587" s="3">
        <v>9214.93</v>
      </c>
      <c r="H587" s="3">
        <v>1197.94</v>
      </c>
      <c r="I587" s="3">
        <f>SUM(Tabla1[[#This Row],[Monto_Base]],H587)</f>
        <v>10412.870000000001</v>
      </c>
      <c r="J587" t="s">
        <v>5042</v>
      </c>
      <c r="K587" t="s">
        <v>5047</v>
      </c>
      <c r="L587" t="s">
        <v>5050</v>
      </c>
      <c r="M587" t="s">
        <v>5055</v>
      </c>
    </row>
    <row r="588" spans="1:13" x14ac:dyDescent="0.3">
      <c r="A588" s="1">
        <v>45442</v>
      </c>
      <c r="B588" s="1" t="str">
        <f>TEXT(Tabla1[[#This Row],[Fecha]],"MMMM")</f>
        <v>mayo</v>
      </c>
      <c r="C588" t="s">
        <v>598</v>
      </c>
      <c r="D588" t="s">
        <v>5014</v>
      </c>
      <c r="E588" t="s">
        <v>5032</v>
      </c>
      <c r="F588" t="s">
        <v>5037</v>
      </c>
      <c r="G588" s="3">
        <v>5326.07</v>
      </c>
      <c r="H588" s="3">
        <v>0</v>
      </c>
      <c r="I588" s="3">
        <f>SUM(Tabla1[[#This Row],[Monto_Base]],H588)</f>
        <v>5326.07</v>
      </c>
      <c r="J588" t="s">
        <v>5044</v>
      </c>
      <c r="K588" t="s">
        <v>5047</v>
      </c>
      <c r="L588" t="s">
        <v>5053</v>
      </c>
      <c r="M588" t="s">
        <v>5055</v>
      </c>
    </row>
    <row r="589" spans="1:13" x14ac:dyDescent="0.3">
      <c r="A589" s="1">
        <v>45628</v>
      </c>
      <c r="B589" s="1" t="str">
        <f>TEXT(Tabla1[[#This Row],[Fecha]],"MMMM")</f>
        <v>diciembre</v>
      </c>
      <c r="C589" t="s">
        <v>599</v>
      </c>
      <c r="D589" t="s">
        <v>5022</v>
      </c>
      <c r="E589" t="s">
        <v>5032</v>
      </c>
      <c r="F589" t="s">
        <v>5039</v>
      </c>
      <c r="G589" s="3">
        <v>8614.26</v>
      </c>
      <c r="H589" s="3">
        <v>0</v>
      </c>
      <c r="I589" s="3">
        <f>SUM(Tabla1[[#This Row],[Monto_Base]],H589)</f>
        <v>8614.26</v>
      </c>
      <c r="J589" t="s">
        <v>5044</v>
      </c>
      <c r="K589" t="s">
        <v>5049</v>
      </c>
      <c r="L589" t="s">
        <v>5053</v>
      </c>
      <c r="M589" t="s">
        <v>5055</v>
      </c>
    </row>
    <row r="590" spans="1:13" x14ac:dyDescent="0.3">
      <c r="A590" s="1">
        <v>45434</v>
      </c>
      <c r="B590" s="1" t="str">
        <f>TEXT(Tabla1[[#This Row],[Fecha]],"MMMM")</f>
        <v>mayo</v>
      </c>
      <c r="C590" t="s">
        <v>600</v>
      </c>
      <c r="D590" t="s">
        <v>5030</v>
      </c>
      <c r="E590" t="s">
        <v>5033</v>
      </c>
      <c r="F590" t="s">
        <v>5036</v>
      </c>
      <c r="G590" s="3">
        <v>12779.11</v>
      </c>
      <c r="H590" s="3">
        <v>1661.28</v>
      </c>
      <c r="I590" s="3">
        <f>SUM(Tabla1[[#This Row],[Monto_Base]],H590)</f>
        <v>14440.390000000001</v>
      </c>
      <c r="J590" t="s">
        <v>5044</v>
      </c>
      <c r="K590" t="s">
        <v>5047</v>
      </c>
      <c r="L590" t="s">
        <v>5051</v>
      </c>
      <c r="M590" t="s">
        <v>5055</v>
      </c>
    </row>
    <row r="591" spans="1:13" x14ac:dyDescent="0.3">
      <c r="A591" s="1">
        <v>45369</v>
      </c>
      <c r="B591" s="1" t="str">
        <f>TEXT(Tabla1[[#This Row],[Fecha]],"MMMM")</f>
        <v>marzo</v>
      </c>
      <c r="C591" t="s">
        <v>601</v>
      </c>
      <c r="D591" t="s">
        <v>5022</v>
      </c>
      <c r="E591" t="s">
        <v>5033</v>
      </c>
      <c r="F591" t="s">
        <v>5039</v>
      </c>
      <c r="G591" s="3">
        <v>13656.47</v>
      </c>
      <c r="H591" s="3">
        <v>1775.34</v>
      </c>
      <c r="I591" s="3">
        <f>SUM(Tabla1[[#This Row],[Monto_Base]],H591)</f>
        <v>15431.81</v>
      </c>
      <c r="J591" t="s">
        <v>5043</v>
      </c>
      <c r="K591" t="s">
        <v>5048</v>
      </c>
      <c r="L591" t="s">
        <v>5052</v>
      </c>
      <c r="M591" t="s">
        <v>5055</v>
      </c>
    </row>
    <row r="592" spans="1:13" x14ac:dyDescent="0.3">
      <c r="A592" s="1">
        <v>45335</v>
      </c>
      <c r="B592" s="1" t="str">
        <f>TEXT(Tabla1[[#This Row],[Fecha]],"MMMM")</f>
        <v>febrero</v>
      </c>
      <c r="C592" t="s">
        <v>602</v>
      </c>
      <c r="D592" t="s">
        <v>5018</v>
      </c>
      <c r="E592" t="s">
        <v>5033</v>
      </c>
      <c r="F592" t="s">
        <v>5035</v>
      </c>
      <c r="G592" s="3">
        <v>5175.58</v>
      </c>
      <c r="H592" s="3">
        <v>672.83</v>
      </c>
      <c r="I592" s="3">
        <f>SUM(Tabla1[[#This Row],[Monto_Base]],H592)</f>
        <v>5848.41</v>
      </c>
      <c r="J592" t="s">
        <v>5046</v>
      </c>
      <c r="K592" t="s">
        <v>5049</v>
      </c>
      <c r="L592" t="s">
        <v>5052</v>
      </c>
      <c r="M592" t="s">
        <v>5055</v>
      </c>
    </row>
    <row r="593" spans="1:13" x14ac:dyDescent="0.3">
      <c r="A593" s="1">
        <v>45377</v>
      </c>
      <c r="B593" s="1" t="str">
        <f>TEXT(Tabla1[[#This Row],[Fecha]],"MMMM")</f>
        <v>marzo</v>
      </c>
      <c r="C593" t="s">
        <v>603</v>
      </c>
      <c r="D593" t="s">
        <v>5019</v>
      </c>
      <c r="E593" t="s">
        <v>5033</v>
      </c>
      <c r="F593" t="s">
        <v>5041</v>
      </c>
      <c r="G593" s="3">
        <v>10903.69</v>
      </c>
      <c r="H593" s="3">
        <v>1417.48</v>
      </c>
      <c r="I593" s="3">
        <f>SUM(Tabla1[[#This Row],[Monto_Base]],H593)</f>
        <v>12321.17</v>
      </c>
      <c r="J593" t="s">
        <v>5046</v>
      </c>
      <c r="K593" t="s">
        <v>5049</v>
      </c>
      <c r="L593" t="s">
        <v>5051</v>
      </c>
      <c r="M593" t="s">
        <v>5054</v>
      </c>
    </row>
    <row r="594" spans="1:13" x14ac:dyDescent="0.3">
      <c r="A594" s="1">
        <v>45535</v>
      </c>
      <c r="B594" s="1" t="str">
        <f>TEXT(Tabla1[[#This Row],[Fecha]],"MMMM")</f>
        <v>agosto</v>
      </c>
      <c r="C594" t="s">
        <v>604</v>
      </c>
      <c r="D594" t="s">
        <v>5030</v>
      </c>
      <c r="E594" t="s">
        <v>5033</v>
      </c>
      <c r="F594" t="s">
        <v>5039</v>
      </c>
      <c r="G594" s="3">
        <v>6987.02</v>
      </c>
      <c r="H594" s="3">
        <v>908.31</v>
      </c>
      <c r="I594" s="3">
        <f>SUM(Tabla1[[#This Row],[Monto_Base]],H594)</f>
        <v>7895.33</v>
      </c>
      <c r="J594" t="s">
        <v>5044</v>
      </c>
      <c r="K594" t="s">
        <v>5048</v>
      </c>
      <c r="L594" t="s">
        <v>5052</v>
      </c>
      <c r="M594" t="s">
        <v>5055</v>
      </c>
    </row>
    <row r="595" spans="1:13" x14ac:dyDescent="0.3">
      <c r="A595" s="1">
        <v>45514</v>
      </c>
      <c r="B595" s="1" t="str">
        <f>TEXT(Tabla1[[#This Row],[Fecha]],"MMMM")</f>
        <v>agosto</v>
      </c>
      <c r="C595" t="s">
        <v>605</v>
      </c>
      <c r="D595" t="s">
        <v>5025</v>
      </c>
      <c r="E595" t="s">
        <v>5032</v>
      </c>
      <c r="F595" t="s">
        <v>5039</v>
      </c>
      <c r="G595" s="3">
        <v>7980.11</v>
      </c>
      <c r="H595" s="3">
        <v>0</v>
      </c>
      <c r="I595" s="3">
        <f>SUM(Tabla1[[#This Row],[Monto_Base]],H595)</f>
        <v>7980.11</v>
      </c>
      <c r="J595" t="s">
        <v>5045</v>
      </c>
      <c r="K595" t="s">
        <v>5048</v>
      </c>
      <c r="L595" t="s">
        <v>5050</v>
      </c>
      <c r="M595" t="s">
        <v>5055</v>
      </c>
    </row>
    <row r="596" spans="1:13" x14ac:dyDescent="0.3">
      <c r="A596" s="1">
        <v>45618</v>
      </c>
      <c r="B596" s="1" t="str">
        <f>TEXT(Tabla1[[#This Row],[Fecha]],"MMMM")</f>
        <v>noviembre</v>
      </c>
      <c r="C596" t="s">
        <v>606</v>
      </c>
      <c r="D596" t="s">
        <v>5016</v>
      </c>
      <c r="E596" t="s">
        <v>5033</v>
      </c>
      <c r="F596" t="s">
        <v>5036</v>
      </c>
      <c r="G596" s="3">
        <v>13769.8</v>
      </c>
      <c r="H596" s="3">
        <v>1790.07</v>
      </c>
      <c r="I596" s="3">
        <f>SUM(Tabla1[[#This Row],[Monto_Base]],H596)</f>
        <v>15559.869999999999</v>
      </c>
      <c r="J596" t="s">
        <v>5044</v>
      </c>
      <c r="K596" t="s">
        <v>5048</v>
      </c>
      <c r="L596" t="s">
        <v>5051</v>
      </c>
      <c r="M596" t="s">
        <v>5055</v>
      </c>
    </row>
    <row r="597" spans="1:13" x14ac:dyDescent="0.3">
      <c r="A597" s="1">
        <v>45492</v>
      </c>
      <c r="B597" s="1" t="str">
        <f>TEXT(Tabla1[[#This Row],[Fecha]],"MMMM")</f>
        <v>julio</v>
      </c>
      <c r="C597" t="s">
        <v>607</v>
      </c>
      <c r="D597" t="s">
        <v>5029</v>
      </c>
      <c r="E597" t="s">
        <v>5033</v>
      </c>
      <c r="F597" t="s">
        <v>5038</v>
      </c>
      <c r="G597" s="3">
        <v>9832.43</v>
      </c>
      <c r="H597" s="3">
        <v>1278.22</v>
      </c>
      <c r="I597" s="3">
        <f>SUM(Tabla1[[#This Row],[Monto_Base]],H597)</f>
        <v>11110.65</v>
      </c>
      <c r="J597" t="s">
        <v>5043</v>
      </c>
      <c r="K597" t="s">
        <v>5049</v>
      </c>
      <c r="L597" t="s">
        <v>5052</v>
      </c>
      <c r="M597" t="s">
        <v>5054</v>
      </c>
    </row>
    <row r="598" spans="1:13" x14ac:dyDescent="0.3">
      <c r="A598" s="1">
        <v>45326</v>
      </c>
      <c r="B598" s="1" t="str">
        <f>TEXT(Tabla1[[#This Row],[Fecha]],"MMMM")</f>
        <v>febrero</v>
      </c>
      <c r="C598" t="s">
        <v>608</v>
      </c>
      <c r="D598" t="s">
        <v>5028</v>
      </c>
      <c r="E598" t="s">
        <v>5032</v>
      </c>
      <c r="F598" t="s">
        <v>5035</v>
      </c>
      <c r="G598" s="3">
        <v>10108.39</v>
      </c>
      <c r="H598" s="3">
        <v>0</v>
      </c>
      <c r="I598" s="3">
        <f>SUM(Tabla1[[#This Row],[Monto_Base]],H598)</f>
        <v>10108.39</v>
      </c>
      <c r="J598" t="s">
        <v>5045</v>
      </c>
      <c r="K598" t="s">
        <v>5048</v>
      </c>
      <c r="L598" t="s">
        <v>5053</v>
      </c>
      <c r="M598" t="s">
        <v>5054</v>
      </c>
    </row>
    <row r="599" spans="1:13" x14ac:dyDescent="0.3">
      <c r="A599" s="1">
        <v>45309</v>
      </c>
      <c r="B599" s="1" t="str">
        <f>TEXT(Tabla1[[#This Row],[Fecha]],"MMMM")</f>
        <v>enero</v>
      </c>
      <c r="C599" t="s">
        <v>609</v>
      </c>
      <c r="D599" t="s">
        <v>5020</v>
      </c>
      <c r="E599" t="s">
        <v>5033</v>
      </c>
      <c r="F599" t="s">
        <v>5038</v>
      </c>
      <c r="G599" s="3">
        <v>3815.85</v>
      </c>
      <c r="H599" s="3">
        <v>496.06</v>
      </c>
      <c r="I599" s="3">
        <f>SUM(Tabla1[[#This Row],[Monto_Base]],H599)</f>
        <v>4311.91</v>
      </c>
      <c r="J599" t="s">
        <v>5045</v>
      </c>
      <c r="K599" t="s">
        <v>5049</v>
      </c>
      <c r="L599" t="s">
        <v>5053</v>
      </c>
      <c r="M599" t="s">
        <v>5054</v>
      </c>
    </row>
    <row r="600" spans="1:13" x14ac:dyDescent="0.3">
      <c r="A600" s="1">
        <v>45601</v>
      </c>
      <c r="B600" s="1" t="str">
        <f>TEXT(Tabla1[[#This Row],[Fecha]],"MMMM")</f>
        <v>noviembre</v>
      </c>
      <c r="C600" t="s">
        <v>610</v>
      </c>
      <c r="D600" t="s">
        <v>5031</v>
      </c>
      <c r="E600" t="s">
        <v>5033</v>
      </c>
      <c r="F600" t="s">
        <v>5036</v>
      </c>
      <c r="G600" s="3">
        <v>1341.48</v>
      </c>
      <c r="H600" s="3">
        <v>174.39</v>
      </c>
      <c r="I600" s="3">
        <f>SUM(Tabla1[[#This Row],[Monto_Base]],H600)</f>
        <v>1515.87</v>
      </c>
      <c r="J600" t="s">
        <v>5046</v>
      </c>
      <c r="K600" t="s">
        <v>5048</v>
      </c>
      <c r="L600" t="s">
        <v>5052</v>
      </c>
      <c r="M600" t="s">
        <v>5054</v>
      </c>
    </row>
    <row r="601" spans="1:13" x14ac:dyDescent="0.3">
      <c r="A601" s="1">
        <v>45330</v>
      </c>
      <c r="B601" s="1" t="str">
        <f>TEXT(Tabla1[[#This Row],[Fecha]],"MMMM")</f>
        <v>febrero</v>
      </c>
      <c r="C601" t="s">
        <v>611</v>
      </c>
      <c r="D601" t="s">
        <v>5021</v>
      </c>
      <c r="E601" t="s">
        <v>5032</v>
      </c>
      <c r="F601" t="s">
        <v>5041</v>
      </c>
      <c r="G601" s="3">
        <v>9924.14</v>
      </c>
      <c r="H601" s="3">
        <v>0</v>
      </c>
      <c r="I601" s="3">
        <f>SUM(Tabla1[[#This Row],[Monto_Base]],H601)</f>
        <v>9924.14</v>
      </c>
      <c r="J601" t="s">
        <v>5043</v>
      </c>
      <c r="K601" t="s">
        <v>5048</v>
      </c>
      <c r="L601" t="s">
        <v>5050</v>
      </c>
      <c r="M601" t="s">
        <v>5055</v>
      </c>
    </row>
    <row r="602" spans="1:13" x14ac:dyDescent="0.3">
      <c r="A602" s="1">
        <v>45487</v>
      </c>
      <c r="B602" s="1" t="str">
        <f>TEXT(Tabla1[[#This Row],[Fecha]],"MMMM")</f>
        <v>julio</v>
      </c>
      <c r="C602" t="s">
        <v>612</v>
      </c>
      <c r="D602" t="s">
        <v>5028</v>
      </c>
      <c r="E602" t="s">
        <v>5033</v>
      </c>
      <c r="F602" t="s">
        <v>5038</v>
      </c>
      <c r="G602" s="3">
        <v>11667.73</v>
      </c>
      <c r="H602" s="3">
        <v>1516.8</v>
      </c>
      <c r="I602" s="3">
        <f>SUM(Tabla1[[#This Row],[Monto_Base]],H602)</f>
        <v>13184.529999999999</v>
      </c>
      <c r="J602" t="s">
        <v>5043</v>
      </c>
      <c r="K602" t="s">
        <v>5048</v>
      </c>
      <c r="L602" t="s">
        <v>5053</v>
      </c>
      <c r="M602" t="s">
        <v>5055</v>
      </c>
    </row>
    <row r="603" spans="1:13" x14ac:dyDescent="0.3">
      <c r="A603" s="1">
        <v>45394</v>
      </c>
      <c r="B603" s="1" t="str">
        <f>TEXT(Tabla1[[#This Row],[Fecha]],"MMMM")</f>
        <v>abril</v>
      </c>
      <c r="C603" t="s">
        <v>613</v>
      </c>
      <c r="D603" t="s">
        <v>5028</v>
      </c>
      <c r="E603" t="s">
        <v>5032</v>
      </c>
      <c r="F603" t="s">
        <v>5036</v>
      </c>
      <c r="G603" s="3">
        <v>7401.24</v>
      </c>
      <c r="H603" s="3">
        <v>0</v>
      </c>
      <c r="I603" s="3">
        <f>SUM(Tabla1[[#This Row],[Monto_Base]],H603)</f>
        <v>7401.24</v>
      </c>
      <c r="J603" t="s">
        <v>5042</v>
      </c>
      <c r="K603" t="s">
        <v>5048</v>
      </c>
      <c r="L603" t="s">
        <v>5052</v>
      </c>
      <c r="M603" t="s">
        <v>5055</v>
      </c>
    </row>
    <row r="604" spans="1:13" x14ac:dyDescent="0.3">
      <c r="A604" s="1">
        <v>45346</v>
      </c>
      <c r="B604" s="1" t="str">
        <f>TEXT(Tabla1[[#This Row],[Fecha]],"MMMM")</f>
        <v>febrero</v>
      </c>
      <c r="C604" t="s">
        <v>614</v>
      </c>
      <c r="D604" t="s">
        <v>5026</v>
      </c>
      <c r="E604" t="s">
        <v>5032</v>
      </c>
      <c r="F604" t="s">
        <v>5034</v>
      </c>
      <c r="G604" s="3">
        <v>9228.7999999999993</v>
      </c>
      <c r="H604" s="3">
        <v>0</v>
      </c>
      <c r="I604" s="3">
        <f>SUM(Tabla1[[#This Row],[Monto_Base]],H604)</f>
        <v>9228.7999999999993</v>
      </c>
      <c r="J604" t="s">
        <v>5043</v>
      </c>
      <c r="K604" t="s">
        <v>5049</v>
      </c>
      <c r="L604" t="s">
        <v>5051</v>
      </c>
      <c r="M604" t="s">
        <v>5054</v>
      </c>
    </row>
    <row r="605" spans="1:13" x14ac:dyDescent="0.3">
      <c r="A605" s="1">
        <v>45301</v>
      </c>
      <c r="B605" s="1" t="str">
        <f>TEXT(Tabla1[[#This Row],[Fecha]],"MMMM")</f>
        <v>enero</v>
      </c>
      <c r="C605" t="s">
        <v>615</v>
      </c>
      <c r="D605" t="s">
        <v>5013</v>
      </c>
      <c r="E605" t="s">
        <v>5033</v>
      </c>
      <c r="F605" t="s">
        <v>5038</v>
      </c>
      <c r="G605" s="3">
        <v>11669.7</v>
      </c>
      <c r="H605" s="3">
        <v>1517.06</v>
      </c>
      <c r="I605" s="3">
        <f>SUM(Tabla1[[#This Row],[Monto_Base]],H605)</f>
        <v>13186.76</v>
      </c>
      <c r="J605" t="s">
        <v>5043</v>
      </c>
      <c r="K605" t="s">
        <v>5047</v>
      </c>
      <c r="L605" t="s">
        <v>5053</v>
      </c>
      <c r="M605" t="s">
        <v>5054</v>
      </c>
    </row>
    <row r="606" spans="1:13" x14ac:dyDescent="0.3">
      <c r="A606" s="1">
        <v>45586</v>
      </c>
      <c r="B606" s="1" t="str">
        <f>TEXT(Tabla1[[#This Row],[Fecha]],"MMMM")</f>
        <v>octubre</v>
      </c>
      <c r="C606" t="s">
        <v>616</v>
      </c>
      <c r="D606" t="s">
        <v>5029</v>
      </c>
      <c r="E606" t="s">
        <v>5033</v>
      </c>
      <c r="F606" t="s">
        <v>5040</v>
      </c>
      <c r="G606" s="3">
        <v>13574.03</v>
      </c>
      <c r="H606" s="3">
        <v>1764.62</v>
      </c>
      <c r="I606" s="3">
        <f>SUM(Tabla1[[#This Row],[Monto_Base]],H606)</f>
        <v>15338.650000000001</v>
      </c>
      <c r="J606" t="s">
        <v>5045</v>
      </c>
      <c r="K606" t="s">
        <v>5049</v>
      </c>
      <c r="L606" t="s">
        <v>5050</v>
      </c>
      <c r="M606" t="s">
        <v>5055</v>
      </c>
    </row>
    <row r="607" spans="1:13" x14ac:dyDescent="0.3">
      <c r="A607" s="1">
        <v>45644</v>
      </c>
      <c r="B607" s="1" t="str">
        <f>TEXT(Tabla1[[#This Row],[Fecha]],"MMMM")</f>
        <v>diciembre</v>
      </c>
      <c r="C607" t="s">
        <v>617</v>
      </c>
      <c r="D607" t="s">
        <v>5019</v>
      </c>
      <c r="E607" t="s">
        <v>5033</v>
      </c>
      <c r="F607" t="s">
        <v>5034</v>
      </c>
      <c r="G607" s="3">
        <v>99.45</v>
      </c>
      <c r="H607" s="3">
        <v>12.93</v>
      </c>
      <c r="I607" s="3">
        <f>SUM(Tabla1[[#This Row],[Monto_Base]],H607)</f>
        <v>112.38</v>
      </c>
      <c r="J607" t="s">
        <v>5043</v>
      </c>
      <c r="K607" t="s">
        <v>5047</v>
      </c>
      <c r="L607" t="s">
        <v>5051</v>
      </c>
      <c r="M607" t="s">
        <v>5055</v>
      </c>
    </row>
    <row r="608" spans="1:13" x14ac:dyDescent="0.3">
      <c r="A608" s="1">
        <v>45466</v>
      </c>
      <c r="B608" s="1" t="str">
        <f>TEXT(Tabla1[[#This Row],[Fecha]],"MMMM")</f>
        <v>junio</v>
      </c>
      <c r="C608" t="s">
        <v>618</v>
      </c>
      <c r="D608" t="s">
        <v>5019</v>
      </c>
      <c r="E608" t="s">
        <v>5033</v>
      </c>
      <c r="F608" t="s">
        <v>5036</v>
      </c>
      <c r="G608" s="3">
        <v>5512.06</v>
      </c>
      <c r="H608" s="3">
        <v>716.57</v>
      </c>
      <c r="I608" s="3">
        <f>SUM(Tabla1[[#This Row],[Monto_Base]],H608)</f>
        <v>6228.63</v>
      </c>
      <c r="J608" t="s">
        <v>5045</v>
      </c>
      <c r="K608" t="s">
        <v>5048</v>
      </c>
      <c r="L608" t="s">
        <v>5051</v>
      </c>
      <c r="M608" t="s">
        <v>5054</v>
      </c>
    </row>
    <row r="609" spans="1:13" x14ac:dyDescent="0.3">
      <c r="A609" s="1">
        <v>45445</v>
      </c>
      <c r="B609" s="1" t="str">
        <f>TEXT(Tabla1[[#This Row],[Fecha]],"MMMM")</f>
        <v>junio</v>
      </c>
      <c r="C609" t="s">
        <v>619</v>
      </c>
      <c r="D609" t="s">
        <v>5023</v>
      </c>
      <c r="E609" t="s">
        <v>5033</v>
      </c>
      <c r="F609" t="s">
        <v>5037</v>
      </c>
      <c r="G609" s="3">
        <v>9927.9699999999993</v>
      </c>
      <c r="H609" s="3">
        <v>1290.6400000000001</v>
      </c>
      <c r="I609" s="3">
        <f>SUM(Tabla1[[#This Row],[Monto_Base]],H609)</f>
        <v>11218.609999999999</v>
      </c>
      <c r="J609" t="s">
        <v>5043</v>
      </c>
      <c r="K609" t="s">
        <v>5047</v>
      </c>
      <c r="L609" t="s">
        <v>5051</v>
      </c>
      <c r="M609" t="s">
        <v>5055</v>
      </c>
    </row>
    <row r="610" spans="1:13" x14ac:dyDescent="0.3">
      <c r="A610" s="1">
        <v>45304</v>
      </c>
      <c r="B610" s="1" t="str">
        <f>TEXT(Tabla1[[#This Row],[Fecha]],"MMMM")</f>
        <v>enero</v>
      </c>
      <c r="C610" t="s">
        <v>620</v>
      </c>
      <c r="D610" t="s">
        <v>5018</v>
      </c>
      <c r="E610" t="s">
        <v>5033</v>
      </c>
      <c r="F610" t="s">
        <v>5039</v>
      </c>
      <c r="G610" s="3">
        <v>583.69000000000005</v>
      </c>
      <c r="H610" s="3">
        <v>75.88</v>
      </c>
      <c r="I610" s="3">
        <f>SUM(Tabla1[[#This Row],[Monto_Base]],H610)</f>
        <v>659.57</v>
      </c>
      <c r="J610" t="s">
        <v>5042</v>
      </c>
      <c r="K610" t="s">
        <v>5047</v>
      </c>
      <c r="L610" t="s">
        <v>5050</v>
      </c>
      <c r="M610" t="s">
        <v>5055</v>
      </c>
    </row>
    <row r="611" spans="1:13" x14ac:dyDescent="0.3">
      <c r="A611" s="1">
        <v>45522</v>
      </c>
      <c r="B611" s="1" t="str">
        <f>TEXT(Tabla1[[#This Row],[Fecha]],"MMMM")</f>
        <v>agosto</v>
      </c>
      <c r="C611" t="s">
        <v>621</v>
      </c>
      <c r="D611" t="s">
        <v>5023</v>
      </c>
      <c r="E611" t="s">
        <v>5032</v>
      </c>
      <c r="F611" t="s">
        <v>5041</v>
      </c>
      <c r="G611" s="3">
        <v>8032.4</v>
      </c>
      <c r="H611" s="3">
        <v>0</v>
      </c>
      <c r="I611" s="3">
        <f>SUM(Tabla1[[#This Row],[Monto_Base]],H611)</f>
        <v>8032.4</v>
      </c>
      <c r="J611" t="s">
        <v>5045</v>
      </c>
      <c r="K611" t="s">
        <v>5047</v>
      </c>
      <c r="L611" t="s">
        <v>5051</v>
      </c>
      <c r="M611" t="s">
        <v>5054</v>
      </c>
    </row>
    <row r="612" spans="1:13" x14ac:dyDescent="0.3">
      <c r="A612" s="1">
        <v>45626</v>
      </c>
      <c r="B612" s="1" t="str">
        <f>TEXT(Tabla1[[#This Row],[Fecha]],"MMMM")</f>
        <v>noviembre</v>
      </c>
      <c r="C612" t="s">
        <v>622</v>
      </c>
      <c r="D612" t="s">
        <v>5022</v>
      </c>
      <c r="E612" t="s">
        <v>5032</v>
      </c>
      <c r="F612" t="s">
        <v>5036</v>
      </c>
      <c r="G612" s="3">
        <v>3214.59</v>
      </c>
      <c r="H612" s="3">
        <v>0</v>
      </c>
      <c r="I612" s="3">
        <f>SUM(Tabla1[[#This Row],[Monto_Base]],H612)</f>
        <v>3214.59</v>
      </c>
      <c r="J612" t="s">
        <v>5042</v>
      </c>
      <c r="K612" t="s">
        <v>5048</v>
      </c>
      <c r="L612" t="s">
        <v>5052</v>
      </c>
      <c r="M612" t="s">
        <v>5054</v>
      </c>
    </row>
    <row r="613" spans="1:13" x14ac:dyDescent="0.3">
      <c r="A613" s="1">
        <v>45533</v>
      </c>
      <c r="B613" s="1" t="str">
        <f>TEXT(Tabla1[[#This Row],[Fecha]],"MMMM")</f>
        <v>agosto</v>
      </c>
      <c r="C613" t="s">
        <v>623</v>
      </c>
      <c r="D613" t="s">
        <v>5012</v>
      </c>
      <c r="E613" t="s">
        <v>5033</v>
      </c>
      <c r="F613" t="s">
        <v>5041</v>
      </c>
      <c r="G613" s="3">
        <v>9824.7800000000007</v>
      </c>
      <c r="H613" s="3">
        <v>1277.22</v>
      </c>
      <c r="I613" s="3">
        <f>SUM(Tabla1[[#This Row],[Monto_Base]],H613)</f>
        <v>11102</v>
      </c>
      <c r="J613" t="s">
        <v>5042</v>
      </c>
      <c r="K613" t="s">
        <v>5047</v>
      </c>
      <c r="L613" t="s">
        <v>5052</v>
      </c>
      <c r="M613" t="s">
        <v>5054</v>
      </c>
    </row>
    <row r="614" spans="1:13" x14ac:dyDescent="0.3">
      <c r="A614" s="1">
        <v>45341</v>
      </c>
      <c r="B614" s="1" t="str">
        <f>TEXT(Tabla1[[#This Row],[Fecha]],"MMMM")</f>
        <v>febrero</v>
      </c>
      <c r="C614" t="s">
        <v>624</v>
      </c>
      <c r="D614" t="s">
        <v>5026</v>
      </c>
      <c r="E614" t="s">
        <v>5033</v>
      </c>
      <c r="F614" t="s">
        <v>5038</v>
      </c>
      <c r="G614" s="3">
        <v>12320.05</v>
      </c>
      <c r="H614" s="3">
        <v>1601.61</v>
      </c>
      <c r="I614" s="3">
        <f>SUM(Tabla1[[#This Row],[Monto_Base]],H614)</f>
        <v>13921.66</v>
      </c>
      <c r="J614" t="s">
        <v>5043</v>
      </c>
      <c r="K614" t="s">
        <v>5049</v>
      </c>
      <c r="L614" t="s">
        <v>5052</v>
      </c>
      <c r="M614" t="s">
        <v>5054</v>
      </c>
    </row>
    <row r="615" spans="1:13" x14ac:dyDescent="0.3">
      <c r="A615" s="1">
        <v>45395</v>
      </c>
      <c r="B615" s="1" t="str">
        <f>TEXT(Tabla1[[#This Row],[Fecha]],"MMMM")</f>
        <v>abril</v>
      </c>
      <c r="C615" t="s">
        <v>625</v>
      </c>
      <c r="D615" t="s">
        <v>5013</v>
      </c>
      <c r="E615" t="s">
        <v>5032</v>
      </c>
      <c r="F615" t="s">
        <v>5034</v>
      </c>
      <c r="G615" s="3">
        <v>993.5</v>
      </c>
      <c r="H615" s="3">
        <v>0</v>
      </c>
      <c r="I615" s="3">
        <f>SUM(Tabla1[[#This Row],[Monto_Base]],H615)</f>
        <v>993.5</v>
      </c>
      <c r="J615" t="s">
        <v>5043</v>
      </c>
      <c r="K615" t="s">
        <v>5048</v>
      </c>
      <c r="L615" t="s">
        <v>5050</v>
      </c>
      <c r="M615" t="s">
        <v>5055</v>
      </c>
    </row>
    <row r="616" spans="1:13" x14ac:dyDescent="0.3">
      <c r="A616" s="1">
        <v>45401</v>
      </c>
      <c r="B616" s="1" t="str">
        <f>TEXT(Tabla1[[#This Row],[Fecha]],"MMMM")</f>
        <v>abril</v>
      </c>
      <c r="C616" t="s">
        <v>626</v>
      </c>
      <c r="D616" t="s">
        <v>5031</v>
      </c>
      <c r="E616" t="s">
        <v>5033</v>
      </c>
      <c r="F616" t="s">
        <v>5040</v>
      </c>
      <c r="G616" s="3">
        <v>12554.59</v>
      </c>
      <c r="H616" s="3">
        <v>1632.1</v>
      </c>
      <c r="I616" s="3">
        <f>SUM(Tabla1[[#This Row],[Monto_Base]],H616)</f>
        <v>14186.69</v>
      </c>
      <c r="J616" t="s">
        <v>5045</v>
      </c>
      <c r="K616" t="s">
        <v>5049</v>
      </c>
      <c r="L616" t="s">
        <v>5052</v>
      </c>
      <c r="M616" t="s">
        <v>5055</v>
      </c>
    </row>
    <row r="617" spans="1:13" x14ac:dyDescent="0.3">
      <c r="A617" s="1">
        <v>45378</v>
      </c>
      <c r="B617" s="1" t="str">
        <f>TEXT(Tabla1[[#This Row],[Fecha]],"MMMM")</f>
        <v>marzo</v>
      </c>
      <c r="C617" t="s">
        <v>627</v>
      </c>
      <c r="D617" t="s">
        <v>5013</v>
      </c>
      <c r="E617" t="s">
        <v>5032</v>
      </c>
      <c r="F617" t="s">
        <v>5039</v>
      </c>
      <c r="G617" s="3">
        <v>11375.37</v>
      </c>
      <c r="H617" s="3">
        <v>0</v>
      </c>
      <c r="I617" s="3">
        <f>SUM(Tabla1[[#This Row],[Monto_Base]],H617)</f>
        <v>11375.37</v>
      </c>
      <c r="J617" t="s">
        <v>5044</v>
      </c>
      <c r="K617" t="s">
        <v>5049</v>
      </c>
      <c r="L617" t="s">
        <v>5052</v>
      </c>
      <c r="M617" t="s">
        <v>5055</v>
      </c>
    </row>
    <row r="618" spans="1:13" x14ac:dyDescent="0.3">
      <c r="A618" s="1">
        <v>45615</v>
      </c>
      <c r="B618" s="1" t="str">
        <f>TEXT(Tabla1[[#This Row],[Fecha]],"MMMM")</f>
        <v>noviembre</v>
      </c>
      <c r="C618" t="s">
        <v>628</v>
      </c>
      <c r="D618" t="s">
        <v>5031</v>
      </c>
      <c r="E618" t="s">
        <v>5033</v>
      </c>
      <c r="F618" t="s">
        <v>5039</v>
      </c>
      <c r="G618" s="3">
        <v>1544.52</v>
      </c>
      <c r="H618" s="3">
        <v>200.79</v>
      </c>
      <c r="I618" s="3">
        <f>SUM(Tabla1[[#This Row],[Monto_Base]],H618)</f>
        <v>1745.31</v>
      </c>
      <c r="J618" t="s">
        <v>5042</v>
      </c>
      <c r="K618" t="s">
        <v>5048</v>
      </c>
      <c r="L618" t="s">
        <v>5052</v>
      </c>
      <c r="M618" t="s">
        <v>5054</v>
      </c>
    </row>
    <row r="619" spans="1:13" x14ac:dyDescent="0.3">
      <c r="A619" s="1">
        <v>45337</v>
      </c>
      <c r="B619" s="1" t="str">
        <f>TEXT(Tabla1[[#This Row],[Fecha]],"MMMM")</f>
        <v>febrero</v>
      </c>
      <c r="C619" t="s">
        <v>629</v>
      </c>
      <c r="D619" t="s">
        <v>5030</v>
      </c>
      <c r="E619" t="s">
        <v>5033</v>
      </c>
      <c r="F619" t="s">
        <v>5035</v>
      </c>
      <c r="G619" s="3">
        <v>2732.22</v>
      </c>
      <c r="H619" s="3">
        <v>355.19</v>
      </c>
      <c r="I619" s="3">
        <f>SUM(Tabla1[[#This Row],[Monto_Base]],H619)</f>
        <v>3087.41</v>
      </c>
      <c r="J619" t="s">
        <v>5042</v>
      </c>
      <c r="K619" t="s">
        <v>5048</v>
      </c>
      <c r="L619" t="s">
        <v>5050</v>
      </c>
      <c r="M619" t="s">
        <v>5055</v>
      </c>
    </row>
    <row r="620" spans="1:13" x14ac:dyDescent="0.3">
      <c r="A620" s="1">
        <v>45502</v>
      </c>
      <c r="B620" s="1" t="str">
        <f>TEXT(Tabla1[[#This Row],[Fecha]],"MMMM")</f>
        <v>julio</v>
      </c>
      <c r="C620" t="s">
        <v>630</v>
      </c>
      <c r="D620" t="s">
        <v>5017</v>
      </c>
      <c r="E620" t="s">
        <v>5033</v>
      </c>
      <c r="F620" t="s">
        <v>5038</v>
      </c>
      <c r="G620" s="3">
        <v>7870.15</v>
      </c>
      <c r="H620" s="3">
        <v>1023.12</v>
      </c>
      <c r="I620" s="3">
        <f>SUM(Tabla1[[#This Row],[Monto_Base]],H620)</f>
        <v>8893.27</v>
      </c>
      <c r="J620" t="s">
        <v>5046</v>
      </c>
      <c r="K620" t="s">
        <v>5047</v>
      </c>
      <c r="L620" t="s">
        <v>5053</v>
      </c>
      <c r="M620" t="s">
        <v>5054</v>
      </c>
    </row>
    <row r="621" spans="1:13" x14ac:dyDescent="0.3">
      <c r="A621" s="1">
        <v>45294</v>
      </c>
      <c r="B621" s="1" t="str">
        <f>TEXT(Tabla1[[#This Row],[Fecha]],"MMMM")</f>
        <v>enero</v>
      </c>
      <c r="C621" t="s">
        <v>631</v>
      </c>
      <c r="D621" t="s">
        <v>5014</v>
      </c>
      <c r="E621" t="s">
        <v>5033</v>
      </c>
      <c r="F621" t="s">
        <v>5038</v>
      </c>
      <c r="G621" s="3">
        <v>5250.41</v>
      </c>
      <c r="H621" s="3">
        <v>682.55</v>
      </c>
      <c r="I621" s="3">
        <f>SUM(Tabla1[[#This Row],[Monto_Base]],H621)</f>
        <v>5932.96</v>
      </c>
      <c r="J621" t="s">
        <v>5042</v>
      </c>
      <c r="K621" t="s">
        <v>5047</v>
      </c>
      <c r="L621" t="s">
        <v>5052</v>
      </c>
      <c r="M621" t="s">
        <v>5054</v>
      </c>
    </row>
    <row r="622" spans="1:13" x14ac:dyDescent="0.3">
      <c r="A622" s="1">
        <v>45612</v>
      </c>
      <c r="B622" s="1" t="str">
        <f>TEXT(Tabla1[[#This Row],[Fecha]],"MMMM")</f>
        <v>noviembre</v>
      </c>
      <c r="C622" t="s">
        <v>632</v>
      </c>
      <c r="D622" t="s">
        <v>5031</v>
      </c>
      <c r="E622" t="s">
        <v>5032</v>
      </c>
      <c r="F622" t="s">
        <v>5034</v>
      </c>
      <c r="G622" s="3">
        <v>6990.03</v>
      </c>
      <c r="H622" s="3">
        <v>0</v>
      </c>
      <c r="I622" s="3">
        <f>SUM(Tabla1[[#This Row],[Monto_Base]],H622)</f>
        <v>6990.03</v>
      </c>
      <c r="J622" t="s">
        <v>5046</v>
      </c>
      <c r="K622" t="s">
        <v>5048</v>
      </c>
      <c r="L622" t="s">
        <v>5053</v>
      </c>
      <c r="M622" t="s">
        <v>5054</v>
      </c>
    </row>
    <row r="623" spans="1:13" x14ac:dyDescent="0.3">
      <c r="A623" s="1">
        <v>45635</v>
      </c>
      <c r="B623" s="1" t="str">
        <f>TEXT(Tabla1[[#This Row],[Fecha]],"MMMM")</f>
        <v>diciembre</v>
      </c>
      <c r="C623" t="s">
        <v>633</v>
      </c>
      <c r="D623" t="s">
        <v>5026</v>
      </c>
      <c r="E623" t="s">
        <v>5032</v>
      </c>
      <c r="F623" t="s">
        <v>5041</v>
      </c>
      <c r="G623" s="3">
        <v>2686.04</v>
      </c>
      <c r="H623" s="3">
        <v>0</v>
      </c>
      <c r="I623" s="3">
        <f>SUM(Tabla1[[#This Row],[Monto_Base]],H623)</f>
        <v>2686.04</v>
      </c>
      <c r="J623" t="s">
        <v>5045</v>
      </c>
      <c r="K623" t="s">
        <v>5047</v>
      </c>
      <c r="L623" t="s">
        <v>5051</v>
      </c>
      <c r="M623" t="s">
        <v>5055</v>
      </c>
    </row>
    <row r="624" spans="1:13" x14ac:dyDescent="0.3">
      <c r="A624" s="1">
        <v>45524</v>
      </c>
      <c r="B624" s="1" t="str">
        <f>TEXT(Tabla1[[#This Row],[Fecha]],"MMMM")</f>
        <v>agosto</v>
      </c>
      <c r="C624" t="s">
        <v>634</v>
      </c>
      <c r="D624" t="s">
        <v>5027</v>
      </c>
      <c r="E624" t="s">
        <v>5032</v>
      </c>
      <c r="F624" t="s">
        <v>5040</v>
      </c>
      <c r="G624" s="3">
        <v>9271.4500000000007</v>
      </c>
      <c r="H624" s="3">
        <v>0</v>
      </c>
      <c r="I624" s="3">
        <f>SUM(Tabla1[[#This Row],[Monto_Base]],H624)</f>
        <v>9271.4500000000007</v>
      </c>
      <c r="J624" t="s">
        <v>5045</v>
      </c>
      <c r="K624" t="s">
        <v>5047</v>
      </c>
      <c r="L624" t="s">
        <v>5053</v>
      </c>
      <c r="M624" t="s">
        <v>5054</v>
      </c>
    </row>
    <row r="625" spans="1:13" x14ac:dyDescent="0.3">
      <c r="A625" s="1">
        <v>45412</v>
      </c>
      <c r="B625" s="1" t="str">
        <f>TEXT(Tabla1[[#This Row],[Fecha]],"MMMM")</f>
        <v>abril</v>
      </c>
      <c r="C625" t="s">
        <v>635</v>
      </c>
      <c r="D625" t="s">
        <v>5012</v>
      </c>
      <c r="E625" t="s">
        <v>5032</v>
      </c>
      <c r="F625" t="s">
        <v>5036</v>
      </c>
      <c r="G625" s="3">
        <v>1109.3499999999999</v>
      </c>
      <c r="H625" s="3">
        <v>0</v>
      </c>
      <c r="I625" s="3">
        <f>SUM(Tabla1[[#This Row],[Monto_Base]],H625)</f>
        <v>1109.3499999999999</v>
      </c>
      <c r="J625" t="s">
        <v>5043</v>
      </c>
      <c r="K625" t="s">
        <v>5049</v>
      </c>
      <c r="L625" t="s">
        <v>5051</v>
      </c>
      <c r="M625" t="s">
        <v>5055</v>
      </c>
    </row>
    <row r="626" spans="1:13" x14ac:dyDescent="0.3">
      <c r="A626" s="1">
        <v>45342</v>
      </c>
      <c r="B626" s="1" t="str">
        <f>TEXT(Tabla1[[#This Row],[Fecha]],"MMMM")</f>
        <v>febrero</v>
      </c>
      <c r="C626" t="s">
        <v>636</v>
      </c>
      <c r="D626" t="s">
        <v>5015</v>
      </c>
      <c r="E626" t="s">
        <v>5033</v>
      </c>
      <c r="F626" t="s">
        <v>5036</v>
      </c>
      <c r="G626" s="3">
        <v>4925.68</v>
      </c>
      <c r="H626" s="3">
        <v>640.34</v>
      </c>
      <c r="I626" s="3">
        <f>SUM(Tabla1[[#This Row],[Monto_Base]],H626)</f>
        <v>5566.02</v>
      </c>
      <c r="J626" t="s">
        <v>5046</v>
      </c>
      <c r="K626" t="s">
        <v>5049</v>
      </c>
      <c r="L626" t="s">
        <v>5050</v>
      </c>
      <c r="M626" t="s">
        <v>5054</v>
      </c>
    </row>
    <row r="627" spans="1:13" x14ac:dyDescent="0.3">
      <c r="A627" s="1">
        <v>45319</v>
      </c>
      <c r="B627" s="1" t="str">
        <f>TEXT(Tabla1[[#This Row],[Fecha]],"MMMM")</f>
        <v>enero</v>
      </c>
      <c r="C627" t="s">
        <v>637</v>
      </c>
      <c r="D627" t="s">
        <v>5024</v>
      </c>
      <c r="E627" t="s">
        <v>5033</v>
      </c>
      <c r="F627" t="s">
        <v>5041</v>
      </c>
      <c r="G627" s="3">
        <v>8797.1299999999992</v>
      </c>
      <c r="H627" s="3">
        <v>1143.6300000000001</v>
      </c>
      <c r="I627" s="3">
        <f>SUM(Tabla1[[#This Row],[Monto_Base]],H627)</f>
        <v>9940.7599999999984</v>
      </c>
      <c r="J627" t="s">
        <v>5043</v>
      </c>
      <c r="K627" t="s">
        <v>5047</v>
      </c>
      <c r="L627" t="s">
        <v>5052</v>
      </c>
      <c r="M627" t="s">
        <v>5055</v>
      </c>
    </row>
    <row r="628" spans="1:13" x14ac:dyDescent="0.3">
      <c r="A628" s="1">
        <v>45391</v>
      </c>
      <c r="B628" s="1" t="str">
        <f>TEXT(Tabla1[[#This Row],[Fecha]],"MMMM")</f>
        <v>abril</v>
      </c>
      <c r="C628" t="s">
        <v>638</v>
      </c>
      <c r="D628" t="s">
        <v>5027</v>
      </c>
      <c r="E628" t="s">
        <v>5032</v>
      </c>
      <c r="F628" t="s">
        <v>5039</v>
      </c>
      <c r="G628" s="3">
        <v>6893.22</v>
      </c>
      <c r="H628" s="3">
        <v>0</v>
      </c>
      <c r="I628" s="3">
        <f>SUM(Tabla1[[#This Row],[Monto_Base]],H628)</f>
        <v>6893.22</v>
      </c>
      <c r="J628" t="s">
        <v>5044</v>
      </c>
      <c r="K628" t="s">
        <v>5048</v>
      </c>
      <c r="L628" t="s">
        <v>5052</v>
      </c>
      <c r="M628" t="s">
        <v>5055</v>
      </c>
    </row>
    <row r="629" spans="1:13" x14ac:dyDescent="0.3">
      <c r="A629" s="1">
        <v>45530</v>
      </c>
      <c r="B629" s="1" t="str">
        <f>TEXT(Tabla1[[#This Row],[Fecha]],"MMMM")</f>
        <v>agosto</v>
      </c>
      <c r="C629" t="s">
        <v>639</v>
      </c>
      <c r="D629" t="s">
        <v>5012</v>
      </c>
      <c r="E629" t="s">
        <v>5033</v>
      </c>
      <c r="F629" t="s">
        <v>5038</v>
      </c>
      <c r="G629" s="3">
        <v>2090.6999999999998</v>
      </c>
      <c r="H629" s="3">
        <v>271.79000000000002</v>
      </c>
      <c r="I629" s="3">
        <f>SUM(Tabla1[[#This Row],[Monto_Base]],H629)</f>
        <v>2362.4899999999998</v>
      </c>
      <c r="J629" t="s">
        <v>5043</v>
      </c>
      <c r="K629" t="s">
        <v>5048</v>
      </c>
      <c r="L629" t="s">
        <v>5052</v>
      </c>
      <c r="M629" t="s">
        <v>5055</v>
      </c>
    </row>
    <row r="630" spans="1:13" x14ac:dyDescent="0.3">
      <c r="A630" s="1">
        <v>45575</v>
      </c>
      <c r="B630" s="1" t="str">
        <f>TEXT(Tabla1[[#This Row],[Fecha]],"MMMM")</f>
        <v>octubre</v>
      </c>
      <c r="C630" t="s">
        <v>640</v>
      </c>
      <c r="D630" t="s">
        <v>5021</v>
      </c>
      <c r="E630" t="s">
        <v>5033</v>
      </c>
      <c r="F630" t="s">
        <v>5039</v>
      </c>
      <c r="G630" s="3">
        <v>8692.92</v>
      </c>
      <c r="H630" s="3">
        <v>1130.08</v>
      </c>
      <c r="I630" s="3">
        <f>SUM(Tabla1[[#This Row],[Monto_Base]],H630)</f>
        <v>9823</v>
      </c>
      <c r="J630" t="s">
        <v>5046</v>
      </c>
      <c r="K630" t="s">
        <v>5047</v>
      </c>
      <c r="L630" t="s">
        <v>5050</v>
      </c>
      <c r="M630" t="s">
        <v>5055</v>
      </c>
    </row>
    <row r="631" spans="1:13" x14ac:dyDescent="0.3">
      <c r="A631" s="1">
        <v>45511</v>
      </c>
      <c r="B631" s="1" t="str">
        <f>TEXT(Tabla1[[#This Row],[Fecha]],"MMMM")</f>
        <v>agosto</v>
      </c>
      <c r="C631" t="s">
        <v>641</v>
      </c>
      <c r="D631" t="s">
        <v>5031</v>
      </c>
      <c r="E631" t="s">
        <v>5032</v>
      </c>
      <c r="F631" t="s">
        <v>5041</v>
      </c>
      <c r="G631" s="3">
        <v>4223.6000000000004</v>
      </c>
      <c r="H631" s="3">
        <v>0</v>
      </c>
      <c r="I631" s="3">
        <f>SUM(Tabla1[[#This Row],[Monto_Base]],H631)</f>
        <v>4223.6000000000004</v>
      </c>
      <c r="J631" t="s">
        <v>5046</v>
      </c>
      <c r="K631" t="s">
        <v>5047</v>
      </c>
      <c r="L631" t="s">
        <v>5051</v>
      </c>
      <c r="M631" t="s">
        <v>5055</v>
      </c>
    </row>
    <row r="632" spans="1:13" x14ac:dyDescent="0.3">
      <c r="A632" s="1">
        <v>45314</v>
      </c>
      <c r="B632" s="1" t="str">
        <f>TEXT(Tabla1[[#This Row],[Fecha]],"MMMM")</f>
        <v>enero</v>
      </c>
      <c r="C632" t="s">
        <v>642</v>
      </c>
      <c r="D632" t="s">
        <v>5031</v>
      </c>
      <c r="E632" t="s">
        <v>5033</v>
      </c>
      <c r="F632" t="s">
        <v>5035</v>
      </c>
      <c r="G632" s="3">
        <v>6295.69</v>
      </c>
      <c r="H632" s="3">
        <v>818.44</v>
      </c>
      <c r="I632" s="3">
        <f>SUM(Tabla1[[#This Row],[Monto_Base]],H632)</f>
        <v>7114.1299999999992</v>
      </c>
      <c r="J632" t="s">
        <v>5045</v>
      </c>
      <c r="K632" t="s">
        <v>5048</v>
      </c>
      <c r="L632" t="s">
        <v>5053</v>
      </c>
      <c r="M632" t="s">
        <v>5055</v>
      </c>
    </row>
    <row r="633" spans="1:13" x14ac:dyDescent="0.3">
      <c r="A633" s="1">
        <v>45334</v>
      </c>
      <c r="B633" s="1" t="str">
        <f>TEXT(Tabla1[[#This Row],[Fecha]],"MMMM")</f>
        <v>febrero</v>
      </c>
      <c r="C633" t="s">
        <v>643</v>
      </c>
      <c r="D633" t="s">
        <v>5025</v>
      </c>
      <c r="E633" t="s">
        <v>5033</v>
      </c>
      <c r="F633" t="s">
        <v>5041</v>
      </c>
      <c r="G633" s="3">
        <v>7454.51</v>
      </c>
      <c r="H633" s="3">
        <v>969.09</v>
      </c>
      <c r="I633" s="3">
        <f>SUM(Tabla1[[#This Row],[Monto_Base]],H633)</f>
        <v>8423.6</v>
      </c>
      <c r="J633" t="s">
        <v>5042</v>
      </c>
      <c r="K633" t="s">
        <v>5047</v>
      </c>
      <c r="L633" t="s">
        <v>5050</v>
      </c>
      <c r="M633" t="s">
        <v>5054</v>
      </c>
    </row>
    <row r="634" spans="1:13" x14ac:dyDescent="0.3">
      <c r="A634" s="1">
        <v>45338</v>
      </c>
      <c r="B634" s="1" t="str">
        <f>TEXT(Tabla1[[#This Row],[Fecha]],"MMMM")</f>
        <v>febrero</v>
      </c>
      <c r="C634" t="s">
        <v>644</v>
      </c>
      <c r="D634" t="s">
        <v>5015</v>
      </c>
      <c r="E634" t="s">
        <v>5032</v>
      </c>
      <c r="F634" t="s">
        <v>5034</v>
      </c>
      <c r="G634" s="3">
        <v>9732.2199999999993</v>
      </c>
      <c r="H634" s="3">
        <v>0</v>
      </c>
      <c r="I634" s="3">
        <f>SUM(Tabla1[[#This Row],[Monto_Base]],H634)</f>
        <v>9732.2199999999993</v>
      </c>
      <c r="J634" t="s">
        <v>5045</v>
      </c>
      <c r="K634" t="s">
        <v>5048</v>
      </c>
      <c r="L634" t="s">
        <v>5051</v>
      </c>
      <c r="M634" t="s">
        <v>5054</v>
      </c>
    </row>
    <row r="635" spans="1:13" x14ac:dyDescent="0.3">
      <c r="A635" s="1">
        <v>45362</v>
      </c>
      <c r="B635" s="1" t="str">
        <f>TEXT(Tabla1[[#This Row],[Fecha]],"MMMM")</f>
        <v>marzo</v>
      </c>
      <c r="C635" t="s">
        <v>645</v>
      </c>
      <c r="D635" t="s">
        <v>5014</v>
      </c>
      <c r="E635" t="s">
        <v>5033</v>
      </c>
      <c r="F635" t="s">
        <v>5041</v>
      </c>
      <c r="G635" s="3">
        <v>6983.22</v>
      </c>
      <c r="H635" s="3">
        <v>907.82</v>
      </c>
      <c r="I635" s="3">
        <f>SUM(Tabla1[[#This Row],[Monto_Base]],H635)</f>
        <v>7891.04</v>
      </c>
      <c r="J635" t="s">
        <v>5043</v>
      </c>
      <c r="K635" t="s">
        <v>5047</v>
      </c>
      <c r="L635" t="s">
        <v>5051</v>
      </c>
      <c r="M635" t="s">
        <v>5055</v>
      </c>
    </row>
    <row r="636" spans="1:13" x14ac:dyDescent="0.3">
      <c r="A636" s="1">
        <v>45443</v>
      </c>
      <c r="B636" s="1" t="str">
        <f>TEXT(Tabla1[[#This Row],[Fecha]],"MMMM")</f>
        <v>mayo</v>
      </c>
      <c r="C636" t="s">
        <v>646</v>
      </c>
      <c r="D636" t="s">
        <v>5013</v>
      </c>
      <c r="E636" t="s">
        <v>5032</v>
      </c>
      <c r="F636" t="s">
        <v>5040</v>
      </c>
      <c r="G636" s="3">
        <v>7987.26</v>
      </c>
      <c r="H636" s="3">
        <v>0</v>
      </c>
      <c r="I636" s="3">
        <f>SUM(Tabla1[[#This Row],[Monto_Base]],H636)</f>
        <v>7987.26</v>
      </c>
      <c r="J636" t="s">
        <v>5043</v>
      </c>
      <c r="K636" t="s">
        <v>5048</v>
      </c>
      <c r="L636" t="s">
        <v>5052</v>
      </c>
      <c r="M636" t="s">
        <v>5054</v>
      </c>
    </row>
    <row r="637" spans="1:13" x14ac:dyDescent="0.3">
      <c r="A637" s="1">
        <v>45479</v>
      </c>
      <c r="B637" s="1" t="str">
        <f>TEXT(Tabla1[[#This Row],[Fecha]],"MMMM")</f>
        <v>julio</v>
      </c>
      <c r="C637" t="s">
        <v>647</v>
      </c>
      <c r="D637" t="s">
        <v>5022</v>
      </c>
      <c r="E637" t="s">
        <v>5032</v>
      </c>
      <c r="F637" t="s">
        <v>5035</v>
      </c>
      <c r="G637" s="3">
        <v>1708.95</v>
      </c>
      <c r="H637" s="3">
        <v>0</v>
      </c>
      <c r="I637" s="3">
        <f>SUM(Tabla1[[#This Row],[Monto_Base]],H637)</f>
        <v>1708.95</v>
      </c>
      <c r="J637" t="s">
        <v>5043</v>
      </c>
      <c r="K637" t="s">
        <v>5049</v>
      </c>
      <c r="L637" t="s">
        <v>5053</v>
      </c>
      <c r="M637" t="s">
        <v>5055</v>
      </c>
    </row>
    <row r="638" spans="1:13" x14ac:dyDescent="0.3">
      <c r="A638" s="1">
        <v>45463</v>
      </c>
      <c r="B638" s="1" t="str">
        <f>TEXT(Tabla1[[#This Row],[Fecha]],"MMMM")</f>
        <v>junio</v>
      </c>
      <c r="C638" t="s">
        <v>648</v>
      </c>
      <c r="D638" t="s">
        <v>5028</v>
      </c>
      <c r="E638" t="s">
        <v>5033</v>
      </c>
      <c r="F638" t="s">
        <v>5034</v>
      </c>
      <c r="G638" s="3">
        <v>2119.17</v>
      </c>
      <c r="H638" s="3">
        <v>275.49</v>
      </c>
      <c r="I638" s="3">
        <f>SUM(Tabla1[[#This Row],[Monto_Base]],H638)</f>
        <v>2394.66</v>
      </c>
      <c r="J638" t="s">
        <v>5046</v>
      </c>
      <c r="K638" t="s">
        <v>5049</v>
      </c>
      <c r="L638" t="s">
        <v>5053</v>
      </c>
      <c r="M638" t="s">
        <v>5055</v>
      </c>
    </row>
    <row r="639" spans="1:13" x14ac:dyDescent="0.3">
      <c r="A639" s="1">
        <v>45549</v>
      </c>
      <c r="B639" s="1" t="str">
        <f>TEXT(Tabla1[[#This Row],[Fecha]],"MMMM")</f>
        <v>septiembre</v>
      </c>
      <c r="C639" t="s">
        <v>649</v>
      </c>
      <c r="D639" t="s">
        <v>5017</v>
      </c>
      <c r="E639" t="s">
        <v>5032</v>
      </c>
      <c r="F639" t="s">
        <v>5040</v>
      </c>
      <c r="G639" s="3">
        <v>13474.1</v>
      </c>
      <c r="H639" s="3">
        <v>0</v>
      </c>
      <c r="I639" s="3">
        <f>SUM(Tabla1[[#This Row],[Monto_Base]],H639)</f>
        <v>13474.1</v>
      </c>
      <c r="J639" t="s">
        <v>5043</v>
      </c>
      <c r="K639" t="s">
        <v>5048</v>
      </c>
      <c r="L639" t="s">
        <v>5053</v>
      </c>
      <c r="M639" t="s">
        <v>5054</v>
      </c>
    </row>
    <row r="640" spans="1:13" x14ac:dyDescent="0.3">
      <c r="A640" s="1">
        <v>45354</v>
      </c>
      <c r="B640" s="1" t="str">
        <f>TEXT(Tabla1[[#This Row],[Fecha]],"MMMM")</f>
        <v>marzo</v>
      </c>
      <c r="C640" t="s">
        <v>650</v>
      </c>
      <c r="D640" t="s">
        <v>5020</v>
      </c>
      <c r="E640" t="s">
        <v>5032</v>
      </c>
      <c r="F640" t="s">
        <v>5041</v>
      </c>
      <c r="G640" s="3">
        <v>7546.68</v>
      </c>
      <c r="H640" s="3">
        <v>0</v>
      </c>
      <c r="I640" s="3">
        <f>SUM(Tabla1[[#This Row],[Monto_Base]],H640)</f>
        <v>7546.68</v>
      </c>
      <c r="J640" t="s">
        <v>5043</v>
      </c>
      <c r="K640" t="s">
        <v>5049</v>
      </c>
      <c r="L640" t="s">
        <v>5051</v>
      </c>
      <c r="M640" t="s">
        <v>5055</v>
      </c>
    </row>
    <row r="641" spans="1:13" x14ac:dyDescent="0.3">
      <c r="A641" s="1">
        <v>45492</v>
      </c>
      <c r="B641" s="1" t="str">
        <f>TEXT(Tabla1[[#This Row],[Fecha]],"MMMM")</f>
        <v>julio</v>
      </c>
      <c r="C641" t="s">
        <v>651</v>
      </c>
      <c r="D641" t="s">
        <v>5030</v>
      </c>
      <c r="E641" t="s">
        <v>5033</v>
      </c>
      <c r="F641" t="s">
        <v>5041</v>
      </c>
      <c r="G641" s="3">
        <v>1355.27</v>
      </c>
      <c r="H641" s="3">
        <v>176.19</v>
      </c>
      <c r="I641" s="3">
        <f>SUM(Tabla1[[#This Row],[Monto_Base]],H641)</f>
        <v>1531.46</v>
      </c>
      <c r="J641" t="s">
        <v>5046</v>
      </c>
      <c r="K641" t="s">
        <v>5048</v>
      </c>
      <c r="L641" t="s">
        <v>5053</v>
      </c>
      <c r="M641" t="s">
        <v>5054</v>
      </c>
    </row>
    <row r="642" spans="1:13" x14ac:dyDescent="0.3">
      <c r="A642" s="1">
        <v>45396</v>
      </c>
      <c r="B642" s="1" t="str">
        <f>TEXT(Tabla1[[#This Row],[Fecha]],"MMMM")</f>
        <v>abril</v>
      </c>
      <c r="C642" t="s">
        <v>652</v>
      </c>
      <c r="D642" t="s">
        <v>5021</v>
      </c>
      <c r="E642" t="s">
        <v>5033</v>
      </c>
      <c r="F642" t="s">
        <v>5039</v>
      </c>
      <c r="G642" s="3">
        <v>7470.11</v>
      </c>
      <c r="H642" s="3">
        <v>971.11</v>
      </c>
      <c r="I642" s="3">
        <f>SUM(Tabla1[[#This Row],[Monto_Base]],H642)</f>
        <v>8441.2199999999993</v>
      </c>
      <c r="J642" t="s">
        <v>5042</v>
      </c>
      <c r="K642" t="s">
        <v>5049</v>
      </c>
      <c r="L642" t="s">
        <v>5053</v>
      </c>
      <c r="M642" t="s">
        <v>5055</v>
      </c>
    </row>
    <row r="643" spans="1:13" x14ac:dyDescent="0.3">
      <c r="A643" s="1">
        <v>45519</v>
      </c>
      <c r="B643" s="1" t="str">
        <f>TEXT(Tabla1[[#This Row],[Fecha]],"MMMM")</f>
        <v>agosto</v>
      </c>
      <c r="C643" t="s">
        <v>653</v>
      </c>
      <c r="D643" t="s">
        <v>5016</v>
      </c>
      <c r="E643" t="s">
        <v>5033</v>
      </c>
      <c r="F643" t="s">
        <v>5041</v>
      </c>
      <c r="G643" s="3">
        <v>5233.17</v>
      </c>
      <c r="H643" s="3">
        <v>680.31</v>
      </c>
      <c r="I643" s="3">
        <f>SUM(Tabla1[[#This Row],[Monto_Base]],H643)</f>
        <v>5913.48</v>
      </c>
      <c r="J643" t="s">
        <v>5045</v>
      </c>
      <c r="K643" t="s">
        <v>5048</v>
      </c>
      <c r="L643" t="s">
        <v>5052</v>
      </c>
      <c r="M643" t="s">
        <v>5054</v>
      </c>
    </row>
    <row r="644" spans="1:13" x14ac:dyDescent="0.3">
      <c r="A644" s="1">
        <v>45627</v>
      </c>
      <c r="B644" s="1" t="str">
        <f>TEXT(Tabla1[[#This Row],[Fecha]],"MMMM")</f>
        <v>diciembre</v>
      </c>
      <c r="C644" t="s">
        <v>654</v>
      </c>
      <c r="D644" t="s">
        <v>5017</v>
      </c>
      <c r="E644" t="s">
        <v>5032</v>
      </c>
      <c r="F644" t="s">
        <v>5037</v>
      </c>
      <c r="G644" s="3">
        <v>8701.6299999999992</v>
      </c>
      <c r="H644" s="3">
        <v>0</v>
      </c>
      <c r="I644" s="3">
        <f>SUM(Tabla1[[#This Row],[Monto_Base]],H644)</f>
        <v>8701.6299999999992</v>
      </c>
      <c r="J644" t="s">
        <v>5044</v>
      </c>
      <c r="K644" t="s">
        <v>5048</v>
      </c>
      <c r="L644" t="s">
        <v>5050</v>
      </c>
      <c r="M644" t="s">
        <v>5055</v>
      </c>
    </row>
    <row r="645" spans="1:13" x14ac:dyDescent="0.3">
      <c r="A645" s="1">
        <v>45425</v>
      </c>
      <c r="B645" s="1" t="str">
        <f>TEXT(Tabla1[[#This Row],[Fecha]],"MMMM")</f>
        <v>mayo</v>
      </c>
      <c r="C645" t="s">
        <v>655</v>
      </c>
      <c r="D645" t="s">
        <v>5014</v>
      </c>
      <c r="E645" t="s">
        <v>5033</v>
      </c>
      <c r="F645" t="s">
        <v>5038</v>
      </c>
      <c r="G645" s="3">
        <v>2617.4699999999998</v>
      </c>
      <c r="H645" s="3">
        <v>340.27</v>
      </c>
      <c r="I645" s="3">
        <f>SUM(Tabla1[[#This Row],[Monto_Base]],H645)</f>
        <v>2957.74</v>
      </c>
      <c r="J645" t="s">
        <v>5046</v>
      </c>
      <c r="K645" t="s">
        <v>5048</v>
      </c>
      <c r="L645" t="s">
        <v>5051</v>
      </c>
      <c r="M645" t="s">
        <v>5055</v>
      </c>
    </row>
    <row r="646" spans="1:13" x14ac:dyDescent="0.3">
      <c r="A646" s="1">
        <v>45377</v>
      </c>
      <c r="B646" s="1" t="str">
        <f>TEXT(Tabla1[[#This Row],[Fecha]],"MMMM")</f>
        <v>marzo</v>
      </c>
      <c r="C646" t="s">
        <v>656</v>
      </c>
      <c r="D646" t="s">
        <v>5026</v>
      </c>
      <c r="E646" t="s">
        <v>5032</v>
      </c>
      <c r="F646" t="s">
        <v>5038</v>
      </c>
      <c r="G646" s="3">
        <v>6866.1</v>
      </c>
      <c r="H646" s="3">
        <v>0</v>
      </c>
      <c r="I646" s="3">
        <f>SUM(Tabla1[[#This Row],[Monto_Base]],H646)</f>
        <v>6866.1</v>
      </c>
      <c r="J646" t="s">
        <v>5042</v>
      </c>
      <c r="K646" t="s">
        <v>5047</v>
      </c>
      <c r="L646" t="s">
        <v>5051</v>
      </c>
      <c r="M646" t="s">
        <v>5054</v>
      </c>
    </row>
    <row r="647" spans="1:13" x14ac:dyDescent="0.3">
      <c r="A647" s="1">
        <v>45454</v>
      </c>
      <c r="B647" s="1" t="str">
        <f>TEXT(Tabla1[[#This Row],[Fecha]],"MMMM")</f>
        <v>junio</v>
      </c>
      <c r="C647" t="s">
        <v>657</v>
      </c>
      <c r="D647" t="s">
        <v>5026</v>
      </c>
      <c r="E647" t="s">
        <v>5033</v>
      </c>
      <c r="F647" t="s">
        <v>5034</v>
      </c>
      <c r="G647" s="3">
        <v>1797.91</v>
      </c>
      <c r="H647" s="3">
        <v>233.73</v>
      </c>
      <c r="I647" s="3">
        <f>SUM(Tabla1[[#This Row],[Monto_Base]],H647)</f>
        <v>2031.64</v>
      </c>
      <c r="J647" t="s">
        <v>5042</v>
      </c>
      <c r="K647" t="s">
        <v>5047</v>
      </c>
      <c r="L647" t="s">
        <v>5050</v>
      </c>
      <c r="M647" t="s">
        <v>5055</v>
      </c>
    </row>
    <row r="648" spans="1:13" x14ac:dyDescent="0.3">
      <c r="A648" s="1">
        <v>45468</v>
      </c>
      <c r="B648" s="1" t="str">
        <f>TEXT(Tabla1[[#This Row],[Fecha]],"MMMM")</f>
        <v>junio</v>
      </c>
      <c r="C648" t="s">
        <v>658</v>
      </c>
      <c r="D648" t="s">
        <v>5028</v>
      </c>
      <c r="E648" t="s">
        <v>5033</v>
      </c>
      <c r="F648" t="s">
        <v>5035</v>
      </c>
      <c r="G648" s="3">
        <v>10000.02</v>
      </c>
      <c r="H648" s="3">
        <v>1300</v>
      </c>
      <c r="I648" s="3">
        <f>SUM(Tabla1[[#This Row],[Monto_Base]],H648)</f>
        <v>11300.02</v>
      </c>
      <c r="J648" t="s">
        <v>5046</v>
      </c>
      <c r="K648" t="s">
        <v>5048</v>
      </c>
      <c r="L648" t="s">
        <v>5050</v>
      </c>
      <c r="M648" t="s">
        <v>5054</v>
      </c>
    </row>
    <row r="649" spans="1:13" x14ac:dyDescent="0.3">
      <c r="A649" s="1">
        <v>45366</v>
      </c>
      <c r="B649" s="1" t="str">
        <f>TEXT(Tabla1[[#This Row],[Fecha]],"MMMM")</f>
        <v>marzo</v>
      </c>
      <c r="C649" t="s">
        <v>659</v>
      </c>
      <c r="D649" t="s">
        <v>5030</v>
      </c>
      <c r="E649" t="s">
        <v>5033</v>
      </c>
      <c r="F649" t="s">
        <v>5037</v>
      </c>
      <c r="G649" s="3">
        <v>13969.48</v>
      </c>
      <c r="H649" s="3">
        <v>1816.03</v>
      </c>
      <c r="I649" s="3">
        <f>SUM(Tabla1[[#This Row],[Monto_Base]],H649)</f>
        <v>15785.51</v>
      </c>
      <c r="J649" t="s">
        <v>5043</v>
      </c>
      <c r="K649" t="s">
        <v>5048</v>
      </c>
      <c r="L649" t="s">
        <v>5052</v>
      </c>
      <c r="M649" t="s">
        <v>5054</v>
      </c>
    </row>
    <row r="650" spans="1:13" x14ac:dyDescent="0.3">
      <c r="A650" s="1">
        <v>45585</v>
      </c>
      <c r="B650" s="1" t="str">
        <f>TEXT(Tabla1[[#This Row],[Fecha]],"MMMM")</f>
        <v>octubre</v>
      </c>
      <c r="C650" t="s">
        <v>660</v>
      </c>
      <c r="D650" t="s">
        <v>5029</v>
      </c>
      <c r="E650" t="s">
        <v>5032</v>
      </c>
      <c r="F650" t="s">
        <v>5038</v>
      </c>
      <c r="G650" s="3">
        <v>14545.6</v>
      </c>
      <c r="H650" s="3">
        <v>0</v>
      </c>
      <c r="I650" s="3">
        <f>SUM(Tabla1[[#This Row],[Monto_Base]],H650)</f>
        <v>14545.6</v>
      </c>
      <c r="J650" t="s">
        <v>5046</v>
      </c>
      <c r="K650" t="s">
        <v>5049</v>
      </c>
      <c r="L650" t="s">
        <v>5050</v>
      </c>
      <c r="M650" t="s">
        <v>5055</v>
      </c>
    </row>
    <row r="651" spans="1:13" x14ac:dyDescent="0.3">
      <c r="A651" s="1">
        <v>45351</v>
      </c>
      <c r="B651" s="1" t="str">
        <f>TEXT(Tabla1[[#This Row],[Fecha]],"MMMM")</f>
        <v>febrero</v>
      </c>
      <c r="C651" t="s">
        <v>661</v>
      </c>
      <c r="D651" t="s">
        <v>5018</v>
      </c>
      <c r="E651" t="s">
        <v>5033</v>
      </c>
      <c r="F651" t="s">
        <v>5039</v>
      </c>
      <c r="G651" s="3">
        <v>10186.219999999999</v>
      </c>
      <c r="H651" s="3">
        <v>1324.21</v>
      </c>
      <c r="I651" s="3">
        <f>SUM(Tabla1[[#This Row],[Monto_Base]],H651)</f>
        <v>11510.43</v>
      </c>
      <c r="J651" t="s">
        <v>5044</v>
      </c>
      <c r="K651" t="s">
        <v>5047</v>
      </c>
      <c r="L651" t="s">
        <v>5050</v>
      </c>
      <c r="M651" t="s">
        <v>5054</v>
      </c>
    </row>
    <row r="652" spans="1:13" x14ac:dyDescent="0.3">
      <c r="A652" s="1">
        <v>45620</v>
      </c>
      <c r="B652" s="1" t="str">
        <f>TEXT(Tabla1[[#This Row],[Fecha]],"MMMM")</f>
        <v>noviembre</v>
      </c>
      <c r="C652" t="s">
        <v>662</v>
      </c>
      <c r="D652" t="s">
        <v>5020</v>
      </c>
      <c r="E652" t="s">
        <v>5033</v>
      </c>
      <c r="F652" t="s">
        <v>5040</v>
      </c>
      <c r="G652" s="3">
        <v>872.75</v>
      </c>
      <c r="H652" s="3">
        <v>113.46</v>
      </c>
      <c r="I652" s="3">
        <f>SUM(Tabla1[[#This Row],[Monto_Base]],H652)</f>
        <v>986.21</v>
      </c>
      <c r="J652" t="s">
        <v>5046</v>
      </c>
      <c r="K652" t="s">
        <v>5049</v>
      </c>
      <c r="L652" t="s">
        <v>5052</v>
      </c>
      <c r="M652" t="s">
        <v>5055</v>
      </c>
    </row>
    <row r="653" spans="1:13" x14ac:dyDescent="0.3">
      <c r="A653" s="1">
        <v>45336</v>
      </c>
      <c r="B653" s="1" t="str">
        <f>TEXT(Tabla1[[#This Row],[Fecha]],"MMMM")</f>
        <v>febrero</v>
      </c>
      <c r="C653" t="s">
        <v>663</v>
      </c>
      <c r="D653" t="s">
        <v>5012</v>
      </c>
      <c r="E653" t="s">
        <v>5033</v>
      </c>
      <c r="F653" t="s">
        <v>5041</v>
      </c>
      <c r="G653" s="3">
        <v>10172.1</v>
      </c>
      <c r="H653" s="3">
        <v>1322.37</v>
      </c>
      <c r="I653" s="3">
        <f>SUM(Tabla1[[#This Row],[Monto_Base]],H653)</f>
        <v>11494.470000000001</v>
      </c>
      <c r="J653" t="s">
        <v>5042</v>
      </c>
      <c r="K653" t="s">
        <v>5048</v>
      </c>
      <c r="L653" t="s">
        <v>5052</v>
      </c>
      <c r="M653" t="s">
        <v>5055</v>
      </c>
    </row>
    <row r="654" spans="1:13" x14ac:dyDescent="0.3">
      <c r="A654" s="1">
        <v>45510</v>
      </c>
      <c r="B654" s="1" t="str">
        <f>TEXT(Tabla1[[#This Row],[Fecha]],"MMMM")</f>
        <v>agosto</v>
      </c>
      <c r="C654" t="s">
        <v>664</v>
      </c>
      <c r="D654" t="s">
        <v>5014</v>
      </c>
      <c r="E654" t="s">
        <v>5033</v>
      </c>
      <c r="F654" t="s">
        <v>5040</v>
      </c>
      <c r="G654" s="3">
        <v>5993.49</v>
      </c>
      <c r="H654" s="3">
        <v>779.15</v>
      </c>
      <c r="I654" s="3">
        <f>SUM(Tabla1[[#This Row],[Monto_Base]],H654)</f>
        <v>6772.6399999999994</v>
      </c>
      <c r="J654" t="s">
        <v>5044</v>
      </c>
      <c r="K654" t="s">
        <v>5048</v>
      </c>
      <c r="L654" t="s">
        <v>5051</v>
      </c>
      <c r="M654" t="s">
        <v>5054</v>
      </c>
    </row>
    <row r="655" spans="1:13" x14ac:dyDescent="0.3">
      <c r="A655" s="1">
        <v>45579</v>
      </c>
      <c r="B655" s="1" t="str">
        <f>TEXT(Tabla1[[#This Row],[Fecha]],"MMMM")</f>
        <v>octubre</v>
      </c>
      <c r="C655" t="s">
        <v>665</v>
      </c>
      <c r="D655" t="s">
        <v>5020</v>
      </c>
      <c r="E655" t="s">
        <v>5032</v>
      </c>
      <c r="F655" t="s">
        <v>5038</v>
      </c>
      <c r="G655" s="3">
        <v>14663.98</v>
      </c>
      <c r="H655" s="3">
        <v>0</v>
      </c>
      <c r="I655" s="3">
        <f>SUM(Tabla1[[#This Row],[Monto_Base]],H655)</f>
        <v>14663.98</v>
      </c>
      <c r="J655" t="s">
        <v>5045</v>
      </c>
      <c r="K655" t="s">
        <v>5047</v>
      </c>
      <c r="L655" t="s">
        <v>5050</v>
      </c>
      <c r="M655" t="s">
        <v>5055</v>
      </c>
    </row>
    <row r="656" spans="1:13" x14ac:dyDescent="0.3">
      <c r="A656" s="1">
        <v>45504</v>
      </c>
      <c r="B656" s="1" t="str">
        <f>TEXT(Tabla1[[#This Row],[Fecha]],"MMMM")</f>
        <v>julio</v>
      </c>
      <c r="C656" t="s">
        <v>666</v>
      </c>
      <c r="D656" t="s">
        <v>5029</v>
      </c>
      <c r="E656" t="s">
        <v>5033</v>
      </c>
      <c r="F656" t="s">
        <v>5037</v>
      </c>
      <c r="G656" s="3">
        <v>10942.65</v>
      </c>
      <c r="H656" s="3">
        <v>1422.54</v>
      </c>
      <c r="I656" s="3">
        <f>SUM(Tabla1[[#This Row],[Monto_Base]],H656)</f>
        <v>12365.189999999999</v>
      </c>
      <c r="J656" t="s">
        <v>5046</v>
      </c>
      <c r="K656" t="s">
        <v>5049</v>
      </c>
      <c r="L656" t="s">
        <v>5053</v>
      </c>
      <c r="M656" t="s">
        <v>5054</v>
      </c>
    </row>
    <row r="657" spans="1:13" x14ac:dyDescent="0.3">
      <c r="A657" s="1">
        <v>45594</v>
      </c>
      <c r="B657" s="1" t="str">
        <f>TEXT(Tabla1[[#This Row],[Fecha]],"MMMM")</f>
        <v>octubre</v>
      </c>
      <c r="C657" t="s">
        <v>667</v>
      </c>
      <c r="D657" t="s">
        <v>5021</v>
      </c>
      <c r="E657" t="s">
        <v>5032</v>
      </c>
      <c r="F657" t="s">
        <v>5040</v>
      </c>
      <c r="G657" s="3">
        <v>1038.43</v>
      </c>
      <c r="H657" s="3">
        <v>0</v>
      </c>
      <c r="I657" s="3">
        <f>SUM(Tabla1[[#This Row],[Monto_Base]],H657)</f>
        <v>1038.43</v>
      </c>
      <c r="J657" t="s">
        <v>5043</v>
      </c>
      <c r="K657" t="s">
        <v>5047</v>
      </c>
      <c r="L657" t="s">
        <v>5053</v>
      </c>
      <c r="M657" t="s">
        <v>5055</v>
      </c>
    </row>
    <row r="658" spans="1:13" x14ac:dyDescent="0.3">
      <c r="A658" s="1">
        <v>45362</v>
      </c>
      <c r="B658" s="1" t="str">
        <f>TEXT(Tabla1[[#This Row],[Fecha]],"MMMM")</f>
        <v>marzo</v>
      </c>
      <c r="C658" t="s">
        <v>668</v>
      </c>
      <c r="D658" t="s">
        <v>5019</v>
      </c>
      <c r="E658" t="s">
        <v>5033</v>
      </c>
      <c r="F658" t="s">
        <v>5041</v>
      </c>
      <c r="G658" s="3">
        <v>10668.19</v>
      </c>
      <c r="H658" s="3">
        <v>1386.86</v>
      </c>
      <c r="I658" s="3">
        <f>SUM(Tabla1[[#This Row],[Monto_Base]],H658)</f>
        <v>12055.050000000001</v>
      </c>
      <c r="J658" t="s">
        <v>5046</v>
      </c>
      <c r="K658" t="s">
        <v>5047</v>
      </c>
      <c r="L658" t="s">
        <v>5050</v>
      </c>
      <c r="M658" t="s">
        <v>5055</v>
      </c>
    </row>
    <row r="659" spans="1:13" x14ac:dyDescent="0.3">
      <c r="A659" s="1">
        <v>45529</v>
      </c>
      <c r="B659" s="1" t="str">
        <f>TEXT(Tabla1[[#This Row],[Fecha]],"MMMM")</f>
        <v>agosto</v>
      </c>
      <c r="C659" t="s">
        <v>669</v>
      </c>
      <c r="D659" t="s">
        <v>5022</v>
      </c>
      <c r="E659" t="s">
        <v>5032</v>
      </c>
      <c r="F659" t="s">
        <v>5038</v>
      </c>
      <c r="G659" s="3">
        <v>7436.8</v>
      </c>
      <c r="H659" s="3">
        <v>0</v>
      </c>
      <c r="I659" s="3">
        <f>SUM(Tabla1[[#This Row],[Monto_Base]],H659)</f>
        <v>7436.8</v>
      </c>
      <c r="J659" t="s">
        <v>5046</v>
      </c>
      <c r="K659" t="s">
        <v>5047</v>
      </c>
      <c r="L659" t="s">
        <v>5053</v>
      </c>
      <c r="M659" t="s">
        <v>5054</v>
      </c>
    </row>
    <row r="660" spans="1:13" x14ac:dyDescent="0.3">
      <c r="A660" s="1">
        <v>45439</v>
      </c>
      <c r="B660" s="1" t="str">
        <f>TEXT(Tabla1[[#This Row],[Fecha]],"MMMM")</f>
        <v>mayo</v>
      </c>
      <c r="C660" t="s">
        <v>670</v>
      </c>
      <c r="D660" t="s">
        <v>5029</v>
      </c>
      <c r="E660" t="s">
        <v>5032</v>
      </c>
      <c r="F660" t="s">
        <v>5036</v>
      </c>
      <c r="G660" s="3">
        <v>9824.5</v>
      </c>
      <c r="H660" s="3">
        <v>0</v>
      </c>
      <c r="I660" s="3">
        <f>SUM(Tabla1[[#This Row],[Monto_Base]],H660)</f>
        <v>9824.5</v>
      </c>
      <c r="J660" t="s">
        <v>5043</v>
      </c>
      <c r="K660" t="s">
        <v>5047</v>
      </c>
      <c r="L660" t="s">
        <v>5050</v>
      </c>
      <c r="M660" t="s">
        <v>5054</v>
      </c>
    </row>
    <row r="661" spans="1:13" x14ac:dyDescent="0.3">
      <c r="A661" s="1">
        <v>45326</v>
      </c>
      <c r="B661" s="1" t="str">
        <f>TEXT(Tabla1[[#This Row],[Fecha]],"MMMM")</f>
        <v>febrero</v>
      </c>
      <c r="C661" t="s">
        <v>671</v>
      </c>
      <c r="D661" t="s">
        <v>5013</v>
      </c>
      <c r="E661" t="s">
        <v>5032</v>
      </c>
      <c r="F661" t="s">
        <v>5041</v>
      </c>
      <c r="G661" s="3">
        <v>14915.28</v>
      </c>
      <c r="H661" s="3">
        <v>0</v>
      </c>
      <c r="I661" s="3">
        <f>SUM(Tabla1[[#This Row],[Monto_Base]],H661)</f>
        <v>14915.28</v>
      </c>
      <c r="J661" t="s">
        <v>5042</v>
      </c>
      <c r="K661" t="s">
        <v>5049</v>
      </c>
      <c r="L661" t="s">
        <v>5051</v>
      </c>
      <c r="M661" t="s">
        <v>5055</v>
      </c>
    </row>
    <row r="662" spans="1:13" x14ac:dyDescent="0.3">
      <c r="A662" s="1">
        <v>45586</v>
      </c>
      <c r="B662" s="1" t="str">
        <f>TEXT(Tabla1[[#This Row],[Fecha]],"MMMM")</f>
        <v>octubre</v>
      </c>
      <c r="C662" t="s">
        <v>672</v>
      </c>
      <c r="D662" t="s">
        <v>5029</v>
      </c>
      <c r="E662" t="s">
        <v>5032</v>
      </c>
      <c r="F662" t="s">
        <v>5036</v>
      </c>
      <c r="G662" s="3">
        <v>5629.37</v>
      </c>
      <c r="H662" s="3">
        <v>0</v>
      </c>
      <c r="I662" s="3">
        <f>SUM(Tabla1[[#This Row],[Monto_Base]],H662)</f>
        <v>5629.37</v>
      </c>
      <c r="J662" t="s">
        <v>5045</v>
      </c>
      <c r="K662" t="s">
        <v>5048</v>
      </c>
      <c r="L662" t="s">
        <v>5052</v>
      </c>
      <c r="M662" t="s">
        <v>5054</v>
      </c>
    </row>
    <row r="663" spans="1:13" x14ac:dyDescent="0.3">
      <c r="A663" s="1">
        <v>45319</v>
      </c>
      <c r="B663" s="1" t="str">
        <f>TEXT(Tabla1[[#This Row],[Fecha]],"MMMM")</f>
        <v>enero</v>
      </c>
      <c r="C663" t="s">
        <v>673</v>
      </c>
      <c r="D663" t="s">
        <v>5015</v>
      </c>
      <c r="E663" t="s">
        <v>5032</v>
      </c>
      <c r="F663" t="s">
        <v>5039</v>
      </c>
      <c r="G663" s="3">
        <v>5392.91</v>
      </c>
      <c r="H663" s="3">
        <v>0</v>
      </c>
      <c r="I663" s="3">
        <f>SUM(Tabla1[[#This Row],[Monto_Base]],H663)</f>
        <v>5392.91</v>
      </c>
      <c r="J663" t="s">
        <v>5044</v>
      </c>
      <c r="K663" t="s">
        <v>5048</v>
      </c>
      <c r="L663" t="s">
        <v>5050</v>
      </c>
      <c r="M663" t="s">
        <v>5055</v>
      </c>
    </row>
    <row r="664" spans="1:13" x14ac:dyDescent="0.3">
      <c r="A664" s="1">
        <v>45613</v>
      </c>
      <c r="B664" s="1" t="str">
        <f>TEXT(Tabla1[[#This Row],[Fecha]],"MMMM")</f>
        <v>noviembre</v>
      </c>
      <c r="C664" t="s">
        <v>674</v>
      </c>
      <c r="D664" t="s">
        <v>5021</v>
      </c>
      <c r="E664" t="s">
        <v>5032</v>
      </c>
      <c r="F664" t="s">
        <v>5036</v>
      </c>
      <c r="G664" s="3">
        <v>7732.3</v>
      </c>
      <c r="H664" s="3">
        <v>0</v>
      </c>
      <c r="I664" s="3">
        <f>SUM(Tabla1[[#This Row],[Monto_Base]],H664)</f>
        <v>7732.3</v>
      </c>
      <c r="J664" t="s">
        <v>5046</v>
      </c>
      <c r="K664" t="s">
        <v>5047</v>
      </c>
      <c r="L664" t="s">
        <v>5052</v>
      </c>
      <c r="M664" t="s">
        <v>5055</v>
      </c>
    </row>
    <row r="665" spans="1:13" x14ac:dyDescent="0.3">
      <c r="A665" s="1">
        <v>45588</v>
      </c>
      <c r="B665" s="1" t="str">
        <f>TEXT(Tabla1[[#This Row],[Fecha]],"MMMM")</f>
        <v>octubre</v>
      </c>
      <c r="C665" t="s">
        <v>675</v>
      </c>
      <c r="D665" t="s">
        <v>5029</v>
      </c>
      <c r="E665" t="s">
        <v>5032</v>
      </c>
      <c r="F665" t="s">
        <v>5040</v>
      </c>
      <c r="G665" s="3">
        <v>1482.71</v>
      </c>
      <c r="H665" s="3">
        <v>0</v>
      </c>
      <c r="I665" s="3">
        <f>SUM(Tabla1[[#This Row],[Monto_Base]],H665)</f>
        <v>1482.71</v>
      </c>
      <c r="J665" t="s">
        <v>5044</v>
      </c>
      <c r="K665" t="s">
        <v>5047</v>
      </c>
      <c r="L665" t="s">
        <v>5053</v>
      </c>
      <c r="M665" t="s">
        <v>5054</v>
      </c>
    </row>
    <row r="666" spans="1:13" x14ac:dyDescent="0.3">
      <c r="A666" s="1">
        <v>45375</v>
      </c>
      <c r="B666" s="1" t="str">
        <f>TEXT(Tabla1[[#This Row],[Fecha]],"MMMM")</f>
        <v>marzo</v>
      </c>
      <c r="C666" t="s">
        <v>676</v>
      </c>
      <c r="D666" t="s">
        <v>5020</v>
      </c>
      <c r="E666" t="s">
        <v>5032</v>
      </c>
      <c r="F666" t="s">
        <v>5037</v>
      </c>
      <c r="G666" s="3">
        <v>5137.68</v>
      </c>
      <c r="H666" s="3">
        <v>0</v>
      </c>
      <c r="I666" s="3">
        <f>SUM(Tabla1[[#This Row],[Monto_Base]],H666)</f>
        <v>5137.68</v>
      </c>
      <c r="J666" t="s">
        <v>5045</v>
      </c>
      <c r="K666" t="s">
        <v>5047</v>
      </c>
      <c r="L666" t="s">
        <v>5052</v>
      </c>
      <c r="M666" t="s">
        <v>5054</v>
      </c>
    </row>
    <row r="667" spans="1:13" x14ac:dyDescent="0.3">
      <c r="A667" s="1">
        <v>45331</v>
      </c>
      <c r="B667" s="1" t="str">
        <f>TEXT(Tabla1[[#This Row],[Fecha]],"MMMM")</f>
        <v>febrero</v>
      </c>
      <c r="C667" t="s">
        <v>677</v>
      </c>
      <c r="D667" t="s">
        <v>5023</v>
      </c>
      <c r="E667" t="s">
        <v>5033</v>
      </c>
      <c r="F667" t="s">
        <v>5037</v>
      </c>
      <c r="G667" s="3">
        <v>6934.35</v>
      </c>
      <c r="H667" s="3">
        <v>901.47</v>
      </c>
      <c r="I667" s="3">
        <f>SUM(Tabla1[[#This Row],[Monto_Base]],H667)</f>
        <v>7835.8200000000006</v>
      </c>
      <c r="J667" t="s">
        <v>5045</v>
      </c>
      <c r="K667" t="s">
        <v>5047</v>
      </c>
      <c r="L667" t="s">
        <v>5053</v>
      </c>
      <c r="M667" t="s">
        <v>5055</v>
      </c>
    </row>
    <row r="668" spans="1:13" x14ac:dyDescent="0.3">
      <c r="A668" s="1">
        <v>45597</v>
      </c>
      <c r="B668" s="1" t="str">
        <f>TEXT(Tabla1[[#This Row],[Fecha]],"MMMM")</f>
        <v>noviembre</v>
      </c>
      <c r="C668" t="s">
        <v>678</v>
      </c>
      <c r="D668" t="s">
        <v>5029</v>
      </c>
      <c r="E668" t="s">
        <v>5032</v>
      </c>
      <c r="F668" t="s">
        <v>5039</v>
      </c>
      <c r="G668" s="3">
        <v>12264.73</v>
      </c>
      <c r="H668" s="3">
        <v>0</v>
      </c>
      <c r="I668" s="3">
        <f>SUM(Tabla1[[#This Row],[Monto_Base]],H668)</f>
        <v>12264.73</v>
      </c>
      <c r="J668" t="s">
        <v>5042</v>
      </c>
      <c r="K668" t="s">
        <v>5048</v>
      </c>
      <c r="L668" t="s">
        <v>5052</v>
      </c>
      <c r="M668" t="s">
        <v>5055</v>
      </c>
    </row>
    <row r="669" spans="1:13" x14ac:dyDescent="0.3">
      <c r="A669" s="1">
        <v>45364</v>
      </c>
      <c r="B669" s="1" t="str">
        <f>TEXT(Tabla1[[#This Row],[Fecha]],"MMMM")</f>
        <v>marzo</v>
      </c>
      <c r="C669" t="s">
        <v>679</v>
      </c>
      <c r="D669" t="s">
        <v>5013</v>
      </c>
      <c r="E669" t="s">
        <v>5033</v>
      </c>
      <c r="F669" t="s">
        <v>5039</v>
      </c>
      <c r="G669" s="3">
        <v>12859.39</v>
      </c>
      <c r="H669" s="3">
        <v>1671.72</v>
      </c>
      <c r="I669" s="3">
        <f>SUM(Tabla1[[#This Row],[Monto_Base]],H669)</f>
        <v>14531.109999999999</v>
      </c>
      <c r="J669" t="s">
        <v>5046</v>
      </c>
      <c r="K669" t="s">
        <v>5048</v>
      </c>
      <c r="L669" t="s">
        <v>5052</v>
      </c>
      <c r="M669" t="s">
        <v>5054</v>
      </c>
    </row>
    <row r="670" spans="1:13" x14ac:dyDescent="0.3">
      <c r="A670" s="1">
        <v>45539</v>
      </c>
      <c r="B670" s="1" t="str">
        <f>TEXT(Tabla1[[#This Row],[Fecha]],"MMMM")</f>
        <v>septiembre</v>
      </c>
      <c r="C670" t="s">
        <v>680</v>
      </c>
      <c r="D670" t="s">
        <v>5013</v>
      </c>
      <c r="E670" t="s">
        <v>5032</v>
      </c>
      <c r="F670" t="s">
        <v>5036</v>
      </c>
      <c r="G670" s="3">
        <v>1212.1400000000001</v>
      </c>
      <c r="H670" s="3">
        <v>0</v>
      </c>
      <c r="I670" s="3">
        <f>SUM(Tabla1[[#This Row],[Monto_Base]],H670)</f>
        <v>1212.1400000000001</v>
      </c>
      <c r="J670" t="s">
        <v>5043</v>
      </c>
      <c r="K670" t="s">
        <v>5047</v>
      </c>
      <c r="L670" t="s">
        <v>5052</v>
      </c>
      <c r="M670" t="s">
        <v>5054</v>
      </c>
    </row>
    <row r="671" spans="1:13" x14ac:dyDescent="0.3">
      <c r="A671" s="1">
        <v>45421</v>
      </c>
      <c r="B671" s="1" t="str">
        <f>TEXT(Tabla1[[#This Row],[Fecha]],"MMMM")</f>
        <v>mayo</v>
      </c>
      <c r="C671" t="s">
        <v>681</v>
      </c>
      <c r="D671" t="s">
        <v>5023</v>
      </c>
      <c r="E671" t="s">
        <v>5033</v>
      </c>
      <c r="F671" t="s">
        <v>5041</v>
      </c>
      <c r="G671" s="3">
        <v>1827.89</v>
      </c>
      <c r="H671" s="3">
        <v>237.63</v>
      </c>
      <c r="I671" s="3">
        <f>SUM(Tabla1[[#This Row],[Monto_Base]],H671)</f>
        <v>2065.52</v>
      </c>
      <c r="J671" t="s">
        <v>5045</v>
      </c>
      <c r="K671" t="s">
        <v>5047</v>
      </c>
      <c r="L671" t="s">
        <v>5051</v>
      </c>
      <c r="M671" t="s">
        <v>5054</v>
      </c>
    </row>
    <row r="672" spans="1:13" x14ac:dyDescent="0.3">
      <c r="A672" s="1">
        <v>45471</v>
      </c>
      <c r="B672" s="1" t="str">
        <f>TEXT(Tabla1[[#This Row],[Fecha]],"MMMM")</f>
        <v>junio</v>
      </c>
      <c r="C672" t="s">
        <v>682</v>
      </c>
      <c r="D672" t="s">
        <v>5013</v>
      </c>
      <c r="E672" t="s">
        <v>5033</v>
      </c>
      <c r="F672" t="s">
        <v>5034</v>
      </c>
      <c r="G672" s="3">
        <v>2812.49</v>
      </c>
      <c r="H672" s="3">
        <v>365.62</v>
      </c>
      <c r="I672" s="3">
        <f>SUM(Tabla1[[#This Row],[Monto_Base]],H672)</f>
        <v>3178.1099999999997</v>
      </c>
      <c r="J672" t="s">
        <v>5045</v>
      </c>
      <c r="K672" t="s">
        <v>5047</v>
      </c>
      <c r="L672" t="s">
        <v>5052</v>
      </c>
      <c r="M672" t="s">
        <v>5055</v>
      </c>
    </row>
    <row r="673" spans="1:13" x14ac:dyDescent="0.3">
      <c r="A673" s="1">
        <v>45326</v>
      </c>
      <c r="B673" s="1" t="str">
        <f>TEXT(Tabla1[[#This Row],[Fecha]],"MMMM")</f>
        <v>febrero</v>
      </c>
      <c r="C673" t="s">
        <v>683</v>
      </c>
      <c r="D673" t="s">
        <v>5020</v>
      </c>
      <c r="E673" t="s">
        <v>5033</v>
      </c>
      <c r="F673" t="s">
        <v>5034</v>
      </c>
      <c r="G673" s="3">
        <v>7598.39</v>
      </c>
      <c r="H673" s="3">
        <v>987.79</v>
      </c>
      <c r="I673" s="3">
        <f>SUM(Tabla1[[#This Row],[Monto_Base]],H673)</f>
        <v>8586.18</v>
      </c>
      <c r="J673" t="s">
        <v>5045</v>
      </c>
      <c r="K673" t="s">
        <v>5049</v>
      </c>
      <c r="L673" t="s">
        <v>5053</v>
      </c>
      <c r="M673" t="s">
        <v>5054</v>
      </c>
    </row>
    <row r="674" spans="1:13" x14ac:dyDescent="0.3">
      <c r="A674" s="1">
        <v>45342</v>
      </c>
      <c r="B674" s="1" t="str">
        <f>TEXT(Tabla1[[#This Row],[Fecha]],"MMMM")</f>
        <v>febrero</v>
      </c>
      <c r="C674" t="s">
        <v>684</v>
      </c>
      <c r="D674" t="s">
        <v>5021</v>
      </c>
      <c r="E674" t="s">
        <v>5033</v>
      </c>
      <c r="F674" t="s">
        <v>5035</v>
      </c>
      <c r="G674" s="3">
        <v>14605.02</v>
      </c>
      <c r="H674" s="3">
        <v>1898.65</v>
      </c>
      <c r="I674" s="3">
        <f>SUM(Tabla1[[#This Row],[Monto_Base]],H674)</f>
        <v>16503.670000000002</v>
      </c>
      <c r="J674" t="s">
        <v>5046</v>
      </c>
      <c r="K674" t="s">
        <v>5049</v>
      </c>
      <c r="L674" t="s">
        <v>5050</v>
      </c>
      <c r="M674" t="s">
        <v>5055</v>
      </c>
    </row>
    <row r="675" spans="1:13" x14ac:dyDescent="0.3">
      <c r="A675" s="1">
        <v>45486</v>
      </c>
      <c r="B675" s="1" t="str">
        <f>TEXT(Tabla1[[#This Row],[Fecha]],"MMMM")</f>
        <v>julio</v>
      </c>
      <c r="C675" t="s">
        <v>685</v>
      </c>
      <c r="D675" t="s">
        <v>5018</v>
      </c>
      <c r="E675" t="s">
        <v>5033</v>
      </c>
      <c r="F675" t="s">
        <v>5039</v>
      </c>
      <c r="G675" s="3">
        <v>12529.4</v>
      </c>
      <c r="H675" s="3">
        <v>1628.82</v>
      </c>
      <c r="I675" s="3">
        <f>SUM(Tabla1[[#This Row],[Monto_Base]],H675)</f>
        <v>14158.22</v>
      </c>
      <c r="J675" t="s">
        <v>5043</v>
      </c>
      <c r="K675" t="s">
        <v>5047</v>
      </c>
      <c r="L675" t="s">
        <v>5052</v>
      </c>
      <c r="M675" t="s">
        <v>5055</v>
      </c>
    </row>
    <row r="676" spans="1:13" x14ac:dyDescent="0.3">
      <c r="A676" s="1">
        <v>45361</v>
      </c>
      <c r="B676" s="1" t="str">
        <f>TEXT(Tabla1[[#This Row],[Fecha]],"MMMM")</f>
        <v>marzo</v>
      </c>
      <c r="C676" t="s">
        <v>686</v>
      </c>
      <c r="D676" t="s">
        <v>5015</v>
      </c>
      <c r="E676" t="s">
        <v>5033</v>
      </c>
      <c r="F676" t="s">
        <v>5041</v>
      </c>
      <c r="G676" s="3">
        <v>1699.23</v>
      </c>
      <c r="H676" s="3">
        <v>220.9</v>
      </c>
      <c r="I676" s="3">
        <f>SUM(Tabla1[[#This Row],[Monto_Base]],H676)</f>
        <v>1920.13</v>
      </c>
      <c r="J676" t="s">
        <v>5043</v>
      </c>
      <c r="K676" t="s">
        <v>5048</v>
      </c>
      <c r="L676" t="s">
        <v>5051</v>
      </c>
      <c r="M676" t="s">
        <v>5054</v>
      </c>
    </row>
    <row r="677" spans="1:13" x14ac:dyDescent="0.3">
      <c r="A677" s="1">
        <v>45525</v>
      </c>
      <c r="B677" s="1" t="str">
        <f>TEXT(Tabla1[[#This Row],[Fecha]],"MMMM")</f>
        <v>agosto</v>
      </c>
      <c r="C677" t="s">
        <v>687</v>
      </c>
      <c r="D677" t="s">
        <v>5015</v>
      </c>
      <c r="E677" t="s">
        <v>5032</v>
      </c>
      <c r="F677" t="s">
        <v>5036</v>
      </c>
      <c r="G677" s="3">
        <v>5802.48</v>
      </c>
      <c r="H677" s="3">
        <v>0</v>
      </c>
      <c r="I677" s="3">
        <f>SUM(Tabla1[[#This Row],[Monto_Base]],H677)</f>
        <v>5802.48</v>
      </c>
      <c r="J677" t="s">
        <v>5042</v>
      </c>
      <c r="K677" t="s">
        <v>5049</v>
      </c>
      <c r="L677" t="s">
        <v>5051</v>
      </c>
      <c r="M677" t="s">
        <v>5055</v>
      </c>
    </row>
    <row r="678" spans="1:13" x14ac:dyDescent="0.3">
      <c r="A678" s="1">
        <v>45511</v>
      </c>
      <c r="B678" s="1" t="str">
        <f>TEXT(Tabla1[[#This Row],[Fecha]],"MMMM")</f>
        <v>agosto</v>
      </c>
      <c r="C678" t="s">
        <v>688</v>
      </c>
      <c r="D678" t="s">
        <v>5023</v>
      </c>
      <c r="E678" t="s">
        <v>5032</v>
      </c>
      <c r="F678" t="s">
        <v>5038</v>
      </c>
      <c r="G678" s="3">
        <v>14775.19</v>
      </c>
      <c r="H678" s="3">
        <v>0</v>
      </c>
      <c r="I678" s="3">
        <f>SUM(Tabla1[[#This Row],[Monto_Base]],H678)</f>
        <v>14775.19</v>
      </c>
      <c r="J678" t="s">
        <v>5046</v>
      </c>
      <c r="K678" t="s">
        <v>5047</v>
      </c>
      <c r="L678" t="s">
        <v>5050</v>
      </c>
      <c r="M678" t="s">
        <v>5055</v>
      </c>
    </row>
    <row r="679" spans="1:13" x14ac:dyDescent="0.3">
      <c r="A679" s="1">
        <v>45559</v>
      </c>
      <c r="B679" s="1" t="str">
        <f>TEXT(Tabla1[[#This Row],[Fecha]],"MMMM")</f>
        <v>septiembre</v>
      </c>
      <c r="C679" t="s">
        <v>689</v>
      </c>
      <c r="D679" t="s">
        <v>5012</v>
      </c>
      <c r="E679" t="s">
        <v>5032</v>
      </c>
      <c r="F679" t="s">
        <v>5036</v>
      </c>
      <c r="G679" s="3">
        <v>5975.73</v>
      </c>
      <c r="H679" s="3">
        <v>0</v>
      </c>
      <c r="I679" s="3">
        <f>SUM(Tabla1[[#This Row],[Monto_Base]],H679)</f>
        <v>5975.73</v>
      </c>
      <c r="J679" t="s">
        <v>5045</v>
      </c>
      <c r="K679" t="s">
        <v>5047</v>
      </c>
      <c r="L679" t="s">
        <v>5052</v>
      </c>
      <c r="M679" t="s">
        <v>5055</v>
      </c>
    </row>
    <row r="680" spans="1:13" x14ac:dyDescent="0.3">
      <c r="A680" s="1">
        <v>45393</v>
      </c>
      <c r="B680" s="1" t="str">
        <f>TEXT(Tabla1[[#This Row],[Fecha]],"MMMM")</f>
        <v>abril</v>
      </c>
      <c r="C680" t="s">
        <v>690</v>
      </c>
      <c r="D680" t="s">
        <v>5014</v>
      </c>
      <c r="E680" t="s">
        <v>5033</v>
      </c>
      <c r="F680" t="s">
        <v>5039</v>
      </c>
      <c r="G680" s="3">
        <v>1017.42</v>
      </c>
      <c r="H680" s="3">
        <v>132.26</v>
      </c>
      <c r="I680" s="3">
        <f>SUM(Tabla1[[#This Row],[Monto_Base]],H680)</f>
        <v>1149.6799999999998</v>
      </c>
      <c r="J680" t="s">
        <v>5044</v>
      </c>
      <c r="K680" t="s">
        <v>5047</v>
      </c>
      <c r="L680" t="s">
        <v>5050</v>
      </c>
      <c r="M680" t="s">
        <v>5054</v>
      </c>
    </row>
    <row r="681" spans="1:13" x14ac:dyDescent="0.3">
      <c r="A681" s="1">
        <v>45589</v>
      </c>
      <c r="B681" s="1" t="str">
        <f>TEXT(Tabla1[[#This Row],[Fecha]],"MMMM")</f>
        <v>octubre</v>
      </c>
      <c r="C681" t="s">
        <v>691</v>
      </c>
      <c r="D681" t="s">
        <v>5027</v>
      </c>
      <c r="E681" t="s">
        <v>5032</v>
      </c>
      <c r="F681" t="s">
        <v>5038</v>
      </c>
      <c r="G681" s="3">
        <v>11484.01</v>
      </c>
      <c r="H681" s="3">
        <v>0</v>
      </c>
      <c r="I681" s="3">
        <f>SUM(Tabla1[[#This Row],[Monto_Base]],H681)</f>
        <v>11484.01</v>
      </c>
      <c r="J681" t="s">
        <v>5042</v>
      </c>
      <c r="K681" t="s">
        <v>5048</v>
      </c>
      <c r="L681" t="s">
        <v>5050</v>
      </c>
      <c r="M681" t="s">
        <v>5055</v>
      </c>
    </row>
    <row r="682" spans="1:13" x14ac:dyDescent="0.3">
      <c r="A682" s="1">
        <v>45367</v>
      </c>
      <c r="B682" s="1" t="str">
        <f>TEXT(Tabla1[[#This Row],[Fecha]],"MMMM")</f>
        <v>marzo</v>
      </c>
      <c r="C682" t="s">
        <v>692</v>
      </c>
      <c r="D682" t="s">
        <v>5014</v>
      </c>
      <c r="E682" t="s">
        <v>5032</v>
      </c>
      <c r="F682" t="s">
        <v>5041</v>
      </c>
      <c r="G682" s="3">
        <v>7695.65</v>
      </c>
      <c r="H682" s="3">
        <v>0</v>
      </c>
      <c r="I682" s="3">
        <f>SUM(Tabla1[[#This Row],[Monto_Base]],H682)</f>
        <v>7695.65</v>
      </c>
      <c r="J682" t="s">
        <v>5043</v>
      </c>
      <c r="K682" t="s">
        <v>5047</v>
      </c>
      <c r="L682" t="s">
        <v>5053</v>
      </c>
      <c r="M682" t="s">
        <v>5055</v>
      </c>
    </row>
    <row r="683" spans="1:13" x14ac:dyDescent="0.3">
      <c r="A683" s="1">
        <v>45319</v>
      </c>
      <c r="B683" s="1" t="str">
        <f>TEXT(Tabla1[[#This Row],[Fecha]],"MMMM")</f>
        <v>enero</v>
      </c>
      <c r="C683" t="s">
        <v>693</v>
      </c>
      <c r="D683" t="s">
        <v>5025</v>
      </c>
      <c r="E683" t="s">
        <v>5033</v>
      </c>
      <c r="F683" t="s">
        <v>5039</v>
      </c>
      <c r="G683" s="3">
        <v>494.37</v>
      </c>
      <c r="H683" s="3">
        <v>64.27</v>
      </c>
      <c r="I683" s="3">
        <f>SUM(Tabla1[[#This Row],[Monto_Base]],H683)</f>
        <v>558.64</v>
      </c>
      <c r="J683" t="s">
        <v>5045</v>
      </c>
      <c r="K683" t="s">
        <v>5048</v>
      </c>
      <c r="L683" t="s">
        <v>5053</v>
      </c>
      <c r="M683" t="s">
        <v>5054</v>
      </c>
    </row>
    <row r="684" spans="1:13" x14ac:dyDescent="0.3">
      <c r="A684" s="1">
        <v>45611</v>
      </c>
      <c r="B684" s="1" t="str">
        <f>TEXT(Tabla1[[#This Row],[Fecha]],"MMMM")</f>
        <v>noviembre</v>
      </c>
      <c r="C684" t="s">
        <v>694</v>
      </c>
      <c r="D684" t="s">
        <v>5014</v>
      </c>
      <c r="E684" t="s">
        <v>5032</v>
      </c>
      <c r="F684" t="s">
        <v>5039</v>
      </c>
      <c r="G684" s="3">
        <v>4576.1499999999996</v>
      </c>
      <c r="H684" s="3">
        <v>0</v>
      </c>
      <c r="I684" s="3">
        <f>SUM(Tabla1[[#This Row],[Monto_Base]],H684)</f>
        <v>4576.1499999999996</v>
      </c>
      <c r="J684" t="s">
        <v>5045</v>
      </c>
      <c r="K684" t="s">
        <v>5047</v>
      </c>
      <c r="L684" t="s">
        <v>5050</v>
      </c>
      <c r="M684" t="s">
        <v>5055</v>
      </c>
    </row>
    <row r="685" spans="1:13" x14ac:dyDescent="0.3">
      <c r="A685" s="1">
        <v>45569</v>
      </c>
      <c r="B685" s="1" t="str">
        <f>TEXT(Tabla1[[#This Row],[Fecha]],"MMMM")</f>
        <v>octubre</v>
      </c>
      <c r="C685" t="s">
        <v>695</v>
      </c>
      <c r="D685" t="s">
        <v>5021</v>
      </c>
      <c r="E685" t="s">
        <v>5032</v>
      </c>
      <c r="F685" t="s">
        <v>5041</v>
      </c>
      <c r="G685" s="3">
        <v>7596.68</v>
      </c>
      <c r="H685" s="3">
        <v>0</v>
      </c>
      <c r="I685" s="3">
        <f>SUM(Tabla1[[#This Row],[Monto_Base]],H685)</f>
        <v>7596.68</v>
      </c>
      <c r="J685" t="s">
        <v>5044</v>
      </c>
      <c r="K685" t="s">
        <v>5049</v>
      </c>
      <c r="L685" t="s">
        <v>5053</v>
      </c>
      <c r="M685" t="s">
        <v>5054</v>
      </c>
    </row>
    <row r="686" spans="1:13" x14ac:dyDescent="0.3">
      <c r="A686" s="1">
        <v>45484</v>
      </c>
      <c r="B686" s="1" t="str">
        <f>TEXT(Tabla1[[#This Row],[Fecha]],"MMMM")</f>
        <v>julio</v>
      </c>
      <c r="C686" t="s">
        <v>696</v>
      </c>
      <c r="D686" t="s">
        <v>5030</v>
      </c>
      <c r="E686" t="s">
        <v>5032</v>
      </c>
      <c r="F686" t="s">
        <v>5041</v>
      </c>
      <c r="G686" s="3">
        <v>4752.66</v>
      </c>
      <c r="H686" s="3">
        <v>0</v>
      </c>
      <c r="I686" s="3">
        <f>SUM(Tabla1[[#This Row],[Monto_Base]],H686)</f>
        <v>4752.66</v>
      </c>
      <c r="J686" t="s">
        <v>5043</v>
      </c>
      <c r="K686" t="s">
        <v>5048</v>
      </c>
      <c r="L686" t="s">
        <v>5053</v>
      </c>
      <c r="M686" t="s">
        <v>5054</v>
      </c>
    </row>
    <row r="687" spans="1:13" x14ac:dyDescent="0.3">
      <c r="A687" s="1">
        <v>45360</v>
      </c>
      <c r="B687" s="1" t="str">
        <f>TEXT(Tabla1[[#This Row],[Fecha]],"MMMM")</f>
        <v>marzo</v>
      </c>
      <c r="C687" t="s">
        <v>697</v>
      </c>
      <c r="D687" t="s">
        <v>5023</v>
      </c>
      <c r="E687" t="s">
        <v>5032</v>
      </c>
      <c r="F687" t="s">
        <v>5039</v>
      </c>
      <c r="G687" s="3">
        <v>7397.62</v>
      </c>
      <c r="H687" s="3">
        <v>0</v>
      </c>
      <c r="I687" s="3">
        <f>SUM(Tabla1[[#This Row],[Monto_Base]],H687)</f>
        <v>7397.62</v>
      </c>
      <c r="J687" t="s">
        <v>5044</v>
      </c>
      <c r="K687" t="s">
        <v>5049</v>
      </c>
      <c r="L687" t="s">
        <v>5050</v>
      </c>
      <c r="M687" t="s">
        <v>5055</v>
      </c>
    </row>
    <row r="688" spans="1:13" x14ac:dyDescent="0.3">
      <c r="A688" s="1">
        <v>45372</v>
      </c>
      <c r="B688" s="1" t="str">
        <f>TEXT(Tabla1[[#This Row],[Fecha]],"MMMM")</f>
        <v>marzo</v>
      </c>
      <c r="C688" t="s">
        <v>698</v>
      </c>
      <c r="D688" t="s">
        <v>5031</v>
      </c>
      <c r="E688" t="s">
        <v>5032</v>
      </c>
      <c r="F688" t="s">
        <v>5041</v>
      </c>
      <c r="G688" s="3">
        <v>7164.87</v>
      </c>
      <c r="H688" s="3">
        <v>0</v>
      </c>
      <c r="I688" s="3">
        <f>SUM(Tabla1[[#This Row],[Monto_Base]],H688)</f>
        <v>7164.87</v>
      </c>
      <c r="J688" t="s">
        <v>5042</v>
      </c>
      <c r="K688" t="s">
        <v>5047</v>
      </c>
      <c r="L688" t="s">
        <v>5050</v>
      </c>
      <c r="M688" t="s">
        <v>5055</v>
      </c>
    </row>
    <row r="689" spans="1:13" x14ac:dyDescent="0.3">
      <c r="A689" s="1">
        <v>45437</v>
      </c>
      <c r="B689" s="1" t="str">
        <f>TEXT(Tabla1[[#This Row],[Fecha]],"MMMM")</f>
        <v>mayo</v>
      </c>
      <c r="C689" t="s">
        <v>699</v>
      </c>
      <c r="D689" t="s">
        <v>5014</v>
      </c>
      <c r="E689" t="s">
        <v>5032</v>
      </c>
      <c r="F689" t="s">
        <v>5040</v>
      </c>
      <c r="G689" s="3">
        <v>11508.74</v>
      </c>
      <c r="H689" s="3">
        <v>0</v>
      </c>
      <c r="I689" s="3">
        <f>SUM(Tabla1[[#This Row],[Monto_Base]],H689)</f>
        <v>11508.74</v>
      </c>
      <c r="J689" t="s">
        <v>5044</v>
      </c>
      <c r="K689" t="s">
        <v>5047</v>
      </c>
      <c r="L689" t="s">
        <v>5053</v>
      </c>
      <c r="M689" t="s">
        <v>5054</v>
      </c>
    </row>
    <row r="690" spans="1:13" x14ac:dyDescent="0.3">
      <c r="A690" s="1">
        <v>45612</v>
      </c>
      <c r="B690" s="1" t="str">
        <f>TEXT(Tabla1[[#This Row],[Fecha]],"MMMM")</f>
        <v>noviembre</v>
      </c>
      <c r="C690" t="s">
        <v>700</v>
      </c>
      <c r="D690" t="s">
        <v>5015</v>
      </c>
      <c r="E690" t="s">
        <v>5032</v>
      </c>
      <c r="F690" t="s">
        <v>5035</v>
      </c>
      <c r="G690" s="3">
        <v>11489.65</v>
      </c>
      <c r="H690" s="3">
        <v>0</v>
      </c>
      <c r="I690" s="3">
        <f>SUM(Tabla1[[#This Row],[Monto_Base]],H690)</f>
        <v>11489.65</v>
      </c>
      <c r="J690" t="s">
        <v>5044</v>
      </c>
      <c r="K690" t="s">
        <v>5048</v>
      </c>
      <c r="L690" t="s">
        <v>5053</v>
      </c>
      <c r="M690" t="s">
        <v>5055</v>
      </c>
    </row>
    <row r="691" spans="1:13" x14ac:dyDescent="0.3">
      <c r="A691" s="1">
        <v>45417</v>
      </c>
      <c r="B691" s="1" t="str">
        <f>TEXT(Tabla1[[#This Row],[Fecha]],"MMMM")</f>
        <v>mayo</v>
      </c>
      <c r="C691" t="s">
        <v>701</v>
      </c>
      <c r="D691" t="s">
        <v>5020</v>
      </c>
      <c r="E691" t="s">
        <v>5032</v>
      </c>
      <c r="F691" t="s">
        <v>5040</v>
      </c>
      <c r="G691" s="3">
        <v>893.92</v>
      </c>
      <c r="H691" s="3">
        <v>0</v>
      </c>
      <c r="I691" s="3">
        <f>SUM(Tabla1[[#This Row],[Monto_Base]],H691)</f>
        <v>893.92</v>
      </c>
      <c r="J691" t="s">
        <v>5046</v>
      </c>
      <c r="K691" t="s">
        <v>5047</v>
      </c>
      <c r="L691" t="s">
        <v>5051</v>
      </c>
      <c r="M691" t="s">
        <v>5054</v>
      </c>
    </row>
    <row r="692" spans="1:13" x14ac:dyDescent="0.3">
      <c r="A692" s="1">
        <v>45567</v>
      </c>
      <c r="B692" s="1" t="str">
        <f>TEXT(Tabla1[[#This Row],[Fecha]],"MMMM")</f>
        <v>octubre</v>
      </c>
      <c r="C692" t="s">
        <v>702</v>
      </c>
      <c r="D692" t="s">
        <v>5021</v>
      </c>
      <c r="E692" t="s">
        <v>5033</v>
      </c>
      <c r="F692" t="s">
        <v>5040</v>
      </c>
      <c r="G692" s="3">
        <v>2588.1999999999998</v>
      </c>
      <c r="H692" s="3">
        <v>336.47</v>
      </c>
      <c r="I692" s="3">
        <f>SUM(Tabla1[[#This Row],[Monto_Base]],H692)</f>
        <v>2924.67</v>
      </c>
      <c r="J692" t="s">
        <v>5044</v>
      </c>
      <c r="K692" t="s">
        <v>5047</v>
      </c>
      <c r="L692" t="s">
        <v>5050</v>
      </c>
      <c r="M692" t="s">
        <v>5055</v>
      </c>
    </row>
    <row r="693" spans="1:13" x14ac:dyDescent="0.3">
      <c r="A693" s="1">
        <v>45454</v>
      </c>
      <c r="B693" s="1" t="str">
        <f>TEXT(Tabla1[[#This Row],[Fecha]],"MMMM")</f>
        <v>junio</v>
      </c>
      <c r="C693" t="s">
        <v>703</v>
      </c>
      <c r="D693" t="s">
        <v>5029</v>
      </c>
      <c r="E693" t="s">
        <v>5033</v>
      </c>
      <c r="F693" t="s">
        <v>5041</v>
      </c>
      <c r="G693" s="3">
        <v>8840.44</v>
      </c>
      <c r="H693" s="3">
        <v>1149.26</v>
      </c>
      <c r="I693" s="3">
        <f>SUM(Tabla1[[#This Row],[Monto_Base]],H693)</f>
        <v>9989.7000000000007</v>
      </c>
      <c r="J693" t="s">
        <v>5043</v>
      </c>
      <c r="K693" t="s">
        <v>5049</v>
      </c>
      <c r="L693" t="s">
        <v>5050</v>
      </c>
      <c r="M693" t="s">
        <v>5055</v>
      </c>
    </row>
    <row r="694" spans="1:13" x14ac:dyDescent="0.3">
      <c r="A694" s="1">
        <v>45549</v>
      </c>
      <c r="B694" s="1" t="str">
        <f>TEXT(Tabla1[[#This Row],[Fecha]],"MMMM")</f>
        <v>septiembre</v>
      </c>
      <c r="C694" t="s">
        <v>704</v>
      </c>
      <c r="D694" t="s">
        <v>5018</v>
      </c>
      <c r="E694" t="s">
        <v>5033</v>
      </c>
      <c r="F694" t="s">
        <v>5034</v>
      </c>
      <c r="G694" s="3">
        <v>5072.71</v>
      </c>
      <c r="H694" s="3">
        <v>659.45</v>
      </c>
      <c r="I694" s="3">
        <f>SUM(Tabla1[[#This Row],[Monto_Base]],H694)</f>
        <v>5732.16</v>
      </c>
      <c r="J694" t="s">
        <v>5044</v>
      </c>
      <c r="K694" t="s">
        <v>5047</v>
      </c>
      <c r="L694" t="s">
        <v>5051</v>
      </c>
      <c r="M694" t="s">
        <v>5055</v>
      </c>
    </row>
    <row r="695" spans="1:13" x14ac:dyDescent="0.3">
      <c r="A695" s="1">
        <v>45566</v>
      </c>
      <c r="B695" s="1" t="str">
        <f>TEXT(Tabla1[[#This Row],[Fecha]],"MMMM")</f>
        <v>octubre</v>
      </c>
      <c r="C695" t="s">
        <v>705</v>
      </c>
      <c r="D695" t="s">
        <v>5024</v>
      </c>
      <c r="E695" t="s">
        <v>5032</v>
      </c>
      <c r="F695" t="s">
        <v>5036</v>
      </c>
      <c r="G695" s="3">
        <v>12613.69</v>
      </c>
      <c r="H695" s="3">
        <v>0</v>
      </c>
      <c r="I695" s="3">
        <f>SUM(Tabla1[[#This Row],[Monto_Base]],H695)</f>
        <v>12613.69</v>
      </c>
      <c r="J695" t="s">
        <v>5046</v>
      </c>
      <c r="K695" t="s">
        <v>5048</v>
      </c>
      <c r="L695" t="s">
        <v>5051</v>
      </c>
      <c r="M695" t="s">
        <v>5054</v>
      </c>
    </row>
    <row r="696" spans="1:13" x14ac:dyDescent="0.3">
      <c r="A696" s="1">
        <v>45339</v>
      </c>
      <c r="B696" s="1" t="str">
        <f>TEXT(Tabla1[[#This Row],[Fecha]],"MMMM")</f>
        <v>febrero</v>
      </c>
      <c r="C696" t="s">
        <v>706</v>
      </c>
      <c r="D696" t="s">
        <v>5014</v>
      </c>
      <c r="E696" t="s">
        <v>5032</v>
      </c>
      <c r="F696" t="s">
        <v>5034</v>
      </c>
      <c r="G696" s="3">
        <v>9387.36</v>
      </c>
      <c r="H696" s="3">
        <v>0</v>
      </c>
      <c r="I696" s="3">
        <f>SUM(Tabla1[[#This Row],[Monto_Base]],H696)</f>
        <v>9387.36</v>
      </c>
      <c r="J696" t="s">
        <v>5042</v>
      </c>
      <c r="K696" t="s">
        <v>5047</v>
      </c>
      <c r="L696" t="s">
        <v>5051</v>
      </c>
      <c r="M696" t="s">
        <v>5055</v>
      </c>
    </row>
    <row r="697" spans="1:13" x14ac:dyDescent="0.3">
      <c r="A697" s="1">
        <v>45331</v>
      </c>
      <c r="B697" s="1" t="str">
        <f>TEXT(Tabla1[[#This Row],[Fecha]],"MMMM")</f>
        <v>febrero</v>
      </c>
      <c r="C697" t="s">
        <v>707</v>
      </c>
      <c r="D697" t="s">
        <v>5031</v>
      </c>
      <c r="E697" t="s">
        <v>5032</v>
      </c>
      <c r="F697" t="s">
        <v>5037</v>
      </c>
      <c r="G697" s="3">
        <v>3185.6</v>
      </c>
      <c r="H697" s="3">
        <v>0</v>
      </c>
      <c r="I697" s="3">
        <f>SUM(Tabla1[[#This Row],[Monto_Base]],H697)</f>
        <v>3185.6</v>
      </c>
      <c r="J697" t="s">
        <v>5044</v>
      </c>
      <c r="K697" t="s">
        <v>5049</v>
      </c>
      <c r="L697" t="s">
        <v>5051</v>
      </c>
      <c r="M697" t="s">
        <v>5055</v>
      </c>
    </row>
    <row r="698" spans="1:13" x14ac:dyDescent="0.3">
      <c r="A698" s="1">
        <v>45555</v>
      </c>
      <c r="B698" s="1" t="str">
        <f>TEXT(Tabla1[[#This Row],[Fecha]],"MMMM")</f>
        <v>septiembre</v>
      </c>
      <c r="C698" t="s">
        <v>708</v>
      </c>
      <c r="D698" t="s">
        <v>5024</v>
      </c>
      <c r="E698" t="s">
        <v>5032</v>
      </c>
      <c r="F698" t="s">
        <v>5037</v>
      </c>
      <c r="G698" s="3">
        <v>3806.41</v>
      </c>
      <c r="H698" s="3">
        <v>0</v>
      </c>
      <c r="I698" s="3">
        <f>SUM(Tabla1[[#This Row],[Monto_Base]],H698)</f>
        <v>3806.41</v>
      </c>
      <c r="J698" t="s">
        <v>5043</v>
      </c>
      <c r="K698" t="s">
        <v>5049</v>
      </c>
      <c r="L698" t="s">
        <v>5052</v>
      </c>
      <c r="M698" t="s">
        <v>5054</v>
      </c>
    </row>
    <row r="699" spans="1:13" x14ac:dyDescent="0.3">
      <c r="A699" s="1">
        <v>45531</v>
      </c>
      <c r="B699" s="1" t="str">
        <f>TEXT(Tabla1[[#This Row],[Fecha]],"MMMM")</f>
        <v>agosto</v>
      </c>
      <c r="C699" t="s">
        <v>709</v>
      </c>
      <c r="D699" t="s">
        <v>5031</v>
      </c>
      <c r="E699" t="s">
        <v>5032</v>
      </c>
      <c r="F699" t="s">
        <v>5034</v>
      </c>
      <c r="G699" s="3">
        <v>9929.0499999999993</v>
      </c>
      <c r="H699" s="3">
        <v>0</v>
      </c>
      <c r="I699" s="3">
        <f>SUM(Tabla1[[#This Row],[Monto_Base]],H699)</f>
        <v>9929.0499999999993</v>
      </c>
      <c r="J699" t="s">
        <v>5044</v>
      </c>
      <c r="K699" t="s">
        <v>5049</v>
      </c>
      <c r="L699" t="s">
        <v>5050</v>
      </c>
      <c r="M699" t="s">
        <v>5054</v>
      </c>
    </row>
    <row r="700" spans="1:13" x14ac:dyDescent="0.3">
      <c r="A700" s="1">
        <v>45642</v>
      </c>
      <c r="B700" s="1" t="str">
        <f>TEXT(Tabla1[[#This Row],[Fecha]],"MMMM")</f>
        <v>diciembre</v>
      </c>
      <c r="C700" t="s">
        <v>710</v>
      </c>
      <c r="D700" t="s">
        <v>5015</v>
      </c>
      <c r="E700" t="s">
        <v>5032</v>
      </c>
      <c r="F700" t="s">
        <v>5039</v>
      </c>
      <c r="G700" s="3">
        <v>3643.59</v>
      </c>
      <c r="H700" s="3">
        <v>0</v>
      </c>
      <c r="I700" s="3">
        <f>SUM(Tabla1[[#This Row],[Monto_Base]],H700)</f>
        <v>3643.59</v>
      </c>
      <c r="J700" t="s">
        <v>5044</v>
      </c>
      <c r="K700" t="s">
        <v>5048</v>
      </c>
      <c r="L700" t="s">
        <v>5050</v>
      </c>
      <c r="M700" t="s">
        <v>5055</v>
      </c>
    </row>
    <row r="701" spans="1:13" x14ac:dyDescent="0.3">
      <c r="A701" s="1">
        <v>45622</v>
      </c>
      <c r="B701" s="1" t="str">
        <f>TEXT(Tabla1[[#This Row],[Fecha]],"MMMM")</f>
        <v>noviembre</v>
      </c>
      <c r="C701" t="s">
        <v>711</v>
      </c>
      <c r="D701" t="s">
        <v>5017</v>
      </c>
      <c r="E701" t="s">
        <v>5032</v>
      </c>
      <c r="F701" t="s">
        <v>5038</v>
      </c>
      <c r="G701" s="3">
        <v>12364.48</v>
      </c>
      <c r="H701" s="3">
        <v>0</v>
      </c>
      <c r="I701" s="3">
        <f>SUM(Tabla1[[#This Row],[Monto_Base]],H701)</f>
        <v>12364.48</v>
      </c>
      <c r="J701" t="s">
        <v>5046</v>
      </c>
      <c r="K701" t="s">
        <v>5048</v>
      </c>
      <c r="L701" t="s">
        <v>5052</v>
      </c>
      <c r="M701" t="s">
        <v>5055</v>
      </c>
    </row>
    <row r="702" spans="1:13" x14ac:dyDescent="0.3">
      <c r="A702" s="1">
        <v>45450</v>
      </c>
      <c r="B702" s="1" t="str">
        <f>TEXT(Tabla1[[#This Row],[Fecha]],"MMMM")</f>
        <v>junio</v>
      </c>
      <c r="C702" t="s">
        <v>712</v>
      </c>
      <c r="D702" t="s">
        <v>5013</v>
      </c>
      <c r="E702" t="s">
        <v>5033</v>
      </c>
      <c r="F702" t="s">
        <v>5034</v>
      </c>
      <c r="G702" s="3">
        <v>464.18</v>
      </c>
      <c r="H702" s="3">
        <v>60.34</v>
      </c>
      <c r="I702" s="3">
        <f>SUM(Tabla1[[#This Row],[Monto_Base]],H702)</f>
        <v>524.52</v>
      </c>
      <c r="J702" t="s">
        <v>5043</v>
      </c>
      <c r="K702" t="s">
        <v>5048</v>
      </c>
      <c r="L702" t="s">
        <v>5050</v>
      </c>
      <c r="M702" t="s">
        <v>5055</v>
      </c>
    </row>
    <row r="703" spans="1:13" x14ac:dyDescent="0.3">
      <c r="A703" s="1">
        <v>45424</v>
      </c>
      <c r="B703" s="1" t="str">
        <f>TEXT(Tabla1[[#This Row],[Fecha]],"MMMM")</f>
        <v>mayo</v>
      </c>
      <c r="C703" t="s">
        <v>713</v>
      </c>
      <c r="D703" t="s">
        <v>5017</v>
      </c>
      <c r="E703" t="s">
        <v>5033</v>
      </c>
      <c r="F703" t="s">
        <v>5038</v>
      </c>
      <c r="G703" s="3">
        <v>2089.64</v>
      </c>
      <c r="H703" s="3">
        <v>271.64999999999998</v>
      </c>
      <c r="I703" s="3">
        <f>SUM(Tabla1[[#This Row],[Monto_Base]],H703)</f>
        <v>2361.29</v>
      </c>
      <c r="J703" t="s">
        <v>5044</v>
      </c>
      <c r="K703" t="s">
        <v>5049</v>
      </c>
      <c r="L703" t="s">
        <v>5052</v>
      </c>
      <c r="M703" t="s">
        <v>5054</v>
      </c>
    </row>
    <row r="704" spans="1:13" x14ac:dyDescent="0.3">
      <c r="A704" s="1">
        <v>45444</v>
      </c>
      <c r="B704" s="1" t="str">
        <f>TEXT(Tabla1[[#This Row],[Fecha]],"MMMM")</f>
        <v>junio</v>
      </c>
      <c r="C704" t="s">
        <v>714</v>
      </c>
      <c r="D704" t="s">
        <v>5022</v>
      </c>
      <c r="E704" t="s">
        <v>5033</v>
      </c>
      <c r="F704" t="s">
        <v>5036</v>
      </c>
      <c r="G704" s="3">
        <v>4742.88</v>
      </c>
      <c r="H704" s="3">
        <v>616.57000000000005</v>
      </c>
      <c r="I704" s="3">
        <f>SUM(Tabla1[[#This Row],[Monto_Base]],H704)</f>
        <v>5359.45</v>
      </c>
      <c r="J704" t="s">
        <v>5045</v>
      </c>
      <c r="K704" t="s">
        <v>5048</v>
      </c>
      <c r="L704" t="s">
        <v>5051</v>
      </c>
      <c r="M704" t="s">
        <v>5054</v>
      </c>
    </row>
    <row r="705" spans="1:13" x14ac:dyDescent="0.3">
      <c r="A705" s="1">
        <v>45548</v>
      </c>
      <c r="B705" s="1" t="str">
        <f>TEXT(Tabla1[[#This Row],[Fecha]],"MMMM")</f>
        <v>septiembre</v>
      </c>
      <c r="C705" t="s">
        <v>715</v>
      </c>
      <c r="D705" t="s">
        <v>5028</v>
      </c>
      <c r="E705" t="s">
        <v>5033</v>
      </c>
      <c r="F705" t="s">
        <v>5036</v>
      </c>
      <c r="G705" s="3">
        <v>8586.0499999999993</v>
      </c>
      <c r="H705" s="3">
        <v>1116.19</v>
      </c>
      <c r="I705" s="3">
        <f>SUM(Tabla1[[#This Row],[Monto_Base]],H705)</f>
        <v>9702.24</v>
      </c>
      <c r="J705" t="s">
        <v>5045</v>
      </c>
      <c r="K705" t="s">
        <v>5049</v>
      </c>
      <c r="L705" t="s">
        <v>5051</v>
      </c>
      <c r="M705" t="s">
        <v>5055</v>
      </c>
    </row>
    <row r="706" spans="1:13" x14ac:dyDescent="0.3">
      <c r="A706" s="1">
        <v>45591</v>
      </c>
      <c r="B706" s="1" t="str">
        <f>TEXT(Tabla1[[#This Row],[Fecha]],"MMMM")</f>
        <v>octubre</v>
      </c>
      <c r="C706" t="s">
        <v>716</v>
      </c>
      <c r="D706" t="s">
        <v>5017</v>
      </c>
      <c r="E706" t="s">
        <v>5033</v>
      </c>
      <c r="F706" t="s">
        <v>5040</v>
      </c>
      <c r="G706" s="3">
        <v>4972.82</v>
      </c>
      <c r="H706" s="3">
        <v>646.47</v>
      </c>
      <c r="I706" s="3">
        <f>SUM(Tabla1[[#This Row],[Monto_Base]],H706)</f>
        <v>5619.29</v>
      </c>
      <c r="J706" t="s">
        <v>5043</v>
      </c>
      <c r="K706" t="s">
        <v>5049</v>
      </c>
      <c r="L706" t="s">
        <v>5052</v>
      </c>
      <c r="M706" t="s">
        <v>5055</v>
      </c>
    </row>
    <row r="707" spans="1:13" x14ac:dyDescent="0.3">
      <c r="A707" s="1">
        <v>45432</v>
      </c>
      <c r="B707" s="1" t="str">
        <f>TEXT(Tabla1[[#This Row],[Fecha]],"MMMM")</f>
        <v>mayo</v>
      </c>
      <c r="C707" t="s">
        <v>717</v>
      </c>
      <c r="D707" t="s">
        <v>5026</v>
      </c>
      <c r="E707" t="s">
        <v>5033</v>
      </c>
      <c r="F707" t="s">
        <v>5039</v>
      </c>
      <c r="G707" s="3">
        <v>3250.92</v>
      </c>
      <c r="H707" s="3">
        <v>422.62</v>
      </c>
      <c r="I707" s="3">
        <f>SUM(Tabla1[[#This Row],[Monto_Base]],H707)</f>
        <v>3673.54</v>
      </c>
      <c r="J707" t="s">
        <v>5043</v>
      </c>
      <c r="K707" t="s">
        <v>5048</v>
      </c>
      <c r="L707" t="s">
        <v>5051</v>
      </c>
      <c r="M707" t="s">
        <v>5054</v>
      </c>
    </row>
    <row r="708" spans="1:13" x14ac:dyDescent="0.3">
      <c r="A708" s="1">
        <v>45508</v>
      </c>
      <c r="B708" s="1" t="str">
        <f>TEXT(Tabla1[[#This Row],[Fecha]],"MMMM")</f>
        <v>agosto</v>
      </c>
      <c r="C708" t="s">
        <v>718</v>
      </c>
      <c r="D708" t="s">
        <v>5016</v>
      </c>
      <c r="E708" t="s">
        <v>5032</v>
      </c>
      <c r="F708" t="s">
        <v>5036</v>
      </c>
      <c r="G708" s="3">
        <v>4781.5200000000004</v>
      </c>
      <c r="H708" s="3">
        <v>0</v>
      </c>
      <c r="I708" s="3">
        <f>SUM(Tabla1[[#This Row],[Monto_Base]],H708)</f>
        <v>4781.5200000000004</v>
      </c>
      <c r="J708" t="s">
        <v>5043</v>
      </c>
      <c r="K708" t="s">
        <v>5049</v>
      </c>
      <c r="L708" t="s">
        <v>5052</v>
      </c>
      <c r="M708" t="s">
        <v>5055</v>
      </c>
    </row>
    <row r="709" spans="1:13" x14ac:dyDescent="0.3">
      <c r="A709" s="1">
        <v>45302</v>
      </c>
      <c r="B709" s="1" t="str">
        <f>TEXT(Tabla1[[#This Row],[Fecha]],"MMMM")</f>
        <v>enero</v>
      </c>
      <c r="C709" t="s">
        <v>719</v>
      </c>
      <c r="D709" t="s">
        <v>5015</v>
      </c>
      <c r="E709" t="s">
        <v>5032</v>
      </c>
      <c r="F709" t="s">
        <v>5040</v>
      </c>
      <c r="G709" s="3">
        <v>12329.41</v>
      </c>
      <c r="H709" s="3">
        <v>0</v>
      </c>
      <c r="I709" s="3">
        <f>SUM(Tabla1[[#This Row],[Monto_Base]],H709)</f>
        <v>12329.41</v>
      </c>
      <c r="J709" t="s">
        <v>5042</v>
      </c>
      <c r="K709" t="s">
        <v>5047</v>
      </c>
      <c r="L709" t="s">
        <v>5053</v>
      </c>
      <c r="M709" t="s">
        <v>5054</v>
      </c>
    </row>
    <row r="710" spans="1:13" x14ac:dyDescent="0.3">
      <c r="A710" s="1">
        <v>45650</v>
      </c>
      <c r="B710" s="1" t="str">
        <f>TEXT(Tabla1[[#This Row],[Fecha]],"MMMM")</f>
        <v>diciembre</v>
      </c>
      <c r="C710" t="s">
        <v>720</v>
      </c>
      <c r="D710" t="s">
        <v>5016</v>
      </c>
      <c r="E710" t="s">
        <v>5032</v>
      </c>
      <c r="F710" t="s">
        <v>5038</v>
      </c>
      <c r="G710" s="3">
        <v>9602.2900000000009</v>
      </c>
      <c r="H710" s="3">
        <v>0</v>
      </c>
      <c r="I710" s="3">
        <f>SUM(Tabla1[[#This Row],[Monto_Base]],H710)</f>
        <v>9602.2900000000009</v>
      </c>
      <c r="J710" t="s">
        <v>5044</v>
      </c>
      <c r="K710" t="s">
        <v>5049</v>
      </c>
      <c r="L710" t="s">
        <v>5053</v>
      </c>
      <c r="M710" t="s">
        <v>5054</v>
      </c>
    </row>
    <row r="711" spans="1:13" x14ac:dyDescent="0.3">
      <c r="A711" s="1">
        <v>45422</v>
      </c>
      <c r="B711" s="1" t="str">
        <f>TEXT(Tabla1[[#This Row],[Fecha]],"MMMM")</f>
        <v>mayo</v>
      </c>
      <c r="C711" t="s">
        <v>721</v>
      </c>
      <c r="D711" t="s">
        <v>5019</v>
      </c>
      <c r="E711" t="s">
        <v>5033</v>
      </c>
      <c r="F711" t="s">
        <v>5037</v>
      </c>
      <c r="G711" s="3">
        <v>13916.24</v>
      </c>
      <c r="H711" s="3">
        <v>1809.11</v>
      </c>
      <c r="I711" s="3">
        <f>SUM(Tabla1[[#This Row],[Monto_Base]],H711)</f>
        <v>15725.35</v>
      </c>
      <c r="J711" t="s">
        <v>5044</v>
      </c>
      <c r="K711" t="s">
        <v>5047</v>
      </c>
      <c r="L711" t="s">
        <v>5052</v>
      </c>
      <c r="M711" t="s">
        <v>5055</v>
      </c>
    </row>
    <row r="712" spans="1:13" x14ac:dyDescent="0.3">
      <c r="A712" s="1">
        <v>45621</v>
      </c>
      <c r="B712" s="1" t="str">
        <f>TEXT(Tabla1[[#This Row],[Fecha]],"MMMM")</f>
        <v>noviembre</v>
      </c>
      <c r="C712" t="s">
        <v>722</v>
      </c>
      <c r="D712" t="s">
        <v>5026</v>
      </c>
      <c r="E712" t="s">
        <v>5032</v>
      </c>
      <c r="F712" t="s">
        <v>5040</v>
      </c>
      <c r="G712" s="3">
        <v>13198.04</v>
      </c>
      <c r="H712" s="3">
        <v>0</v>
      </c>
      <c r="I712" s="3">
        <f>SUM(Tabla1[[#This Row],[Monto_Base]],H712)</f>
        <v>13198.04</v>
      </c>
      <c r="J712" t="s">
        <v>5043</v>
      </c>
      <c r="K712" t="s">
        <v>5047</v>
      </c>
      <c r="L712" t="s">
        <v>5051</v>
      </c>
      <c r="M712" t="s">
        <v>5054</v>
      </c>
    </row>
    <row r="713" spans="1:13" x14ac:dyDescent="0.3">
      <c r="A713" s="1">
        <v>45343</v>
      </c>
      <c r="B713" s="1" t="str">
        <f>TEXT(Tabla1[[#This Row],[Fecha]],"MMMM")</f>
        <v>febrero</v>
      </c>
      <c r="C713" t="s">
        <v>723</v>
      </c>
      <c r="D713" t="s">
        <v>5025</v>
      </c>
      <c r="E713" t="s">
        <v>5032</v>
      </c>
      <c r="F713" t="s">
        <v>5040</v>
      </c>
      <c r="G713" s="3">
        <v>10774.92</v>
      </c>
      <c r="H713" s="3">
        <v>0</v>
      </c>
      <c r="I713" s="3">
        <f>SUM(Tabla1[[#This Row],[Monto_Base]],H713)</f>
        <v>10774.92</v>
      </c>
      <c r="J713" t="s">
        <v>5046</v>
      </c>
      <c r="K713" t="s">
        <v>5049</v>
      </c>
      <c r="L713" t="s">
        <v>5051</v>
      </c>
      <c r="M713" t="s">
        <v>5054</v>
      </c>
    </row>
    <row r="714" spans="1:13" x14ac:dyDescent="0.3">
      <c r="A714" s="1">
        <v>45318</v>
      </c>
      <c r="B714" s="1" t="str">
        <f>TEXT(Tabla1[[#This Row],[Fecha]],"MMMM")</f>
        <v>enero</v>
      </c>
      <c r="C714" t="s">
        <v>724</v>
      </c>
      <c r="D714" t="s">
        <v>5019</v>
      </c>
      <c r="E714" t="s">
        <v>5032</v>
      </c>
      <c r="F714" t="s">
        <v>5041</v>
      </c>
      <c r="G714" s="3">
        <v>10443.39</v>
      </c>
      <c r="H714" s="3">
        <v>0</v>
      </c>
      <c r="I714" s="3">
        <f>SUM(Tabla1[[#This Row],[Monto_Base]],H714)</f>
        <v>10443.39</v>
      </c>
      <c r="J714" t="s">
        <v>5046</v>
      </c>
      <c r="K714" t="s">
        <v>5049</v>
      </c>
      <c r="L714" t="s">
        <v>5050</v>
      </c>
      <c r="M714" t="s">
        <v>5054</v>
      </c>
    </row>
    <row r="715" spans="1:13" x14ac:dyDescent="0.3">
      <c r="A715" s="1">
        <v>45334</v>
      </c>
      <c r="B715" s="1" t="str">
        <f>TEXT(Tabla1[[#This Row],[Fecha]],"MMMM")</f>
        <v>febrero</v>
      </c>
      <c r="C715" t="s">
        <v>725</v>
      </c>
      <c r="D715" t="s">
        <v>5027</v>
      </c>
      <c r="E715" t="s">
        <v>5033</v>
      </c>
      <c r="F715" t="s">
        <v>5038</v>
      </c>
      <c r="G715" s="3">
        <v>4740.1400000000003</v>
      </c>
      <c r="H715" s="3">
        <v>616.22</v>
      </c>
      <c r="I715" s="3">
        <f>SUM(Tabla1[[#This Row],[Monto_Base]],H715)</f>
        <v>5356.3600000000006</v>
      </c>
      <c r="J715" t="s">
        <v>5045</v>
      </c>
      <c r="K715" t="s">
        <v>5047</v>
      </c>
      <c r="L715" t="s">
        <v>5052</v>
      </c>
      <c r="M715" t="s">
        <v>5054</v>
      </c>
    </row>
    <row r="716" spans="1:13" x14ac:dyDescent="0.3">
      <c r="A716" s="1">
        <v>45360</v>
      </c>
      <c r="B716" s="1" t="str">
        <f>TEXT(Tabla1[[#This Row],[Fecha]],"MMMM")</f>
        <v>marzo</v>
      </c>
      <c r="C716" t="s">
        <v>726</v>
      </c>
      <c r="D716" t="s">
        <v>5020</v>
      </c>
      <c r="E716" t="s">
        <v>5032</v>
      </c>
      <c r="F716" t="s">
        <v>5041</v>
      </c>
      <c r="G716" s="3">
        <v>13108.91</v>
      </c>
      <c r="H716" s="3">
        <v>0</v>
      </c>
      <c r="I716" s="3">
        <f>SUM(Tabla1[[#This Row],[Monto_Base]],H716)</f>
        <v>13108.91</v>
      </c>
      <c r="J716" t="s">
        <v>5044</v>
      </c>
      <c r="K716" t="s">
        <v>5047</v>
      </c>
      <c r="L716" t="s">
        <v>5051</v>
      </c>
      <c r="M716" t="s">
        <v>5055</v>
      </c>
    </row>
    <row r="717" spans="1:13" x14ac:dyDescent="0.3">
      <c r="A717" s="1">
        <v>45485</v>
      </c>
      <c r="B717" s="1" t="str">
        <f>TEXT(Tabla1[[#This Row],[Fecha]],"MMMM")</f>
        <v>julio</v>
      </c>
      <c r="C717" t="s">
        <v>727</v>
      </c>
      <c r="D717" t="s">
        <v>5013</v>
      </c>
      <c r="E717" t="s">
        <v>5032</v>
      </c>
      <c r="F717" t="s">
        <v>5040</v>
      </c>
      <c r="G717" s="3">
        <v>2769.24</v>
      </c>
      <c r="H717" s="3">
        <v>0</v>
      </c>
      <c r="I717" s="3">
        <f>SUM(Tabla1[[#This Row],[Monto_Base]],H717)</f>
        <v>2769.24</v>
      </c>
      <c r="J717" t="s">
        <v>5042</v>
      </c>
      <c r="K717" t="s">
        <v>5047</v>
      </c>
      <c r="L717" t="s">
        <v>5053</v>
      </c>
      <c r="M717" t="s">
        <v>5054</v>
      </c>
    </row>
    <row r="718" spans="1:13" x14ac:dyDescent="0.3">
      <c r="A718" s="1">
        <v>45378</v>
      </c>
      <c r="B718" s="1" t="str">
        <f>TEXT(Tabla1[[#This Row],[Fecha]],"MMMM")</f>
        <v>marzo</v>
      </c>
      <c r="C718" t="s">
        <v>728</v>
      </c>
      <c r="D718" t="s">
        <v>5013</v>
      </c>
      <c r="E718" t="s">
        <v>5032</v>
      </c>
      <c r="F718" t="s">
        <v>5034</v>
      </c>
      <c r="G718" s="3">
        <v>3963.66</v>
      </c>
      <c r="H718" s="3">
        <v>0</v>
      </c>
      <c r="I718" s="3">
        <f>SUM(Tabla1[[#This Row],[Monto_Base]],H718)</f>
        <v>3963.66</v>
      </c>
      <c r="J718" t="s">
        <v>5045</v>
      </c>
      <c r="K718" t="s">
        <v>5048</v>
      </c>
      <c r="L718" t="s">
        <v>5050</v>
      </c>
      <c r="M718" t="s">
        <v>5055</v>
      </c>
    </row>
    <row r="719" spans="1:13" x14ac:dyDescent="0.3">
      <c r="A719" s="1">
        <v>45352</v>
      </c>
      <c r="B719" s="1" t="str">
        <f>TEXT(Tabla1[[#This Row],[Fecha]],"MMMM")</f>
        <v>marzo</v>
      </c>
      <c r="C719" t="s">
        <v>729</v>
      </c>
      <c r="D719" t="s">
        <v>5013</v>
      </c>
      <c r="E719" t="s">
        <v>5032</v>
      </c>
      <c r="F719" t="s">
        <v>5039</v>
      </c>
      <c r="G719" s="3">
        <v>14211.29</v>
      </c>
      <c r="H719" s="3">
        <v>0</v>
      </c>
      <c r="I719" s="3">
        <f>SUM(Tabla1[[#This Row],[Monto_Base]],H719)</f>
        <v>14211.29</v>
      </c>
      <c r="J719" t="s">
        <v>5045</v>
      </c>
      <c r="K719" t="s">
        <v>5049</v>
      </c>
      <c r="L719" t="s">
        <v>5050</v>
      </c>
      <c r="M719" t="s">
        <v>5055</v>
      </c>
    </row>
    <row r="720" spans="1:13" x14ac:dyDescent="0.3">
      <c r="A720" s="1">
        <v>45428</v>
      </c>
      <c r="B720" s="1" t="str">
        <f>TEXT(Tabla1[[#This Row],[Fecha]],"MMMM")</f>
        <v>mayo</v>
      </c>
      <c r="C720" t="s">
        <v>730</v>
      </c>
      <c r="D720" t="s">
        <v>5030</v>
      </c>
      <c r="E720" t="s">
        <v>5033</v>
      </c>
      <c r="F720" t="s">
        <v>5034</v>
      </c>
      <c r="G720" s="3">
        <v>2898.64</v>
      </c>
      <c r="H720" s="3">
        <v>376.82</v>
      </c>
      <c r="I720" s="3">
        <f>SUM(Tabla1[[#This Row],[Monto_Base]],H720)</f>
        <v>3275.46</v>
      </c>
      <c r="J720" t="s">
        <v>5044</v>
      </c>
      <c r="K720" t="s">
        <v>5049</v>
      </c>
      <c r="L720" t="s">
        <v>5050</v>
      </c>
      <c r="M720" t="s">
        <v>5055</v>
      </c>
    </row>
    <row r="721" spans="1:13" x14ac:dyDescent="0.3">
      <c r="A721" s="1">
        <v>45436</v>
      </c>
      <c r="B721" s="1" t="str">
        <f>TEXT(Tabla1[[#This Row],[Fecha]],"MMMM")</f>
        <v>mayo</v>
      </c>
      <c r="C721" t="s">
        <v>731</v>
      </c>
      <c r="D721" t="s">
        <v>5027</v>
      </c>
      <c r="E721" t="s">
        <v>5033</v>
      </c>
      <c r="F721" t="s">
        <v>5034</v>
      </c>
      <c r="G721" s="3">
        <v>14928.35</v>
      </c>
      <c r="H721" s="3">
        <v>1940.69</v>
      </c>
      <c r="I721" s="3">
        <f>SUM(Tabla1[[#This Row],[Monto_Base]],H721)</f>
        <v>16869.04</v>
      </c>
      <c r="J721" t="s">
        <v>5046</v>
      </c>
      <c r="K721" t="s">
        <v>5048</v>
      </c>
      <c r="L721" t="s">
        <v>5052</v>
      </c>
      <c r="M721" t="s">
        <v>5055</v>
      </c>
    </row>
    <row r="722" spans="1:13" x14ac:dyDescent="0.3">
      <c r="A722" s="1">
        <v>45522</v>
      </c>
      <c r="B722" s="1" t="str">
        <f>TEXT(Tabla1[[#This Row],[Fecha]],"MMMM")</f>
        <v>agosto</v>
      </c>
      <c r="C722" t="s">
        <v>732</v>
      </c>
      <c r="D722" t="s">
        <v>5012</v>
      </c>
      <c r="E722" t="s">
        <v>5032</v>
      </c>
      <c r="F722" t="s">
        <v>5038</v>
      </c>
      <c r="G722" s="3">
        <v>3570.51</v>
      </c>
      <c r="H722" s="3">
        <v>0</v>
      </c>
      <c r="I722" s="3">
        <f>SUM(Tabla1[[#This Row],[Monto_Base]],H722)</f>
        <v>3570.51</v>
      </c>
      <c r="J722" t="s">
        <v>5046</v>
      </c>
      <c r="K722" t="s">
        <v>5048</v>
      </c>
      <c r="L722" t="s">
        <v>5050</v>
      </c>
      <c r="M722" t="s">
        <v>5054</v>
      </c>
    </row>
    <row r="723" spans="1:13" x14ac:dyDescent="0.3">
      <c r="A723" s="1">
        <v>45495</v>
      </c>
      <c r="B723" s="1" t="str">
        <f>TEXT(Tabla1[[#This Row],[Fecha]],"MMMM")</f>
        <v>julio</v>
      </c>
      <c r="C723" t="s">
        <v>733</v>
      </c>
      <c r="D723" t="s">
        <v>5018</v>
      </c>
      <c r="E723" t="s">
        <v>5033</v>
      </c>
      <c r="F723" t="s">
        <v>5040</v>
      </c>
      <c r="G723" s="3">
        <v>14617.27</v>
      </c>
      <c r="H723" s="3">
        <v>1900.25</v>
      </c>
      <c r="I723" s="3">
        <f>SUM(Tabla1[[#This Row],[Monto_Base]],H723)</f>
        <v>16517.52</v>
      </c>
      <c r="J723" t="s">
        <v>5046</v>
      </c>
      <c r="K723" t="s">
        <v>5049</v>
      </c>
      <c r="L723" t="s">
        <v>5050</v>
      </c>
      <c r="M723" t="s">
        <v>5055</v>
      </c>
    </row>
    <row r="724" spans="1:13" x14ac:dyDescent="0.3">
      <c r="A724" s="1">
        <v>45412</v>
      </c>
      <c r="B724" s="1" t="str">
        <f>TEXT(Tabla1[[#This Row],[Fecha]],"MMMM")</f>
        <v>abril</v>
      </c>
      <c r="C724" t="s">
        <v>734</v>
      </c>
      <c r="D724" t="s">
        <v>5030</v>
      </c>
      <c r="E724" t="s">
        <v>5033</v>
      </c>
      <c r="F724" t="s">
        <v>5035</v>
      </c>
      <c r="G724" s="3">
        <v>829.08</v>
      </c>
      <c r="H724" s="3">
        <v>107.78</v>
      </c>
      <c r="I724" s="3">
        <f>SUM(Tabla1[[#This Row],[Monto_Base]],H724)</f>
        <v>936.86</v>
      </c>
      <c r="J724" t="s">
        <v>5043</v>
      </c>
      <c r="K724" t="s">
        <v>5048</v>
      </c>
      <c r="L724" t="s">
        <v>5053</v>
      </c>
      <c r="M724" t="s">
        <v>5054</v>
      </c>
    </row>
    <row r="725" spans="1:13" x14ac:dyDescent="0.3">
      <c r="A725" s="1">
        <v>45635</v>
      </c>
      <c r="B725" s="1" t="str">
        <f>TEXT(Tabla1[[#This Row],[Fecha]],"MMMM")</f>
        <v>diciembre</v>
      </c>
      <c r="C725" t="s">
        <v>735</v>
      </c>
      <c r="D725" t="s">
        <v>5016</v>
      </c>
      <c r="E725" t="s">
        <v>5032</v>
      </c>
      <c r="F725" t="s">
        <v>5038</v>
      </c>
      <c r="G725" s="3">
        <v>14663.98</v>
      </c>
      <c r="H725" s="3">
        <v>0</v>
      </c>
      <c r="I725" s="3">
        <f>SUM(Tabla1[[#This Row],[Monto_Base]],H725)</f>
        <v>14663.98</v>
      </c>
      <c r="J725" t="s">
        <v>5044</v>
      </c>
      <c r="K725" t="s">
        <v>5047</v>
      </c>
      <c r="L725" t="s">
        <v>5053</v>
      </c>
      <c r="M725" t="s">
        <v>5054</v>
      </c>
    </row>
    <row r="726" spans="1:13" x14ac:dyDescent="0.3">
      <c r="A726" s="1">
        <v>45359</v>
      </c>
      <c r="B726" s="1" t="str">
        <f>TEXT(Tabla1[[#This Row],[Fecha]],"MMMM")</f>
        <v>marzo</v>
      </c>
      <c r="C726" t="s">
        <v>736</v>
      </c>
      <c r="D726" t="s">
        <v>5028</v>
      </c>
      <c r="E726" t="s">
        <v>5032</v>
      </c>
      <c r="F726" t="s">
        <v>5040</v>
      </c>
      <c r="G726" s="3">
        <v>13174.56</v>
      </c>
      <c r="H726" s="3">
        <v>0</v>
      </c>
      <c r="I726" s="3">
        <f>SUM(Tabla1[[#This Row],[Monto_Base]],H726)</f>
        <v>13174.56</v>
      </c>
      <c r="J726" t="s">
        <v>5045</v>
      </c>
      <c r="K726" t="s">
        <v>5048</v>
      </c>
      <c r="L726" t="s">
        <v>5050</v>
      </c>
      <c r="M726" t="s">
        <v>5054</v>
      </c>
    </row>
    <row r="727" spans="1:13" x14ac:dyDescent="0.3">
      <c r="A727" s="1">
        <v>45547</v>
      </c>
      <c r="B727" s="1" t="str">
        <f>TEXT(Tabla1[[#This Row],[Fecha]],"MMMM")</f>
        <v>septiembre</v>
      </c>
      <c r="C727" t="s">
        <v>737</v>
      </c>
      <c r="D727" t="s">
        <v>5030</v>
      </c>
      <c r="E727" t="s">
        <v>5032</v>
      </c>
      <c r="F727" t="s">
        <v>5035</v>
      </c>
      <c r="G727" s="3">
        <v>14678.82</v>
      </c>
      <c r="H727" s="3">
        <v>0</v>
      </c>
      <c r="I727" s="3">
        <f>SUM(Tabla1[[#This Row],[Monto_Base]],H727)</f>
        <v>14678.82</v>
      </c>
      <c r="J727" t="s">
        <v>5044</v>
      </c>
      <c r="K727" t="s">
        <v>5049</v>
      </c>
      <c r="L727" t="s">
        <v>5051</v>
      </c>
      <c r="M727" t="s">
        <v>5055</v>
      </c>
    </row>
    <row r="728" spans="1:13" x14ac:dyDescent="0.3">
      <c r="A728" s="1">
        <v>45376</v>
      </c>
      <c r="B728" s="1" t="str">
        <f>TEXT(Tabla1[[#This Row],[Fecha]],"MMMM")</f>
        <v>marzo</v>
      </c>
      <c r="C728" t="s">
        <v>738</v>
      </c>
      <c r="D728" t="s">
        <v>5029</v>
      </c>
      <c r="E728" t="s">
        <v>5032</v>
      </c>
      <c r="F728" t="s">
        <v>5040</v>
      </c>
      <c r="G728" s="3">
        <v>6564.84</v>
      </c>
      <c r="H728" s="3">
        <v>0</v>
      </c>
      <c r="I728" s="3">
        <f>SUM(Tabla1[[#This Row],[Monto_Base]],H728)</f>
        <v>6564.84</v>
      </c>
      <c r="J728" t="s">
        <v>5044</v>
      </c>
      <c r="K728" t="s">
        <v>5049</v>
      </c>
      <c r="L728" t="s">
        <v>5050</v>
      </c>
      <c r="M728" t="s">
        <v>5054</v>
      </c>
    </row>
    <row r="729" spans="1:13" x14ac:dyDescent="0.3">
      <c r="A729" s="1">
        <v>45385</v>
      </c>
      <c r="B729" s="1" t="str">
        <f>TEXT(Tabla1[[#This Row],[Fecha]],"MMMM")</f>
        <v>abril</v>
      </c>
      <c r="C729" t="s">
        <v>739</v>
      </c>
      <c r="D729" t="s">
        <v>5022</v>
      </c>
      <c r="E729" t="s">
        <v>5033</v>
      </c>
      <c r="F729" t="s">
        <v>5039</v>
      </c>
      <c r="G729" s="3">
        <v>865.78</v>
      </c>
      <c r="H729" s="3">
        <v>112.55</v>
      </c>
      <c r="I729" s="3">
        <f>SUM(Tabla1[[#This Row],[Monto_Base]],H729)</f>
        <v>978.32999999999993</v>
      </c>
      <c r="J729" t="s">
        <v>5045</v>
      </c>
      <c r="K729" t="s">
        <v>5048</v>
      </c>
      <c r="L729" t="s">
        <v>5051</v>
      </c>
      <c r="M729" t="s">
        <v>5054</v>
      </c>
    </row>
    <row r="730" spans="1:13" x14ac:dyDescent="0.3">
      <c r="A730" s="1">
        <v>45474</v>
      </c>
      <c r="B730" s="1" t="str">
        <f>TEXT(Tabla1[[#This Row],[Fecha]],"MMMM")</f>
        <v>julio</v>
      </c>
      <c r="C730" t="s">
        <v>740</v>
      </c>
      <c r="D730" t="s">
        <v>5019</v>
      </c>
      <c r="E730" t="s">
        <v>5033</v>
      </c>
      <c r="F730" t="s">
        <v>5041</v>
      </c>
      <c r="G730" s="3">
        <v>659.84</v>
      </c>
      <c r="H730" s="3">
        <v>85.78</v>
      </c>
      <c r="I730" s="3">
        <f>SUM(Tabla1[[#This Row],[Monto_Base]],H730)</f>
        <v>745.62</v>
      </c>
      <c r="J730" t="s">
        <v>5042</v>
      </c>
      <c r="K730" t="s">
        <v>5048</v>
      </c>
      <c r="L730" t="s">
        <v>5050</v>
      </c>
      <c r="M730" t="s">
        <v>5055</v>
      </c>
    </row>
    <row r="731" spans="1:13" x14ac:dyDescent="0.3">
      <c r="A731" s="1">
        <v>45437</v>
      </c>
      <c r="B731" s="1" t="str">
        <f>TEXT(Tabla1[[#This Row],[Fecha]],"MMMM")</f>
        <v>mayo</v>
      </c>
      <c r="C731" t="s">
        <v>741</v>
      </c>
      <c r="D731" t="s">
        <v>5026</v>
      </c>
      <c r="E731" t="s">
        <v>5033</v>
      </c>
      <c r="F731" t="s">
        <v>5040</v>
      </c>
      <c r="G731" s="3">
        <v>1448.99</v>
      </c>
      <c r="H731" s="3">
        <v>188.37</v>
      </c>
      <c r="I731" s="3">
        <f>SUM(Tabla1[[#This Row],[Monto_Base]],H731)</f>
        <v>1637.3600000000001</v>
      </c>
      <c r="J731" t="s">
        <v>5046</v>
      </c>
      <c r="K731" t="s">
        <v>5047</v>
      </c>
      <c r="L731" t="s">
        <v>5051</v>
      </c>
      <c r="M731" t="s">
        <v>5054</v>
      </c>
    </row>
    <row r="732" spans="1:13" x14ac:dyDescent="0.3">
      <c r="A732" s="1">
        <v>45418</v>
      </c>
      <c r="B732" s="1" t="str">
        <f>TEXT(Tabla1[[#This Row],[Fecha]],"MMMM")</f>
        <v>mayo</v>
      </c>
      <c r="C732" t="s">
        <v>742</v>
      </c>
      <c r="D732" t="s">
        <v>5023</v>
      </c>
      <c r="E732" t="s">
        <v>5033</v>
      </c>
      <c r="F732" t="s">
        <v>5037</v>
      </c>
      <c r="G732" s="3">
        <v>13810.18</v>
      </c>
      <c r="H732" s="3">
        <v>1795.32</v>
      </c>
      <c r="I732" s="3">
        <f>SUM(Tabla1[[#This Row],[Monto_Base]],H732)</f>
        <v>15605.5</v>
      </c>
      <c r="J732" t="s">
        <v>5043</v>
      </c>
      <c r="K732" t="s">
        <v>5049</v>
      </c>
      <c r="L732" t="s">
        <v>5053</v>
      </c>
      <c r="M732" t="s">
        <v>5055</v>
      </c>
    </row>
    <row r="733" spans="1:13" x14ac:dyDescent="0.3">
      <c r="A733" s="1">
        <v>45346</v>
      </c>
      <c r="B733" s="1" t="str">
        <f>TEXT(Tabla1[[#This Row],[Fecha]],"MMMM")</f>
        <v>febrero</v>
      </c>
      <c r="C733" t="s">
        <v>743</v>
      </c>
      <c r="D733" t="s">
        <v>5021</v>
      </c>
      <c r="E733" t="s">
        <v>5033</v>
      </c>
      <c r="F733" t="s">
        <v>5037</v>
      </c>
      <c r="G733" s="3">
        <v>5634.7</v>
      </c>
      <c r="H733" s="3">
        <v>732.51</v>
      </c>
      <c r="I733" s="3">
        <f>SUM(Tabla1[[#This Row],[Monto_Base]],H733)</f>
        <v>6367.21</v>
      </c>
      <c r="J733" t="s">
        <v>5044</v>
      </c>
      <c r="K733" t="s">
        <v>5047</v>
      </c>
      <c r="L733" t="s">
        <v>5053</v>
      </c>
      <c r="M733" t="s">
        <v>5054</v>
      </c>
    </row>
    <row r="734" spans="1:13" x14ac:dyDescent="0.3">
      <c r="A734" s="1">
        <v>45294</v>
      </c>
      <c r="B734" s="1" t="str">
        <f>TEXT(Tabla1[[#This Row],[Fecha]],"MMMM")</f>
        <v>enero</v>
      </c>
      <c r="C734" t="s">
        <v>744</v>
      </c>
      <c r="D734" t="s">
        <v>5025</v>
      </c>
      <c r="E734" t="s">
        <v>5032</v>
      </c>
      <c r="F734" t="s">
        <v>5038</v>
      </c>
      <c r="G734" s="3">
        <v>8933.35</v>
      </c>
      <c r="H734" s="3">
        <v>0</v>
      </c>
      <c r="I734" s="3">
        <f>SUM(Tabla1[[#This Row],[Monto_Base]],H734)</f>
        <v>8933.35</v>
      </c>
      <c r="J734" t="s">
        <v>5044</v>
      </c>
      <c r="K734" t="s">
        <v>5047</v>
      </c>
      <c r="L734" t="s">
        <v>5050</v>
      </c>
      <c r="M734" t="s">
        <v>5055</v>
      </c>
    </row>
    <row r="735" spans="1:13" x14ac:dyDescent="0.3">
      <c r="A735" s="1">
        <v>45320</v>
      </c>
      <c r="B735" s="1" t="str">
        <f>TEXT(Tabla1[[#This Row],[Fecha]],"MMMM")</f>
        <v>enero</v>
      </c>
      <c r="C735" t="s">
        <v>745</v>
      </c>
      <c r="D735" t="s">
        <v>5017</v>
      </c>
      <c r="E735" t="s">
        <v>5033</v>
      </c>
      <c r="F735" t="s">
        <v>5038</v>
      </c>
      <c r="G735" s="3">
        <v>4881.3999999999996</v>
      </c>
      <c r="H735" s="3">
        <v>634.58000000000004</v>
      </c>
      <c r="I735" s="3">
        <f>SUM(Tabla1[[#This Row],[Monto_Base]],H735)</f>
        <v>5515.98</v>
      </c>
      <c r="J735" t="s">
        <v>5045</v>
      </c>
      <c r="K735" t="s">
        <v>5049</v>
      </c>
      <c r="L735" t="s">
        <v>5050</v>
      </c>
      <c r="M735" t="s">
        <v>5054</v>
      </c>
    </row>
    <row r="736" spans="1:13" x14ac:dyDescent="0.3">
      <c r="A736" s="1">
        <v>45496</v>
      </c>
      <c r="B736" s="1" t="str">
        <f>TEXT(Tabla1[[#This Row],[Fecha]],"MMMM")</f>
        <v>julio</v>
      </c>
      <c r="C736" t="s">
        <v>746</v>
      </c>
      <c r="D736" t="s">
        <v>5029</v>
      </c>
      <c r="E736" t="s">
        <v>5033</v>
      </c>
      <c r="F736" t="s">
        <v>5034</v>
      </c>
      <c r="G736" s="3">
        <v>14477.49</v>
      </c>
      <c r="H736" s="3">
        <v>1882.07</v>
      </c>
      <c r="I736" s="3">
        <f>SUM(Tabla1[[#This Row],[Monto_Base]],H736)</f>
        <v>16359.56</v>
      </c>
      <c r="J736" t="s">
        <v>5045</v>
      </c>
      <c r="K736" t="s">
        <v>5047</v>
      </c>
      <c r="L736" t="s">
        <v>5052</v>
      </c>
      <c r="M736" t="s">
        <v>5054</v>
      </c>
    </row>
    <row r="737" spans="1:13" x14ac:dyDescent="0.3">
      <c r="A737" s="1">
        <v>45543</v>
      </c>
      <c r="B737" s="1" t="str">
        <f>TEXT(Tabla1[[#This Row],[Fecha]],"MMMM")</f>
        <v>septiembre</v>
      </c>
      <c r="C737" t="s">
        <v>747</v>
      </c>
      <c r="D737" t="s">
        <v>5019</v>
      </c>
      <c r="E737" t="s">
        <v>5032</v>
      </c>
      <c r="F737" t="s">
        <v>5039</v>
      </c>
      <c r="G737" s="3">
        <v>1853</v>
      </c>
      <c r="H737" s="3">
        <v>0</v>
      </c>
      <c r="I737" s="3">
        <f>SUM(Tabla1[[#This Row],[Monto_Base]],H737)</f>
        <v>1853</v>
      </c>
      <c r="J737" t="s">
        <v>5043</v>
      </c>
      <c r="K737" t="s">
        <v>5049</v>
      </c>
      <c r="L737" t="s">
        <v>5051</v>
      </c>
      <c r="M737" t="s">
        <v>5054</v>
      </c>
    </row>
    <row r="738" spans="1:13" x14ac:dyDescent="0.3">
      <c r="A738" s="1">
        <v>45490</v>
      </c>
      <c r="B738" s="1" t="str">
        <f>TEXT(Tabla1[[#This Row],[Fecha]],"MMMM")</f>
        <v>julio</v>
      </c>
      <c r="C738" t="s">
        <v>748</v>
      </c>
      <c r="D738" t="s">
        <v>5030</v>
      </c>
      <c r="E738" t="s">
        <v>5032</v>
      </c>
      <c r="F738" t="s">
        <v>5034</v>
      </c>
      <c r="G738" s="3">
        <v>7369.86</v>
      </c>
      <c r="H738" s="3">
        <v>0</v>
      </c>
      <c r="I738" s="3">
        <f>SUM(Tabla1[[#This Row],[Monto_Base]],H738)</f>
        <v>7369.86</v>
      </c>
      <c r="J738" t="s">
        <v>5043</v>
      </c>
      <c r="K738" t="s">
        <v>5048</v>
      </c>
      <c r="L738" t="s">
        <v>5050</v>
      </c>
      <c r="M738" t="s">
        <v>5054</v>
      </c>
    </row>
    <row r="739" spans="1:13" x14ac:dyDescent="0.3">
      <c r="A739" s="1">
        <v>45339</v>
      </c>
      <c r="B739" s="1" t="str">
        <f>TEXT(Tabla1[[#This Row],[Fecha]],"MMMM")</f>
        <v>febrero</v>
      </c>
      <c r="C739" t="s">
        <v>749</v>
      </c>
      <c r="D739" t="s">
        <v>5020</v>
      </c>
      <c r="E739" t="s">
        <v>5033</v>
      </c>
      <c r="F739" t="s">
        <v>5037</v>
      </c>
      <c r="G739" s="3">
        <v>9478.76</v>
      </c>
      <c r="H739" s="3">
        <v>1232.24</v>
      </c>
      <c r="I739" s="3">
        <f>SUM(Tabla1[[#This Row],[Monto_Base]],H739)</f>
        <v>10711</v>
      </c>
      <c r="J739" t="s">
        <v>5045</v>
      </c>
      <c r="K739" t="s">
        <v>5049</v>
      </c>
      <c r="L739" t="s">
        <v>5051</v>
      </c>
      <c r="M739" t="s">
        <v>5055</v>
      </c>
    </row>
    <row r="740" spans="1:13" x14ac:dyDescent="0.3">
      <c r="A740" s="1">
        <v>45515</v>
      </c>
      <c r="B740" s="1" t="str">
        <f>TEXT(Tabla1[[#This Row],[Fecha]],"MMMM")</f>
        <v>agosto</v>
      </c>
      <c r="C740" t="s">
        <v>750</v>
      </c>
      <c r="D740" t="s">
        <v>5026</v>
      </c>
      <c r="E740" t="s">
        <v>5032</v>
      </c>
      <c r="F740" t="s">
        <v>5036</v>
      </c>
      <c r="G740" s="3">
        <v>4396.01</v>
      </c>
      <c r="H740" s="3">
        <v>0</v>
      </c>
      <c r="I740" s="3">
        <f>SUM(Tabla1[[#This Row],[Monto_Base]],H740)</f>
        <v>4396.01</v>
      </c>
      <c r="J740" t="s">
        <v>5045</v>
      </c>
      <c r="K740" t="s">
        <v>5048</v>
      </c>
      <c r="L740" t="s">
        <v>5051</v>
      </c>
      <c r="M740" t="s">
        <v>5054</v>
      </c>
    </row>
    <row r="741" spans="1:13" x14ac:dyDescent="0.3">
      <c r="A741" s="1">
        <v>45316</v>
      </c>
      <c r="B741" s="1" t="str">
        <f>TEXT(Tabla1[[#This Row],[Fecha]],"MMMM")</f>
        <v>enero</v>
      </c>
      <c r="C741" t="s">
        <v>751</v>
      </c>
      <c r="D741" t="s">
        <v>5021</v>
      </c>
      <c r="E741" t="s">
        <v>5033</v>
      </c>
      <c r="F741" t="s">
        <v>5037</v>
      </c>
      <c r="G741" s="3">
        <v>4467.45</v>
      </c>
      <c r="H741" s="3">
        <v>580.77</v>
      </c>
      <c r="I741" s="3">
        <f>SUM(Tabla1[[#This Row],[Monto_Base]],H741)</f>
        <v>5048.2199999999993</v>
      </c>
      <c r="J741" t="s">
        <v>5042</v>
      </c>
      <c r="K741" t="s">
        <v>5047</v>
      </c>
      <c r="L741" t="s">
        <v>5053</v>
      </c>
      <c r="M741" t="s">
        <v>5054</v>
      </c>
    </row>
    <row r="742" spans="1:13" x14ac:dyDescent="0.3">
      <c r="A742" s="1">
        <v>45583</v>
      </c>
      <c r="B742" s="1" t="str">
        <f>TEXT(Tabla1[[#This Row],[Fecha]],"MMMM")</f>
        <v>octubre</v>
      </c>
      <c r="C742" t="s">
        <v>752</v>
      </c>
      <c r="D742" t="s">
        <v>5019</v>
      </c>
      <c r="E742" t="s">
        <v>5033</v>
      </c>
      <c r="F742" t="s">
        <v>5041</v>
      </c>
      <c r="G742" s="3">
        <v>9929.7900000000009</v>
      </c>
      <c r="H742" s="3">
        <v>1290.8699999999999</v>
      </c>
      <c r="I742" s="3">
        <f>SUM(Tabla1[[#This Row],[Monto_Base]],H742)</f>
        <v>11220.66</v>
      </c>
      <c r="J742" t="s">
        <v>5044</v>
      </c>
      <c r="K742" t="s">
        <v>5048</v>
      </c>
      <c r="L742" t="s">
        <v>5051</v>
      </c>
      <c r="M742" t="s">
        <v>5054</v>
      </c>
    </row>
    <row r="743" spans="1:13" x14ac:dyDescent="0.3">
      <c r="A743" s="1">
        <v>45493</v>
      </c>
      <c r="B743" s="1" t="str">
        <f>TEXT(Tabla1[[#This Row],[Fecha]],"MMMM")</f>
        <v>julio</v>
      </c>
      <c r="C743" t="s">
        <v>753</v>
      </c>
      <c r="D743" t="s">
        <v>5013</v>
      </c>
      <c r="E743" t="s">
        <v>5032</v>
      </c>
      <c r="F743" t="s">
        <v>5039</v>
      </c>
      <c r="G743" s="3">
        <v>11803.35</v>
      </c>
      <c r="H743" s="3">
        <v>0</v>
      </c>
      <c r="I743" s="3">
        <f>SUM(Tabla1[[#This Row],[Monto_Base]],H743)</f>
        <v>11803.35</v>
      </c>
      <c r="J743" t="s">
        <v>5045</v>
      </c>
      <c r="K743" t="s">
        <v>5047</v>
      </c>
      <c r="L743" t="s">
        <v>5050</v>
      </c>
      <c r="M743" t="s">
        <v>5055</v>
      </c>
    </row>
    <row r="744" spans="1:13" x14ac:dyDescent="0.3">
      <c r="A744" s="1">
        <v>45427</v>
      </c>
      <c r="B744" s="1" t="str">
        <f>TEXT(Tabla1[[#This Row],[Fecha]],"MMMM")</f>
        <v>mayo</v>
      </c>
      <c r="C744" t="s">
        <v>754</v>
      </c>
      <c r="D744" t="s">
        <v>5014</v>
      </c>
      <c r="E744" t="s">
        <v>5032</v>
      </c>
      <c r="F744" t="s">
        <v>5041</v>
      </c>
      <c r="G744" s="3">
        <v>9375.9699999999993</v>
      </c>
      <c r="H744" s="3">
        <v>0</v>
      </c>
      <c r="I744" s="3">
        <f>SUM(Tabla1[[#This Row],[Monto_Base]],H744)</f>
        <v>9375.9699999999993</v>
      </c>
      <c r="J744" t="s">
        <v>5044</v>
      </c>
      <c r="K744" t="s">
        <v>5047</v>
      </c>
      <c r="L744" t="s">
        <v>5052</v>
      </c>
      <c r="M744" t="s">
        <v>5054</v>
      </c>
    </row>
    <row r="745" spans="1:13" x14ac:dyDescent="0.3">
      <c r="A745" s="1">
        <v>45301</v>
      </c>
      <c r="B745" s="1" t="str">
        <f>TEXT(Tabla1[[#This Row],[Fecha]],"MMMM")</f>
        <v>enero</v>
      </c>
      <c r="C745" t="s">
        <v>755</v>
      </c>
      <c r="D745" t="s">
        <v>5031</v>
      </c>
      <c r="E745" t="s">
        <v>5032</v>
      </c>
      <c r="F745" t="s">
        <v>5036</v>
      </c>
      <c r="G745" s="3">
        <v>6535.29</v>
      </c>
      <c r="H745" s="3">
        <v>0</v>
      </c>
      <c r="I745" s="3">
        <f>SUM(Tabla1[[#This Row],[Monto_Base]],H745)</f>
        <v>6535.29</v>
      </c>
      <c r="J745" t="s">
        <v>5045</v>
      </c>
      <c r="K745" t="s">
        <v>5048</v>
      </c>
      <c r="L745" t="s">
        <v>5053</v>
      </c>
      <c r="M745" t="s">
        <v>5054</v>
      </c>
    </row>
    <row r="746" spans="1:13" x14ac:dyDescent="0.3">
      <c r="A746" s="1">
        <v>45600</v>
      </c>
      <c r="B746" s="1" t="str">
        <f>TEXT(Tabla1[[#This Row],[Fecha]],"MMMM")</f>
        <v>noviembre</v>
      </c>
      <c r="C746" t="s">
        <v>756</v>
      </c>
      <c r="D746" t="s">
        <v>5018</v>
      </c>
      <c r="E746" t="s">
        <v>5032</v>
      </c>
      <c r="F746" t="s">
        <v>5037</v>
      </c>
      <c r="G746" s="3">
        <v>13038.27</v>
      </c>
      <c r="H746" s="3">
        <v>0</v>
      </c>
      <c r="I746" s="3">
        <f>SUM(Tabla1[[#This Row],[Monto_Base]],H746)</f>
        <v>13038.27</v>
      </c>
      <c r="J746" t="s">
        <v>5043</v>
      </c>
      <c r="K746" t="s">
        <v>5048</v>
      </c>
      <c r="L746" t="s">
        <v>5051</v>
      </c>
      <c r="M746" t="s">
        <v>5055</v>
      </c>
    </row>
    <row r="747" spans="1:13" x14ac:dyDescent="0.3">
      <c r="A747" s="1">
        <v>45349</v>
      </c>
      <c r="B747" s="1" t="str">
        <f>TEXT(Tabla1[[#This Row],[Fecha]],"MMMM")</f>
        <v>febrero</v>
      </c>
      <c r="C747" t="s">
        <v>757</v>
      </c>
      <c r="D747" t="s">
        <v>5030</v>
      </c>
      <c r="E747" t="s">
        <v>5033</v>
      </c>
      <c r="F747" t="s">
        <v>5039</v>
      </c>
      <c r="G747" s="3">
        <v>257.44</v>
      </c>
      <c r="H747" s="3">
        <v>33.47</v>
      </c>
      <c r="I747" s="3">
        <f>SUM(Tabla1[[#This Row],[Monto_Base]],H747)</f>
        <v>290.90999999999997</v>
      </c>
      <c r="J747" t="s">
        <v>5045</v>
      </c>
      <c r="K747" t="s">
        <v>5049</v>
      </c>
      <c r="L747" t="s">
        <v>5052</v>
      </c>
      <c r="M747" t="s">
        <v>5054</v>
      </c>
    </row>
    <row r="748" spans="1:13" x14ac:dyDescent="0.3">
      <c r="A748" s="1">
        <v>45612</v>
      </c>
      <c r="B748" s="1" t="str">
        <f>TEXT(Tabla1[[#This Row],[Fecha]],"MMMM")</f>
        <v>noviembre</v>
      </c>
      <c r="C748" t="s">
        <v>758</v>
      </c>
      <c r="D748" t="s">
        <v>5018</v>
      </c>
      <c r="E748" t="s">
        <v>5033</v>
      </c>
      <c r="F748" t="s">
        <v>5034</v>
      </c>
      <c r="G748" s="3">
        <v>6565.04</v>
      </c>
      <c r="H748" s="3">
        <v>853.46</v>
      </c>
      <c r="I748" s="3">
        <f>SUM(Tabla1[[#This Row],[Monto_Base]],H748)</f>
        <v>7418.5</v>
      </c>
      <c r="J748" t="s">
        <v>5042</v>
      </c>
      <c r="K748" t="s">
        <v>5047</v>
      </c>
      <c r="L748" t="s">
        <v>5053</v>
      </c>
      <c r="M748" t="s">
        <v>5055</v>
      </c>
    </row>
    <row r="749" spans="1:13" x14ac:dyDescent="0.3">
      <c r="A749" s="1">
        <v>45377</v>
      </c>
      <c r="B749" s="1" t="str">
        <f>TEXT(Tabla1[[#This Row],[Fecha]],"MMMM")</f>
        <v>marzo</v>
      </c>
      <c r="C749" t="s">
        <v>759</v>
      </c>
      <c r="D749" t="s">
        <v>5028</v>
      </c>
      <c r="E749" t="s">
        <v>5032</v>
      </c>
      <c r="F749" t="s">
        <v>5037</v>
      </c>
      <c r="G749" s="3">
        <v>376.16</v>
      </c>
      <c r="H749" s="3">
        <v>0</v>
      </c>
      <c r="I749" s="3">
        <f>SUM(Tabla1[[#This Row],[Monto_Base]],H749)</f>
        <v>376.16</v>
      </c>
      <c r="J749" t="s">
        <v>5046</v>
      </c>
      <c r="K749" t="s">
        <v>5049</v>
      </c>
      <c r="L749" t="s">
        <v>5050</v>
      </c>
      <c r="M749" t="s">
        <v>5055</v>
      </c>
    </row>
    <row r="750" spans="1:13" x14ac:dyDescent="0.3">
      <c r="A750" s="1">
        <v>45583</v>
      </c>
      <c r="B750" s="1" t="str">
        <f>TEXT(Tabla1[[#This Row],[Fecha]],"MMMM")</f>
        <v>octubre</v>
      </c>
      <c r="C750" t="s">
        <v>760</v>
      </c>
      <c r="D750" t="s">
        <v>5022</v>
      </c>
      <c r="E750" t="s">
        <v>5032</v>
      </c>
      <c r="F750" t="s">
        <v>5034</v>
      </c>
      <c r="G750" s="3">
        <v>3060.01</v>
      </c>
      <c r="H750" s="3">
        <v>0</v>
      </c>
      <c r="I750" s="3">
        <f>SUM(Tabla1[[#This Row],[Monto_Base]],H750)</f>
        <v>3060.01</v>
      </c>
      <c r="J750" t="s">
        <v>5043</v>
      </c>
      <c r="K750" t="s">
        <v>5047</v>
      </c>
      <c r="L750" t="s">
        <v>5051</v>
      </c>
      <c r="M750" t="s">
        <v>5054</v>
      </c>
    </row>
    <row r="751" spans="1:13" x14ac:dyDescent="0.3">
      <c r="A751" s="1">
        <v>45597</v>
      </c>
      <c r="B751" s="1" t="str">
        <f>TEXT(Tabla1[[#This Row],[Fecha]],"MMMM")</f>
        <v>noviembre</v>
      </c>
      <c r="C751" t="s">
        <v>761</v>
      </c>
      <c r="D751" t="s">
        <v>5027</v>
      </c>
      <c r="E751" t="s">
        <v>5032</v>
      </c>
      <c r="F751" t="s">
        <v>5041</v>
      </c>
      <c r="G751" s="3">
        <v>11069.32</v>
      </c>
      <c r="H751" s="3">
        <v>0</v>
      </c>
      <c r="I751" s="3">
        <f>SUM(Tabla1[[#This Row],[Monto_Base]],H751)</f>
        <v>11069.32</v>
      </c>
      <c r="J751" t="s">
        <v>5042</v>
      </c>
      <c r="K751" t="s">
        <v>5048</v>
      </c>
      <c r="L751" t="s">
        <v>5053</v>
      </c>
      <c r="M751" t="s">
        <v>5055</v>
      </c>
    </row>
    <row r="752" spans="1:13" x14ac:dyDescent="0.3">
      <c r="A752" s="1">
        <v>45562</v>
      </c>
      <c r="B752" s="1" t="str">
        <f>TEXT(Tabla1[[#This Row],[Fecha]],"MMMM")</f>
        <v>septiembre</v>
      </c>
      <c r="C752" t="s">
        <v>762</v>
      </c>
      <c r="D752" t="s">
        <v>5025</v>
      </c>
      <c r="E752" t="s">
        <v>5032</v>
      </c>
      <c r="F752" t="s">
        <v>5034</v>
      </c>
      <c r="G752" s="3">
        <v>10728.64</v>
      </c>
      <c r="H752" s="3">
        <v>0</v>
      </c>
      <c r="I752" s="3">
        <f>SUM(Tabla1[[#This Row],[Monto_Base]],H752)</f>
        <v>10728.64</v>
      </c>
      <c r="J752" t="s">
        <v>5045</v>
      </c>
      <c r="K752" t="s">
        <v>5048</v>
      </c>
      <c r="L752" t="s">
        <v>5051</v>
      </c>
      <c r="M752" t="s">
        <v>5054</v>
      </c>
    </row>
    <row r="753" spans="1:13" x14ac:dyDescent="0.3">
      <c r="A753" s="1">
        <v>45622</v>
      </c>
      <c r="B753" s="1" t="str">
        <f>TEXT(Tabla1[[#This Row],[Fecha]],"MMMM")</f>
        <v>noviembre</v>
      </c>
      <c r="C753" t="s">
        <v>763</v>
      </c>
      <c r="D753" t="s">
        <v>5019</v>
      </c>
      <c r="E753" t="s">
        <v>5032</v>
      </c>
      <c r="F753" t="s">
        <v>5036</v>
      </c>
      <c r="G753" s="3">
        <v>7447.09</v>
      </c>
      <c r="H753" s="3">
        <v>0</v>
      </c>
      <c r="I753" s="3">
        <f>SUM(Tabla1[[#This Row],[Monto_Base]],H753)</f>
        <v>7447.09</v>
      </c>
      <c r="J753" t="s">
        <v>5044</v>
      </c>
      <c r="K753" t="s">
        <v>5048</v>
      </c>
      <c r="L753" t="s">
        <v>5050</v>
      </c>
      <c r="M753" t="s">
        <v>5054</v>
      </c>
    </row>
    <row r="754" spans="1:13" x14ac:dyDescent="0.3">
      <c r="A754" s="1">
        <v>45410</v>
      </c>
      <c r="B754" s="1" t="str">
        <f>TEXT(Tabla1[[#This Row],[Fecha]],"MMMM")</f>
        <v>abril</v>
      </c>
      <c r="C754" t="s">
        <v>764</v>
      </c>
      <c r="D754" t="s">
        <v>5021</v>
      </c>
      <c r="E754" t="s">
        <v>5033</v>
      </c>
      <c r="F754" t="s">
        <v>5041</v>
      </c>
      <c r="G754" s="3">
        <v>5190.5200000000004</v>
      </c>
      <c r="H754" s="3">
        <v>674.77</v>
      </c>
      <c r="I754" s="3">
        <f>SUM(Tabla1[[#This Row],[Monto_Base]],H754)</f>
        <v>5865.2900000000009</v>
      </c>
      <c r="J754" t="s">
        <v>5042</v>
      </c>
      <c r="K754" t="s">
        <v>5047</v>
      </c>
      <c r="L754" t="s">
        <v>5051</v>
      </c>
      <c r="M754" t="s">
        <v>5055</v>
      </c>
    </row>
    <row r="755" spans="1:13" x14ac:dyDescent="0.3">
      <c r="A755" s="1">
        <v>45636</v>
      </c>
      <c r="B755" s="1" t="str">
        <f>TEXT(Tabla1[[#This Row],[Fecha]],"MMMM")</f>
        <v>diciembre</v>
      </c>
      <c r="C755" t="s">
        <v>765</v>
      </c>
      <c r="D755" t="s">
        <v>5021</v>
      </c>
      <c r="E755" t="s">
        <v>5032</v>
      </c>
      <c r="F755" t="s">
        <v>5037</v>
      </c>
      <c r="G755" s="3">
        <v>12504.56</v>
      </c>
      <c r="H755" s="3">
        <v>0</v>
      </c>
      <c r="I755" s="3">
        <f>SUM(Tabla1[[#This Row],[Monto_Base]],H755)</f>
        <v>12504.56</v>
      </c>
      <c r="J755" t="s">
        <v>5044</v>
      </c>
      <c r="K755" t="s">
        <v>5048</v>
      </c>
      <c r="L755" t="s">
        <v>5052</v>
      </c>
      <c r="M755" t="s">
        <v>5054</v>
      </c>
    </row>
    <row r="756" spans="1:13" x14ac:dyDescent="0.3">
      <c r="A756" s="1">
        <v>45372</v>
      </c>
      <c r="B756" s="1" t="str">
        <f>TEXT(Tabla1[[#This Row],[Fecha]],"MMMM")</f>
        <v>marzo</v>
      </c>
      <c r="C756" t="s">
        <v>766</v>
      </c>
      <c r="D756" t="s">
        <v>5030</v>
      </c>
      <c r="E756" t="s">
        <v>5032</v>
      </c>
      <c r="F756" t="s">
        <v>5039</v>
      </c>
      <c r="G756" s="3">
        <v>2640.7</v>
      </c>
      <c r="H756" s="3">
        <v>0</v>
      </c>
      <c r="I756" s="3">
        <f>SUM(Tabla1[[#This Row],[Monto_Base]],H756)</f>
        <v>2640.7</v>
      </c>
      <c r="J756" t="s">
        <v>5042</v>
      </c>
      <c r="K756" t="s">
        <v>5048</v>
      </c>
      <c r="L756" t="s">
        <v>5053</v>
      </c>
      <c r="M756" t="s">
        <v>5055</v>
      </c>
    </row>
    <row r="757" spans="1:13" x14ac:dyDescent="0.3">
      <c r="A757" s="1">
        <v>45301</v>
      </c>
      <c r="B757" s="1" t="str">
        <f>TEXT(Tabla1[[#This Row],[Fecha]],"MMMM")</f>
        <v>enero</v>
      </c>
      <c r="C757" t="s">
        <v>767</v>
      </c>
      <c r="D757" t="s">
        <v>5029</v>
      </c>
      <c r="E757" t="s">
        <v>5033</v>
      </c>
      <c r="F757" t="s">
        <v>5034</v>
      </c>
      <c r="G757" s="3">
        <v>8374.6200000000008</v>
      </c>
      <c r="H757" s="3">
        <v>1088.7</v>
      </c>
      <c r="I757" s="3">
        <f>SUM(Tabla1[[#This Row],[Monto_Base]],H757)</f>
        <v>9463.3200000000015</v>
      </c>
      <c r="J757" t="s">
        <v>5044</v>
      </c>
      <c r="K757" t="s">
        <v>5048</v>
      </c>
      <c r="L757" t="s">
        <v>5051</v>
      </c>
      <c r="M757" t="s">
        <v>5054</v>
      </c>
    </row>
    <row r="758" spans="1:13" x14ac:dyDescent="0.3">
      <c r="A758" s="1">
        <v>45350</v>
      </c>
      <c r="B758" s="1" t="str">
        <f>TEXT(Tabla1[[#This Row],[Fecha]],"MMMM")</f>
        <v>febrero</v>
      </c>
      <c r="C758" t="s">
        <v>768</v>
      </c>
      <c r="D758" t="s">
        <v>5023</v>
      </c>
      <c r="E758" t="s">
        <v>5033</v>
      </c>
      <c r="F758" t="s">
        <v>5036</v>
      </c>
      <c r="G758" s="3">
        <v>5099.13</v>
      </c>
      <c r="H758" s="3">
        <v>662.89</v>
      </c>
      <c r="I758" s="3">
        <f>SUM(Tabla1[[#This Row],[Monto_Base]],H758)</f>
        <v>5762.02</v>
      </c>
      <c r="J758" t="s">
        <v>5042</v>
      </c>
      <c r="K758" t="s">
        <v>5047</v>
      </c>
      <c r="L758" t="s">
        <v>5053</v>
      </c>
      <c r="M758" t="s">
        <v>5054</v>
      </c>
    </row>
    <row r="759" spans="1:13" x14ac:dyDescent="0.3">
      <c r="A759" s="1">
        <v>45577</v>
      </c>
      <c r="B759" s="1" t="str">
        <f>TEXT(Tabla1[[#This Row],[Fecha]],"MMMM")</f>
        <v>octubre</v>
      </c>
      <c r="C759" t="s">
        <v>769</v>
      </c>
      <c r="D759" t="s">
        <v>5029</v>
      </c>
      <c r="E759" t="s">
        <v>5032</v>
      </c>
      <c r="F759" t="s">
        <v>5040</v>
      </c>
      <c r="G759" s="3">
        <v>11552.14</v>
      </c>
      <c r="H759" s="3">
        <v>0</v>
      </c>
      <c r="I759" s="3">
        <f>SUM(Tabla1[[#This Row],[Monto_Base]],H759)</f>
        <v>11552.14</v>
      </c>
      <c r="J759" t="s">
        <v>5044</v>
      </c>
      <c r="K759" t="s">
        <v>5047</v>
      </c>
      <c r="L759" t="s">
        <v>5053</v>
      </c>
      <c r="M759" t="s">
        <v>5054</v>
      </c>
    </row>
    <row r="760" spans="1:13" x14ac:dyDescent="0.3">
      <c r="A760" s="1">
        <v>45604</v>
      </c>
      <c r="B760" s="1" t="str">
        <f>TEXT(Tabla1[[#This Row],[Fecha]],"MMMM")</f>
        <v>noviembre</v>
      </c>
      <c r="C760" t="s">
        <v>770</v>
      </c>
      <c r="D760" t="s">
        <v>5025</v>
      </c>
      <c r="E760" t="s">
        <v>5033</v>
      </c>
      <c r="F760" t="s">
        <v>5036</v>
      </c>
      <c r="G760" s="3">
        <v>11735.7</v>
      </c>
      <c r="H760" s="3">
        <v>1525.64</v>
      </c>
      <c r="I760" s="3">
        <f>SUM(Tabla1[[#This Row],[Monto_Base]],H760)</f>
        <v>13261.34</v>
      </c>
      <c r="J760" t="s">
        <v>5045</v>
      </c>
      <c r="K760" t="s">
        <v>5049</v>
      </c>
      <c r="L760" t="s">
        <v>5053</v>
      </c>
      <c r="M760" t="s">
        <v>5054</v>
      </c>
    </row>
    <row r="761" spans="1:13" x14ac:dyDescent="0.3">
      <c r="A761" s="1">
        <v>45441</v>
      </c>
      <c r="B761" s="1" t="str">
        <f>TEXT(Tabla1[[#This Row],[Fecha]],"MMMM")</f>
        <v>mayo</v>
      </c>
      <c r="C761" t="s">
        <v>771</v>
      </c>
      <c r="D761" t="s">
        <v>5013</v>
      </c>
      <c r="E761" t="s">
        <v>5033</v>
      </c>
      <c r="F761" t="s">
        <v>5040</v>
      </c>
      <c r="G761" s="3">
        <v>2397.64</v>
      </c>
      <c r="H761" s="3">
        <v>311.69</v>
      </c>
      <c r="I761" s="3">
        <f>SUM(Tabla1[[#This Row],[Monto_Base]],H761)</f>
        <v>2709.33</v>
      </c>
      <c r="J761" t="s">
        <v>5043</v>
      </c>
      <c r="K761" t="s">
        <v>5049</v>
      </c>
      <c r="L761" t="s">
        <v>5050</v>
      </c>
      <c r="M761" t="s">
        <v>5054</v>
      </c>
    </row>
    <row r="762" spans="1:13" x14ac:dyDescent="0.3">
      <c r="A762" s="1">
        <v>45395</v>
      </c>
      <c r="B762" s="1" t="str">
        <f>TEXT(Tabla1[[#This Row],[Fecha]],"MMMM")</f>
        <v>abril</v>
      </c>
      <c r="C762" t="s">
        <v>772</v>
      </c>
      <c r="D762" t="s">
        <v>5015</v>
      </c>
      <c r="E762" t="s">
        <v>5032</v>
      </c>
      <c r="F762" t="s">
        <v>5039</v>
      </c>
      <c r="G762" s="3">
        <v>1888.6</v>
      </c>
      <c r="H762" s="3">
        <v>0</v>
      </c>
      <c r="I762" s="3">
        <f>SUM(Tabla1[[#This Row],[Monto_Base]],H762)</f>
        <v>1888.6</v>
      </c>
      <c r="J762" t="s">
        <v>5043</v>
      </c>
      <c r="K762" t="s">
        <v>5048</v>
      </c>
      <c r="L762" t="s">
        <v>5053</v>
      </c>
      <c r="M762" t="s">
        <v>5054</v>
      </c>
    </row>
    <row r="763" spans="1:13" x14ac:dyDescent="0.3">
      <c r="A763" s="1">
        <v>45482</v>
      </c>
      <c r="B763" s="1" t="str">
        <f>TEXT(Tabla1[[#This Row],[Fecha]],"MMMM")</f>
        <v>julio</v>
      </c>
      <c r="C763" t="s">
        <v>773</v>
      </c>
      <c r="D763" t="s">
        <v>5020</v>
      </c>
      <c r="E763" t="s">
        <v>5032</v>
      </c>
      <c r="F763" t="s">
        <v>5039</v>
      </c>
      <c r="G763" s="3">
        <v>1324.25</v>
      </c>
      <c r="H763" s="3">
        <v>0</v>
      </c>
      <c r="I763" s="3">
        <f>SUM(Tabla1[[#This Row],[Monto_Base]],H763)</f>
        <v>1324.25</v>
      </c>
      <c r="J763" t="s">
        <v>5043</v>
      </c>
      <c r="K763" t="s">
        <v>5048</v>
      </c>
      <c r="L763" t="s">
        <v>5052</v>
      </c>
      <c r="M763" t="s">
        <v>5054</v>
      </c>
    </row>
    <row r="764" spans="1:13" x14ac:dyDescent="0.3">
      <c r="A764" s="1">
        <v>45501</v>
      </c>
      <c r="B764" s="1" t="str">
        <f>TEXT(Tabla1[[#This Row],[Fecha]],"MMMM")</f>
        <v>julio</v>
      </c>
      <c r="C764" t="s">
        <v>774</v>
      </c>
      <c r="D764" t="s">
        <v>5024</v>
      </c>
      <c r="E764" t="s">
        <v>5033</v>
      </c>
      <c r="F764" t="s">
        <v>5037</v>
      </c>
      <c r="G764" s="3">
        <v>6230.47</v>
      </c>
      <c r="H764" s="3">
        <v>809.96</v>
      </c>
      <c r="I764" s="3">
        <f>SUM(Tabla1[[#This Row],[Monto_Base]],H764)</f>
        <v>7040.43</v>
      </c>
      <c r="J764" t="s">
        <v>5043</v>
      </c>
      <c r="K764" t="s">
        <v>5049</v>
      </c>
      <c r="L764" t="s">
        <v>5051</v>
      </c>
      <c r="M764" t="s">
        <v>5054</v>
      </c>
    </row>
    <row r="765" spans="1:13" x14ac:dyDescent="0.3">
      <c r="A765" s="1">
        <v>45453</v>
      </c>
      <c r="B765" s="1" t="str">
        <f>TEXT(Tabla1[[#This Row],[Fecha]],"MMMM")</f>
        <v>junio</v>
      </c>
      <c r="C765" t="s">
        <v>775</v>
      </c>
      <c r="D765" t="s">
        <v>5028</v>
      </c>
      <c r="E765" t="s">
        <v>5033</v>
      </c>
      <c r="F765" t="s">
        <v>5036</v>
      </c>
      <c r="G765" s="3">
        <v>1317.43</v>
      </c>
      <c r="H765" s="3">
        <v>171.27</v>
      </c>
      <c r="I765" s="3">
        <f>SUM(Tabla1[[#This Row],[Monto_Base]],H765)</f>
        <v>1488.7</v>
      </c>
      <c r="J765" t="s">
        <v>5043</v>
      </c>
      <c r="K765" t="s">
        <v>5047</v>
      </c>
      <c r="L765" t="s">
        <v>5050</v>
      </c>
      <c r="M765" t="s">
        <v>5054</v>
      </c>
    </row>
    <row r="766" spans="1:13" x14ac:dyDescent="0.3">
      <c r="A766" s="1">
        <v>45657</v>
      </c>
      <c r="B766" s="1" t="str">
        <f>TEXT(Tabla1[[#This Row],[Fecha]],"MMMM")</f>
        <v>diciembre</v>
      </c>
      <c r="C766" t="s">
        <v>776</v>
      </c>
      <c r="D766" t="s">
        <v>5022</v>
      </c>
      <c r="E766" t="s">
        <v>5033</v>
      </c>
      <c r="F766" t="s">
        <v>5035</v>
      </c>
      <c r="G766" s="3">
        <v>14667.11</v>
      </c>
      <c r="H766" s="3">
        <v>1906.72</v>
      </c>
      <c r="I766" s="3">
        <f>SUM(Tabla1[[#This Row],[Monto_Base]],H766)</f>
        <v>16573.830000000002</v>
      </c>
      <c r="J766" t="s">
        <v>5042</v>
      </c>
      <c r="K766" t="s">
        <v>5048</v>
      </c>
      <c r="L766" t="s">
        <v>5050</v>
      </c>
      <c r="M766" t="s">
        <v>5055</v>
      </c>
    </row>
    <row r="767" spans="1:13" x14ac:dyDescent="0.3">
      <c r="A767" s="1">
        <v>45562</v>
      </c>
      <c r="B767" s="1" t="str">
        <f>TEXT(Tabla1[[#This Row],[Fecha]],"MMMM")</f>
        <v>septiembre</v>
      </c>
      <c r="C767" t="s">
        <v>777</v>
      </c>
      <c r="D767" t="s">
        <v>5020</v>
      </c>
      <c r="E767" t="s">
        <v>5032</v>
      </c>
      <c r="F767" t="s">
        <v>5035</v>
      </c>
      <c r="G767" s="3">
        <v>12413.7</v>
      </c>
      <c r="H767" s="3">
        <v>0</v>
      </c>
      <c r="I767" s="3">
        <f>SUM(Tabla1[[#This Row],[Monto_Base]],H767)</f>
        <v>12413.7</v>
      </c>
      <c r="J767" t="s">
        <v>5042</v>
      </c>
      <c r="K767" t="s">
        <v>5047</v>
      </c>
      <c r="L767" t="s">
        <v>5050</v>
      </c>
      <c r="M767" t="s">
        <v>5055</v>
      </c>
    </row>
    <row r="768" spans="1:13" x14ac:dyDescent="0.3">
      <c r="A768" s="1">
        <v>45624</v>
      </c>
      <c r="B768" s="1" t="str">
        <f>TEXT(Tabla1[[#This Row],[Fecha]],"MMMM")</f>
        <v>noviembre</v>
      </c>
      <c r="C768" t="s">
        <v>778</v>
      </c>
      <c r="D768" t="s">
        <v>5023</v>
      </c>
      <c r="E768" t="s">
        <v>5032</v>
      </c>
      <c r="F768" t="s">
        <v>5040</v>
      </c>
      <c r="G768" s="3">
        <v>13320.74</v>
      </c>
      <c r="H768" s="3">
        <v>0</v>
      </c>
      <c r="I768" s="3">
        <f>SUM(Tabla1[[#This Row],[Monto_Base]],H768)</f>
        <v>13320.74</v>
      </c>
      <c r="J768" t="s">
        <v>5043</v>
      </c>
      <c r="K768" t="s">
        <v>5047</v>
      </c>
      <c r="L768" t="s">
        <v>5051</v>
      </c>
      <c r="M768" t="s">
        <v>5054</v>
      </c>
    </row>
    <row r="769" spans="1:13" x14ac:dyDescent="0.3">
      <c r="A769" s="1">
        <v>45356</v>
      </c>
      <c r="B769" s="1" t="str">
        <f>TEXT(Tabla1[[#This Row],[Fecha]],"MMMM")</f>
        <v>marzo</v>
      </c>
      <c r="C769" t="s">
        <v>779</v>
      </c>
      <c r="D769" t="s">
        <v>5023</v>
      </c>
      <c r="E769" t="s">
        <v>5032</v>
      </c>
      <c r="F769" t="s">
        <v>5037</v>
      </c>
      <c r="G769" s="3">
        <v>10890.23</v>
      </c>
      <c r="H769" s="3">
        <v>0</v>
      </c>
      <c r="I769" s="3">
        <f>SUM(Tabla1[[#This Row],[Monto_Base]],H769)</f>
        <v>10890.23</v>
      </c>
      <c r="J769" t="s">
        <v>5042</v>
      </c>
      <c r="K769" t="s">
        <v>5049</v>
      </c>
      <c r="L769" t="s">
        <v>5051</v>
      </c>
      <c r="M769" t="s">
        <v>5054</v>
      </c>
    </row>
    <row r="770" spans="1:13" x14ac:dyDescent="0.3">
      <c r="A770" s="1">
        <v>45373</v>
      </c>
      <c r="B770" s="1" t="str">
        <f>TEXT(Tabla1[[#This Row],[Fecha]],"MMMM")</f>
        <v>marzo</v>
      </c>
      <c r="C770" t="s">
        <v>780</v>
      </c>
      <c r="D770" t="s">
        <v>5023</v>
      </c>
      <c r="E770" t="s">
        <v>5032</v>
      </c>
      <c r="F770" t="s">
        <v>5040</v>
      </c>
      <c r="G770" s="3">
        <v>11367.84</v>
      </c>
      <c r="H770" s="3">
        <v>0</v>
      </c>
      <c r="I770" s="3">
        <f>SUM(Tabla1[[#This Row],[Monto_Base]],H770)</f>
        <v>11367.84</v>
      </c>
      <c r="J770" t="s">
        <v>5045</v>
      </c>
      <c r="K770" t="s">
        <v>5047</v>
      </c>
      <c r="L770" t="s">
        <v>5051</v>
      </c>
      <c r="M770" t="s">
        <v>5054</v>
      </c>
    </row>
    <row r="771" spans="1:13" x14ac:dyDescent="0.3">
      <c r="A771" s="1">
        <v>45424</v>
      </c>
      <c r="B771" s="1" t="str">
        <f>TEXT(Tabla1[[#This Row],[Fecha]],"MMMM")</f>
        <v>mayo</v>
      </c>
      <c r="C771" t="s">
        <v>781</v>
      </c>
      <c r="D771" t="s">
        <v>5019</v>
      </c>
      <c r="E771" t="s">
        <v>5033</v>
      </c>
      <c r="F771" t="s">
        <v>5035</v>
      </c>
      <c r="G771" s="3">
        <v>12631.67</v>
      </c>
      <c r="H771" s="3">
        <v>1642.12</v>
      </c>
      <c r="I771" s="3">
        <f>SUM(Tabla1[[#This Row],[Monto_Base]],H771)</f>
        <v>14273.79</v>
      </c>
      <c r="J771" t="s">
        <v>5042</v>
      </c>
      <c r="K771" t="s">
        <v>5048</v>
      </c>
      <c r="L771" t="s">
        <v>5053</v>
      </c>
      <c r="M771" t="s">
        <v>5054</v>
      </c>
    </row>
    <row r="772" spans="1:13" x14ac:dyDescent="0.3">
      <c r="A772" s="1">
        <v>45412</v>
      </c>
      <c r="B772" s="1" t="str">
        <f>TEXT(Tabla1[[#This Row],[Fecha]],"MMMM")</f>
        <v>abril</v>
      </c>
      <c r="C772" t="s">
        <v>782</v>
      </c>
      <c r="D772" t="s">
        <v>5018</v>
      </c>
      <c r="E772" t="s">
        <v>5032</v>
      </c>
      <c r="F772" t="s">
        <v>5035</v>
      </c>
      <c r="G772" s="3">
        <v>6824.55</v>
      </c>
      <c r="H772" s="3">
        <v>0</v>
      </c>
      <c r="I772" s="3">
        <f>SUM(Tabla1[[#This Row],[Monto_Base]],H772)</f>
        <v>6824.55</v>
      </c>
      <c r="J772" t="s">
        <v>5042</v>
      </c>
      <c r="K772" t="s">
        <v>5049</v>
      </c>
      <c r="L772" t="s">
        <v>5052</v>
      </c>
      <c r="M772" t="s">
        <v>5055</v>
      </c>
    </row>
    <row r="773" spans="1:13" x14ac:dyDescent="0.3">
      <c r="A773" s="1">
        <v>45418</v>
      </c>
      <c r="B773" s="1" t="str">
        <f>TEXT(Tabla1[[#This Row],[Fecha]],"MMMM")</f>
        <v>mayo</v>
      </c>
      <c r="C773" t="s">
        <v>783</v>
      </c>
      <c r="D773" t="s">
        <v>5029</v>
      </c>
      <c r="E773" t="s">
        <v>5033</v>
      </c>
      <c r="F773" t="s">
        <v>5037</v>
      </c>
      <c r="G773" s="3">
        <v>7819.02</v>
      </c>
      <c r="H773" s="3">
        <v>1016.47</v>
      </c>
      <c r="I773" s="3">
        <f>SUM(Tabla1[[#This Row],[Monto_Base]],H773)</f>
        <v>8835.49</v>
      </c>
      <c r="J773" t="s">
        <v>5045</v>
      </c>
      <c r="K773" t="s">
        <v>5048</v>
      </c>
      <c r="L773" t="s">
        <v>5052</v>
      </c>
      <c r="M773" t="s">
        <v>5055</v>
      </c>
    </row>
    <row r="774" spans="1:13" x14ac:dyDescent="0.3">
      <c r="A774" s="1">
        <v>45333</v>
      </c>
      <c r="B774" s="1" t="str">
        <f>TEXT(Tabla1[[#This Row],[Fecha]],"MMMM")</f>
        <v>febrero</v>
      </c>
      <c r="C774" t="s">
        <v>784</v>
      </c>
      <c r="D774" t="s">
        <v>5030</v>
      </c>
      <c r="E774" t="s">
        <v>5033</v>
      </c>
      <c r="F774" t="s">
        <v>5037</v>
      </c>
      <c r="G774" s="3">
        <v>12435.14</v>
      </c>
      <c r="H774" s="3">
        <v>1616.57</v>
      </c>
      <c r="I774" s="3">
        <f>SUM(Tabla1[[#This Row],[Monto_Base]],H774)</f>
        <v>14051.71</v>
      </c>
      <c r="J774" t="s">
        <v>5045</v>
      </c>
      <c r="K774" t="s">
        <v>5047</v>
      </c>
      <c r="L774" t="s">
        <v>5050</v>
      </c>
      <c r="M774" t="s">
        <v>5054</v>
      </c>
    </row>
    <row r="775" spans="1:13" x14ac:dyDescent="0.3">
      <c r="A775" s="1">
        <v>45561</v>
      </c>
      <c r="B775" s="1" t="str">
        <f>TEXT(Tabla1[[#This Row],[Fecha]],"MMMM")</f>
        <v>septiembre</v>
      </c>
      <c r="C775" t="s">
        <v>785</v>
      </c>
      <c r="D775" t="s">
        <v>5024</v>
      </c>
      <c r="E775" t="s">
        <v>5032</v>
      </c>
      <c r="F775" t="s">
        <v>5036</v>
      </c>
      <c r="G775" s="3">
        <v>5570.95</v>
      </c>
      <c r="H775" s="3">
        <v>0</v>
      </c>
      <c r="I775" s="3">
        <f>SUM(Tabla1[[#This Row],[Monto_Base]],H775)</f>
        <v>5570.95</v>
      </c>
      <c r="J775" t="s">
        <v>5043</v>
      </c>
      <c r="K775" t="s">
        <v>5049</v>
      </c>
      <c r="L775" t="s">
        <v>5050</v>
      </c>
      <c r="M775" t="s">
        <v>5055</v>
      </c>
    </row>
    <row r="776" spans="1:13" x14ac:dyDescent="0.3">
      <c r="A776" s="1">
        <v>45505</v>
      </c>
      <c r="B776" s="1" t="str">
        <f>TEXT(Tabla1[[#This Row],[Fecha]],"MMMM")</f>
        <v>agosto</v>
      </c>
      <c r="C776" t="s">
        <v>786</v>
      </c>
      <c r="D776" t="s">
        <v>5019</v>
      </c>
      <c r="E776" t="s">
        <v>5032</v>
      </c>
      <c r="F776" t="s">
        <v>5041</v>
      </c>
      <c r="G776" s="3">
        <v>10989.17</v>
      </c>
      <c r="H776" s="3">
        <v>0</v>
      </c>
      <c r="I776" s="3">
        <f>SUM(Tabla1[[#This Row],[Monto_Base]],H776)</f>
        <v>10989.17</v>
      </c>
      <c r="J776" t="s">
        <v>5046</v>
      </c>
      <c r="K776" t="s">
        <v>5047</v>
      </c>
      <c r="L776" t="s">
        <v>5052</v>
      </c>
      <c r="M776" t="s">
        <v>5055</v>
      </c>
    </row>
    <row r="777" spans="1:13" x14ac:dyDescent="0.3">
      <c r="A777" s="1">
        <v>45308</v>
      </c>
      <c r="B777" s="1" t="str">
        <f>TEXT(Tabla1[[#This Row],[Fecha]],"MMMM")</f>
        <v>enero</v>
      </c>
      <c r="C777" t="s">
        <v>787</v>
      </c>
      <c r="D777" t="s">
        <v>5028</v>
      </c>
      <c r="E777" t="s">
        <v>5033</v>
      </c>
      <c r="F777" t="s">
        <v>5034</v>
      </c>
      <c r="G777" s="3">
        <v>6858.71</v>
      </c>
      <c r="H777" s="3">
        <v>891.63</v>
      </c>
      <c r="I777" s="3">
        <f>SUM(Tabla1[[#This Row],[Monto_Base]],H777)</f>
        <v>7750.34</v>
      </c>
      <c r="J777" t="s">
        <v>5046</v>
      </c>
      <c r="K777" t="s">
        <v>5049</v>
      </c>
      <c r="L777" t="s">
        <v>5051</v>
      </c>
      <c r="M777" t="s">
        <v>5054</v>
      </c>
    </row>
    <row r="778" spans="1:13" x14ac:dyDescent="0.3">
      <c r="A778" s="1">
        <v>45312</v>
      </c>
      <c r="B778" s="1" t="str">
        <f>TEXT(Tabla1[[#This Row],[Fecha]],"MMMM")</f>
        <v>enero</v>
      </c>
      <c r="C778" t="s">
        <v>788</v>
      </c>
      <c r="D778" t="s">
        <v>5030</v>
      </c>
      <c r="E778" t="s">
        <v>5033</v>
      </c>
      <c r="F778" t="s">
        <v>5040</v>
      </c>
      <c r="G778" s="3">
        <v>8597.8799999999992</v>
      </c>
      <c r="H778" s="3">
        <v>1117.72</v>
      </c>
      <c r="I778" s="3">
        <f>SUM(Tabla1[[#This Row],[Monto_Base]],H778)</f>
        <v>9715.5999999999985</v>
      </c>
      <c r="J778" t="s">
        <v>5042</v>
      </c>
      <c r="K778" t="s">
        <v>5047</v>
      </c>
      <c r="L778" t="s">
        <v>5053</v>
      </c>
      <c r="M778" t="s">
        <v>5055</v>
      </c>
    </row>
    <row r="779" spans="1:13" x14ac:dyDescent="0.3">
      <c r="A779" s="1">
        <v>45365</v>
      </c>
      <c r="B779" s="1" t="str">
        <f>TEXT(Tabla1[[#This Row],[Fecha]],"MMMM")</f>
        <v>marzo</v>
      </c>
      <c r="C779" t="s">
        <v>789</v>
      </c>
      <c r="D779" t="s">
        <v>5020</v>
      </c>
      <c r="E779" t="s">
        <v>5032</v>
      </c>
      <c r="F779" t="s">
        <v>5038</v>
      </c>
      <c r="G779" s="3">
        <v>7314.59</v>
      </c>
      <c r="H779" s="3">
        <v>0</v>
      </c>
      <c r="I779" s="3">
        <f>SUM(Tabla1[[#This Row],[Monto_Base]],H779)</f>
        <v>7314.59</v>
      </c>
      <c r="J779" t="s">
        <v>5046</v>
      </c>
      <c r="K779" t="s">
        <v>5049</v>
      </c>
      <c r="L779" t="s">
        <v>5050</v>
      </c>
      <c r="M779" t="s">
        <v>5054</v>
      </c>
    </row>
    <row r="780" spans="1:13" x14ac:dyDescent="0.3">
      <c r="A780" s="1">
        <v>45542</v>
      </c>
      <c r="B780" s="1" t="str">
        <f>TEXT(Tabla1[[#This Row],[Fecha]],"MMMM")</f>
        <v>septiembre</v>
      </c>
      <c r="C780" t="s">
        <v>790</v>
      </c>
      <c r="D780" t="s">
        <v>5029</v>
      </c>
      <c r="E780" t="s">
        <v>5033</v>
      </c>
      <c r="F780" t="s">
        <v>5039</v>
      </c>
      <c r="G780" s="3">
        <v>12295.92</v>
      </c>
      <c r="H780" s="3">
        <v>1598.47</v>
      </c>
      <c r="I780" s="3">
        <f>SUM(Tabla1[[#This Row],[Monto_Base]],H780)</f>
        <v>13894.39</v>
      </c>
      <c r="J780" t="s">
        <v>5045</v>
      </c>
      <c r="K780" t="s">
        <v>5047</v>
      </c>
      <c r="L780" t="s">
        <v>5051</v>
      </c>
      <c r="M780" t="s">
        <v>5054</v>
      </c>
    </row>
    <row r="781" spans="1:13" x14ac:dyDescent="0.3">
      <c r="A781" s="1">
        <v>45464</v>
      </c>
      <c r="B781" s="1" t="str">
        <f>TEXT(Tabla1[[#This Row],[Fecha]],"MMMM")</f>
        <v>junio</v>
      </c>
      <c r="C781" t="s">
        <v>791</v>
      </c>
      <c r="D781" t="s">
        <v>5027</v>
      </c>
      <c r="E781" t="s">
        <v>5032</v>
      </c>
      <c r="F781" t="s">
        <v>5038</v>
      </c>
      <c r="G781" s="3">
        <v>8508.17</v>
      </c>
      <c r="H781" s="3">
        <v>0</v>
      </c>
      <c r="I781" s="3">
        <f>SUM(Tabla1[[#This Row],[Monto_Base]],H781)</f>
        <v>8508.17</v>
      </c>
      <c r="J781" t="s">
        <v>5043</v>
      </c>
      <c r="K781" t="s">
        <v>5048</v>
      </c>
      <c r="L781" t="s">
        <v>5052</v>
      </c>
      <c r="M781" t="s">
        <v>5054</v>
      </c>
    </row>
    <row r="782" spans="1:13" x14ac:dyDescent="0.3">
      <c r="A782" s="1">
        <v>45458</v>
      </c>
      <c r="B782" s="1" t="str">
        <f>TEXT(Tabla1[[#This Row],[Fecha]],"MMMM")</f>
        <v>junio</v>
      </c>
      <c r="C782" t="s">
        <v>792</v>
      </c>
      <c r="D782" t="s">
        <v>5025</v>
      </c>
      <c r="E782" t="s">
        <v>5032</v>
      </c>
      <c r="F782" t="s">
        <v>5039</v>
      </c>
      <c r="G782" s="3">
        <v>13001.87</v>
      </c>
      <c r="H782" s="3">
        <v>0</v>
      </c>
      <c r="I782" s="3">
        <f>SUM(Tabla1[[#This Row],[Monto_Base]],H782)</f>
        <v>13001.87</v>
      </c>
      <c r="J782" t="s">
        <v>5045</v>
      </c>
      <c r="K782" t="s">
        <v>5049</v>
      </c>
      <c r="L782" t="s">
        <v>5050</v>
      </c>
      <c r="M782" t="s">
        <v>5055</v>
      </c>
    </row>
    <row r="783" spans="1:13" x14ac:dyDescent="0.3">
      <c r="A783" s="1">
        <v>45518</v>
      </c>
      <c r="B783" s="1" t="str">
        <f>TEXT(Tabla1[[#This Row],[Fecha]],"MMMM")</f>
        <v>agosto</v>
      </c>
      <c r="C783" t="s">
        <v>793</v>
      </c>
      <c r="D783" t="s">
        <v>5027</v>
      </c>
      <c r="E783" t="s">
        <v>5032</v>
      </c>
      <c r="F783" t="s">
        <v>5035</v>
      </c>
      <c r="G783" s="3">
        <v>14373.29</v>
      </c>
      <c r="H783" s="3">
        <v>0</v>
      </c>
      <c r="I783" s="3">
        <f>SUM(Tabla1[[#This Row],[Monto_Base]],H783)</f>
        <v>14373.29</v>
      </c>
      <c r="J783" t="s">
        <v>5044</v>
      </c>
      <c r="K783" t="s">
        <v>5049</v>
      </c>
      <c r="L783" t="s">
        <v>5053</v>
      </c>
      <c r="M783" t="s">
        <v>5054</v>
      </c>
    </row>
    <row r="784" spans="1:13" x14ac:dyDescent="0.3">
      <c r="A784" s="1">
        <v>45335</v>
      </c>
      <c r="B784" s="1" t="str">
        <f>TEXT(Tabla1[[#This Row],[Fecha]],"MMMM")</f>
        <v>febrero</v>
      </c>
      <c r="C784" t="s">
        <v>794</v>
      </c>
      <c r="D784" t="s">
        <v>5031</v>
      </c>
      <c r="E784" t="s">
        <v>5032</v>
      </c>
      <c r="F784" t="s">
        <v>5036</v>
      </c>
      <c r="G784" s="3">
        <v>9676.52</v>
      </c>
      <c r="H784" s="3">
        <v>0</v>
      </c>
      <c r="I784" s="3">
        <f>SUM(Tabla1[[#This Row],[Monto_Base]],H784)</f>
        <v>9676.52</v>
      </c>
      <c r="J784" t="s">
        <v>5046</v>
      </c>
      <c r="K784" t="s">
        <v>5049</v>
      </c>
      <c r="L784" t="s">
        <v>5053</v>
      </c>
      <c r="M784" t="s">
        <v>5054</v>
      </c>
    </row>
    <row r="785" spans="1:13" x14ac:dyDescent="0.3">
      <c r="A785" s="1">
        <v>45564</v>
      </c>
      <c r="B785" s="1" t="str">
        <f>TEXT(Tabla1[[#This Row],[Fecha]],"MMMM")</f>
        <v>septiembre</v>
      </c>
      <c r="C785" t="s">
        <v>795</v>
      </c>
      <c r="D785" t="s">
        <v>5016</v>
      </c>
      <c r="E785" t="s">
        <v>5033</v>
      </c>
      <c r="F785" t="s">
        <v>5036</v>
      </c>
      <c r="G785" s="3">
        <v>9890.9</v>
      </c>
      <c r="H785" s="3">
        <v>1285.82</v>
      </c>
      <c r="I785" s="3">
        <f>SUM(Tabla1[[#This Row],[Monto_Base]],H785)</f>
        <v>11176.72</v>
      </c>
      <c r="J785" t="s">
        <v>5046</v>
      </c>
      <c r="K785" t="s">
        <v>5047</v>
      </c>
      <c r="L785" t="s">
        <v>5051</v>
      </c>
      <c r="M785" t="s">
        <v>5054</v>
      </c>
    </row>
    <row r="786" spans="1:13" x14ac:dyDescent="0.3">
      <c r="A786" s="1">
        <v>45602</v>
      </c>
      <c r="B786" s="1" t="str">
        <f>TEXT(Tabla1[[#This Row],[Fecha]],"MMMM")</f>
        <v>noviembre</v>
      </c>
      <c r="C786" t="s">
        <v>796</v>
      </c>
      <c r="D786" t="s">
        <v>5031</v>
      </c>
      <c r="E786" t="s">
        <v>5032</v>
      </c>
      <c r="F786" t="s">
        <v>5036</v>
      </c>
      <c r="G786" s="3">
        <v>12113.47</v>
      </c>
      <c r="H786" s="3">
        <v>0</v>
      </c>
      <c r="I786" s="3">
        <f>SUM(Tabla1[[#This Row],[Monto_Base]],H786)</f>
        <v>12113.47</v>
      </c>
      <c r="J786" t="s">
        <v>5044</v>
      </c>
      <c r="K786" t="s">
        <v>5048</v>
      </c>
      <c r="L786" t="s">
        <v>5053</v>
      </c>
      <c r="M786" t="s">
        <v>5055</v>
      </c>
    </row>
    <row r="787" spans="1:13" x14ac:dyDescent="0.3">
      <c r="A787" s="1">
        <v>45562</v>
      </c>
      <c r="B787" s="1" t="str">
        <f>TEXT(Tabla1[[#This Row],[Fecha]],"MMMM")</f>
        <v>septiembre</v>
      </c>
      <c r="C787" t="s">
        <v>797</v>
      </c>
      <c r="D787" t="s">
        <v>5015</v>
      </c>
      <c r="E787" t="s">
        <v>5032</v>
      </c>
      <c r="F787" t="s">
        <v>5039</v>
      </c>
      <c r="G787" s="3">
        <v>6253.3</v>
      </c>
      <c r="H787" s="3">
        <v>0</v>
      </c>
      <c r="I787" s="3">
        <f>SUM(Tabla1[[#This Row],[Monto_Base]],H787)</f>
        <v>6253.3</v>
      </c>
      <c r="J787" t="s">
        <v>5044</v>
      </c>
      <c r="K787" t="s">
        <v>5048</v>
      </c>
      <c r="L787" t="s">
        <v>5051</v>
      </c>
      <c r="M787" t="s">
        <v>5054</v>
      </c>
    </row>
    <row r="788" spans="1:13" x14ac:dyDescent="0.3">
      <c r="A788" s="1">
        <v>45422</v>
      </c>
      <c r="B788" s="1" t="str">
        <f>TEXT(Tabla1[[#This Row],[Fecha]],"MMMM")</f>
        <v>mayo</v>
      </c>
      <c r="C788" t="s">
        <v>798</v>
      </c>
      <c r="D788" t="s">
        <v>5013</v>
      </c>
      <c r="E788" t="s">
        <v>5033</v>
      </c>
      <c r="F788" t="s">
        <v>5038</v>
      </c>
      <c r="G788" s="3">
        <v>2203.31</v>
      </c>
      <c r="H788" s="3">
        <v>286.43</v>
      </c>
      <c r="I788" s="3">
        <f>SUM(Tabla1[[#This Row],[Monto_Base]],H788)</f>
        <v>2489.7399999999998</v>
      </c>
      <c r="J788" t="s">
        <v>5045</v>
      </c>
      <c r="K788" t="s">
        <v>5047</v>
      </c>
      <c r="L788" t="s">
        <v>5051</v>
      </c>
      <c r="M788" t="s">
        <v>5055</v>
      </c>
    </row>
    <row r="789" spans="1:13" x14ac:dyDescent="0.3">
      <c r="A789" s="1">
        <v>45321</v>
      </c>
      <c r="B789" s="1" t="str">
        <f>TEXT(Tabla1[[#This Row],[Fecha]],"MMMM")</f>
        <v>enero</v>
      </c>
      <c r="C789" t="s">
        <v>799</v>
      </c>
      <c r="D789" t="s">
        <v>5012</v>
      </c>
      <c r="E789" t="s">
        <v>5032</v>
      </c>
      <c r="F789" t="s">
        <v>5039</v>
      </c>
      <c r="G789" s="3">
        <v>456.21</v>
      </c>
      <c r="H789" s="3">
        <v>0</v>
      </c>
      <c r="I789" s="3">
        <f>SUM(Tabla1[[#This Row],[Monto_Base]],H789)</f>
        <v>456.21</v>
      </c>
      <c r="J789" t="s">
        <v>5044</v>
      </c>
      <c r="K789" t="s">
        <v>5048</v>
      </c>
      <c r="L789" t="s">
        <v>5053</v>
      </c>
      <c r="M789" t="s">
        <v>5055</v>
      </c>
    </row>
    <row r="790" spans="1:13" x14ac:dyDescent="0.3">
      <c r="A790" s="1">
        <v>45353</v>
      </c>
      <c r="B790" s="1" t="str">
        <f>TEXT(Tabla1[[#This Row],[Fecha]],"MMMM")</f>
        <v>marzo</v>
      </c>
      <c r="C790" t="s">
        <v>800</v>
      </c>
      <c r="D790" t="s">
        <v>5027</v>
      </c>
      <c r="E790" t="s">
        <v>5032</v>
      </c>
      <c r="F790" t="s">
        <v>5038</v>
      </c>
      <c r="G790" s="3">
        <v>5663.92</v>
      </c>
      <c r="H790" s="3">
        <v>0</v>
      </c>
      <c r="I790" s="3">
        <f>SUM(Tabla1[[#This Row],[Monto_Base]],H790)</f>
        <v>5663.92</v>
      </c>
      <c r="J790" t="s">
        <v>5045</v>
      </c>
      <c r="K790" t="s">
        <v>5047</v>
      </c>
      <c r="L790" t="s">
        <v>5052</v>
      </c>
      <c r="M790" t="s">
        <v>5054</v>
      </c>
    </row>
    <row r="791" spans="1:13" x14ac:dyDescent="0.3">
      <c r="A791" s="1">
        <v>45454</v>
      </c>
      <c r="B791" s="1" t="str">
        <f>TEXT(Tabla1[[#This Row],[Fecha]],"MMMM")</f>
        <v>junio</v>
      </c>
      <c r="C791" t="s">
        <v>801</v>
      </c>
      <c r="D791" t="s">
        <v>5016</v>
      </c>
      <c r="E791" t="s">
        <v>5032</v>
      </c>
      <c r="F791" t="s">
        <v>5036</v>
      </c>
      <c r="G791" s="3">
        <v>4075.85</v>
      </c>
      <c r="H791" s="3">
        <v>0</v>
      </c>
      <c r="I791" s="3">
        <f>SUM(Tabla1[[#This Row],[Monto_Base]],H791)</f>
        <v>4075.85</v>
      </c>
      <c r="J791" t="s">
        <v>5043</v>
      </c>
      <c r="K791" t="s">
        <v>5049</v>
      </c>
      <c r="L791" t="s">
        <v>5050</v>
      </c>
      <c r="M791" t="s">
        <v>5054</v>
      </c>
    </row>
    <row r="792" spans="1:13" x14ac:dyDescent="0.3">
      <c r="A792" s="1">
        <v>45301</v>
      </c>
      <c r="B792" s="1" t="str">
        <f>TEXT(Tabla1[[#This Row],[Fecha]],"MMMM")</f>
        <v>enero</v>
      </c>
      <c r="C792" t="s">
        <v>802</v>
      </c>
      <c r="D792" t="s">
        <v>5022</v>
      </c>
      <c r="E792" t="s">
        <v>5032</v>
      </c>
      <c r="F792" t="s">
        <v>5034</v>
      </c>
      <c r="G792" s="3">
        <v>13710.34</v>
      </c>
      <c r="H792" s="3">
        <v>0</v>
      </c>
      <c r="I792" s="3">
        <f>SUM(Tabla1[[#This Row],[Monto_Base]],H792)</f>
        <v>13710.34</v>
      </c>
      <c r="J792" t="s">
        <v>5044</v>
      </c>
      <c r="K792" t="s">
        <v>5049</v>
      </c>
      <c r="L792" t="s">
        <v>5053</v>
      </c>
      <c r="M792" t="s">
        <v>5054</v>
      </c>
    </row>
    <row r="793" spans="1:13" x14ac:dyDescent="0.3">
      <c r="A793" s="1">
        <v>45617</v>
      </c>
      <c r="B793" s="1" t="str">
        <f>TEXT(Tabla1[[#This Row],[Fecha]],"MMMM")</f>
        <v>noviembre</v>
      </c>
      <c r="C793" t="s">
        <v>803</v>
      </c>
      <c r="D793" t="s">
        <v>5021</v>
      </c>
      <c r="E793" t="s">
        <v>5032</v>
      </c>
      <c r="F793" t="s">
        <v>5041</v>
      </c>
      <c r="G793" s="3">
        <v>1304.43</v>
      </c>
      <c r="H793" s="3">
        <v>0</v>
      </c>
      <c r="I793" s="3">
        <f>SUM(Tabla1[[#This Row],[Monto_Base]],H793)</f>
        <v>1304.43</v>
      </c>
      <c r="J793" t="s">
        <v>5042</v>
      </c>
      <c r="K793" t="s">
        <v>5047</v>
      </c>
      <c r="L793" t="s">
        <v>5052</v>
      </c>
      <c r="M793" t="s">
        <v>5055</v>
      </c>
    </row>
    <row r="794" spans="1:13" x14ac:dyDescent="0.3">
      <c r="A794" s="1">
        <v>45529</v>
      </c>
      <c r="B794" s="1" t="str">
        <f>TEXT(Tabla1[[#This Row],[Fecha]],"MMMM")</f>
        <v>agosto</v>
      </c>
      <c r="C794" t="s">
        <v>804</v>
      </c>
      <c r="D794" t="s">
        <v>5017</v>
      </c>
      <c r="E794" t="s">
        <v>5032</v>
      </c>
      <c r="F794" t="s">
        <v>5041</v>
      </c>
      <c r="G794" s="3">
        <v>674.79</v>
      </c>
      <c r="H794" s="3">
        <v>0</v>
      </c>
      <c r="I794" s="3">
        <f>SUM(Tabla1[[#This Row],[Monto_Base]],H794)</f>
        <v>674.79</v>
      </c>
      <c r="J794" t="s">
        <v>5042</v>
      </c>
      <c r="K794" t="s">
        <v>5048</v>
      </c>
      <c r="L794" t="s">
        <v>5052</v>
      </c>
      <c r="M794" t="s">
        <v>5054</v>
      </c>
    </row>
    <row r="795" spans="1:13" x14ac:dyDescent="0.3">
      <c r="A795" s="1">
        <v>45486</v>
      </c>
      <c r="B795" s="1" t="str">
        <f>TEXT(Tabla1[[#This Row],[Fecha]],"MMMM")</f>
        <v>julio</v>
      </c>
      <c r="C795" t="s">
        <v>805</v>
      </c>
      <c r="D795" t="s">
        <v>5018</v>
      </c>
      <c r="E795" t="s">
        <v>5032</v>
      </c>
      <c r="F795" t="s">
        <v>5038</v>
      </c>
      <c r="G795" s="3">
        <v>12600.34</v>
      </c>
      <c r="H795" s="3">
        <v>0</v>
      </c>
      <c r="I795" s="3">
        <f>SUM(Tabla1[[#This Row],[Monto_Base]],H795)</f>
        <v>12600.34</v>
      </c>
      <c r="J795" t="s">
        <v>5044</v>
      </c>
      <c r="K795" t="s">
        <v>5049</v>
      </c>
      <c r="L795" t="s">
        <v>5052</v>
      </c>
      <c r="M795" t="s">
        <v>5055</v>
      </c>
    </row>
    <row r="796" spans="1:13" x14ac:dyDescent="0.3">
      <c r="A796" s="1">
        <v>45649</v>
      </c>
      <c r="B796" s="1" t="str">
        <f>TEXT(Tabla1[[#This Row],[Fecha]],"MMMM")</f>
        <v>diciembre</v>
      </c>
      <c r="C796" t="s">
        <v>806</v>
      </c>
      <c r="D796" t="s">
        <v>5026</v>
      </c>
      <c r="E796" t="s">
        <v>5033</v>
      </c>
      <c r="F796" t="s">
        <v>5038</v>
      </c>
      <c r="G796" s="3">
        <v>1391.24</v>
      </c>
      <c r="H796" s="3">
        <v>180.86</v>
      </c>
      <c r="I796" s="3">
        <f>SUM(Tabla1[[#This Row],[Monto_Base]],H796)</f>
        <v>1572.1</v>
      </c>
      <c r="J796" t="s">
        <v>5045</v>
      </c>
      <c r="K796" t="s">
        <v>5047</v>
      </c>
      <c r="L796" t="s">
        <v>5051</v>
      </c>
      <c r="M796" t="s">
        <v>5055</v>
      </c>
    </row>
    <row r="797" spans="1:13" x14ac:dyDescent="0.3">
      <c r="A797" s="1">
        <v>45654</v>
      </c>
      <c r="B797" s="1" t="str">
        <f>TEXT(Tabla1[[#This Row],[Fecha]],"MMMM")</f>
        <v>diciembre</v>
      </c>
      <c r="C797" t="s">
        <v>807</v>
      </c>
      <c r="D797" t="s">
        <v>5031</v>
      </c>
      <c r="E797" t="s">
        <v>5032</v>
      </c>
      <c r="F797" t="s">
        <v>5040</v>
      </c>
      <c r="G797" s="3">
        <v>9545.7900000000009</v>
      </c>
      <c r="H797" s="3">
        <v>0</v>
      </c>
      <c r="I797" s="3">
        <f>SUM(Tabla1[[#This Row],[Monto_Base]],H797)</f>
        <v>9545.7900000000009</v>
      </c>
      <c r="J797" t="s">
        <v>5043</v>
      </c>
      <c r="K797" t="s">
        <v>5048</v>
      </c>
      <c r="L797" t="s">
        <v>5052</v>
      </c>
      <c r="M797" t="s">
        <v>5055</v>
      </c>
    </row>
    <row r="798" spans="1:13" x14ac:dyDescent="0.3">
      <c r="A798" s="1">
        <v>45646</v>
      </c>
      <c r="B798" s="1" t="str">
        <f>TEXT(Tabla1[[#This Row],[Fecha]],"MMMM")</f>
        <v>diciembre</v>
      </c>
      <c r="C798" t="s">
        <v>808</v>
      </c>
      <c r="D798" t="s">
        <v>5024</v>
      </c>
      <c r="E798" t="s">
        <v>5032</v>
      </c>
      <c r="F798" t="s">
        <v>5040</v>
      </c>
      <c r="G798" s="3">
        <v>287.33</v>
      </c>
      <c r="H798" s="3">
        <v>0</v>
      </c>
      <c r="I798" s="3">
        <f>SUM(Tabla1[[#This Row],[Monto_Base]],H798)</f>
        <v>287.33</v>
      </c>
      <c r="J798" t="s">
        <v>5046</v>
      </c>
      <c r="K798" t="s">
        <v>5049</v>
      </c>
      <c r="L798" t="s">
        <v>5053</v>
      </c>
      <c r="M798" t="s">
        <v>5055</v>
      </c>
    </row>
    <row r="799" spans="1:13" x14ac:dyDescent="0.3">
      <c r="A799" s="1">
        <v>45648</v>
      </c>
      <c r="B799" s="1" t="str">
        <f>TEXT(Tabla1[[#This Row],[Fecha]],"MMMM")</f>
        <v>diciembre</v>
      </c>
      <c r="C799" t="s">
        <v>809</v>
      </c>
      <c r="D799" t="s">
        <v>5012</v>
      </c>
      <c r="E799" t="s">
        <v>5033</v>
      </c>
      <c r="F799" t="s">
        <v>5037</v>
      </c>
      <c r="G799" s="3">
        <v>8359.07</v>
      </c>
      <c r="H799" s="3">
        <v>1086.68</v>
      </c>
      <c r="I799" s="3">
        <f>SUM(Tabla1[[#This Row],[Monto_Base]],H799)</f>
        <v>9445.75</v>
      </c>
      <c r="J799" t="s">
        <v>5043</v>
      </c>
      <c r="K799" t="s">
        <v>5048</v>
      </c>
      <c r="L799" t="s">
        <v>5053</v>
      </c>
      <c r="M799" t="s">
        <v>5054</v>
      </c>
    </row>
    <row r="800" spans="1:13" x14ac:dyDescent="0.3">
      <c r="A800" s="1">
        <v>45484</v>
      </c>
      <c r="B800" s="1" t="str">
        <f>TEXT(Tabla1[[#This Row],[Fecha]],"MMMM")</f>
        <v>julio</v>
      </c>
      <c r="C800" t="s">
        <v>810</v>
      </c>
      <c r="D800" t="s">
        <v>5018</v>
      </c>
      <c r="E800" t="s">
        <v>5033</v>
      </c>
      <c r="F800" t="s">
        <v>5040</v>
      </c>
      <c r="G800" s="3">
        <v>14581.98</v>
      </c>
      <c r="H800" s="3">
        <v>1895.66</v>
      </c>
      <c r="I800" s="3">
        <f>SUM(Tabla1[[#This Row],[Monto_Base]],H800)</f>
        <v>16477.64</v>
      </c>
      <c r="J800" t="s">
        <v>5042</v>
      </c>
      <c r="K800" t="s">
        <v>5048</v>
      </c>
      <c r="L800" t="s">
        <v>5050</v>
      </c>
      <c r="M800" t="s">
        <v>5054</v>
      </c>
    </row>
    <row r="801" spans="1:13" x14ac:dyDescent="0.3">
      <c r="A801" s="1">
        <v>45519</v>
      </c>
      <c r="B801" s="1" t="str">
        <f>TEXT(Tabla1[[#This Row],[Fecha]],"MMMM")</f>
        <v>agosto</v>
      </c>
      <c r="C801" t="s">
        <v>811</v>
      </c>
      <c r="D801" t="s">
        <v>5013</v>
      </c>
      <c r="E801" t="s">
        <v>5032</v>
      </c>
      <c r="F801" t="s">
        <v>5040</v>
      </c>
      <c r="G801" s="3">
        <v>14046.91</v>
      </c>
      <c r="H801" s="3">
        <v>0</v>
      </c>
      <c r="I801" s="3">
        <f>SUM(Tabla1[[#This Row],[Monto_Base]],H801)</f>
        <v>14046.91</v>
      </c>
      <c r="J801" t="s">
        <v>5045</v>
      </c>
      <c r="K801" t="s">
        <v>5047</v>
      </c>
      <c r="L801" t="s">
        <v>5053</v>
      </c>
      <c r="M801" t="s">
        <v>5055</v>
      </c>
    </row>
    <row r="802" spans="1:13" x14ac:dyDescent="0.3">
      <c r="A802" s="1">
        <v>45405</v>
      </c>
      <c r="B802" s="1" t="str">
        <f>TEXT(Tabla1[[#This Row],[Fecha]],"MMMM")</f>
        <v>abril</v>
      </c>
      <c r="C802" t="s">
        <v>812</v>
      </c>
      <c r="D802" t="s">
        <v>5024</v>
      </c>
      <c r="E802" t="s">
        <v>5033</v>
      </c>
      <c r="F802" t="s">
        <v>5038</v>
      </c>
      <c r="G802" s="3">
        <v>12135.8</v>
      </c>
      <c r="H802" s="3">
        <v>1577.65</v>
      </c>
      <c r="I802" s="3">
        <f>SUM(Tabla1[[#This Row],[Monto_Base]],H802)</f>
        <v>13713.449999999999</v>
      </c>
      <c r="J802" t="s">
        <v>5046</v>
      </c>
      <c r="K802" t="s">
        <v>5048</v>
      </c>
      <c r="L802" t="s">
        <v>5051</v>
      </c>
      <c r="M802" t="s">
        <v>5054</v>
      </c>
    </row>
    <row r="803" spans="1:13" x14ac:dyDescent="0.3">
      <c r="A803" s="1">
        <v>45618</v>
      </c>
      <c r="B803" s="1" t="str">
        <f>TEXT(Tabla1[[#This Row],[Fecha]],"MMMM")</f>
        <v>noviembre</v>
      </c>
      <c r="C803" t="s">
        <v>813</v>
      </c>
      <c r="D803" t="s">
        <v>5025</v>
      </c>
      <c r="E803" t="s">
        <v>5033</v>
      </c>
      <c r="F803" t="s">
        <v>5035</v>
      </c>
      <c r="G803" s="3">
        <v>2981.5</v>
      </c>
      <c r="H803" s="3">
        <v>387.6</v>
      </c>
      <c r="I803" s="3">
        <f>SUM(Tabla1[[#This Row],[Monto_Base]],H803)</f>
        <v>3369.1</v>
      </c>
      <c r="J803" t="s">
        <v>5043</v>
      </c>
      <c r="K803" t="s">
        <v>5047</v>
      </c>
      <c r="L803" t="s">
        <v>5051</v>
      </c>
      <c r="M803" t="s">
        <v>5055</v>
      </c>
    </row>
    <row r="804" spans="1:13" x14ac:dyDescent="0.3">
      <c r="A804" s="1">
        <v>45357</v>
      </c>
      <c r="B804" s="1" t="str">
        <f>TEXT(Tabla1[[#This Row],[Fecha]],"MMMM")</f>
        <v>marzo</v>
      </c>
      <c r="C804" t="s">
        <v>814</v>
      </c>
      <c r="D804" t="s">
        <v>5023</v>
      </c>
      <c r="E804" t="s">
        <v>5033</v>
      </c>
      <c r="F804" t="s">
        <v>5039</v>
      </c>
      <c r="G804" s="3">
        <v>1027.1400000000001</v>
      </c>
      <c r="H804" s="3">
        <v>133.53</v>
      </c>
      <c r="I804" s="3">
        <f>SUM(Tabla1[[#This Row],[Monto_Base]],H804)</f>
        <v>1160.67</v>
      </c>
      <c r="J804" t="s">
        <v>5045</v>
      </c>
      <c r="K804" t="s">
        <v>5047</v>
      </c>
      <c r="L804" t="s">
        <v>5051</v>
      </c>
      <c r="M804" t="s">
        <v>5054</v>
      </c>
    </row>
    <row r="805" spans="1:13" x14ac:dyDescent="0.3">
      <c r="A805" s="1">
        <v>45524</v>
      </c>
      <c r="B805" s="1" t="str">
        <f>TEXT(Tabla1[[#This Row],[Fecha]],"MMMM")</f>
        <v>agosto</v>
      </c>
      <c r="C805" t="s">
        <v>815</v>
      </c>
      <c r="D805" t="s">
        <v>5024</v>
      </c>
      <c r="E805" t="s">
        <v>5033</v>
      </c>
      <c r="F805" t="s">
        <v>5038</v>
      </c>
      <c r="G805" s="3">
        <v>10226.17</v>
      </c>
      <c r="H805" s="3">
        <v>1329.4</v>
      </c>
      <c r="I805" s="3">
        <f>SUM(Tabla1[[#This Row],[Monto_Base]],H805)</f>
        <v>11555.57</v>
      </c>
      <c r="J805" t="s">
        <v>5045</v>
      </c>
      <c r="K805" t="s">
        <v>5048</v>
      </c>
      <c r="L805" t="s">
        <v>5053</v>
      </c>
      <c r="M805" t="s">
        <v>5055</v>
      </c>
    </row>
    <row r="806" spans="1:13" x14ac:dyDescent="0.3">
      <c r="A806" s="1">
        <v>45530</v>
      </c>
      <c r="B806" s="1" t="str">
        <f>TEXT(Tabla1[[#This Row],[Fecha]],"MMMM")</f>
        <v>agosto</v>
      </c>
      <c r="C806" t="s">
        <v>816</v>
      </c>
      <c r="D806" t="s">
        <v>5019</v>
      </c>
      <c r="E806" t="s">
        <v>5032</v>
      </c>
      <c r="F806" t="s">
        <v>5036</v>
      </c>
      <c r="G806" s="3">
        <v>10218.59</v>
      </c>
      <c r="H806" s="3">
        <v>0</v>
      </c>
      <c r="I806" s="3">
        <f>SUM(Tabla1[[#This Row],[Monto_Base]],H806)</f>
        <v>10218.59</v>
      </c>
      <c r="J806" t="s">
        <v>5043</v>
      </c>
      <c r="K806" t="s">
        <v>5048</v>
      </c>
      <c r="L806" t="s">
        <v>5053</v>
      </c>
      <c r="M806" t="s">
        <v>5054</v>
      </c>
    </row>
    <row r="807" spans="1:13" x14ac:dyDescent="0.3">
      <c r="A807" s="1">
        <v>45492</v>
      </c>
      <c r="B807" s="1" t="str">
        <f>TEXT(Tabla1[[#This Row],[Fecha]],"MMMM")</f>
        <v>julio</v>
      </c>
      <c r="C807" t="s">
        <v>817</v>
      </c>
      <c r="D807" t="s">
        <v>5021</v>
      </c>
      <c r="E807" t="s">
        <v>5032</v>
      </c>
      <c r="F807" t="s">
        <v>5041</v>
      </c>
      <c r="G807" s="3">
        <v>4777.82</v>
      </c>
      <c r="H807" s="3">
        <v>0</v>
      </c>
      <c r="I807" s="3">
        <f>SUM(Tabla1[[#This Row],[Monto_Base]],H807)</f>
        <v>4777.82</v>
      </c>
      <c r="J807" t="s">
        <v>5046</v>
      </c>
      <c r="K807" t="s">
        <v>5048</v>
      </c>
      <c r="L807" t="s">
        <v>5053</v>
      </c>
      <c r="M807" t="s">
        <v>5054</v>
      </c>
    </row>
    <row r="808" spans="1:13" x14ac:dyDescent="0.3">
      <c r="A808" s="1">
        <v>45460</v>
      </c>
      <c r="B808" s="1" t="str">
        <f>TEXT(Tabla1[[#This Row],[Fecha]],"MMMM")</f>
        <v>junio</v>
      </c>
      <c r="C808" t="s">
        <v>818</v>
      </c>
      <c r="D808" t="s">
        <v>5027</v>
      </c>
      <c r="E808" t="s">
        <v>5033</v>
      </c>
      <c r="F808" t="s">
        <v>5034</v>
      </c>
      <c r="G808" s="3">
        <v>2993.31</v>
      </c>
      <c r="H808" s="3">
        <v>389.13</v>
      </c>
      <c r="I808" s="3">
        <f>SUM(Tabla1[[#This Row],[Monto_Base]],H808)</f>
        <v>3382.44</v>
      </c>
      <c r="J808" t="s">
        <v>5044</v>
      </c>
      <c r="K808" t="s">
        <v>5047</v>
      </c>
      <c r="L808" t="s">
        <v>5053</v>
      </c>
      <c r="M808" t="s">
        <v>5054</v>
      </c>
    </row>
    <row r="809" spans="1:13" x14ac:dyDescent="0.3">
      <c r="A809" s="1">
        <v>45418</v>
      </c>
      <c r="B809" s="1" t="str">
        <f>TEXT(Tabla1[[#This Row],[Fecha]],"MMMM")</f>
        <v>mayo</v>
      </c>
      <c r="C809" t="s">
        <v>819</v>
      </c>
      <c r="D809" t="s">
        <v>5019</v>
      </c>
      <c r="E809" t="s">
        <v>5033</v>
      </c>
      <c r="F809" t="s">
        <v>5040</v>
      </c>
      <c r="G809" s="3">
        <v>12615.59</v>
      </c>
      <c r="H809" s="3">
        <v>1640.03</v>
      </c>
      <c r="I809" s="3">
        <f>SUM(Tabla1[[#This Row],[Monto_Base]],H809)</f>
        <v>14255.62</v>
      </c>
      <c r="J809" t="s">
        <v>5045</v>
      </c>
      <c r="K809" t="s">
        <v>5048</v>
      </c>
      <c r="L809" t="s">
        <v>5052</v>
      </c>
      <c r="M809" t="s">
        <v>5055</v>
      </c>
    </row>
    <row r="810" spans="1:13" x14ac:dyDescent="0.3">
      <c r="A810" s="1">
        <v>45609</v>
      </c>
      <c r="B810" s="1" t="str">
        <f>TEXT(Tabla1[[#This Row],[Fecha]],"MMMM")</f>
        <v>noviembre</v>
      </c>
      <c r="C810" t="s">
        <v>820</v>
      </c>
      <c r="D810" t="s">
        <v>5015</v>
      </c>
      <c r="E810" t="s">
        <v>5033</v>
      </c>
      <c r="F810" t="s">
        <v>5036</v>
      </c>
      <c r="G810" s="3">
        <v>11647.45</v>
      </c>
      <c r="H810" s="3">
        <v>1514.17</v>
      </c>
      <c r="I810" s="3">
        <f>SUM(Tabla1[[#This Row],[Monto_Base]],H810)</f>
        <v>13161.62</v>
      </c>
      <c r="J810" t="s">
        <v>5043</v>
      </c>
      <c r="K810" t="s">
        <v>5047</v>
      </c>
      <c r="L810" t="s">
        <v>5050</v>
      </c>
      <c r="M810" t="s">
        <v>5054</v>
      </c>
    </row>
    <row r="811" spans="1:13" x14ac:dyDescent="0.3">
      <c r="A811" s="1">
        <v>45647</v>
      </c>
      <c r="B811" s="1" t="str">
        <f>TEXT(Tabla1[[#This Row],[Fecha]],"MMMM")</f>
        <v>diciembre</v>
      </c>
      <c r="C811" t="s">
        <v>821</v>
      </c>
      <c r="D811" t="s">
        <v>5012</v>
      </c>
      <c r="E811" t="s">
        <v>5033</v>
      </c>
      <c r="F811" t="s">
        <v>5037</v>
      </c>
      <c r="G811" s="3">
        <v>4733.53</v>
      </c>
      <c r="H811" s="3">
        <v>615.36</v>
      </c>
      <c r="I811" s="3">
        <f>SUM(Tabla1[[#This Row],[Monto_Base]],H811)</f>
        <v>5348.8899999999994</v>
      </c>
      <c r="J811" t="s">
        <v>5045</v>
      </c>
      <c r="K811" t="s">
        <v>5047</v>
      </c>
      <c r="L811" t="s">
        <v>5053</v>
      </c>
      <c r="M811" t="s">
        <v>5055</v>
      </c>
    </row>
    <row r="812" spans="1:13" x14ac:dyDescent="0.3">
      <c r="A812" s="1">
        <v>45320</v>
      </c>
      <c r="B812" s="1" t="str">
        <f>TEXT(Tabla1[[#This Row],[Fecha]],"MMMM")</f>
        <v>enero</v>
      </c>
      <c r="C812" t="s">
        <v>822</v>
      </c>
      <c r="D812" t="s">
        <v>5021</v>
      </c>
      <c r="E812" t="s">
        <v>5032</v>
      </c>
      <c r="F812" t="s">
        <v>5036</v>
      </c>
      <c r="G812" s="3">
        <v>1572.32</v>
      </c>
      <c r="H812" s="3">
        <v>0</v>
      </c>
      <c r="I812" s="3">
        <f>SUM(Tabla1[[#This Row],[Monto_Base]],H812)</f>
        <v>1572.32</v>
      </c>
      <c r="J812" t="s">
        <v>5042</v>
      </c>
      <c r="K812" t="s">
        <v>5047</v>
      </c>
      <c r="L812" t="s">
        <v>5051</v>
      </c>
      <c r="M812" t="s">
        <v>5055</v>
      </c>
    </row>
    <row r="813" spans="1:13" x14ac:dyDescent="0.3">
      <c r="A813" s="1">
        <v>45629</v>
      </c>
      <c r="B813" s="1" t="str">
        <f>TEXT(Tabla1[[#This Row],[Fecha]],"MMMM")</f>
        <v>diciembre</v>
      </c>
      <c r="C813" t="s">
        <v>823</v>
      </c>
      <c r="D813" t="s">
        <v>5030</v>
      </c>
      <c r="E813" t="s">
        <v>5032</v>
      </c>
      <c r="F813" t="s">
        <v>5034</v>
      </c>
      <c r="G813" s="3">
        <v>12975.51</v>
      </c>
      <c r="H813" s="3">
        <v>0</v>
      </c>
      <c r="I813" s="3">
        <f>SUM(Tabla1[[#This Row],[Monto_Base]],H813)</f>
        <v>12975.51</v>
      </c>
      <c r="J813" t="s">
        <v>5042</v>
      </c>
      <c r="K813" t="s">
        <v>5047</v>
      </c>
      <c r="L813" t="s">
        <v>5050</v>
      </c>
      <c r="M813" t="s">
        <v>5055</v>
      </c>
    </row>
    <row r="814" spans="1:13" x14ac:dyDescent="0.3">
      <c r="A814" s="1">
        <v>45637</v>
      </c>
      <c r="B814" s="1" t="str">
        <f>TEXT(Tabla1[[#This Row],[Fecha]],"MMMM")</f>
        <v>diciembre</v>
      </c>
      <c r="C814" t="s">
        <v>824</v>
      </c>
      <c r="D814" t="s">
        <v>5019</v>
      </c>
      <c r="E814" t="s">
        <v>5033</v>
      </c>
      <c r="F814" t="s">
        <v>5040</v>
      </c>
      <c r="G814" s="3">
        <v>9781.2800000000007</v>
      </c>
      <c r="H814" s="3">
        <v>1271.57</v>
      </c>
      <c r="I814" s="3">
        <f>SUM(Tabla1[[#This Row],[Monto_Base]],H814)</f>
        <v>11052.85</v>
      </c>
      <c r="J814" t="s">
        <v>5045</v>
      </c>
      <c r="K814" t="s">
        <v>5048</v>
      </c>
      <c r="L814" t="s">
        <v>5051</v>
      </c>
      <c r="M814" t="s">
        <v>5054</v>
      </c>
    </row>
    <row r="815" spans="1:13" x14ac:dyDescent="0.3">
      <c r="A815" s="1">
        <v>45391</v>
      </c>
      <c r="B815" s="1" t="str">
        <f>TEXT(Tabla1[[#This Row],[Fecha]],"MMMM")</f>
        <v>abril</v>
      </c>
      <c r="C815" t="s">
        <v>825</v>
      </c>
      <c r="D815" t="s">
        <v>5013</v>
      </c>
      <c r="E815" t="s">
        <v>5033</v>
      </c>
      <c r="F815" t="s">
        <v>5036</v>
      </c>
      <c r="G815" s="3">
        <v>8913.65</v>
      </c>
      <c r="H815" s="3">
        <v>1158.77</v>
      </c>
      <c r="I815" s="3">
        <f>SUM(Tabla1[[#This Row],[Monto_Base]],H815)</f>
        <v>10072.42</v>
      </c>
      <c r="J815" t="s">
        <v>5042</v>
      </c>
      <c r="K815" t="s">
        <v>5047</v>
      </c>
      <c r="L815" t="s">
        <v>5051</v>
      </c>
      <c r="M815" t="s">
        <v>5055</v>
      </c>
    </row>
    <row r="816" spans="1:13" x14ac:dyDescent="0.3">
      <c r="A816" s="1">
        <v>45314</v>
      </c>
      <c r="B816" s="1" t="str">
        <f>TEXT(Tabla1[[#This Row],[Fecha]],"MMMM")</f>
        <v>enero</v>
      </c>
      <c r="C816" t="s">
        <v>826</v>
      </c>
      <c r="D816" t="s">
        <v>5025</v>
      </c>
      <c r="E816" t="s">
        <v>5032</v>
      </c>
      <c r="F816" t="s">
        <v>5039</v>
      </c>
      <c r="G816" s="3">
        <v>3685.13</v>
      </c>
      <c r="H816" s="3">
        <v>0</v>
      </c>
      <c r="I816" s="3">
        <f>SUM(Tabla1[[#This Row],[Monto_Base]],H816)</f>
        <v>3685.13</v>
      </c>
      <c r="J816" t="s">
        <v>5045</v>
      </c>
      <c r="K816" t="s">
        <v>5047</v>
      </c>
      <c r="L816" t="s">
        <v>5051</v>
      </c>
      <c r="M816" t="s">
        <v>5055</v>
      </c>
    </row>
    <row r="817" spans="1:13" x14ac:dyDescent="0.3">
      <c r="A817" s="1">
        <v>45600</v>
      </c>
      <c r="B817" s="1" t="str">
        <f>TEXT(Tabla1[[#This Row],[Fecha]],"MMMM")</f>
        <v>noviembre</v>
      </c>
      <c r="C817" t="s">
        <v>827</v>
      </c>
      <c r="D817" t="s">
        <v>5029</v>
      </c>
      <c r="E817" t="s">
        <v>5033</v>
      </c>
      <c r="F817" t="s">
        <v>5039</v>
      </c>
      <c r="G817" s="3">
        <v>7069.38</v>
      </c>
      <c r="H817" s="3">
        <v>919.02</v>
      </c>
      <c r="I817" s="3">
        <f>SUM(Tabla1[[#This Row],[Monto_Base]],H817)</f>
        <v>7988.4</v>
      </c>
      <c r="J817" t="s">
        <v>5044</v>
      </c>
      <c r="K817" t="s">
        <v>5048</v>
      </c>
      <c r="L817" t="s">
        <v>5051</v>
      </c>
      <c r="M817" t="s">
        <v>5054</v>
      </c>
    </row>
    <row r="818" spans="1:13" x14ac:dyDescent="0.3">
      <c r="A818" s="1">
        <v>45392</v>
      </c>
      <c r="B818" s="1" t="str">
        <f>TEXT(Tabla1[[#This Row],[Fecha]],"MMMM")</f>
        <v>abril</v>
      </c>
      <c r="C818" t="s">
        <v>828</v>
      </c>
      <c r="D818" t="s">
        <v>5012</v>
      </c>
      <c r="E818" t="s">
        <v>5033</v>
      </c>
      <c r="F818" t="s">
        <v>5035</v>
      </c>
      <c r="G818" s="3">
        <v>6359.81</v>
      </c>
      <c r="H818" s="3">
        <v>826.78</v>
      </c>
      <c r="I818" s="3">
        <f>SUM(Tabla1[[#This Row],[Monto_Base]],H818)</f>
        <v>7186.59</v>
      </c>
      <c r="J818" t="s">
        <v>5046</v>
      </c>
      <c r="K818" t="s">
        <v>5049</v>
      </c>
      <c r="L818" t="s">
        <v>5052</v>
      </c>
      <c r="M818" t="s">
        <v>5054</v>
      </c>
    </row>
    <row r="819" spans="1:13" x14ac:dyDescent="0.3">
      <c r="A819" s="1">
        <v>45461</v>
      </c>
      <c r="B819" s="1" t="str">
        <f>TEXT(Tabla1[[#This Row],[Fecha]],"MMMM")</f>
        <v>junio</v>
      </c>
      <c r="C819" t="s">
        <v>829</v>
      </c>
      <c r="D819" t="s">
        <v>5024</v>
      </c>
      <c r="E819" t="s">
        <v>5032</v>
      </c>
      <c r="F819" t="s">
        <v>5041</v>
      </c>
      <c r="G819" s="3">
        <v>9016.4500000000007</v>
      </c>
      <c r="H819" s="3">
        <v>0</v>
      </c>
      <c r="I819" s="3">
        <f>SUM(Tabla1[[#This Row],[Monto_Base]],H819)</f>
        <v>9016.4500000000007</v>
      </c>
      <c r="J819" t="s">
        <v>5042</v>
      </c>
      <c r="K819" t="s">
        <v>5049</v>
      </c>
      <c r="L819" t="s">
        <v>5051</v>
      </c>
      <c r="M819" t="s">
        <v>5055</v>
      </c>
    </row>
    <row r="820" spans="1:13" x14ac:dyDescent="0.3">
      <c r="A820" s="1">
        <v>45313</v>
      </c>
      <c r="B820" s="1" t="str">
        <f>TEXT(Tabla1[[#This Row],[Fecha]],"MMMM")</f>
        <v>enero</v>
      </c>
      <c r="C820" t="s">
        <v>830</v>
      </c>
      <c r="D820" t="s">
        <v>5020</v>
      </c>
      <c r="E820" t="s">
        <v>5033</v>
      </c>
      <c r="F820" t="s">
        <v>5036</v>
      </c>
      <c r="G820" s="3">
        <v>6841.82</v>
      </c>
      <c r="H820" s="3">
        <v>889.44</v>
      </c>
      <c r="I820" s="3">
        <f>SUM(Tabla1[[#This Row],[Monto_Base]],H820)</f>
        <v>7731.26</v>
      </c>
      <c r="J820" t="s">
        <v>5043</v>
      </c>
      <c r="K820" t="s">
        <v>5047</v>
      </c>
      <c r="L820" t="s">
        <v>5053</v>
      </c>
      <c r="M820" t="s">
        <v>5054</v>
      </c>
    </row>
    <row r="821" spans="1:13" x14ac:dyDescent="0.3">
      <c r="A821" s="1">
        <v>45461</v>
      </c>
      <c r="B821" s="1" t="str">
        <f>TEXT(Tabla1[[#This Row],[Fecha]],"MMMM")</f>
        <v>junio</v>
      </c>
      <c r="C821" t="s">
        <v>831</v>
      </c>
      <c r="D821" t="s">
        <v>5018</v>
      </c>
      <c r="E821" t="s">
        <v>5033</v>
      </c>
      <c r="F821" t="s">
        <v>5034</v>
      </c>
      <c r="G821" s="3">
        <v>7237.16</v>
      </c>
      <c r="H821" s="3">
        <v>940.83</v>
      </c>
      <c r="I821" s="3">
        <f>SUM(Tabla1[[#This Row],[Monto_Base]],H821)</f>
        <v>8177.99</v>
      </c>
      <c r="J821" t="s">
        <v>5043</v>
      </c>
      <c r="K821" t="s">
        <v>5047</v>
      </c>
      <c r="L821" t="s">
        <v>5050</v>
      </c>
      <c r="M821" t="s">
        <v>5054</v>
      </c>
    </row>
    <row r="822" spans="1:13" x14ac:dyDescent="0.3">
      <c r="A822" s="1">
        <v>45576</v>
      </c>
      <c r="B822" s="1" t="str">
        <f>TEXT(Tabla1[[#This Row],[Fecha]],"MMMM")</f>
        <v>octubre</v>
      </c>
      <c r="C822" t="s">
        <v>832</v>
      </c>
      <c r="D822" t="s">
        <v>5015</v>
      </c>
      <c r="E822" t="s">
        <v>5033</v>
      </c>
      <c r="F822" t="s">
        <v>5036</v>
      </c>
      <c r="G822" s="3">
        <v>5400.41</v>
      </c>
      <c r="H822" s="3">
        <v>702.05</v>
      </c>
      <c r="I822" s="3">
        <f>SUM(Tabla1[[#This Row],[Monto_Base]],H822)</f>
        <v>6102.46</v>
      </c>
      <c r="J822" t="s">
        <v>5045</v>
      </c>
      <c r="K822" t="s">
        <v>5047</v>
      </c>
      <c r="L822" t="s">
        <v>5051</v>
      </c>
      <c r="M822" t="s">
        <v>5055</v>
      </c>
    </row>
    <row r="823" spans="1:13" x14ac:dyDescent="0.3">
      <c r="A823" s="1">
        <v>45393</v>
      </c>
      <c r="B823" s="1" t="str">
        <f>TEXT(Tabla1[[#This Row],[Fecha]],"MMMM")</f>
        <v>abril</v>
      </c>
      <c r="C823" t="s">
        <v>833</v>
      </c>
      <c r="D823" t="s">
        <v>5031</v>
      </c>
      <c r="E823" t="s">
        <v>5032</v>
      </c>
      <c r="F823" t="s">
        <v>5035</v>
      </c>
      <c r="G823" s="3">
        <v>14630.87</v>
      </c>
      <c r="H823" s="3">
        <v>0</v>
      </c>
      <c r="I823" s="3">
        <f>SUM(Tabla1[[#This Row],[Monto_Base]],H823)</f>
        <v>14630.87</v>
      </c>
      <c r="J823" t="s">
        <v>5046</v>
      </c>
      <c r="K823" t="s">
        <v>5048</v>
      </c>
      <c r="L823" t="s">
        <v>5052</v>
      </c>
      <c r="M823" t="s">
        <v>5054</v>
      </c>
    </row>
    <row r="824" spans="1:13" x14ac:dyDescent="0.3">
      <c r="A824" s="1">
        <v>45303</v>
      </c>
      <c r="B824" s="1" t="str">
        <f>TEXT(Tabla1[[#This Row],[Fecha]],"MMMM")</f>
        <v>enero</v>
      </c>
      <c r="C824" t="s">
        <v>834</v>
      </c>
      <c r="D824" t="s">
        <v>5028</v>
      </c>
      <c r="E824" t="s">
        <v>5032</v>
      </c>
      <c r="F824" t="s">
        <v>5034</v>
      </c>
      <c r="G824" s="3">
        <v>2719.19</v>
      </c>
      <c r="H824" s="3">
        <v>0</v>
      </c>
      <c r="I824" s="3">
        <f>SUM(Tabla1[[#This Row],[Monto_Base]],H824)</f>
        <v>2719.19</v>
      </c>
      <c r="J824" t="s">
        <v>5046</v>
      </c>
      <c r="K824" t="s">
        <v>5048</v>
      </c>
      <c r="L824" t="s">
        <v>5053</v>
      </c>
      <c r="M824" t="s">
        <v>5054</v>
      </c>
    </row>
    <row r="825" spans="1:13" x14ac:dyDescent="0.3">
      <c r="A825" s="1">
        <v>45448</v>
      </c>
      <c r="B825" s="1" t="str">
        <f>TEXT(Tabla1[[#This Row],[Fecha]],"MMMM")</f>
        <v>junio</v>
      </c>
      <c r="C825" t="s">
        <v>835</v>
      </c>
      <c r="D825" t="s">
        <v>5027</v>
      </c>
      <c r="E825" t="s">
        <v>5033</v>
      </c>
      <c r="F825" t="s">
        <v>5040</v>
      </c>
      <c r="G825" s="3">
        <v>14044.91</v>
      </c>
      <c r="H825" s="3">
        <v>1825.84</v>
      </c>
      <c r="I825" s="3">
        <f>SUM(Tabla1[[#This Row],[Monto_Base]],H825)</f>
        <v>15870.75</v>
      </c>
      <c r="J825" t="s">
        <v>5043</v>
      </c>
      <c r="K825" t="s">
        <v>5047</v>
      </c>
      <c r="L825" t="s">
        <v>5051</v>
      </c>
      <c r="M825" t="s">
        <v>5055</v>
      </c>
    </row>
    <row r="826" spans="1:13" x14ac:dyDescent="0.3">
      <c r="A826" s="1">
        <v>45358</v>
      </c>
      <c r="B826" s="1" t="str">
        <f>TEXT(Tabla1[[#This Row],[Fecha]],"MMMM")</f>
        <v>marzo</v>
      </c>
      <c r="C826" t="s">
        <v>836</v>
      </c>
      <c r="D826" t="s">
        <v>5023</v>
      </c>
      <c r="E826" t="s">
        <v>5032</v>
      </c>
      <c r="F826" t="s">
        <v>5036</v>
      </c>
      <c r="G826" s="3">
        <v>1821.48</v>
      </c>
      <c r="H826" s="3">
        <v>0</v>
      </c>
      <c r="I826" s="3">
        <f>SUM(Tabla1[[#This Row],[Monto_Base]],H826)</f>
        <v>1821.48</v>
      </c>
      <c r="J826" t="s">
        <v>5046</v>
      </c>
      <c r="K826" t="s">
        <v>5047</v>
      </c>
      <c r="L826" t="s">
        <v>5050</v>
      </c>
      <c r="M826" t="s">
        <v>5055</v>
      </c>
    </row>
    <row r="827" spans="1:13" x14ac:dyDescent="0.3">
      <c r="A827" s="1">
        <v>45607</v>
      </c>
      <c r="B827" s="1" t="str">
        <f>TEXT(Tabla1[[#This Row],[Fecha]],"MMMM")</f>
        <v>noviembre</v>
      </c>
      <c r="C827" t="s">
        <v>837</v>
      </c>
      <c r="D827" t="s">
        <v>5014</v>
      </c>
      <c r="E827" t="s">
        <v>5032</v>
      </c>
      <c r="F827" t="s">
        <v>5034</v>
      </c>
      <c r="G827" s="3">
        <v>13819.15</v>
      </c>
      <c r="H827" s="3">
        <v>0</v>
      </c>
      <c r="I827" s="3">
        <f>SUM(Tabla1[[#This Row],[Monto_Base]],H827)</f>
        <v>13819.15</v>
      </c>
      <c r="J827" t="s">
        <v>5042</v>
      </c>
      <c r="K827" t="s">
        <v>5047</v>
      </c>
      <c r="L827" t="s">
        <v>5051</v>
      </c>
      <c r="M827" t="s">
        <v>5054</v>
      </c>
    </row>
    <row r="828" spans="1:13" x14ac:dyDescent="0.3">
      <c r="A828" s="1">
        <v>45552</v>
      </c>
      <c r="B828" s="1" t="str">
        <f>TEXT(Tabla1[[#This Row],[Fecha]],"MMMM")</f>
        <v>septiembre</v>
      </c>
      <c r="C828" t="s">
        <v>838</v>
      </c>
      <c r="D828" t="s">
        <v>5024</v>
      </c>
      <c r="E828" t="s">
        <v>5033</v>
      </c>
      <c r="F828" t="s">
        <v>5038</v>
      </c>
      <c r="G828" s="3">
        <v>13099.13</v>
      </c>
      <c r="H828" s="3">
        <v>1702.89</v>
      </c>
      <c r="I828" s="3">
        <f>SUM(Tabla1[[#This Row],[Monto_Base]],H828)</f>
        <v>14802.019999999999</v>
      </c>
      <c r="J828" t="s">
        <v>5042</v>
      </c>
      <c r="K828" t="s">
        <v>5048</v>
      </c>
      <c r="L828" t="s">
        <v>5052</v>
      </c>
      <c r="M828" t="s">
        <v>5054</v>
      </c>
    </row>
    <row r="829" spans="1:13" x14ac:dyDescent="0.3">
      <c r="A829" s="1">
        <v>45622</v>
      </c>
      <c r="B829" s="1" t="str">
        <f>TEXT(Tabla1[[#This Row],[Fecha]],"MMMM")</f>
        <v>noviembre</v>
      </c>
      <c r="C829" t="s">
        <v>839</v>
      </c>
      <c r="D829" t="s">
        <v>5014</v>
      </c>
      <c r="E829" t="s">
        <v>5033</v>
      </c>
      <c r="F829" t="s">
        <v>5039</v>
      </c>
      <c r="G829" s="3">
        <v>7653.78</v>
      </c>
      <c r="H829" s="3">
        <v>994.99</v>
      </c>
      <c r="I829" s="3">
        <f>SUM(Tabla1[[#This Row],[Monto_Base]],H829)</f>
        <v>8648.77</v>
      </c>
      <c r="J829" t="s">
        <v>5042</v>
      </c>
      <c r="K829" t="s">
        <v>5048</v>
      </c>
      <c r="L829" t="s">
        <v>5050</v>
      </c>
      <c r="M829" t="s">
        <v>5055</v>
      </c>
    </row>
    <row r="830" spans="1:13" x14ac:dyDescent="0.3">
      <c r="A830" s="1">
        <v>45545</v>
      </c>
      <c r="B830" s="1" t="str">
        <f>TEXT(Tabla1[[#This Row],[Fecha]],"MMMM")</f>
        <v>septiembre</v>
      </c>
      <c r="C830" t="s">
        <v>840</v>
      </c>
      <c r="D830" t="s">
        <v>5015</v>
      </c>
      <c r="E830" t="s">
        <v>5032</v>
      </c>
      <c r="F830" t="s">
        <v>5041</v>
      </c>
      <c r="G830" s="3">
        <v>10748.97</v>
      </c>
      <c r="H830" s="3">
        <v>0</v>
      </c>
      <c r="I830" s="3">
        <f>SUM(Tabla1[[#This Row],[Monto_Base]],H830)</f>
        <v>10748.97</v>
      </c>
      <c r="J830" t="s">
        <v>5043</v>
      </c>
      <c r="K830" t="s">
        <v>5048</v>
      </c>
      <c r="L830" t="s">
        <v>5050</v>
      </c>
      <c r="M830" t="s">
        <v>5054</v>
      </c>
    </row>
    <row r="831" spans="1:13" x14ac:dyDescent="0.3">
      <c r="A831" s="1">
        <v>45494</v>
      </c>
      <c r="B831" s="1" t="str">
        <f>TEXT(Tabla1[[#This Row],[Fecha]],"MMMM")</f>
        <v>julio</v>
      </c>
      <c r="C831" t="s">
        <v>841</v>
      </c>
      <c r="D831" t="s">
        <v>5017</v>
      </c>
      <c r="E831" t="s">
        <v>5033</v>
      </c>
      <c r="F831" t="s">
        <v>5041</v>
      </c>
      <c r="G831" s="3">
        <v>12954.37</v>
      </c>
      <c r="H831" s="3">
        <v>1684.07</v>
      </c>
      <c r="I831" s="3">
        <f>SUM(Tabla1[[#This Row],[Monto_Base]],H831)</f>
        <v>14638.44</v>
      </c>
      <c r="J831" t="s">
        <v>5046</v>
      </c>
      <c r="K831" t="s">
        <v>5048</v>
      </c>
      <c r="L831" t="s">
        <v>5050</v>
      </c>
      <c r="M831" t="s">
        <v>5055</v>
      </c>
    </row>
    <row r="832" spans="1:13" x14ac:dyDescent="0.3">
      <c r="A832" s="1">
        <v>45335</v>
      </c>
      <c r="B832" s="1" t="str">
        <f>TEXT(Tabla1[[#This Row],[Fecha]],"MMMM")</f>
        <v>febrero</v>
      </c>
      <c r="C832" t="s">
        <v>842</v>
      </c>
      <c r="D832" t="s">
        <v>5015</v>
      </c>
      <c r="E832" t="s">
        <v>5032</v>
      </c>
      <c r="F832" t="s">
        <v>5036</v>
      </c>
      <c r="G832" s="3">
        <v>2058.2399999999998</v>
      </c>
      <c r="H832" s="3">
        <v>0</v>
      </c>
      <c r="I832" s="3">
        <f>SUM(Tabla1[[#This Row],[Monto_Base]],H832)</f>
        <v>2058.2399999999998</v>
      </c>
      <c r="J832" t="s">
        <v>5044</v>
      </c>
      <c r="K832" t="s">
        <v>5048</v>
      </c>
      <c r="L832" t="s">
        <v>5051</v>
      </c>
      <c r="M832" t="s">
        <v>5054</v>
      </c>
    </row>
    <row r="833" spans="1:13" x14ac:dyDescent="0.3">
      <c r="A833" s="1">
        <v>45513</v>
      </c>
      <c r="B833" s="1" t="str">
        <f>TEXT(Tabla1[[#This Row],[Fecha]],"MMMM")</f>
        <v>agosto</v>
      </c>
      <c r="C833" t="s">
        <v>843</v>
      </c>
      <c r="D833" t="s">
        <v>5018</v>
      </c>
      <c r="E833" t="s">
        <v>5032</v>
      </c>
      <c r="F833" t="s">
        <v>5037</v>
      </c>
      <c r="G833" s="3">
        <v>6794.71</v>
      </c>
      <c r="H833" s="3">
        <v>0</v>
      </c>
      <c r="I833" s="3">
        <f>SUM(Tabla1[[#This Row],[Monto_Base]],H833)</f>
        <v>6794.71</v>
      </c>
      <c r="J833" t="s">
        <v>5043</v>
      </c>
      <c r="K833" t="s">
        <v>5048</v>
      </c>
      <c r="L833" t="s">
        <v>5050</v>
      </c>
      <c r="M833" t="s">
        <v>5055</v>
      </c>
    </row>
    <row r="834" spans="1:13" x14ac:dyDescent="0.3">
      <c r="A834" s="1">
        <v>45427</v>
      </c>
      <c r="B834" s="1" t="str">
        <f>TEXT(Tabla1[[#This Row],[Fecha]],"MMMM")</f>
        <v>mayo</v>
      </c>
      <c r="C834" t="s">
        <v>844</v>
      </c>
      <c r="D834" t="s">
        <v>5019</v>
      </c>
      <c r="E834" t="s">
        <v>5033</v>
      </c>
      <c r="F834" t="s">
        <v>5039</v>
      </c>
      <c r="G834" s="3">
        <v>6653.24</v>
      </c>
      <c r="H834" s="3">
        <v>864.92</v>
      </c>
      <c r="I834" s="3">
        <f>SUM(Tabla1[[#This Row],[Monto_Base]],H834)</f>
        <v>7518.16</v>
      </c>
      <c r="J834" t="s">
        <v>5045</v>
      </c>
      <c r="K834" t="s">
        <v>5048</v>
      </c>
      <c r="L834" t="s">
        <v>5053</v>
      </c>
      <c r="M834" t="s">
        <v>5055</v>
      </c>
    </row>
    <row r="835" spans="1:13" x14ac:dyDescent="0.3">
      <c r="A835" s="1">
        <v>45476</v>
      </c>
      <c r="B835" s="1" t="str">
        <f>TEXT(Tabla1[[#This Row],[Fecha]],"MMMM")</f>
        <v>julio</v>
      </c>
      <c r="C835" t="s">
        <v>845</v>
      </c>
      <c r="D835" t="s">
        <v>5021</v>
      </c>
      <c r="E835" t="s">
        <v>5033</v>
      </c>
      <c r="F835" t="s">
        <v>5036</v>
      </c>
      <c r="G835" s="3">
        <v>1822.89</v>
      </c>
      <c r="H835" s="3">
        <v>236.98</v>
      </c>
      <c r="I835" s="3">
        <f>SUM(Tabla1[[#This Row],[Monto_Base]],H835)</f>
        <v>2059.87</v>
      </c>
      <c r="J835" t="s">
        <v>5045</v>
      </c>
      <c r="K835" t="s">
        <v>5049</v>
      </c>
      <c r="L835" t="s">
        <v>5052</v>
      </c>
      <c r="M835" t="s">
        <v>5055</v>
      </c>
    </row>
    <row r="836" spans="1:13" x14ac:dyDescent="0.3">
      <c r="A836" s="1">
        <v>45641</v>
      </c>
      <c r="B836" s="1" t="str">
        <f>TEXT(Tabla1[[#This Row],[Fecha]],"MMMM")</f>
        <v>diciembre</v>
      </c>
      <c r="C836" t="s">
        <v>846</v>
      </c>
      <c r="D836" t="s">
        <v>5015</v>
      </c>
      <c r="E836" t="s">
        <v>5032</v>
      </c>
      <c r="F836" t="s">
        <v>5038</v>
      </c>
      <c r="G836" s="3">
        <v>11190.91</v>
      </c>
      <c r="H836" s="3">
        <v>0</v>
      </c>
      <c r="I836" s="3">
        <f>SUM(Tabla1[[#This Row],[Monto_Base]],H836)</f>
        <v>11190.91</v>
      </c>
      <c r="J836" t="s">
        <v>5044</v>
      </c>
      <c r="K836" t="s">
        <v>5047</v>
      </c>
      <c r="L836" t="s">
        <v>5052</v>
      </c>
      <c r="M836" t="s">
        <v>5055</v>
      </c>
    </row>
    <row r="837" spans="1:13" x14ac:dyDescent="0.3">
      <c r="A837" s="1">
        <v>45498</v>
      </c>
      <c r="B837" s="1" t="str">
        <f>TEXT(Tabla1[[#This Row],[Fecha]],"MMMM")</f>
        <v>julio</v>
      </c>
      <c r="C837" t="s">
        <v>847</v>
      </c>
      <c r="D837" t="s">
        <v>5021</v>
      </c>
      <c r="E837" t="s">
        <v>5032</v>
      </c>
      <c r="F837" t="s">
        <v>5040</v>
      </c>
      <c r="G837" s="3">
        <v>11757.77</v>
      </c>
      <c r="H837" s="3">
        <v>0</v>
      </c>
      <c r="I837" s="3">
        <f>SUM(Tabla1[[#This Row],[Monto_Base]],H837)</f>
        <v>11757.77</v>
      </c>
      <c r="J837" t="s">
        <v>5043</v>
      </c>
      <c r="K837" t="s">
        <v>5049</v>
      </c>
      <c r="L837" t="s">
        <v>5053</v>
      </c>
      <c r="M837" t="s">
        <v>5055</v>
      </c>
    </row>
    <row r="838" spans="1:13" x14ac:dyDescent="0.3">
      <c r="A838" s="1">
        <v>45399</v>
      </c>
      <c r="B838" s="1" t="str">
        <f>TEXT(Tabla1[[#This Row],[Fecha]],"MMMM")</f>
        <v>abril</v>
      </c>
      <c r="C838" t="s">
        <v>848</v>
      </c>
      <c r="D838" t="s">
        <v>5027</v>
      </c>
      <c r="E838" t="s">
        <v>5033</v>
      </c>
      <c r="F838" t="s">
        <v>5034</v>
      </c>
      <c r="G838" s="3">
        <v>10863.87</v>
      </c>
      <c r="H838" s="3">
        <v>1412.3</v>
      </c>
      <c r="I838" s="3">
        <f>SUM(Tabla1[[#This Row],[Monto_Base]],H838)</f>
        <v>12276.17</v>
      </c>
      <c r="J838" t="s">
        <v>5043</v>
      </c>
      <c r="K838" t="s">
        <v>5047</v>
      </c>
      <c r="L838" t="s">
        <v>5050</v>
      </c>
      <c r="M838" t="s">
        <v>5055</v>
      </c>
    </row>
    <row r="839" spans="1:13" x14ac:dyDescent="0.3">
      <c r="A839" s="1">
        <v>45649</v>
      </c>
      <c r="B839" s="1" t="str">
        <f>TEXT(Tabla1[[#This Row],[Fecha]],"MMMM")</f>
        <v>diciembre</v>
      </c>
      <c r="C839" t="s">
        <v>849</v>
      </c>
      <c r="D839" t="s">
        <v>5030</v>
      </c>
      <c r="E839" t="s">
        <v>5032</v>
      </c>
      <c r="F839" t="s">
        <v>5034</v>
      </c>
      <c r="G839" s="3">
        <v>6460.45</v>
      </c>
      <c r="H839" s="3">
        <v>0</v>
      </c>
      <c r="I839" s="3">
        <f>SUM(Tabla1[[#This Row],[Monto_Base]],H839)</f>
        <v>6460.45</v>
      </c>
      <c r="J839" t="s">
        <v>5043</v>
      </c>
      <c r="K839" t="s">
        <v>5047</v>
      </c>
      <c r="L839" t="s">
        <v>5050</v>
      </c>
      <c r="M839" t="s">
        <v>5055</v>
      </c>
    </row>
    <row r="840" spans="1:13" x14ac:dyDescent="0.3">
      <c r="A840" s="1">
        <v>45296</v>
      </c>
      <c r="B840" s="1" t="str">
        <f>TEXT(Tabla1[[#This Row],[Fecha]],"MMMM")</f>
        <v>enero</v>
      </c>
      <c r="C840" t="s">
        <v>850</v>
      </c>
      <c r="D840" t="s">
        <v>5015</v>
      </c>
      <c r="E840" t="s">
        <v>5033</v>
      </c>
      <c r="F840" t="s">
        <v>5039</v>
      </c>
      <c r="G840" s="3">
        <v>4618.3</v>
      </c>
      <c r="H840" s="3">
        <v>600.38</v>
      </c>
      <c r="I840" s="3">
        <f>SUM(Tabla1[[#This Row],[Monto_Base]],H840)</f>
        <v>5218.68</v>
      </c>
      <c r="J840" t="s">
        <v>5043</v>
      </c>
      <c r="K840" t="s">
        <v>5049</v>
      </c>
      <c r="L840" t="s">
        <v>5051</v>
      </c>
      <c r="M840" t="s">
        <v>5055</v>
      </c>
    </row>
    <row r="841" spans="1:13" x14ac:dyDescent="0.3">
      <c r="A841" s="1">
        <v>45645</v>
      </c>
      <c r="B841" s="1" t="str">
        <f>TEXT(Tabla1[[#This Row],[Fecha]],"MMMM")</f>
        <v>diciembre</v>
      </c>
      <c r="C841" t="s">
        <v>851</v>
      </c>
      <c r="D841" t="s">
        <v>5027</v>
      </c>
      <c r="E841" t="s">
        <v>5032</v>
      </c>
      <c r="F841" t="s">
        <v>5037</v>
      </c>
      <c r="G841" s="3">
        <v>11454.48</v>
      </c>
      <c r="H841" s="3">
        <v>0</v>
      </c>
      <c r="I841" s="3">
        <f>SUM(Tabla1[[#This Row],[Monto_Base]],H841)</f>
        <v>11454.48</v>
      </c>
      <c r="J841" t="s">
        <v>5042</v>
      </c>
      <c r="K841" t="s">
        <v>5048</v>
      </c>
      <c r="L841" t="s">
        <v>5051</v>
      </c>
      <c r="M841" t="s">
        <v>5054</v>
      </c>
    </row>
    <row r="842" spans="1:13" x14ac:dyDescent="0.3">
      <c r="A842" s="1">
        <v>45600</v>
      </c>
      <c r="B842" s="1" t="str">
        <f>TEXT(Tabla1[[#This Row],[Fecha]],"MMMM")</f>
        <v>noviembre</v>
      </c>
      <c r="C842" t="s">
        <v>852</v>
      </c>
      <c r="D842" t="s">
        <v>5026</v>
      </c>
      <c r="E842" t="s">
        <v>5033</v>
      </c>
      <c r="F842" t="s">
        <v>5040</v>
      </c>
      <c r="G842" s="3">
        <v>8544.4500000000007</v>
      </c>
      <c r="H842" s="3">
        <v>1110.78</v>
      </c>
      <c r="I842" s="3">
        <f>SUM(Tabla1[[#This Row],[Monto_Base]],H842)</f>
        <v>9655.2300000000014</v>
      </c>
      <c r="J842" t="s">
        <v>5042</v>
      </c>
      <c r="K842" t="s">
        <v>5049</v>
      </c>
      <c r="L842" t="s">
        <v>5050</v>
      </c>
      <c r="M842" t="s">
        <v>5055</v>
      </c>
    </row>
    <row r="843" spans="1:13" x14ac:dyDescent="0.3">
      <c r="A843" s="1">
        <v>45347</v>
      </c>
      <c r="B843" s="1" t="str">
        <f>TEXT(Tabla1[[#This Row],[Fecha]],"MMMM")</f>
        <v>febrero</v>
      </c>
      <c r="C843" t="s">
        <v>853</v>
      </c>
      <c r="D843" t="s">
        <v>5027</v>
      </c>
      <c r="E843" t="s">
        <v>5033</v>
      </c>
      <c r="F843" t="s">
        <v>5037</v>
      </c>
      <c r="G843" s="3">
        <v>2865.66</v>
      </c>
      <c r="H843" s="3">
        <v>372.54</v>
      </c>
      <c r="I843" s="3">
        <f>SUM(Tabla1[[#This Row],[Monto_Base]],H843)</f>
        <v>3238.2</v>
      </c>
      <c r="J843" t="s">
        <v>5044</v>
      </c>
      <c r="K843" t="s">
        <v>5049</v>
      </c>
      <c r="L843" t="s">
        <v>5050</v>
      </c>
      <c r="M843" t="s">
        <v>5055</v>
      </c>
    </row>
    <row r="844" spans="1:13" x14ac:dyDescent="0.3">
      <c r="A844" s="1">
        <v>45644</v>
      </c>
      <c r="B844" s="1" t="str">
        <f>TEXT(Tabla1[[#This Row],[Fecha]],"MMMM")</f>
        <v>diciembre</v>
      </c>
      <c r="C844" t="s">
        <v>854</v>
      </c>
      <c r="D844" t="s">
        <v>5026</v>
      </c>
      <c r="E844" t="s">
        <v>5033</v>
      </c>
      <c r="F844" t="s">
        <v>5039</v>
      </c>
      <c r="G844" s="3">
        <v>529.28</v>
      </c>
      <c r="H844" s="3">
        <v>68.81</v>
      </c>
      <c r="I844" s="3">
        <f>SUM(Tabla1[[#This Row],[Monto_Base]],H844)</f>
        <v>598.08999999999992</v>
      </c>
      <c r="J844" t="s">
        <v>5042</v>
      </c>
      <c r="K844" t="s">
        <v>5048</v>
      </c>
      <c r="L844" t="s">
        <v>5053</v>
      </c>
      <c r="M844" t="s">
        <v>5054</v>
      </c>
    </row>
    <row r="845" spans="1:13" x14ac:dyDescent="0.3">
      <c r="A845" s="1">
        <v>45441</v>
      </c>
      <c r="B845" s="1" t="str">
        <f>TEXT(Tabla1[[#This Row],[Fecha]],"MMMM")</f>
        <v>mayo</v>
      </c>
      <c r="C845" t="s">
        <v>855</v>
      </c>
      <c r="D845" t="s">
        <v>5013</v>
      </c>
      <c r="E845" t="s">
        <v>5032</v>
      </c>
      <c r="F845" t="s">
        <v>5038</v>
      </c>
      <c r="G845" s="3">
        <v>3128.09</v>
      </c>
      <c r="H845" s="3">
        <v>0</v>
      </c>
      <c r="I845" s="3">
        <f>SUM(Tabla1[[#This Row],[Monto_Base]],H845)</f>
        <v>3128.09</v>
      </c>
      <c r="J845" t="s">
        <v>5042</v>
      </c>
      <c r="K845" t="s">
        <v>5047</v>
      </c>
      <c r="L845" t="s">
        <v>5050</v>
      </c>
      <c r="M845" t="s">
        <v>5054</v>
      </c>
    </row>
    <row r="846" spans="1:13" x14ac:dyDescent="0.3">
      <c r="A846" s="1">
        <v>45502</v>
      </c>
      <c r="B846" s="1" t="str">
        <f>TEXT(Tabla1[[#This Row],[Fecha]],"MMMM")</f>
        <v>julio</v>
      </c>
      <c r="C846" t="s">
        <v>856</v>
      </c>
      <c r="D846" t="s">
        <v>5016</v>
      </c>
      <c r="E846" t="s">
        <v>5033</v>
      </c>
      <c r="F846" t="s">
        <v>5039</v>
      </c>
      <c r="G846" s="3">
        <v>4935.24</v>
      </c>
      <c r="H846" s="3">
        <v>641.58000000000004</v>
      </c>
      <c r="I846" s="3">
        <f>SUM(Tabla1[[#This Row],[Monto_Base]],H846)</f>
        <v>5576.82</v>
      </c>
      <c r="J846" t="s">
        <v>5043</v>
      </c>
      <c r="K846" t="s">
        <v>5047</v>
      </c>
      <c r="L846" t="s">
        <v>5053</v>
      </c>
      <c r="M846" t="s">
        <v>5054</v>
      </c>
    </row>
    <row r="847" spans="1:13" x14ac:dyDescent="0.3">
      <c r="A847" s="1">
        <v>45397</v>
      </c>
      <c r="B847" s="1" t="str">
        <f>TEXT(Tabla1[[#This Row],[Fecha]],"MMMM")</f>
        <v>abril</v>
      </c>
      <c r="C847" t="s">
        <v>857</v>
      </c>
      <c r="D847" t="s">
        <v>5025</v>
      </c>
      <c r="E847" t="s">
        <v>5033</v>
      </c>
      <c r="F847" t="s">
        <v>5037</v>
      </c>
      <c r="G847" s="3">
        <v>14328.7</v>
      </c>
      <c r="H847" s="3">
        <v>1862.73</v>
      </c>
      <c r="I847" s="3">
        <f>SUM(Tabla1[[#This Row],[Monto_Base]],H847)</f>
        <v>16191.43</v>
      </c>
      <c r="J847" t="s">
        <v>5046</v>
      </c>
      <c r="K847" t="s">
        <v>5047</v>
      </c>
      <c r="L847" t="s">
        <v>5051</v>
      </c>
      <c r="M847" t="s">
        <v>5055</v>
      </c>
    </row>
    <row r="848" spans="1:13" x14ac:dyDescent="0.3">
      <c r="A848" s="1">
        <v>45642</v>
      </c>
      <c r="B848" s="1" t="str">
        <f>TEXT(Tabla1[[#This Row],[Fecha]],"MMMM")</f>
        <v>diciembre</v>
      </c>
      <c r="C848" t="s">
        <v>858</v>
      </c>
      <c r="D848" t="s">
        <v>5028</v>
      </c>
      <c r="E848" t="s">
        <v>5032</v>
      </c>
      <c r="F848" t="s">
        <v>5034</v>
      </c>
      <c r="G848" s="3">
        <v>7562</v>
      </c>
      <c r="H848" s="3">
        <v>0</v>
      </c>
      <c r="I848" s="3">
        <f>SUM(Tabla1[[#This Row],[Monto_Base]],H848)</f>
        <v>7562</v>
      </c>
      <c r="J848" t="s">
        <v>5043</v>
      </c>
      <c r="K848" t="s">
        <v>5048</v>
      </c>
      <c r="L848" t="s">
        <v>5052</v>
      </c>
      <c r="M848" t="s">
        <v>5054</v>
      </c>
    </row>
    <row r="849" spans="1:13" x14ac:dyDescent="0.3">
      <c r="A849" s="1">
        <v>45418</v>
      </c>
      <c r="B849" s="1" t="str">
        <f>TEXT(Tabla1[[#This Row],[Fecha]],"MMMM")</f>
        <v>mayo</v>
      </c>
      <c r="C849" t="s">
        <v>859</v>
      </c>
      <c r="D849" t="s">
        <v>5018</v>
      </c>
      <c r="E849" t="s">
        <v>5033</v>
      </c>
      <c r="F849" t="s">
        <v>5037</v>
      </c>
      <c r="G849" s="3">
        <v>9092.49</v>
      </c>
      <c r="H849" s="3">
        <v>1182.02</v>
      </c>
      <c r="I849" s="3">
        <f>SUM(Tabla1[[#This Row],[Monto_Base]],H849)</f>
        <v>10274.51</v>
      </c>
      <c r="J849" t="s">
        <v>5042</v>
      </c>
      <c r="K849" t="s">
        <v>5048</v>
      </c>
      <c r="L849" t="s">
        <v>5050</v>
      </c>
      <c r="M849" t="s">
        <v>5055</v>
      </c>
    </row>
    <row r="850" spans="1:13" x14ac:dyDescent="0.3">
      <c r="A850" s="1">
        <v>45525</v>
      </c>
      <c r="B850" s="1" t="str">
        <f>TEXT(Tabla1[[#This Row],[Fecha]],"MMMM")</f>
        <v>agosto</v>
      </c>
      <c r="C850" t="s">
        <v>860</v>
      </c>
      <c r="D850" t="s">
        <v>5014</v>
      </c>
      <c r="E850" t="s">
        <v>5033</v>
      </c>
      <c r="F850" t="s">
        <v>5036</v>
      </c>
      <c r="G850" s="3">
        <v>4354.28</v>
      </c>
      <c r="H850" s="3">
        <v>566.05999999999995</v>
      </c>
      <c r="I850" s="3">
        <f>SUM(Tabla1[[#This Row],[Monto_Base]],H850)</f>
        <v>4920.34</v>
      </c>
      <c r="J850" t="s">
        <v>5044</v>
      </c>
      <c r="K850" t="s">
        <v>5049</v>
      </c>
      <c r="L850" t="s">
        <v>5051</v>
      </c>
      <c r="M850" t="s">
        <v>5055</v>
      </c>
    </row>
    <row r="851" spans="1:13" x14ac:dyDescent="0.3">
      <c r="A851" s="1">
        <v>45513</v>
      </c>
      <c r="B851" s="1" t="str">
        <f>TEXT(Tabla1[[#This Row],[Fecha]],"MMMM")</f>
        <v>agosto</v>
      </c>
      <c r="C851" t="s">
        <v>861</v>
      </c>
      <c r="D851" t="s">
        <v>5027</v>
      </c>
      <c r="E851" t="s">
        <v>5033</v>
      </c>
      <c r="F851" t="s">
        <v>5039</v>
      </c>
      <c r="G851" s="3">
        <v>13504.47</v>
      </c>
      <c r="H851" s="3">
        <v>1755.58</v>
      </c>
      <c r="I851" s="3">
        <f>SUM(Tabla1[[#This Row],[Monto_Base]],H851)</f>
        <v>15260.05</v>
      </c>
      <c r="J851" t="s">
        <v>5043</v>
      </c>
      <c r="K851" t="s">
        <v>5048</v>
      </c>
      <c r="L851" t="s">
        <v>5052</v>
      </c>
      <c r="M851" t="s">
        <v>5054</v>
      </c>
    </row>
    <row r="852" spans="1:13" x14ac:dyDescent="0.3">
      <c r="A852" s="1">
        <v>45613</v>
      </c>
      <c r="B852" s="1" t="str">
        <f>TEXT(Tabla1[[#This Row],[Fecha]],"MMMM")</f>
        <v>noviembre</v>
      </c>
      <c r="C852" t="s">
        <v>862</v>
      </c>
      <c r="D852" t="s">
        <v>5022</v>
      </c>
      <c r="E852" t="s">
        <v>5033</v>
      </c>
      <c r="F852" t="s">
        <v>5039</v>
      </c>
      <c r="G852" s="3">
        <v>4142.96</v>
      </c>
      <c r="H852" s="3">
        <v>538.58000000000004</v>
      </c>
      <c r="I852" s="3">
        <f>SUM(Tabla1[[#This Row],[Monto_Base]],H852)</f>
        <v>4681.54</v>
      </c>
      <c r="J852" t="s">
        <v>5042</v>
      </c>
      <c r="K852" t="s">
        <v>5048</v>
      </c>
      <c r="L852" t="s">
        <v>5053</v>
      </c>
      <c r="M852" t="s">
        <v>5054</v>
      </c>
    </row>
    <row r="853" spans="1:13" x14ac:dyDescent="0.3">
      <c r="A853" s="1">
        <v>45345</v>
      </c>
      <c r="B853" s="1" t="str">
        <f>TEXT(Tabla1[[#This Row],[Fecha]],"MMMM")</f>
        <v>febrero</v>
      </c>
      <c r="C853" t="s">
        <v>863</v>
      </c>
      <c r="D853" t="s">
        <v>5019</v>
      </c>
      <c r="E853" t="s">
        <v>5033</v>
      </c>
      <c r="F853" t="s">
        <v>5040</v>
      </c>
      <c r="G853" s="3">
        <v>1194.18</v>
      </c>
      <c r="H853" s="3">
        <v>155.24</v>
      </c>
      <c r="I853" s="3">
        <f>SUM(Tabla1[[#This Row],[Monto_Base]],H853)</f>
        <v>1349.42</v>
      </c>
      <c r="J853" t="s">
        <v>5042</v>
      </c>
      <c r="K853" t="s">
        <v>5048</v>
      </c>
      <c r="L853" t="s">
        <v>5050</v>
      </c>
      <c r="M853" t="s">
        <v>5055</v>
      </c>
    </row>
    <row r="854" spans="1:13" x14ac:dyDescent="0.3">
      <c r="A854" s="1">
        <v>45329</v>
      </c>
      <c r="B854" s="1" t="str">
        <f>TEXT(Tabla1[[#This Row],[Fecha]],"MMMM")</f>
        <v>febrero</v>
      </c>
      <c r="C854" t="s">
        <v>864</v>
      </c>
      <c r="D854" t="s">
        <v>5021</v>
      </c>
      <c r="E854" t="s">
        <v>5033</v>
      </c>
      <c r="F854" t="s">
        <v>5035</v>
      </c>
      <c r="G854" s="3">
        <v>6959.4</v>
      </c>
      <c r="H854" s="3">
        <v>904.72</v>
      </c>
      <c r="I854" s="3">
        <f>SUM(Tabla1[[#This Row],[Monto_Base]],H854)</f>
        <v>7864.12</v>
      </c>
      <c r="J854" t="s">
        <v>5043</v>
      </c>
      <c r="K854" t="s">
        <v>5048</v>
      </c>
      <c r="L854" t="s">
        <v>5051</v>
      </c>
      <c r="M854" t="s">
        <v>5055</v>
      </c>
    </row>
    <row r="855" spans="1:13" x14ac:dyDescent="0.3">
      <c r="A855" s="1">
        <v>45655</v>
      </c>
      <c r="B855" s="1" t="str">
        <f>TEXT(Tabla1[[#This Row],[Fecha]],"MMMM")</f>
        <v>diciembre</v>
      </c>
      <c r="C855" t="s">
        <v>865</v>
      </c>
      <c r="D855" t="s">
        <v>5027</v>
      </c>
      <c r="E855" t="s">
        <v>5033</v>
      </c>
      <c r="F855" t="s">
        <v>5035</v>
      </c>
      <c r="G855" s="3">
        <v>3796.56</v>
      </c>
      <c r="H855" s="3">
        <v>493.55</v>
      </c>
      <c r="I855" s="3">
        <f>SUM(Tabla1[[#This Row],[Monto_Base]],H855)</f>
        <v>4290.1099999999997</v>
      </c>
      <c r="J855" t="s">
        <v>5046</v>
      </c>
      <c r="K855" t="s">
        <v>5048</v>
      </c>
      <c r="L855" t="s">
        <v>5050</v>
      </c>
      <c r="M855" t="s">
        <v>5055</v>
      </c>
    </row>
    <row r="856" spans="1:13" x14ac:dyDescent="0.3">
      <c r="A856" s="1">
        <v>45516</v>
      </c>
      <c r="B856" s="1" t="str">
        <f>TEXT(Tabla1[[#This Row],[Fecha]],"MMMM")</f>
        <v>agosto</v>
      </c>
      <c r="C856" t="s">
        <v>866</v>
      </c>
      <c r="D856" t="s">
        <v>5030</v>
      </c>
      <c r="E856" t="s">
        <v>5033</v>
      </c>
      <c r="F856" t="s">
        <v>5034</v>
      </c>
      <c r="G856" s="3">
        <v>10718.04</v>
      </c>
      <c r="H856" s="3">
        <v>1393.35</v>
      </c>
      <c r="I856" s="3">
        <f>SUM(Tabla1[[#This Row],[Monto_Base]],H856)</f>
        <v>12111.390000000001</v>
      </c>
      <c r="J856" t="s">
        <v>5046</v>
      </c>
      <c r="K856" t="s">
        <v>5048</v>
      </c>
      <c r="L856" t="s">
        <v>5051</v>
      </c>
      <c r="M856" t="s">
        <v>5054</v>
      </c>
    </row>
    <row r="857" spans="1:13" x14ac:dyDescent="0.3">
      <c r="A857" s="1">
        <v>45565</v>
      </c>
      <c r="B857" s="1" t="str">
        <f>TEXT(Tabla1[[#This Row],[Fecha]],"MMMM")</f>
        <v>septiembre</v>
      </c>
      <c r="C857" t="s">
        <v>867</v>
      </c>
      <c r="D857" t="s">
        <v>5012</v>
      </c>
      <c r="E857" t="s">
        <v>5033</v>
      </c>
      <c r="F857" t="s">
        <v>5039</v>
      </c>
      <c r="G857" s="3">
        <v>4447.46</v>
      </c>
      <c r="H857" s="3">
        <v>578.16999999999996</v>
      </c>
      <c r="I857" s="3">
        <f>SUM(Tabla1[[#This Row],[Monto_Base]],H857)</f>
        <v>5025.63</v>
      </c>
      <c r="J857" t="s">
        <v>5043</v>
      </c>
      <c r="K857" t="s">
        <v>5047</v>
      </c>
      <c r="L857" t="s">
        <v>5053</v>
      </c>
      <c r="M857" t="s">
        <v>5054</v>
      </c>
    </row>
    <row r="858" spans="1:13" x14ac:dyDescent="0.3">
      <c r="A858" s="1">
        <v>45657</v>
      </c>
      <c r="B858" s="1" t="str">
        <f>TEXT(Tabla1[[#This Row],[Fecha]],"MMMM")</f>
        <v>diciembre</v>
      </c>
      <c r="C858" t="s">
        <v>868</v>
      </c>
      <c r="D858" t="s">
        <v>5028</v>
      </c>
      <c r="E858" t="s">
        <v>5032</v>
      </c>
      <c r="F858" t="s">
        <v>5040</v>
      </c>
      <c r="G858" s="3">
        <v>2710.21</v>
      </c>
      <c r="H858" s="3">
        <v>0</v>
      </c>
      <c r="I858" s="3">
        <f>SUM(Tabla1[[#This Row],[Monto_Base]],H858)</f>
        <v>2710.21</v>
      </c>
      <c r="J858" t="s">
        <v>5045</v>
      </c>
      <c r="K858" t="s">
        <v>5049</v>
      </c>
      <c r="L858" t="s">
        <v>5052</v>
      </c>
      <c r="M858" t="s">
        <v>5055</v>
      </c>
    </row>
    <row r="859" spans="1:13" x14ac:dyDescent="0.3">
      <c r="A859" s="1">
        <v>45519</v>
      </c>
      <c r="B859" s="1" t="str">
        <f>TEXT(Tabla1[[#This Row],[Fecha]],"MMMM")</f>
        <v>agosto</v>
      </c>
      <c r="C859" t="s">
        <v>869</v>
      </c>
      <c r="D859" t="s">
        <v>5023</v>
      </c>
      <c r="E859" t="s">
        <v>5033</v>
      </c>
      <c r="F859" t="s">
        <v>5037</v>
      </c>
      <c r="G859" s="3">
        <v>10370.68</v>
      </c>
      <c r="H859" s="3">
        <v>1348.19</v>
      </c>
      <c r="I859" s="3">
        <f>SUM(Tabla1[[#This Row],[Monto_Base]],H859)</f>
        <v>11718.87</v>
      </c>
      <c r="J859" t="s">
        <v>5045</v>
      </c>
      <c r="K859" t="s">
        <v>5049</v>
      </c>
      <c r="L859" t="s">
        <v>5053</v>
      </c>
      <c r="M859" t="s">
        <v>5054</v>
      </c>
    </row>
    <row r="860" spans="1:13" x14ac:dyDescent="0.3">
      <c r="A860" s="1">
        <v>45394</v>
      </c>
      <c r="B860" s="1" t="str">
        <f>TEXT(Tabla1[[#This Row],[Fecha]],"MMMM")</f>
        <v>abril</v>
      </c>
      <c r="C860" t="s">
        <v>870</v>
      </c>
      <c r="D860" t="s">
        <v>5024</v>
      </c>
      <c r="E860" t="s">
        <v>5033</v>
      </c>
      <c r="F860" t="s">
        <v>5040</v>
      </c>
      <c r="G860" s="3">
        <v>13635.91</v>
      </c>
      <c r="H860" s="3">
        <v>1772.67</v>
      </c>
      <c r="I860" s="3">
        <f>SUM(Tabla1[[#This Row],[Monto_Base]],H860)</f>
        <v>15408.58</v>
      </c>
      <c r="J860" t="s">
        <v>5045</v>
      </c>
      <c r="K860" t="s">
        <v>5047</v>
      </c>
      <c r="L860" t="s">
        <v>5050</v>
      </c>
      <c r="M860" t="s">
        <v>5054</v>
      </c>
    </row>
    <row r="861" spans="1:13" x14ac:dyDescent="0.3">
      <c r="A861" s="1">
        <v>45341</v>
      </c>
      <c r="B861" s="1" t="str">
        <f>TEXT(Tabla1[[#This Row],[Fecha]],"MMMM")</f>
        <v>febrero</v>
      </c>
      <c r="C861" t="s">
        <v>871</v>
      </c>
      <c r="D861" t="s">
        <v>5015</v>
      </c>
      <c r="E861" t="s">
        <v>5033</v>
      </c>
      <c r="F861" t="s">
        <v>5036</v>
      </c>
      <c r="G861" s="3">
        <v>3347.49</v>
      </c>
      <c r="H861" s="3">
        <v>435.17</v>
      </c>
      <c r="I861" s="3">
        <f>SUM(Tabla1[[#This Row],[Monto_Base]],H861)</f>
        <v>3782.66</v>
      </c>
      <c r="J861" t="s">
        <v>5046</v>
      </c>
      <c r="K861" t="s">
        <v>5049</v>
      </c>
      <c r="L861" t="s">
        <v>5052</v>
      </c>
      <c r="M861" t="s">
        <v>5054</v>
      </c>
    </row>
    <row r="862" spans="1:13" x14ac:dyDescent="0.3">
      <c r="A862" s="1">
        <v>45612</v>
      </c>
      <c r="B862" s="1" t="str">
        <f>TEXT(Tabla1[[#This Row],[Fecha]],"MMMM")</f>
        <v>noviembre</v>
      </c>
      <c r="C862" t="s">
        <v>872</v>
      </c>
      <c r="D862" t="s">
        <v>5016</v>
      </c>
      <c r="E862" t="s">
        <v>5033</v>
      </c>
      <c r="F862" t="s">
        <v>5040</v>
      </c>
      <c r="G862" s="3">
        <v>4874.0600000000004</v>
      </c>
      <c r="H862" s="3">
        <v>633.63</v>
      </c>
      <c r="I862" s="3">
        <f>SUM(Tabla1[[#This Row],[Monto_Base]],H862)</f>
        <v>5507.6900000000005</v>
      </c>
      <c r="J862" t="s">
        <v>5046</v>
      </c>
      <c r="K862" t="s">
        <v>5049</v>
      </c>
      <c r="L862" t="s">
        <v>5052</v>
      </c>
      <c r="M862" t="s">
        <v>5055</v>
      </c>
    </row>
    <row r="863" spans="1:13" x14ac:dyDescent="0.3">
      <c r="A863" s="1">
        <v>45457</v>
      </c>
      <c r="B863" s="1" t="str">
        <f>TEXT(Tabla1[[#This Row],[Fecha]],"MMMM")</f>
        <v>junio</v>
      </c>
      <c r="C863" t="s">
        <v>873</v>
      </c>
      <c r="D863" t="s">
        <v>5030</v>
      </c>
      <c r="E863" t="s">
        <v>5033</v>
      </c>
      <c r="F863" t="s">
        <v>5034</v>
      </c>
      <c r="G863" s="3">
        <v>1632.99</v>
      </c>
      <c r="H863" s="3">
        <v>212.29</v>
      </c>
      <c r="I863" s="3">
        <f>SUM(Tabla1[[#This Row],[Monto_Base]],H863)</f>
        <v>1845.28</v>
      </c>
      <c r="J863" t="s">
        <v>5046</v>
      </c>
      <c r="K863" t="s">
        <v>5047</v>
      </c>
      <c r="L863" t="s">
        <v>5050</v>
      </c>
      <c r="M863" t="s">
        <v>5055</v>
      </c>
    </row>
    <row r="864" spans="1:13" x14ac:dyDescent="0.3">
      <c r="A864" s="1">
        <v>45628</v>
      </c>
      <c r="B864" s="1" t="str">
        <f>TEXT(Tabla1[[#This Row],[Fecha]],"MMMM")</f>
        <v>diciembre</v>
      </c>
      <c r="C864" t="s">
        <v>874</v>
      </c>
      <c r="D864" t="s">
        <v>5027</v>
      </c>
      <c r="E864" t="s">
        <v>5033</v>
      </c>
      <c r="F864" t="s">
        <v>5041</v>
      </c>
      <c r="G864" s="3">
        <v>3340.44</v>
      </c>
      <c r="H864" s="3">
        <v>434.26</v>
      </c>
      <c r="I864" s="3">
        <f>SUM(Tabla1[[#This Row],[Monto_Base]],H864)</f>
        <v>3774.7</v>
      </c>
      <c r="J864" t="s">
        <v>5044</v>
      </c>
      <c r="K864" t="s">
        <v>5049</v>
      </c>
      <c r="L864" t="s">
        <v>5051</v>
      </c>
      <c r="M864" t="s">
        <v>5054</v>
      </c>
    </row>
    <row r="865" spans="1:13" x14ac:dyDescent="0.3">
      <c r="A865" s="1">
        <v>45547</v>
      </c>
      <c r="B865" s="1" t="str">
        <f>TEXT(Tabla1[[#This Row],[Fecha]],"MMMM")</f>
        <v>septiembre</v>
      </c>
      <c r="C865" t="s">
        <v>875</v>
      </c>
      <c r="D865" t="s">
        <v>5017</v>
      </c>
      <c r="E865" t="s">
        <v>5032</v>
      </c>
      <c r="F865" t="s">
        <v>5038</v>
      </c>
      <c r="G865" s="3">
        <v>11524.8</v>
      </c>
      <c r="H865" s="3">
        <v>0</v>
      </c>
      <c r="I865" s="3">
        <f>SUM(Tabla1[[#This Row],[Monto_Base]],H865)</f>
        <v>11524.8</v>
      </c>
      <c r="J865" t="s">
        <v>5045</v>
      </c>
      <c r="K865" t="s">
        <v>5049</v>
      </c>
      <c r="L865" t="s">
        <v>5052</v>
      </c>
      <c r="M865" t="s">
        <v>5055</v>
      </c>
    </row>
    <row r="866" spans="1:13" x14ac:dyDescent="0.3">
      <c r="A866" s="1">
        <v>45647</v>
      </c>
      <c r="B866" s="1" t="str">
        <f>TEXT(Tabla1[[#This Row],[Fecha]],"MMMM")</f>
        <v>diciembre</v>
      </c>
      <c r="C866" t="s">
        <v>876</v>
      </c>
      <c r="D866" t="s">
        <v>5031</v>
      </c>
      <c r="E866" t="s">
        <v>5032</v>
      </c>
      <c r="F866" t="s">
        <v>5037</v>
      </c>
      <c r="G866" s="3">
        <v>10184.61</v>
      </c>
      <c r="H866" s="3">
        <v>0</v>
      </c>
      <c r="I866" s="3">
        <f>SUM(Tabla1[[#This Row],[Monto_Base]],H866)</f>
        <v>10184.61</v>
      </c>
      <c r="J866" t="s">
        <v>5046</v>
      </c>
      <c r="K866" t="s">
        <v>5048</v>
      </c>
      <c r="L866" t="s">
        <v>5052</v>
      </c>
      <c r="M866" t="s">
        <v>5055</v>
      </c>
    </row>
    <row r="867" spans="1:13" x14ac:dyDescent="0.3">
      <c r="A867" s="1">
        <v>45591</v>
      </c>
      <c r="B867" s="1" t="str">
        <f>TEXT(Tabla1[[#This Row],[Fecha]],"MMMM")</f>
        <v>octubre</v>
      </c>
      <c r="C867" t="s">
        <v>877</v>
      </c>
      <c r="D867" t="s">
        <v>5030</v>
      </c>
      <c r="E867" t="s">
        <v>5032</v>
      </c>
      <c r="F867" t="s">
        <v>5035</v>
      </c>
      <c r="G867" s="3">
        <v>9147.57</v>
      </c>
      <c r="H867" s="3">
        <v>0</v>
      </c>
      <c r="I867" s="3">
        <f>SUM(Tabla1[[#This Row],[Monto_Base]],H867)</f>
        <v>9147.57</v>
      </c>
      <c r="J867" t="s">
        <v>5043</v>
      </c>
      <c r="K867" t="s">
        <v>5048</v>
      </c>
      <c r="L867" t="s">
        <v>5052</v>
      </c>
      <c r="M867" t="s">
        <v>5054</v>
      </c>
    </row>
    <row r="868" spans="1:13" x14ac:dyDescent="0.3">
      <c r="A868" s="1">
        <v>45511</v>
      </c>
      <c r="B868" s="1" t="str">
        <f>TEXT(Tabla1[[#This Row],[Fecha]],"MMMM")</f>
        <v>agosto</v>
      </c>
      <c r="C868" t="s">
        <v>878</v>
      </c>
      <c r="D868" t="s">
        <v>5012</v>
      </c>
      <c r="E868" t="s">
        <v>5033</v>
      </c>
      <c r="F868" t="s">
        <v>5038</v>
      </c>
      <c r="G868" s="3">
        <v>3584.13</v>
      </c>
      <c r="H868" s="3">
        <v>465.94</v>
      </c>
      <c r="I868" s="3">
        <f>SUM(Tabla1[[#This Row],[Monto_Base]],H868)</f>
        <v>4050.07</v>
      </c>
      <c r="J868" t="s">
        <v>5046</v>
      </c>
      <c r="K868" t="s">
        <v>5049</v>
      </c>
      <c r="L868" t="s">
        <v>5053</v>
      </c>
      <c r="M868" t="s">
        <v>5054</v>
      </c>
    </row>
    <row r="869" spans="1:13" x14ac:dyDescent="0.3">
      <c r="A869" s="1">
        <v>45484</v>
      </c>
      <c r="B869" s="1" t="str">
        <f>TEXT(Tabla1[[#This Row],[Fecha]],"MMMM")</f>
        <v>julio</v>
      </c>
      <c r="C869" t="s">
        <v>879</v>
      </c>
      <c r="D869" t="s">
        <v>5015</v>
      </c>
      <c r="E869" t="s">
        <v>5032</v>
      </c>
      <c r="F869" t="s">
        <v>5038</v>
      </c>
      <c r="G869" s="3">
        <v>3070.08</v>
      </c>
      <c r="H869" s="3">
        <v>0</v>
      </c>
      <c r="I869" s="3">
        <f>SUM(Tabla1[[#This Row],[Monto_Base]],H869)</f>
        <v>3070.08</v>
      </c>
      <c r="J869" t="s">
        <v>5046</v>
      </c>
      <c r="K869" t="s">
        <v>5049</v>
      </c>
      <c r="L869" t="s">
        <v>5053</v>
      </c>
      <c r="M869" t="s">
        <v>5054</v>
      </c>
    </row>
    <row r="870" spans="1:13" x14ac:dyDescent="0.3">
      <c r="A870" s="1">
        <v>45312</v>
      </c>
      <c r="B870" s="1" t="str">
        <f>TEXT(Tabla1[[#This Row],[Fecha]],"MMMM")</f>
        <v>enero</v>
      </c>
      <c r="C870" t="s">
        <v>880</v>
      </c>
      <c r="D870" t="s">
        <v>5020</v>
      </c>
      <c r="E870" t="s">
        <v>5033</v>
      </c>
      <c r="F870" t="s">
        <v>5038</v>
      </c>
      <c r="G870" s="3">
        <v>4797.2</v>
      </c>
      <c r="H870" s="3">
        <v>623.64</v>
      </c>
      <c r="I870" s="3">
        <f>SUM(Tabla1[[#This Row],[Monto_Base]],H870)</f>
        <v>5420.84</v>
      </c>
      <c r="J870" t="s">
        <v>5042</v>
      </c>
      <c r="K870" t="s">
        <v>5048</v>
      </c>
      <c r="L870" t="s">
        <v>5051</v>
      </c>
      <c r="M870" t="s">
        <v>5054</v>
      </c>
    </row>
    <row r="871" spans="1:13" x14ac:dyDescent="0.3">
      <c r="A871" s="1">
        <v>45319</v>
      </c>
      <c r="B871" s="1" t="str">
        <f>TEXT(Tabla1[[#This Row],[Fecha]],"MMMM")</f>
        <v>enero</v>
      </c>
      <c r="C871" t="s">
        <v>881</v>
      </c>
      <c r="D871" t="s">
        <v>5015</v>
      </c>
      <c r="E871" t="s">
        <v>5032</v>
      </c>
      <c r="F871" t="s">
        <v>5034</v>
      </c>
      <c r="G871" s="3">
        <v>3126.97</v>
      </c>
      <c r="H871" s="3">
        <v>0</v>
      </c>
      <c r="I871" s="3">
        <f>SUM(Tabla1[[#This Row],[Monto_Base]],H871)</f>
        <v>3126.97</v>
      </c>
      <c r="J871" t="s">
        <v>5046</v>
      </c>
      <c r="K871" t="s">
        <v>5049</v>
      </c>
      <c r="L871" t="s">
        <v>5052</v>
      </c>
      <c r="M871" t="s">
        <v>5055</v>
      </c>
    </row>
    <row r="872" spans="1:13" x14ac:dyDescent="0.3">
      <c r="A872" s="1">
        <v>45543</v>
      </c>
      <c r="B872" s="1" t="str">
        <f>TEXT(Tabla1[[#This Row],[Fecha]],"MMMM")</f>
        <v>septiembre</v>
      </c>
      <c r="C872" t="s">
        <v>882</v>
      </c>
      <c r="D872" t="s">
        <v>5028</v>
      </c>
      <c r="E872" t="s">
        <v>5032</v>
      </c>
      <c r="F872" t="s">
        <v>5035</v>
      </c>
      <c r="G872" s="3">
        <v>1016.02</v>
      </c>
      <c r="H872" s="3">
        <v>0</v>
      </c>
      <c r="I872" s="3">
        <f>SUM(Tabla1[[#This Row],[Monto_Base]],H872)</f>
        <v>1016.02</v>
      </c>
      <c r="J872" t="s">
        <v>5045</v>
      </c>
      <c r="K872" t="s">
        <v>5047</v>
      </c>
      <c r="L872" t="s">
        <v>5053</v>
      </c>
      <c r="M872" t="s">
        <v>5054</v>
      </c>
    </row>
    <row r="873" spans="1:13" x14ac:dyDescent="0.3">
      <c r="A873" s="1">
        <v>45396</v>
      </c>
      <c r="B873" s="1" t="str">
        <f>TEXT(Tabla1[[#This Row],[Fecha]],"MMMM")</f>
        <v>abril</v>
      </c>
      <c r="C873" t="s">
        <v>883</v>
      </c>
      <c r="D873" t="s">
        <v>5026</v>
      </c>
      <c r="E873" t="s">
        <v>5033</v>
      </c>
      <c r="F873" t="s">
        <v>5039</v>
      </c>
      <c r="G873" s="3">
        <v>8909.83</v>
      </c>
      <c r="H873" s="3">
        <v>1158.28</v>
      </c>
      <c r="I873" s="3">
        <f>SUM(Tabla1[[#This Row],[Monto_Base]],H873)</f>
        <v>10068.11</v>
      </c>
      <c r="J873" t="s">
        <v>5046</v>
      </c>
      <c r="K873" t="s">
        <v>5049</v>
      </c>
      <c r="L873" t="s">
        <v>5053</v>
      </c>
      <c r="M873" t="s">
        <v>5055</v>
      </c>
    </row>
    <row r="874" spans="1:13" x14ac:dyDescent="0.3">
      <c r="A874" s="1">
        <v>45382</v>
      </c>
      <c r="B874" s="1" t="str">
        <f>TEXT(Tabla1[[#This Row],[Fecha]],"MMMM")</f>
        <v>marzo</v>
      </c>
      <c r="C874" t="s">
        <v>884</v>
      </c>
      <c r="D874" t="s">
        <v>5029</v>
      </c>
      <c r="E874" t="s">
        <v>5033</v>
      </c>
      <c r="F874" t="s">
        <v>5034</v>
      </c>
      <c r="G874" s="3">
        <v>3711.63</v>
      </c>
      <c r="H874" s="3">
        <v>482.51</v>
      </c>
      <c r="I874" s="3">
        <f>SUM(Tabla1[[#This Row],[Monto_Base]],H874)</f>
        <v>4194.1400000000003</v>
      </c>
      <c r="J874" t="s">
        <v>5042</v>
      </c>
      <c r="K874" t="s">
        <v>5047</v>
      </c>
      <c r="L874" t="s">
        <v>5051</v>
      </c>
      <c r="M874" t="s">
        <v>5055</v>
      </c>
    </row>
    <row r="875" spans="1:13" x14ac:dyDescent="0.3">
      <c r="A875" s="1">
        <v>45476</v>
      </c>
      <c r="B875" s="1" t="str">
        <f>TEXT(Tabla1[[#This Row],[Fecha]],"MMMM")</f>
        <v>julio</v>
      </c>
      <c r="C875" t="s">
        <v>885</v>
      </c>
      <c r="D875" t="s">
        <v>5024</v>
      </c>
      <c r="E875" t="s">
        <v>5032</v>
      </c>
      <c r="F875" t="s">
        <v>5041</v>
      </c>
      <c r="G875" s="3">
        <v>1246.24</v>
      </c>
      <c r="H875" s="3">
        <v>0</v>
      </c>
      <c r="I875" s="3">
        <f>SUM(Tabla1[[#This Row],[Monto_Base]],H875)</f>
        <v>1246.24</v>
      </c>
      <c r="J875" t="s">
        <v>5043</v>
      </c>
      <c r="K875" t="s">
        <v>5048</v>
      </c>
      <c r="L875" t="s">
        <v>5052</v>
      </c>
      <c r="M875" t="s">
        <v>5055</v>
      </c>
    </row>
    <row r="876" spans="1:13" x14ac:dyDescent="0.3">
      <c r="A876" s="1">
        <v>45538</v>
      </c>
      <c r="B876" s="1" t="str">
        <f>TEXT(Tabla1[[#This Row],[Fecha]],"MMMM")</f>
        <v>septiembre</v>
      </c>
      <c r="C876" t="s">
        <v>886</v>
      </c>
      <c r="D876" t="s">
        <v>5019</v>
      </c>
      <c r="E876" t="s">
        <v>5032</v>
      </c>
      <c r="F876" t="s">
        <v>5039</v>
      </c>
      <c r="G876" s="3">
        <v>12303.08</v>
      </c>
      <c r="H876" s="3">
        <v>0</v>
      </c>
      <c r="I876" s="3">
        <f>SUM(Tabla1[[#This Row],[Monto_Base]],H876)</f>
        <v>12303.08</v>
      </c>
      <c r="J876" t="s">
        <v>5045</v>
      </c>
      <c r="K876" t="s">
        <v>5048</v>
      </c>
      <c r="L876" t="s">
        <v>5050</v>
      </c>
      <c r="M876" t="s">
        <v>5054</v>
      </c>
    </row>
    <row r="877" spans="1:13" x14ac:dyDescent="0.3">
      <c r="A877" s="1">
        <v>45529</v>
      </c>
      <c r="B877" s="1" t="str">
        <f>TEXT(Tabla1[[#This Row],[Fecha]],"MMMM")</f>
        <v>agosto</v>
      </c>
      <c r="C877" t="s">
        <v>887</v>
      </c>
      <c r="D877" t="s">
        <v>5014</v>
      </c>
      <c r="E877" t="s">
        <v>5033</v>
      </c>
      <c r="F877" t="s">
        <v>5039</v>
      </c>
      <c r="G877" s="3">
        <v>3896.51</v>
      </c>
      <c r="H877" s="3">
        <v>506.55</v>
      </c>
      <c r="I877" s="3">
        <f>SUM(Tabla1[[#This Row],[Monto_Base]],H877)</f>
        <v>4403.0600000000004</v>
      </c>
      <c r="J877" t="s">
        <v>5044</v>
      </c>
      <c r="K877" t="s">
        <v>5048</v>
      </c>
      <c r="L877" t="s">
        <v>5051</v>
      </c>
      <c r="M877" t="s">
        <v>5055</v>
      </c>
    </row>
    <row r="878" spans="1:13" x14ac:dyDescent="0.3">
      <c r="A878" s="1">
        <v>45392</v>
      </c>
      <c r="B878" s="1" t="str">
        <f>TEXT(Tabla1[[#This Row],[Fecha]],"MMMM")</f>
        <v>abril</v>
      </c>
      <c r="C878" t="s">
        <v>888</v>
      </c>
      <c r="D878" t="s">
        <v>5030</v>
      </c>
      <c r="E878" t="s">
        <v>5032</v>
      </c>
      <c r="F878" t="s">
        <v>5039</v>
      </c>
      <c r="G878" s="3">
        <v>10737.21</v>
      </c>
      <c r="H878" s="3">
        <v>0</v>
      </c>
      <c r="I878" s="3">
        <f>SUM(Tabla1[[#This Row],[Monto_Base]],H878)</f>
        <v>10737.21</v>
      </c>
      <c r="J878" t="s">
        <v>5046</v>
      </c>
      <c r="K878" t="s">
        <v>5047</v>
      </c>
      <c r="L878" t="s">
        <v>5053</v>
      </c>
      <c r="M878" t="s">
        <v>5054</v>
      </c>
    </row>
    <row r="879" spans="1:13" x14ac:dyDescent="0.3">
      <c r="A879" s="1">
        <v>45483</v>
      </c>
      <c r="B879" s="1" t="str">
        <f>TEXT(Tabla1[[#This Row],[Fecha]],"MMMM")</f>
        <v>julio</v>
      </c>
      <c r="C879" t="s">
        <v>889</v>
      </c>
      <c r="D879" t="s">
        <v>5025</v>
      </c>
      <c r="E879" t="s">
        <v>5032</v>
      </c>
      <c r="F879" t="s">
        <v>5037</v>
      </c>
      <c r="G879" s="3">
        <v>14107.26</v>
      </c>
      <c r="H879" s="3">
        <v>0</v>
      </c>
      <c r="I879" s="3">
        <f>SUM(Tabla1[[#This Row],[Monto_Base]],H879)</f>
        <v>14107.26</v>
      </c>
      <c r="J879" t="s">
        <v>5043</v>
      </c>
      <c r="K879" t="s">
        <v>5048</v>
      </c>
      <c r="L879" t="s">
        <v>5051</v>
      </c>
      <c r="M879" t="s">
        <v>5054</v>
      </c>
    </row>
    <row r="880" spans="1:13" x14ac:dyDescent="0.3">
      <c r="A880" s="1">
        <v>45375</v>
      </c>
      <c r="B880" s="1" t="str">
        <f>TEXT(Tabla1[[#This Row],[Fecha]],"MMMM")</f>
        <v>marzo</v>
      </c>
      <c r="C880" t="s">
        <v>890</v>
      </c>
      <c r="D880" t="s">
        <v>5022</v>
      </c>
      <c r="E880" t="s">
        <v>5033</v>
      </c>
      <c r="F880" t="s">
        <v>5037</v>
      </c>
      <c r="G880" s="3">
        <v>13985.34</v>
      </c>
      <c r="H880" s="3">
        <v>1818.09</v>
      </c>
      <c r="I880" s="3">
        <f>SUM(Tabla1[[#This Row],[Monto_Base]],H880)</f>
        <v>15803.43</v>
      </c>
      <c r="J880" t="s">
        <v>5046</v>
      </c>
      <c r="K880" t="s">
        <v>5048</v>
      </c>
      <c r="L880" t="s">
        <v>5051</v>
      </c>
      <c r="M880" t="s">
        <v>5055</v>
      </c>
    </row>
    <row r="881" spans="1:13" x14ac:dyDescent="0.3">
      <c r="A881" s="1">
        <v>45418</v>
      </c>
      <c r="B881" s="1" t="str">
        <f>TEXT(Tabla1[[#This Row],[Fecha]],"MMMM")</f>
        <v>mayo</v>
      </c>
      <c r="C881" t="s">
        <v>891</v>
      </c>
      <c r="D881" t="s">
        <v>5020</v>
      </c>
      <c r="E881" t="s">
        <v>5033</v>
      </c>
      <c r="F881" t="s">
        <v>5037</v>
      </c>
      <c r="G881" s="3">
        <v>13901.46</v>
      </c>
      <c r="H881" s="3">
        <v>1807.19</v>
      </c>
      <c r="I881" s="3">
        <f>SUM(Tabla1[[#This Row],[Monto_Base]],H881)</f>
        <v>15708.65</v>
      </c>
      <c r="J881" t="s">
        <v>5046</v>
      </c>
      <c r="K881" t="s">
        <v>5048</v>
      </c>
      <c r="L881" t="s">
        <v>5053</v>
      </c>
      <c r="M881" t="s">
        <v>5055</v>
      </c>
    </row>
    <row r="882" spans="1:13" x14ac:dyDescent="0.3">
      <c r="A882" s="1">
        <v>45367</v>
      </c>
      <c r="B882" s="1" t="str">
        <f>TEXT(Tabla1[[#This Row],[Fecha]],"MMMM")</f>
        <v>marzo</v>
      </c>
      <c r="C882" t="s">
        <v>892</v>
      </c>
      <c r="D882" t="s">
        <v>5026</v>
      </c>
      <c r="E882" t="s">
        <v>5032</v>
      </c>
      <c r="F882" t="s">
        <v>5041</v>
      </c>
      <c r="G882" s="3">
        <v>14166.77</v>
      </c>
      <c r="H882" s="3">
        <v>0</v>
      </c>
      <c r="I882" s="3">
        <f>SUM(Tabla1[[#This Row],[Monto_Base]],H882)</f>
        <v>14166.77</v>
      </c>
      <c r="J882" t="s">
        <v>5044</v>
      </c>
      <c r="K882" t="s">
        <v>5047</v>
      </c>
      <c r="L882" t="s">
        <v>5052</v>
      </c>
      <c r="M882" t="s">
        <v>5054</v>
      </c>
    </row>
    <row r="883" spans="1:13" x14ac:dyDescent="0.3">
      <c r="A883" s="1">
        <v>45333</v>
      </c>
      <c r="B883" s="1" t="str">
        <f>TEXT(Tabla1[[#This Row],[Fecha]],"MMMM")</f>
        <v>febrero</v>
      </c>
      <c r="C883" t="s">
        <v>893</v>
      </c>
      <c r="D883" t="s">
        <v>5013</v>
      </c>
      <c r="E883" t="s">
        <v>5032</v>
      </c>
      <c r="F883" t="s">
        <v>5037</v>
      </c>
      <c r="G883" s="3">
        <v>10605.74</v>
      </c>
      <c r="H883" s="3">
        <v>0</v>
      </c>
      <c r="I883" s="3">
        <f>SUM(Tabla1[[#This Row],[Monto_Base]],H883)</f>
        <v>10605.74</v>
      </c>
      <c r="J883" t="s">
        <v>5042</v>
      </c>
      <c r="K883" t="s">
        <v>5047</v>
      </c>
      <c r="L883" t="s">
        <v>5050</v>
      </c>
      <c r="M883" t="s">
        <v>5054</v>
      </c>
    </row>
    <row r="884" spans="1:13" x14ac:dyDescent="0.3">
      <c r="A884" s="1">
        <v>45502</v>
      </c>
      <c r="B884" s="1" t="str">
        <f>TEXT(Tabla1[[#This Row],[Fecha]],"MMMM")</f>
        <v>julio</v>
      </c>
      <c r="C884" t="s">
        <v>894</v>
      </c>
      <c r="D884" t="s">
        <v>5029</v>
      </c>
      <c r="E884" t="s">
        <v>5032</v>
      </c>
      <c r="F884" t="s">
        <v>5037</v>
      </c>
      <c r="G884" s="3">
        <v>8811.89</v>
      </c>
      <c r="H884" s="3">
        <v>0</v>
      </c>
      <c r="I884" s="3">
        <f>SUM(Tabla1[[#This Row],[Monto_Base]],H884)</f>
        <v>8811.89</v>
      </c>
      <c r="J884" t="s">
        <v>5045</v>
      </c>
      <c r="K884" t="s">
        <v>5047</v>
      </c>
      <c r="L884" t="s">
        <v>5051</v>
      </c>
      <c r="M884" t="s">
        <v>5054</v>
      </c>
    </row>
    <row r="885" spans="1:13" x14ac:dyDescent="0.3">
      <c r="A885" s="1">
        <v>45378</v>
      </c>
      <c r="B885" s="1" t="str">
        <f>TEXT(Tabla1[[#This Row],[Fecha]],"MMMM")</f>
        <v>marzo</v>
      </c>
      <c r="C885" t="s">
        <v>895</v>
      </c>
      <c r="D885" t="s">
        <v>5024</v>
      </c>
      <c r="E885" t="s">
        <v>5032</v>
      </c>
      <c r="F885" t="s">
        <v>5038</v>
      </c>
      <c r="G885" s="3">
        <v>145.97999999999999</v>
      </c>
      <c r="H885" s="3">
        <v>0</v>
      </c>
      <c r="I885" s="3">
        <f>SUM(Tabla1[[#This Row],[Monto_Base]],H885)</f>
        <v>145.97999999999999</v>
      </c>
      <c r="J885" t="s">
        <v>5043</v>
      </c>
      <c r="K885" t="s">
        <v>5047</v>
      </c>
      <c r="L885" t="s">
        <v>5053</v>
      </c>
      <c r="M885" t="s">
        <v>5054</v>
      </c>
    </row>
    <row r="886" spans="1:13" x14ac:dyDescent="0.3">
      <c r="A886" s="1">
        <v>45379</v>
      </c>
      <c r="B886" s="1" t="str">
        <f>TEXT(Tabla1[[#This Row],[Fecha]],"MMMM")</f>
        <v>marzo</v>
      </c>
      <c r="C886" t="s">
        <v>896</v>
      </c>
      <c r="D886" t="s">
        <v>5016</v>
      </c>
      <c r="E886" t="s">
        <v>5032</v>
      </c>
      <c r="F886" t="s">
        <v>5038</v>
      </c>
      <c r="G886" s="3">
        <v>11008.98</v>
      </c>
      <c r="H886" s="3">
        <v>0</v>
      </c>
      <c r="I886" s="3">
        <f>SUM(Tabla1[[#This Row],[Monto_Base]],H886)</f>
        <v>11008.98</v>
      </c>
      <c r="J886" t="s">
        <v>5046</v>
      </c>
      <c r="K886" t="s">
        <v>5048</v>
      </c>
      <c r="L886" t="s">
        <v>5052</v>
      </c>
      <c r="M886" t="s">
        <v>5054</v>
      </c>
    </row>
    <row r="887" spans="1:13" x14ac:dyDescent="0.3">
      <c r="A887" s="1">
        <v>45400</v>
      </c>
      <c r="B887" s="1" t="str">
        <f>TEXT(Tabla1[[#This Row],[Fecha]],"MMMM")</f>
        <v>abril</v>
      </c>
      <c r="C887" t="s">
        <v>897</v>
      </c>
      <c r="D887" t="s">
        <v>5018</v>
      </c>
      <c r="E887" t="s">
        <v>5033</v>
      </c>
      <c r="F887" t="s">
        <v>5036</v>
      </c>
      <c r="G887" s="3">
        <v>6787.38</v>
      </c>
      <c r="H887" s="3">
        <v>882.36</v>
      </c>
      <c r="I887" s="3">
        <f>SUM(Tabla1[[#This Row],[Monto_Base]],H887)</f>
        <v>7669.74</v>
      </c>
      <c r="J887" t="s">
        <v>5046</v>
      </c>
      <c r="K887" t="s">
        <v>5047</v>
      </c>
      <c r="L887" t="s">
        <v>5053</v>
      </c>
      <c r="M887" t="s">
        <v>5054</v>
      </c>
    </row>
    <row r="888" spans="1:13" x14ac:dyDescent="0.3">
      <c r="A888" s="1">
        <v>45611</v>
      </c>
      <c r="B888" s="1" t="str">
        <f>TEXT(Tabla1[[#This Row],[Fecha]],"MMMM")</f>
        <v>noviembre</v>
      </c>
      <c r="C888" t="s">
        <v>898</v>
      </c>
      <c r="D888" t="s">
        <v>5021</v>
      </c>
      <c r="E888" t="s">
        <v>5032</v>
      </c>
      <c r="F888" t="s">
        <v>5041</v>
      </c>
      <c r="G888" s="3">
        <v>9421.2199999999993</v>
      </c>
      <c r="H888" s="3">
        <v>0</v>
      </c>
      <c r="I888" s="3">
        <f>SUM(Tabla1[[#This Row],[Monto_Base]],H888)</f>
        <v>9421.2199999999993</v>
      </c>
      <c r="J888" t="s">
        <v>5045</v>
      </c>
      <c r="K888" t="s">
        <v>5049</v>
      </c>
      <c r="L888" t="s">
        <v>5052</v>
      </c>
      <c r="M888" t="s">
        <v>5054</v>
      </c>
    </row>
    <row r="889" spans="1:13" x14ac:dyDescent="0.3">
      <c r="A889" s="1">
        <v>45467</v>
      </c>
      <c r="B889" s="1" t="str">
        <f>TEXT(Tabla1[[#This Row],[Fecha]],"MMMM")</f>
        <v>junio</v>
      </c>
      <c r="C889" t="s">
        <v>899</v>
      </c>
      <c r="D889" t="s">
        <v>5030</v>
      </c>
      <c r="E889" t="s">
        <v>5032</v>
      </c>
      <c r="F889" t="s">
        <v>5036</v>
      </c>
      <c r="G889" s="3">
        <v>4187.59</v>
      </c>
      <c r="H889" s="3">
        <v>0</v>
      </c>
      <c r="I889" s="3">
        <f>SUM(Tabla1[[#This Row],[Monto_Base]],H889)</f>
        <v>4187.59</v>
      </c>
      <c r="J889" t="s">
        <v>5045</v>
      </c>
      <c r="K889" t="s">
        <v>5049</v>
      </c>
      <c r="L889" t="s">
        <v>5052</v>
      </c>
      <c r="M889" t="s">
        <v>5055</v>
      </c>
    </row>
    <row r="890" spans="1:13" x14ac:dyDescent="0.3">
      <c r="A890" s="1">
        <v>45295</v>
      </c>
      <c r="B890" s="1" t="str">
        <f>TEXT(Tabla1[[#This Row],[Fecha]],"MMMM")</f>
        <v>enero</v>
      </c>
      <c r="C890" t="s">
        <v>900</v>
      </c>
      <c r="D890" t="s">
        <v>5030</v>
      </c>
      <c r="E890" t="s">
        <v>5033</v>
      </c>
      <c r="F890" t="s">
        <v>5035</v>
      </c>
      <c r="G890" s="3">
        <v>4027.91</v>
      </c>
      <c r="H890" s="3">
        <v>523.63</v>
      </c>
      <c r="I890" s="3">
        <f>SUM(Tabla1[[#This Row],[Monto_Base]],H890)</f>
        <v>4551.54</v>
      </c>
      <c r="J890" t="s">
        <v>5042</v>
      </c>
      <c r="K890" t="s">
        <v>5047</v>
      </c>
      <c r="L890" t="s">
        <v>5053</v>
      </c>
      <c r="M890" t="s">
        <v>5054</v>
      </c>
    </row>
    <row r="891" spans="1:13" x14ac:dyDescent="0.3">
      <c r="A891" s="1">
        <v>45464</v>
      </c>
      <c r="B891" s="1" t="str">
        <f>TEXT(Tabla1[[#This Row],[Fecha]],"MMMM")</f>
        <v>junio</v>
      </c>
      <c r="C891" t="s">
        <v>901</v>
      </c>
      <c r="D891" t="s">
        <v>5027</v>
      </c>
      <c r="E891" t="s">
        <v>5032</v>
      </c>
      <c r="F891" t="s">
        <v>5041</v>
      </c>
      <c r="G891" s="3">
        <v>7124.82</v>
      </c>
      <c r="H891" s="3">
        <v>0</v>
      </c>
      <c r="I891" s="3">
        <f>SUM(Tabla1[[#This Row],[Monto_Base]],H891)</f>
        <v>7124.82</v>
      </c>
      <c r="J891" t="s">
        <v>5042</v>
      </c>
      <c r="K891" t="s">
        <v>5048</v>
      </c>
      <c r="L891" t="s">
        <v>5051</v>
      </c>
      <c r="M891" t="s">
        <v>5055</v>
      </c>
    </row>
    <row r="892" spans="1:13" x14ac:dyDescent="0.3">
      <c r="A892" s="1">
        <v>45485</v>
      </c>
      <c r="B892" s="1" t="str">
        <f>TEXT(Tabla1[[#This Row],[Fecha]],"MMMM")</f>
        <v>julio</v>
      </c>
      <c r="C892" t="s">
        <v>902</v>
      </c>
      <c r="D892" t="s">
        <v>5020</v>
      </c>
      <c r="E892" t="s">
        <v>5033</v>
      </c>
      <c r="F892" t="s">
        <v>5040</v>
      </c>
      <c r="G892" s="3">
        <v>9992.92</v>
      </c>
      <c r="H892" s="3">
        <v>1299.08</v>
      </c>
      <c r="I892" s="3">
        <f>SUM(Tabla1[[#This Row],[Monto_Base]],H892)</f>
        <v>11292</v>
      </c>
      <c r="J892" t="s">
        <v>5042</v>
      </c>
      <c r="K892" t="s">
        <v>5047</v>
      </c>
      <c r="L892" t="s">
        <v>5051</v>
      </c>
      <c r="M892" t="s">
        <v>5055</v>
      </c>
    </row>
    <row r="893" spans="1:13" x14ac:dyDescent="0.3">
      <c r="A893" s="1">
        <v>45363</v>
      </c>
      <c r="B893" s="1" t="str">
        <f>TEXT(Tabla1[[#This Row],[Fecha]],"MMMM")</f>
        <v>marzo</v>
      </c>
      <c r="C893" t="s">
        <v>903</v>
      </c>
      <c r="D893" t="s">
        <v>5012</v>
      </c>
      <c r="E893" t="s">
        <v>5032</v>
      </c>
      <c r="F893" t="s">
        <v>5037</v>
      </c>
      <c r="G893" s="3">
        <v>10892.04</v>
      </c>
      <c r="H893" s="3">
        <v>0</v>
      </c>
      <c r="I893" s="3">
        <f>SUM(Tabla1[[#This Row],[Monto_Base]],H893)</f>
        <v>10892.04</v>
      </c>
      <c r="J893" t="s">
        <v>5045</v>
      </c>
      <c r="K893" t="s">
        <v>5049</v>
      </c>
      <c r="L893" t="s">
        <v>5053</v>
      </c>
      <c r="M893" t="s">
        <v>5055</v>
      </c>
    </row>
    <row r="894" spans="1:13" x14ac:dyDescent="0.3">
      <c r="A894" s="1">
        <v>45630</v>
      </c>
      <c r="B894" s="1" t="str">
        <f>TEXT(Tabla1[[#This Row],[Fecha]],"MMMM")</f>
        <v>diciembre</v>
      </c>
      <c r="C894" t="s">
        <v>904</v>
      </c>
      <c r="D894" t="s">
        <v>5015</v>
      </c>
      <c r="E894" t="s">
        <v>5032</v>
      </c>
      <c r="F894" t="s">
        <v>5041</v>
      </c>
      <c r="G894" s="3">
        <v>7747.96</v>
      </c>
      <c r="H894" s="3">
        <v>0</v>
      </c>
      <c r="I894" s="3">
        <f>SUM(Tabla1[[#This Row],[Monto_Base]],H894)</f>
        <v>7747.96</v>
      </c>
      <c r="J894" t="s">
        <v>5046</v>
      </c>
      <c r="K894" t="s">
        <v>5047</v>
      </c>
      <c r="L894" t="s">
        <v>5051</v>
      </c>
      <c r="M894" t="s">
        <v>5054</v>
      </c>
    </row>
    <row r="895" spans="1:13" x14ac:dyDescent="0.3">
      <c r="A895" s="1">
        <v>45540</v>
      </c>
      <c r="B895" s="1" t="str">
        <f>TEXT(Tabla1[[#This Row],[Fecha]],"MMMM")</f>
        <v>septiembre</v>
      </c>
      <c r="C895" t="s">
        <v>905</v>
      </c>
      <c r="D895" t="s">
        <v>5022</v>
      </c>
      <c r="E895" t="s">
        <v>5032</v>
      </c>
      <c r="F895" t="s">
        <v>5041</v>
      </c>
      <c r="G895" s="3">
        <v>3541.7</v>
      </c>
      <c r="H895" s="3">
        <v>0</v>
      </c>
      <c r="I895" s="3">
        <f>SUM(Tabla1[[#This Row],[Monto_Base]],H895)</f>
        <v>3541.7</v>
      </c>
      <c r="J895" t="s">
        <v>5043</v>
      </c>
      <c r="K895" t="s">
        <v>5049</v>
      </c>
      <c r="L895" t="s">
        <v>5053</v>
      </c>
      <c r="M895" t="s">
        <v>5055</v>
      </c>
    </row>
    <row r="896" spans="1:13" x14ac:dyDescent="0.3">
      <c r="A896" s="1">
        <v>45391</v>
      </c>
      <c r="B896" s="1" t="str">
        <f>TEXT(Tabla1[[#This Row],[Fecha]],"MMMM")</f>
        <v>abril</v>
      </c>
      <c r="C896" t="s">
        <v>906</v>
      </c>
      <c r="D896" t="s">
        <v>5025</v>
      </c>
      <c r="E896" t="s">
        <v>5033</v>
      </c>
      <c r="F896" t="s">
        <v>5037</v>
      </c>
      <c r="G896" s="3">
        <v>4443.25</v>
      </c>
      <c r="H896" s="3">
        <v>577.62</v>
      </c>
      <c r="I896" s="3">
        <f>SUM(Tabla1[[#This Row],[Monto_Base]],H896)</f>
        <v>5020.87</v>
      </c>
      <c r="J896" t="s">
        <v>5046</v>
      </c>
      <c r="K896" t="s">
        <v>5049</v>
      </c>
      <c r="L896" t="s">
        <v>5053</v>
      </c>
      <c r="M896" t="s">
        <v>5054</v>
      </c>
    </row>
    <row r="897" spans="1:13" x14ac:dyDescent="0.3">
      <c r="A897" s="1">
        <v>45520</v>
      </c>
      <c r="B897" s="1" t="str">
        <f>TEXT(Tabla1[[#This Row],[Fecha]],"MMMM")</f>
        <v>agosto</v>
      </c>
      <c r="C897" t="s">
        <v>907</v>
      </c>
      <c r="D897" t="s">
        <v>5030</v>
      </c>
      <c r="E897" t="s">
        <v>5032</v>
      </c>
      <c r="F897" t="s">
        <v>5041</v>
      </c>
      <c r="G897" s="3">
        <v>2562.39</v>
      </c>
      <c r="H897" s="3">
        <v>0</v>
      </c>
      <c r="I897" s="3">
        <f>SUM(Tabla1[[#This Row],[Monto_Base]],H897)</f>
        <v>2562.39</v>
      </c>
      <c r="J897" t="s">
        <v>5045</v>
      </c>
      <c r="K897" t="s">
        <v>5048</v>
      </c>
      <c r="L897" t="s">
        <v>5052</v>
      </c>
      <c r="M897" t="s">
        <v>5054</v>
      </c>
    </row>
    <row r="898" spans="1:13" x14ac:dyDescent="0.3">
      <c r="A898" s="1">
        <v>45306</v>
      </c>
      <c r="B898" s="1" t="str">
        <f>TEXT(Tabla1[[#This Row],[Fecha]],"MMMM")</f>
        <v>enero</v>
      </c>
      <c r="C898" t="s">
        <v>908</v>
      </c>
      <c r="D898" t="s">
        <v>5026</v>
      </c>
      <c r="E898" t="s">
        <v>5033</v>
      </c>
      <c r="F898" t="s">
        <v>5036</v>
      </c>
      <c r="G898" s="3">
        <v>6551.66</v>
      </c>
      <c r="H898" s="3">
        <v>851.72</v>
      </c>
      <c r="I898" s="3">
        <f>SUM(Tabla1[[#This Row],[Monto_Base]],H898)</f>
        <v>7403.38</v>
      </c>
      <c r="J898" t="s">
        <v>5046</v>
      </c>
      <c r="K898" t="s">
        <v>5048</v>
      </c>
      <c r="L898" t="s">
        <v>5050</v>
      </c>
      <c r="M898" t="s">
        <v>5055</v>
      </c>
    </row>
    <row r="899" spans="1:13" x14ac:dyDescent="0.3">
      <c r="A899" s="1">
        <v>45565</v>
      </c>
      <c r="B899" s="1" t="str">
        <f>TEXT(Tabla1[[#This Row],[Fecha]],"MMMM")</f>
        <v>septiembre</v>
      </c>
      <c r="C899" t="s">
        <v>909</v>
      </c>
      <c r="D899" t="s">
        <v>5021</v>
      </c>
      <c r="E899" t="s">
        <v>5032</v>
      </c>
      <c r="F899" t="s">
        <v>5036</v>
      </c>
      <c r="G899" s="3">
        <v>9998.8700000000008</v>
      </c>
      <c r="H899" s="3">
        <v>0</v>
      </c>
      <c r="I899" s="3">
        <f>SUM(Tabla1[[#This Row],[Monto_Base]],H899)</f>
        <v>9998.8700000000008</v>
      </c>
      <c r="J899" t="s">
        <v>5043</v>
      </c>
      <c r="K899" t="s">
        <v>5047</v>
      </c>
      <c r="L899" t="s">
        <v>5051</v>
      </c>
      <c r="M899" t="s">
        <v>5054</v>
      </c>
    </row>
    <row r="900" spans="1:13" x14ac:dyDescent="0.3">
      <c r="A900" s="1">
        <v>45579</v>
      </c>
      <c r="B900" s="1" t="str">
        <f>TEXT(Tabla1[[#This Row],[Fecha]],"MMMM")</f>
        <v>octubre</v>
      </c>
      <c r="C900" t="s">
        <v>910</v>
      </c>
      <c r="D900" t="s">
        <v>5015</v>
      </c>
      <c r="E900" t="s">
        <v>5032</v>
      </c>
      <c r="F900" t="s">
        <v>5037</v>
      </c>
      <c r="G900" s="3">
        <v>9826.1</v>
      </c>
      <c r="H900" s="3">
        <v>0</v>
      </c>
      <c r="I900" s="3">
        <f>SUM(Tabla1[[#This Row],[Monto_Base]],H900)</f>
        <v>9826.1</v>
      </c>
      <c r="J900" t="s">
        <v>5043</v>
      </c>
      <c r="K900" t="s">
        <v>5047</v>
      </c>
      <c r="L900" t="s">
        <v>5052</v>
      </c>
      <c r="M900" t="s">
        <v>5055</v>
      </c>
    </row>
    <row r="901" spans="1:13" x14ac:dyDescent="0.3">
      <c r="A901" s="1">
        <v>45595</v>
      </c>
      <c r="B901" s="1" t="str">
        <f>TEXT(Tabla1[[#This Row],[Fecha]],"MMMM")</f>
        <v>octubre</v>
      </c>
      <c r="C901" t="s">
        <v>911</v>
      </c>
      <c r="D901" t="s">
        <v>5021</v>
      </c>
      <c r="E901" t="s">
        <v>5033</v>
      </c>
      <c r="F901" t="s">
        <v>5036</v>
      </c>
      <c r="G901" s="3">
        <v>1382.63</v>
      </c>
      <c r="H901" s="3">
        <v>179.74</v>
      </c>
      <c r="I901" s="3">
        <f>SUM(Tabla1[[#This Row],[Monto_Base]],H901)</f>
        <v>1562.3700000000001</v>
      </c>
      <c r="J901" t="s">
        <v>5046</v>
      </c>
      <c r="K901" t="s">
        <v>5049</v>
      </c>
      <c r="L901" t="s">
        <v>5053</v>
      </c>
      <c r="M901" t="s">
        <v>5055</v>
      </c>
    </row>
    <row r="902" spans="1:13" x14ac:dyDescent="0.3">
      <c r="A902" s="1">
        <v>45594</v>
      </c>
      <c r="B902" s="1" t="str">
        <f>TEXT(Tabla1[[#This Row],[Fecha]],"MMMM")</f>
        <v>octubre</v>
      </c>
      <c r="C902" t="s">
        <v>912</v>
      </c>
      <c r="D902" t="s">
        <v>5015</v>
      </c>
      <c r="E902" t="s">
        <v>5032</v>
      </c>
      <c r="F902" t="s">
        <v>5035</v>
      </c>
      <c r="G902" s="3">
        <v>4696.4399999999996</v>
      </c>
      <c r="H902" s="3">
        <v>0</v>
      </c>
      <c r="I902" s="3">
        <f>SUM(Tabla1[[#This Row],[Monto_Base]],H902)</f>
        <v>4696.4399999999996</v>
      </c>
      <c r="J902" t="s">
        <v>5042</v>
      </c>
      <c r="K902" t="s">
        <v>5047</v>
      </c>
      <c r="L902" t="s">
        <v>5050</v>
      </c>
      <c r="M902" t="s">
        <v>5055</v>
      </c>
    </row>
    <row r="903" spans="1:13" x14ac:dyDescent="0.3">
      <c r="A903" s="1">
        <v>45296</v>
      </c>
      <c r="B903" s="1" t="str">
        <f>TEXT(Tabla1[[#This Row],[Fecha]],"MMMM")</f>
        <v>enero</v>
      </c>
      <c r="C903" t="s">
        <v>913</v>
      </c>
      <c r="D903" t="s">
        <v>5020</v>
      </c>
      <c r="E903" t="s">
        <v>5033</v>
      </c>
      <c r="F903" t="s">
        <v>5034</v>
      </c>
      <c r="G903" s="3">
        <v>1643.46</v>
      </c>
      <c r="H903" s="3">
        <v>213.65</v>
      </c>
      <c r="I903" s="3">
        <f>SUM(Tabla1[[#This Row],[Monto_Base]],H903)</f>
        <v>1857.1100000000001</v>
      </c>
      <c r="J903" t="s">
        <v>5042</v>
      </c>
      <c r="K903" t="s">
        <v>5048</v>
      </c>
      <c r="L903" t="s">
        <v>5051</v>
      </c>
      <c r="M903" t="s">
        <v>5054</v>
      </c>
    </row>
    <row r="904" spans="1:13" x14ac:dyDescent="0.3">
      <c r="A904" s="1">
        <v>45437</v>
      </c>
      <c r="B904" s="1" t="str">
        <f>TEXT(Tabla1[[#This Row],[Fecha]],"MMMM")</f>
        <v>mayo</v>
      </c>
      <c r="C904" t="s">
        <v>914</v>
      </c>
      <c r="D904" t="s">
        <v>5024</v>
      </c>
      <c r="E904" t="s">
        <v>5032</v>
      </c>
      <c r="F904" t="s">
        <v>5041</v>
      </c>
      <c r="G904" s="3">
        <v>2254.0100000000002</v>
      </c>
      <c r="H904" s="3">
        <v>0</v>
      </c>
      <c r="I904" s="3">
        <f>SUM(Tabla1[[#This Row],[Monto_Base]],H904)</f>
        <v>2254.0100000000002</v>
      </c>
      <c r="J904" t="s">
        <v>5046</v>
      </c>
      <c r="K904" t="s">
        <v>5049</v>
      </c>
      <c r="L904" t="s">
        <v>5053</v>
      </c>
      <c r="M904" t="s">
        <v>5055</v>
      </c>
    </row>
    <row r="905" spans="1:13" x14ac:dyDescent="0.3">
      <c r="A905" s="1">
        <v>45653</v>
      </c>
      <c r="B905" s="1" t="str">
        <f>TEXT(Tabla1[[#This Row],[Fecha]],"MMMM")</f>
        <v>diciembre</v>
      </c>
      <c r="C905" t="s">
        <v>915</v>
      </c>
      <c r="D905" t="s">
        <v>5016</v>
      </c>
      <c r="E905" t="s">
        <v>5033</v>
      </c>
      <c r="F905" t="s">
        <v>5038</v>
      </c>
      <c r="G905" s="3">
        <v>14952.89</v>
      </c>
      <c r="H905" s="3">
        <v>1943.88</v>
      </c>
      <c r="I905" s="3">
        <f>SUM(Tabla1[[#This Row],[Monto_Base]],H905)</f>
        <v>16896.77</v>
      </c>
      <c r="J905" t="s">
        <v>5042</v>
      </c>
      <c r="K905" t="s">
        <v>5048</v>
      </c>
      <c r="L905" t="s">
        <v>5052</v>
      </c>
      <c r="M905" t="s">
        <v>5055</v>
      </c>
    </row>
    <row r="906" spans="1:13" x14ac:dyDescent="0.3">
      <c r="A906" s="1">
        <v>45399</v>
      </c>
      <c r="B906" s="1" t="str">
        <f>TEXT(Tabla1[[#This Row],[Fecha]],"MMMM")</f>
        <v>abril</v>
      </c>
      <c r="C906" t="s">
        <v>916</v>
      </c>
      <c r="D906" t="s">
        <v>5019</v>
      </c>
      <c r="E906" t="s">
        <v>5033</v>
      </c>
      <c r="F906" t="s">
        <v>5040</v>
      </c>
      <c r="G906" s="3">
        <v>2332.9</v>
      </c>
      <c r="H906" s="3">
        <v>303.27999999999997</v>
      </c>
      <c r="I906" s="3">
        <f>SUM(Tabla1[[#This Row],[Monto_Base]],H906)</f>
        <v>2636.1800000000003</v>
      </c>
      <c r="J906" t="s">
        <v>5046</v>
      </c>
      <c r="K906" t="s">
        <v>5049</v>
      </c>
      <c r="L906" t="s">
        <v>5053</v>
      </c>
      <c r="M906" t="s">
        <v>5054</v>
      </c>
    </row>
    <row r="907" spans="1:13" x14ac:dyDescent="0.3">
      <c r="A907" s="1">
        <v>45572</v>
      </c>
      <c r="B907" s="1" t="str">
        <f>TEXT(Tabla1[[#This Row],[Fecha]],"MMMM")</f>
        <v>octubre</v>
      </c>
      <c r="C907" t="s">
        <v>917</v>
      </c>
      <c r="D907" t="s">
        <v>5019</v>
      </c>
      <c r="E907" t="s">
        <v>5032</v>
      </c>
      <c r="F907" t="s">
        <v>5039</v>
      </c>
      <c r="G907" s="3">
        <v>14866.4</v>
      </c>
      <c r="H907" s="3">
        <v>0</v>
      </c>
      <c r="I907" s="3">
        <f>SUM(Tabla1[[#This Row],[Monto_Base]],H907)</f>
        <v>14866.4</v>
      </c>
      <c r="J907" t="s">
        <v>5043</v>
      </c>
      <c r="K907" t="s">
        <v>5048</v>
      </c>
      <c r="L907" t="s">
        <v>5050</v>
      </c>
      <c r="M907" t="s">
        <v>5055</v>
      </c>
    </row>
    <row r="908" spans="1:13" x14ac:dyDescent="0.3">
      <c r="A908" s="1">
        <v>45436</v>
      </c>
      <c r="B908" s="1" t="str">
        <f>TEXT(Tabla1[[#This Row],[Fecha]],"MMMM")</f>
        <v>mayo</v>
      </c>
      <c r="C908" t="s">
        <v>918</v>
      </c>
      <c r="D908" t="s">
        <v>5019</v>
      </c>
      <c r="E908" t="s">
        <v>5032</v>
      </c>
      <c r="F908" t="s">
        <v>5036</v>
      </c>
      <c r="G908" s="3">
        <v>7941.27</v>
      </c>
      <c r="H908" s="3">
        <v>0</v>
      </c>
      <c r="I908" s="3">
        <f>SUM(Tabla1[[#This Row],[Monto_Base]],H908)</f>
        <v>7941.27</v>
      </c>
      <c r="J908" t="s">
        <v>5044</v>
      </c>
      <c r="K908" t="s">
        <v>5049</v>
      </c>
      <c r="L908" t="s">
        <v>5052</v>
      </c>
      <c r="M908" t="s">
        <v>5055</v>
      </c>
    </row>
    <row r="909" spans="1:13" x14ac:dyDescent="0.3">
      <c r="A909" s="1">
        <v>45655</v>
      </c>
      <c r="B909" s="1" t="str">
        <f>TEXT(Tabla1[[#This Row],[Fecha]],"MMMM")</f>
        <v>diciembre</v>
      </c>
      <c r="C909" t="s">
        <v>919</v>
      </c>
      <c r="D909" t="s">
        <v>5026</v>
      </c>
      <c r="E909" t="s">
        <v>5032</v>
      </c>
      <c r="F909" t="s">
        <v>5035</v>
      </c>
      <c r="G909" s="3">
        <v>12754.66</v>
      </c>
      <c r="H909" s="3">
        <v>0</v>
      </c>
      <c r="I909" s="3">
        <f>SUM(Tabla1[[#This Row],[Monto_Base]],H909)</f>
        <v>12754.66</v>
      </c>
      <c r="J909" t="s">
        <v>5044</v>
      </c>
      <c r="K909" t="s">
        <v>5048</v>
      </c>
      <c r="L909" t="s">
        <v>5052</v>
      </c>
      <c r="M909" t="s">
        <v>5054</v>
      </c>
    </row>
    <row r="910" spans="1:13" x14ac:dyDescent="0.3">
      <c r="A910" s="1">
        <v>45392</v>
      </c>
      <c r="B910" s="1" t="str">
        <f>TEXT(Tabla1[[#This Row],[Fecha]],"MMMM")</f>
        <v>abril</v>
      </c>
      <c r="C910" t="s">
        <v>920</v>
      </c>
      <c r="D910" t="s">
        <v>5025</v>
      </c>
      <c r="E910" t="s">
        <v>5032</v>
      </c>
      <c r="F910" t="s">
        <v>5039</v>
      </c>
      <c r="G910" s="3">
        <v>3186.01</v>
      </c>
      <c r="H910" s="3">
        <v>0</v>
      </c>
      <c r="I910" s="3">
        <f>SUM(Tabla1[[#This Row],[Monto_Base]],H910)</f>
        <v>3186.01</v>
      </c>
      <c r="J910" t="s">
        <v>5045</v>
      </c>
      <c r="K910" t="s">
        <v>5048</v>
      </c>
      <c r="L910" t="s">
        <v>5053</v>
      </c>
      <c r="M910" t="s">
        <v>5054</v>
      </c>
    </row>
    <row r="911" spans="1:13" x14ac:dyDescent="0.3">
      <c r="A911" s="1">
        <v>45534</v>
      </c>
      <c r="B911" s="1" t="str">
        <f>TEXT(Tabla1[[#This Row],[Fecha]],"MMMM")</f>
        <v>agosto</v>
      </c>
      <c r="C911" t="s">
        <v>921</v>
      </c>
      <c r="D911" t="s">
        <v>5019</v>
      </c>
      <c r="E911" t="s">
        <v>5033</v>
      </c>
      <c r="F911" t="s">
        <v>5035</v>
      </c>
      <c r="G911" s="3">
        <v>1485.91</v>
      </c>
      <c r="H911" s="3">
        <v>193.17</v>
      </c>
      <c r="I911" s="3">
        <f>SUM(Tabla1[[#This Row],[Monto_Base]],H911)</f>
        <v>1679.0800000000002</v>
      </c>
      <c r="J911" t="s">
        <v>5046</v>
      </c>
      <c r="K911" t="s">
        <v>5047</v>
      </c>
      <c r="L911" t="s">
        <v>5053</v>
      </c>
      <c r="M911" t="s">
        <v>5055</v>
      </c>
    </row>
    <row r="912" spans="1:13" x14ac:dyDescent="0.3">
      <c r="A912" s="1">
        <v>45415</v>
      </c>
      <c r="B912" s="1" t="str">
        <f>TEXT(Tabla1[[#This Row],[Fecha]],"MMMM")</f>
        <v>mayo</v>
      </c>
      <c r="C912" t="s">
        <v>922</v>
      </c>
      <c r="D912" t="s">
        <v>5028</v>
      </c>
      <c r="E912" t="s">
        <v>5032</v>
      </c>
      <c r="F912" t="s">
        <v>5034</v>
      </c>
      <c r="G912" s="3">
        <v>558.19000000000005</v>
      </c>
      <c r="H912" s="3">
        <v>0</v>
      </c>
      <c r="I912" s="3">
        <f>SUM(Tabla1[[#This Row],[Monto_Base]],H912)</f>
        <v>558.19000000000005</v>
      </c>
      <c r="J912" t="s">
        <v>5043</v>
      </c>
      <c r="K912" t="s">
        <v>5048</v>
      </c>
      <c r="L912" t="s">
        <v>5051</v>
      </c>
      <c r="M912" t="s">
        <v>5054</v>
      </c>
    </row>
    <row r="913" spans="1:13" x14ac:dyDescent="0.3">
      <c r="A913" s="1">
        <v>45626</v>
      </c>
      <c r="B913" s="1" t="str">
        <f>TEXT(Tabla1[[#This Row],[Fecha]],"MMMM")</f>
        <v>noviembre</v>
      </c>
      <c r="C913" t="s">
        <v>923</v>
      </c>
      <c r="D913" t="s">
        <v>5030</v>
      </c>
      <c r="E913" t="s">
        <v>5032</v>
      </c>
      <c r="F913" t="s">
        <v>5037</v>
      </c>
      <c r="G913" s="3">
        <v>4164.4799999999996</v>
      </c>
      <c r="H913" s="3">
        <v>0</v>
      </c>
      <c r="I913" s="3">
        <f>SUM(Tabla1[[#This Row],[Monto_Base]],H913)</f>
        <v>4164.4799999999996</v>
      </c>
      <c r="J913" t="s">
        <v>5043</v>
      </c>
      <c r="K913" t="s">
        <v>5048</v>
      </c>
      <c r="L913" t="s">
        <v>5053</v>
      </c>
      <c r="M913" t="s">
        <v>5054</v>
      </c>
    </row>
    <row r="914" spans="1:13" x14ac:dyDescent="0.3">
      <c r="A914" s="1">
        <v>45552</v>
      </c>
      <c r="B914" s="1" t="str">
        <f>TEXT(Tabla1[[#This Row],[Fecha]],"MMMM")</f>
        <v>septiembre</v>
      </c>
      <c r="C914" t="s">
        <v>924</v>
      </c>
      <c r="D914" t="s">
        <v>5013</v>
      </c>
      <c r="E914" t="s">
        <v>5033</v>
      </c>
      <c r="F914" t="s">
        <v>5041</v>
      </c>
      <c r="G914" s="3">
        <v>9639.07</v>
      </c>
      <c r="H914" s="3">
        <v>1253.08</v>
      </c>
      <c r="I914" s="3">
        <f>SUM(Tabla1[[#This Row],[Monto_Base]],H914)</f>
        <v>10892.15</v>
      </c>
      <c r="J914" t="s">
        <v>5046</v>
      </c>
      <c r="K914" t="s">
        <v>5047</v>
      </c>
      <c r="L914" t="s">
        <v>5050</v>
      </c>
      <c r="M914" t="s">
        <v>5055</v>
      </c>
    </row>
    <row r="915" spans="1:13" x14ac:dyDescent="0.3">
      <c r="A915" s="1">
        <v>45622</v>
      </c>
      <c r="B915" s="1" t="str">
        <f>TEXT(Tabla1[[#This Row],[Fecha]],"MMMM")</f>
        <v>noviembre</v>
      </c>
      <c r="C915" t="s">
        <v>925</v>
      </c>
      <c r="D915" t="s">
        <v>5031</v>
      </c>
      <c r="E915" t="s">
        <v>5033</v>
      </c>
      <c r="F915" t="s">
        <v>5037</v>
      </c>
      <c r="G915" s="3">
        <v>7288.66</v>
      </c>
      <c r="H915" s="3">
        <v>947.53</v>
      </c>
      <c r="I915" s="3">
        <f>SUM(Tabla1[[#This Row],[Monto_Base]],H915)</f>
        <v>8236.19</v>
      </c>
      <c r="J915" t="s">
        <v>5043</v>
      </c>
      <c r="K915" t="s">
        <v>5048</v>
      </c>
      <c r="L915" t="s">
        <v>5052</v>
      </c>
      <c r="M915" t="s">
        <v>5054</v>
      </c>
    </row>
    <row r="916" spans="1:13" x14ac:dyDescent="0.3">
      <c r="A916" s="1">
        <v>45302</v>
      </c>
      <c r="B916" s="1" t="str">
        <f>TEXT(Tabla1[[#This Row],[Fecha]],"MMMM")</f>
        <v>enero</v>
      </c>
      <c r="C916" t="s">
        <v>926</v>
      </c>
      <c r="D916" t="s">
        <v>5030</v>
      </c>
      <c r="E916" t="s">
        <v>5033</v>
      </c>
      <c r="F916" t="s">
        <v>5037</v>
      </c>
      <c r="G916" s="3">
        <v>12202.38</v>
      </c>
      <c r="H916" s="3">
        <v>1586.31</v>
      </c>
      <c r="I916" s="3">
        <f>SUM(Tabla1[[#This Row],[Monto_Base]],H916)</f>
        <v>13788.689999999999</v>
      </c>
      <c r="J916" t="s">
        <v>5043</v>
      </c>
      <c r="K916" t="s">
        <v>5049</v>
      </c>
      <c r="L916" t="s">
        <v>5050</v>
      </c>
      <c r="M916" t="s">
        <v>5054</v>
      </c>
    </row>
    <row r="917" spans="1:13" x14ac:dyDescent="0.3">
      <c r="A917" s="1">
        <v>45647</v>
      </c>
      <c r="B917" s="1" t="str">
        <f>TEXT(Tabla1[[#This Row],[Fecha]],"MMMM")</f>
        <v>diciembre</v>
      </c>
      <c r="C917" t="s">
        <v>927</v>
      </c>
      <c r="D917" t="s">
        <v>5017</v>
      </c>
      <c r="E917" t="s">
        <v>5033</v>
      </c>
      <c r="F917" t="s">
        <v>5039</v>
      </c>
      <c r="G917" s="3">
        <v>12936.95</v>
      </c>
      <c r="H917" s="3">
        <v>1681.8</v>
      </c>
      <c r="I917" s="3">
        <f>SUM(Tabla1[[#This Row],[Monto_Base]],H917)</f>
        <v>14618.75</v>
      </c>
      <c r="J917" t="s">
        <v>5046</v>
      </c>
      <c r="K917" t="s">
        <v>5047</v>
      </c>
      <c r="L917" t="s">
        <v>5050</v>
      </c>
      <c r="M917" t="s">
        <v>5055</v>
      </c>
    </row>
    <row r="918" spans="1:13" x14ac:dyDescent="0.3">
      <c r="A918" s="1">
        <v>45336</v>
      </c>
      <c r="B918" s="1" t="str">
        <f>TEXT(Tabla1[[#This Row],[Fecha]],"MMMM")</f>
        <v>febrero</v>
      </c>
      <c r="C918" t="s">
        <v>928</v>
      </c>
      <c r="D918" t="s">
        <v>5012</v>
      </c>
      <c r="E918" t="s">
        <v>5033</v>
      </c>
      <c r="F918" t="s">
        <v>5034</v>
      </c>
      <c r="G918" s="3">
        <v>9806.98</v>
      </c>
      <c r="H918" s="3">
        <v>1274.9100000000001</v>
      </c>
      <c r="I918" s="3">
        <f>SUM(Tabla1[[#This Row],[Monto_Base]],H918)</f>
        <v>11081.89</v>
      </c>
      <c r="J918" t="s">
        <v>5042</v>
      </c>
      <c r="K918" t="s">
        <v>5048</v>
      </c>
      <c r="L918" t="s">
        <v>5053</v>
      </c>
      <c r="M918" t="s">
        <v>5054</v>
      </c>
    </row>
    <row r="919" spans="1:13" x14ac:dyDescent="0.3">
      <c r="A919" s="1">
        <v>45379</v>
      </c>
      <c r="B919" s="1" t="str">
        <f>TEXT(Tabla1[[#This Row],[Fecha]],"MMMM")</f>
        <v>marzo</v>
      </c>
      <c r="C919" t="s">
        <v>929</v>
      </c>
      <c r="D919" t="s">
        <v>5023</v>
      </c>
      <c r="E919" t="s">
        <v>5032</v>
      </c>
      <c r="F919" t="s">
        <v>5040</v>
      </c>
      <c r="G919" s="3">
        <v>14495.83</v>
      </c>
      <c r="H919" s="3">
        <v>0</v>
      </c>
      <c r="I919" s="3">
        <f>SUM(Tabla1[[#This Row],[Monto_Base]],H919)</f>
        <v>14495.83</v>
      </c>
      <c r="J919" t="s">
        <v>5043</v>
      </c>
      <c r="K919" t="s">
        <v>5049</v>
      </c>
      <c r="L919" t="s">
        <v>5053</v>
      </c>
      <c r="M919" t="s">
        <v>5054</v>
      </c>
    </row>
    <row r="920" spans="1:13" x14ac:dyDescent="0.3">
      <c r="A920" s="1">
        <v>45543</v>
      </c>
      <c r="B920" s="1" t="str">
        <f>TEXT(Tabla1[[#This Row],[Fecha]],"MMMM")</f>
        <v>septiembre</v>
      </c>
      <c r="C920" t="s">
        <v>930</v>
      </c>
      <c r="D920" t="s">
        <v>5022</v>
      </c>
      <c r="E920" t="s">
        <v>5032</v>
      </c>
      <c r="F920" t="s">
        <v>5041</v>
      </c>
      <c r="G920" s="3">
        <v>2140.83</v>
      </c>
      <c r="H920" s="3">
        <v>0</v>
      </c>
      <c r="I920" s="3">
        <f>SUM(Tabla1[[#This Row],[Monto_Base]],H920)</f>
        <v>2140.83</v>
      </c>
      <c r="J920" t="s">
        <v>5044</v>
      </c>
      <c r="K920" t="s">
        <v>5049</v>
      </c>
      <c r="L920" t="s">
        <v>5051</v>
      </c>
      <c r="M920" t="s">
        <v>5054</v>
      </c>
    </row>
    <row r="921" spans="1:13" x14ac:dyDescent="0.3">
      <c r="A921" s="1">
        <v>45445</v>
      </c>
      <c r="B921" s="1" t="str">
        <f>TEXT(Tabla1[[#This Row],[Fecha]],"MMMM")</f>
        <v>junio</v>
      </c>
      <c r="C921" t="s">
        <v>931</v>
      </c>
      <c r="D921" t="s">
        <v>5012</v>
      </c>
      <c r="E921" t="s">
        <v>5033</v>
      </c>
      <c r="F921" t="s">
        <v>5035</v>
      </c>
      <c r="G921" s="3">
        <v>2861.7</v>
      </c>
      <c r="H921" s="3">
        <v>372.02</v>
      </c>
      <c r="I921" s="3">
        <f>SUM(Tabla1[[#This Row],[Monto_Base]],H921)</f>
        <v>3233.72</v>
      </c>
      <c r="J921" t="s">
        <v>5046</v>
      </c>
      <c r="K921" t="s">
        <v>5047</v>
      </c>
      <c r="L921" t="s">
        <v>5052</v>
      </c>
      <c r="M921" t="s">
        <v>5055</v>
      </c>
    </row>
    <row r="922" spans="1:13" x14ac:dyDescent="0.3">
      <c r="A922" s="1">
        <v>45425</v>
      </c>
      <c r="B922" s="1" t="str">
        <f>TEXT(Tabla1[[#This Row],[Fecha]],"MMMM")</f>
        <v>mayo</v>
      </c>
      <c r="C922" t="s">
        <v>932</v>
      </c>
      <c r="D922" t="s">
        <v>5028</v>
      </c>
      <c r="E922" t="s">
        <v>5032</v>
      </c>
      <c r="F922" t="s">
        <v>5036</v>
      </c>
      <c r="G922" s="3">
        <v>8270.24</v>
      </c>
      <c r="H922" s="3">
        <v>0</v>
      </c>
      <c r="I922" s="3">
        <f>SUM(Tabla1[[#This Row],[Monto_Base]],H922)</f>
        <v>8270.24</v>
      </c>
      <c r="J922" t="s">
        <v>5043</v>
      </c>
      <c r="K922" t="s">
        <v>5049</v>
      </c>
      <c r="L922" t="s">
        <v>5052</v>
      </c>
      <c r="M922" t="s">
        <v>5055</v>
      </c>
    </row>
    <row r="923" spans="1:13" x14ac:dyDescent="0.3">
      <c r="A923" s="1">
        <v>45365</v>
      </c>
      <c r="B923" s="1" t="str">
        <f>TEXT(Tabla1[[#This Row],[Fecha]],"MMMM")</f>
        <v>marzo</v>
      </c>
      <c r="C923" t="s">
        <v>933</v>
      </c>
      <c r="D923" t="s">
        <v>5030</v>
      </c>
      <c r="E923" t="s">
        <v>5032</v>
      </c>
      <c r="F923" t="s">
        <v>5037</v>
      </c>
      <c r="G923" s="3">
        <v>14105.98</v>
      </c>
      <c r="H923" s="3">
        <v>0</v>
      </c>
      <c r="I923" s="3">
        <f>SUM(Tabla1[[#This Row],[Monto_Base]],H923)</f>
        <v>14105.98</v>
      </c>
      <c r="J923" t="s">
        <v>5042</v>
      </c>
      <c r="K923" t="s">
        <v>5047</v>
      </c>
      <c r="L923" t="s">
        <v>5053</v>
      </c>
      <c r="M923" t="s">
        <v>5055</v>
      </c>
    </row>
    <row r="924" spans="1:13" x14ac:dyDescent="0.3">
      <c r="A924" s="1">
        <v>45453</v>
      </c>
      <c r="B924" s="1" t="str">
        <f>TEXT(Tabla1[[#This Row],[Fecha]],"MMMM")</f>
        <v>junio</v>
      </c>
      <c r="C924" t="s">
        <v>934</v>
      </c>
      <c r="D924" t="s">
        <v>5015</v>
      </c>
      <c r="E924" t="s">
        <v>5033</v>
      </c>
      <c r="F924" t="s">
        <v>5037</v>
      </c>
      <c r="G924" s="3">
        <v>12332.44</v>
      </c>
      <c r="H924" s="3">
        <v>1603.22</v>
      </c>
      <c r="I924" s="3">
        <f>SUM(Tabla1[[#This Row],[Monto_Base]],H924)</f>
        <v>13935.66</v>
      </c>
      <c r="J924" t="s">
        <v>5043</v>
      </c>
      <c r="K924" t="s">
        <v>5048</v>
      </c>
      <c r="L924" t="s">
        <v>5053</v>
      </c>
      <c r="M924" t="s">
        <v>5054</v>
      </c>
    </row>
    <row r="925" spans="1:13" x14ac:dyDescent="0.3">
      <c r="A925" s="1">
        <v>45500</v>
      </c>
      <c r="B925" s="1" t="str">
        <f>TEXT(Tabla1[[#This Row],[Fecha]],"MMMM")</f>
        <v>julio</v>
      </c>
      <c r="C925" t="s">
        <v>935</v>
      </c>
      <c r="D925" t="s">
        <v>5021</v>
      </c>
      <c r="E925" t="s">
        <v>5033</v>
      </c>
      <c r="F925" t="s">
        <v>5036</v>
      </c>
      <c r="G925" s="3">
        <v>10275.49</v>
      </c>
      <c r="H925" s="3">
        <v>1335.81</v>
      </c>
      <c r="I925" s="3">
        <f>SUM(Tabla1[[#This Row],[Monto_Base]],H925)</f>
        <v>11611.3</v>
      </c>
      <c r="J925" t="s">
        <v>5045</v>
      </c>
      <c r="K925" t="s">
        <v>5048</v>
      </c>
      <c r="L925" t="s">
        <v>5053</v>
      </c>
      <c r="M925" t="s">
        <v>5055</v>
      </c>
    </row>
    <row r="926" spans="1:13" x14ac:dyDescent="0.3">
      <c r="A926" s="1">
        <v>45342</v>
      </c>
      <c r="B926" s="1" t="str">
        <f>TEXT(Tabla1[[#This Row],[Fecha]],"MMMM")</f>
        <v>febrero</v>
      </c>
      <c r="C926" t="s">
        <v>936</v>
      </c>
      <c r="D926" t="s">
        <v>5029</v>
      </c>
      <c r="E926" t="s">
        <v>5033</v>
      </c>
      <c r="F926" t="s">
        <v>5034</v>
      </c>
      <c r="G926" s="3">
        <v>4141.0200000000004</v>
      </c>
      <c r="H926" s="3">
        <v>538.33000000000004</v>
      </c>
      <c r="I926" s="3">
        <f>SUM(Tabla1[[#This Row],[Monto_Base]],H926)</f>
        <v>4679.3500000000004</v>
      </c>
      <c r="J926" t="s">
        <v>5043</v>
      </c>
      <c r="K926" t="s">
        <v>5047</v>
      </c>
      <c r="L926" t="s">
        <v>5050</v>
      </c>
      <c r="M926" t="s">
        <v>5054</v>
      </c>
    </row>
    <row r="927" spans="1:13" x14ac:dyDescent="0.3">
      <c r="A927" s="1">
        <v>45470</v>
      </c>
      <c r="B927" s="1" t="str">
        <f>TEXT(Tabla1[[#This Row],[Fecha]],"MMMM")</f>
        <v>junio</v>
      </c>
      <c r="C927" t="s">
        <v>937</v>
      </c>
      <c r="D927" t="s">
        <v>5026</v>
      </c>
      <c r="E927" t="s">
        <v>5032</v>
      </c>
      <c r="F927" t="s">
        <v>5041</v>
      </c>
      <c r="G927" s="3">
        <v>1478.33</v>
      </c>
      <c r="H927" s="3">
        <v>0</v>
      </c>
      <c r="I927" s="3">
        <f>SUM(Tabla1[[#This Row],[Monto_Base]],H927)</f>
        <v>1478.33</v>
      </c>
      <c r="J927" t="s">
        <v>5042</v>
      </c>
      <c r="K927" t="s">
        <v>5048</v>
      </c>
      <c r="L927" t="s">
        <v>5051</v>
      </c>
      <c r="M927" t="s">
        <v>5054</v>
      </c>
    </row>
    <row r="928" spans="1:13" x14ac:dyDescent="0.3">
      <c r="A928" s="1">
        <v>45639</v>
      </c>
      <c r="B928" s="1" t="str">
        <f>TEXT(Tabla1[[#This Row],[Fecha]],"MMMM")</f>
        <v>diciembre</v>
      </c>
      <c r="C928" t="s">
        <v>938</v>
      </c>
      <c r="D928" t="s">
        <v>5026</v>
      </c>
      <c r="E928" t="s">
        <v>5032</v>
      </c>
      <c r="F928" t="s">
        <v>5037</v>
      </c>
      <c r="G928" s="3">
        <v>2751.05</v>
      </c>
      <c r="H928" s="3">
        <v>0</v>
      </c>
      <c r="I928" s="3">
        <f>SUM(Tabla1[[#This Row],[Monto_Base]],H928)</f>
        <v>2751.05</v>
      </c>
      <c r="J928" t="s">
        <v>5042</v>
      </c>
      <c r="K928" t="s">
        <v>5049</v>
      </c>
      <c r="L928" t="s">
        <v>5050</v>
      </c>
      <c r="M928" t="s">
        <v>5055</v>
      </c>
    </row>
    <row r="929" spans="1:13" x14ac:dyDescent="0.3">
      <c r="A929" s="1">
        <v>45365</v>
      </c>
      <c r="B929" s="1" t="str">
        <f>TEXT(Tabla1[[#This Row],[Fecha]],"MMMM")</f>
        <v>marzo</v>
      </c>
      <c r="C929" t="s">
        <v>939</v>
      </c>
      <c r="D929" t="s">
        <v>5021</v>
      </c>
      <c r="E929" t="s">
        <v>5033</v>
      </c>
      <c r="F929" t="s">
        <v>5039</v>
      </c>
      <c r="G929" s="3">
        <v>9880.57</v>
      </c>
      <c r="H929" s="3">
        <v>1284.47</v>
      </c>
      <c r="I929" s="3">
        <f>SUM(Tabla1[[#This Row],[Monto_Base]],H929)</f>
        <v>11165.039999999999</v>
      </c>
      <c r="J929" t="s">
        <v>5043</v>
      </c>
      <c r="K929" t="s">
        <v>5049</v>
      </c>
      <c r="L929" t="s">
        <v>5051</v>
      </c>
      <c r="M929" t="s">
        <v>5054</v>
      </c>
    </row>
    <row r="930" spans="1:13" x14ac:dyDescent="0.3">
      <c r="A930" s="1">
        <v>45473</v>
      </c>
      <c r="B930" s="1" t="str">
        <f>TEXT(Tabla1[[#This Row],[Fecha]],"MMMM")</f>
        <v>junio</v>
      </c>
      <c r="C930" t="s">
        <v>940</v>
      </c>
      <c r="D930" t="s">
        <v>5024</v>
      </c>
      <c r="E930" t="s">
        <v>5032</v>
      </c>
      <c r="F930" t="s">
        <v>5041</v>
      </c>
      <c r="G930" s="3">
        <v>2787.41</v>
      </c>
      <c r="H930" s="3">
        <v>0</v>
      </c>
      <c r="I930" s="3">
        <f>SUM(Tabla1[[#This Row],[Monto_Base]],H930)</f>
        <v>2787.41</v>
      </c>
      <c r="J930" t="s">
        <v>5043</v>
      </c>
      <c r="K930" t="s">
        <v>5049</v>
      </c>
      <c r="L930" t="s">
        <v>5051</v>
      </c>
      <c r="M930" t="s">
        <v>5055</v>
      </c>
    </row>
    <row r="931" spans="1:13" x14ac:dyDescent="0.3">
      <c r="A931" s="1">
        <v>45336</v>
      </c>
      <c r="B931" s="1" t="str">
        <f>TEXT(Tabla1[[#This Row],[Fecha]],"MMMM")</f>
        <v>febrero</v>
      </c>
      <c r="C931" t="s">
        <v>941</v>
      </c>
      <c r="D931" t="s">
        <v>5016</v>
      </c>
      <c r="E931" t="s">
        <v>5033</v>
      </c>
      <c r="F931" t="s">
        <v>5038</v>
      </c>
      <c r="G931" s="3">
        <v>9552.75</v>
      </c>
      <c r="H931" s="3">
        <v>1241.8599999999999</v>
      </c>
      <c r="I931" s="3">
        <f>SUM(Tabla1[[#This Row],[Monto_Base]],H931)</f>
        <v>10794.61</v>
      </c>
      <c r="J931" t="s">
        <v>5044</v>
      </c>
      <c r="K931" t="s">
        <v>5048</v>
      </c>
      <c r="L931" t="s">
        <v>5051</v>
      </c>
      <c r="M931" t="s">
        <v>5054</v>
      </c>
    </row>
    <row r="932" spans="1:13" x14ac:dyDescent="0.3">
      <c r="A932" s="1">
        <v>45321</v>
      </c>
      <c r="B932" s="1" t="str">
        <f>TEXT(Tabla1[[#This Row],[Fecha]],"MMMM")</f>
        <v>enero</v>
      </c>
      <c r="C932" t="s">
        <v>942</v>
      </c>
      <c r="D932" t="s">
        <v>5013</v>
      </c>
      <c r="E932" t="s">
        <v>5033</v>
      </c>
      <c r="F932" t="s">
        <v>5036</v>
      </c>
      <c r="G932" s="3">
        <v>2518.44</v>
      </c>
      <c r="H932" s="3">
        <v>327.39999999999998</v>
      </c>
      <c r="I932" s="3">
        <f>SUM(Tabla1[[#This Row],[Monto_Base]],H932)</f>
        <v>2845.84</v>
      </c>
      <c r="J932" t="s">
        <v>5045</v>
      </c>
      <c r="K932" t="s">
        <v>5049</v>
      </c>
      <c r="L932" t="s">
        <v>5051</v>
      </c>
      <c r="M932" t="s">
        <v>5055</v>
      </c>
    </row>
    <row r="933" spans="1:13" x14ac:dyDescent="0.3">
      <c r="A933" s="1">
        <v>45642</v>
      </c>
      <c r="B933" s="1" t="str">
        <f>TEXT(Tabla1[[#This Row],[Fecha]],"MMMM")</f>
        <v>diciembre</v>
      </c>
      <c r="C933" t="s">
        <v>943</v>
      </c>
      <c r="D933" t="s">
        <v>5027</v>
      </c>
      <c r="E933" t="s">
        <v>5033</v>
      </c>
      <c r="F933" t="s">
        <v>5041</v>
      </c>
      <c r="G933" s="3">
        <v>7492.19</v>
      </c>
      <c r="H933" s="3">
        <v>973.98</v>
      </c>
      <c r="I933" s="3">
        <f>SUM(Tabla1[[#This Row],[Monto_Base]],H933)</f>
        <v>8466.17</v>
      </c>
      <c r="J933" t="s">
        <v>5042</v>
      </c>
      <c r="K933" t="s">
        <v>5049</v>
      </c>
      <c r="L933" t="s">
        <v>5053</v>
      </c>
      <c r="M933" t="s">
        <v>5055</v>
      </c>
    </row>
    <row r="934" spans="1:13" x14ac:dyDescent="0.3">
      <c r="A934" s="1">
        <v>45651</v>
      </c>
      <c r="B934" s="1" t="str">
        <f>TEXT(Tabla1[[#This Row],[Fecha]],"MMMM")</f>
        <v>diciembre</v>
      </c>
      <c r="C934" t="s">
        <v>944</v>
      </c>
      <c r="D934" t="s">
        <v>5031</v>
      </c>
      <c r="E934" t="s">
        <v>5033</v>
      </c>
      <c r="F934" t="s">
        <v>5035</v>
      </c>
      <c r="G934" s="3">
        <v>10726.69</v>
      </c>
      <c r="H934" s="3">
        <v>1394.47</v>
      </c>
      <c r="I934" s="3">
        <f>SUM(Tabla1[[#This Row],[Monto_Base]],H934)</f>
        <v>12121.16</v>
      </c>
      <c r="J934" t="s">
        <v>5042</v>
      </c>
      <c r="K934" t="s">
        <v>5049</v>
      </c>
      <c r="L934" t="s">
        <v>5051</v>
      </c>
      <c r="M934" t="s">
        <v>5054</v>
      </c>
    </row>
    <row r="935" spans="1:13" x14ac:dyDescent="0.3">
      <c r="A935" s="1">
        <v>45560</v>
      </c>
      <c r="B935" s="1" t="str">
        <f>TEXT(Tabla1[[#This Row],[Fecha]],"MMMM")</f>
        <v>septiembre</v>
      </c>
      <c r="C935" t="s">
        <v>945</v>
      </c>
      <c r="D935" t="s">
        <v>5031</v>
      </c>
      <c r="E935" t="s">
        <v>5032</v>
      </c>
      <c r="F935" t="s">
        <v>5039</v>
      </c>
      <c r="G935" s="3">
        <v>10134.11</v>
      </c>
      <c r="H935" s="3">
        <v>0</v>
      </c>
      <c r="I935" s="3">
        <f>SUM(Tabla1[[#This Row],[Monto_Base]],H935)</f>
        <v>10134.11</v>
      </c>
      <c r="J935" t="s">
        <v>5046</v>
      </c>
      <c r="K935" t="s">
        <v>5047</v>
      </c>
      <c r="L935" t="s">
        <v>5053</v>
      </c>
      <c r="M935" t="s">
        <v>5055</v>
      </c>
    </row>
    <row r="936" spans="1:13" x14ac:dyDescent="0.3">
      <c r="A936" s="1">
        <v>45486</v>
      </c>
      <c r="B936" s="1" t="str">
        <f>TEXT(Tabla1[[#This Row],[Fecha]],"MMMM")</f>
        <v>julio</v>
      </c>
      <c r="C936" t="s">
        <v>946</v>
      </c>
      <c r="D936" t="s">
        <v>5023</v>
      </c>
      <c r="E936" t="s">
        <v>5032</v>
      </c>
      <c r="F936" t="s">
        <v>5035</v>
      </c>
      <c r="G936" s="3">
        <v>6369.7</v>
      </c>
      <c r="H936" s="3">
        <v>0</v>
      </c>
      <c r="I936" s="3">
        <f>SUM(Tabla1[[#This Row],[Monto_Base]],H936)</f>
        <v>6369.7</v>
      </c>
      <c r="J936" t="s">
        <v>5046</v>
      </c>
      <c r="K936" t="s">
        <v>5048</v>
      </c>
      <c r="L936" t="s">
        <v>5053</v>
      </c>
      <c r="M936" t="s">
        <v>5055</v>
      </c>
    </row>
    <row r="937" spans="1:13" x14ac:dyDescent="0.3">
      <c r="A937" s="1">
        <v>45442</v>
      </c>
      <c r="B937" s="1" t="str">
        <f>TEXT(Tabla1[[#This Row],[Fecha]],"MMMM")</f>
        <v>mayo</v>
      </c>
      <c r="C937" t="s">
        <v>947</v>
      </c>
      <c r="D937" t="s">
        <v>5023</v>
      </c>
      <c r="E937" t="s">
        <v>5033</v>
      </c>
      <c r="F937" t="s">
        <v>5038</v>
      </c>
      <c r="G937" s="3">
        <v>4522.71</v>
      </c>
      <c r="H937" s="3">
        <v>587.95000000000005</v>
      </c>
      <c r="I937" s="3">
        <f>SUM(Tabla1[[#This Row],[Monto_Base]],H937)</f>
        <v>5110.66</v>
      </c>
      <c r="J937" t="s">
        <v>5044</v>
      </c>
      <c r="K937" t="s">
        <v>5047</v>
      </c>
      <c r="L937" t="s">
        <v>5053</v>
      </c>
      <c r="M937" t="s">
        <v>5055</v>
      </c>
    </row>
    <row r="938" spans="1:13" x14ac:dyDescent="0.3">
      <c r="A938" s="1">
        <v>45541</v>
      </c>
      <c r="B938" s="1" t="str">
        <f>TEXT(Tabla1[[#This Row],[Fecha]],"MMMM")</f>
        <v>septiembre</v>
      </c>
      <c r="C938" t="s">
        <v>948</v>
      </c>
      <c r="D938" t="s">
        <v>5021</v>
      </c>
      <c r="E938" t="s">
        <v>5033</v>
      </c>
      <c r="F938" t="s">
        <v>5041</v>
      </c>
      <c r="G938" s="3">
        <v>13392.78</v>
      </c>
      <c r="H938" s="3">
        <v>1741.06</v>
      </c>
      <c r="I938" s="3">
        <f>SUM(Tabla1[[#This Row],[Monto_Base]],H938)</f>
        <v>15133.84</v>
      </c>
      <c r="J938" t="s">
        <v>5045</v>
      </c>
      <c r="K938" t="s">
        <v>5048</v>
      </c>
      <c r="L938" t="s">
        <v>5053</v>
      </c>
      <c r="M938" t="s">
        <v>5055</v>
      </c>
    </row>
    <row r="939" spans="1:13" x14ac:dyDescent="0.3">
      <c r="A939" s="1">
        <v>45387</v>
      </c>
      <c r="B939" s="1" t="str">
        <f>TEXT(Tabla1[[#This Row],[Fecha]],"MMMM")</f>
        <v>abril</v>
      </c>
      <c r="C939" t="s">
        <v>949</v>
      </c>
      <c r="D939" t="s">
        <v>5029</v>
      </c>
      <c r="E939" t="s">
        <v>5032</v>
      </c>
      <c r="F939" t="s">
        <v>5036</v>
      </c>
      <c r="G939" s="3">
        <v>127.06</v>
      </c>
      <c r="H939" s="3">
        <v>0</v>
      </c>
      <c r="I939" s="3">
        <f>SUM(Tabla1[[#This Row],[Monto_Base]],H939)</f>
        <v>127.06</v>
      </c>
      <c r="J939" t="s">
        <v>5043</v>
      </c>
      <c r="K939" t="s">
        <v>5048</v>
      </c>
      <c r="L939" t="s">
        <v>5053</v>
      </c>
      <c r="M939" t="s">
        <v>5054</v>
      </c>
    </row>
    <row r="940" spans="1:13" x14ac:dyDescent="0.3">
      <c r="A940" s="1">
        <v>45370</v>
      </c>
      <c r="B940" s="1" t="str">
        <f>TEXT(Tabla1[[#This Row],[Fecha]],"MMMM")</f>
        <v>marzo</v>
      </c>
      <c r="C940" t="s">
        <v>950</v>
      </c>
      <c r="D940" t="s">
        <v>5025</v>
      </c>
      <c r="E940" t="s">
        <v>5033</v>
      </c>
      <c r="F940" t="s">
        <v>5036</v>
      </c>
      <c r="G940" s="3">
        <v>7959.99</v>
      </c>
      <c r="H940" s="3">
        <v>1034.8</v>
      </c>
      <c r="I940" s="3">
        <f>SUM(Tabla1[[#This Row],[Monto_Base]],H940)</f>
        <v>8994.7899999999991</v>
      </c>
      <c r="J940" t="s">
        <v>5043</v>
      </c>
      <c r="K940" t="s">
        <v>5047</v>
      </c>
      <c r="L940" t="s">
        <v>5050</v>
      </c>
      <c r="M940" t="s">
        <v>5054</v>
      </c>
    </row>
    <row r="941" spans="1:13" x14ac:dyDescent="0.3">
      <c r="A941" s="1">
        <v>45445</v>
      </c>
      <c r="B941" s="1" t="str">
        <f>TEXT(Tabla1[[#This Row],[Fecha]],"MMMM")</f>
        <v>junio</v>
      </c>
      <c r="C941" t="s">
        <v>951</v>
      </c>
      <c r="D941" t="s">
        <v>5021</v>
      </c>
      <c r="E941" t="s">
        <v>5033</v>
      </c>
      <c r="F941" t="s">
        <v>5041</v>
      </c>
      <c r="G941" s="3">
        <v>5960.61</v>
      </c>
      <c r="H941" s="3">
        <v>774.88</v>
      </c>
      <c r="I941" s="3">
        <f>SUM(Tabla1[[#This Row],[Monto_Base]],H941)</f>
        <v>6735.49</v>
      </c>
      <c r="J941" t="s">
        <v>5044</v>
      </c>
      <c r="K941" t="s">
        <v>5048</v>
      </c>
      <c r="L941" t="s">
        <v>5052</v>
      </c>
      <c r="M941" t="s">
        <v>5055</v>
      </c>
    </row>
    <row r="942" spans="1:13" x14ac:dyDescent="0.3">
      <c r="A942" s="1">
        <v>45514</v>
      </c>
      <c r="B942" s="1" t="str">
        <f>TEXT(Tabla1[[#This Row],[Fecha]],"MMMM")</f>
        <v>agosto</v>
      </c>
      <c r="C942" t="s">
        <v>952</v>
      </c>
      <c r="D942" t="s">
        <v>5018</v>
      </c>
      <c r="E942" t="s">
        <v>5032</v>
      </c>
      <c r="F942" t="s">
        <v>5039</v>
      </c>
      <c r="G942" s="3">
        <v>2141.12</v>
      </c>
      <c r="H942" s="3">
        <v>0</v>
      </c>
      <c r="I942" s="3">
        <f>SUM(Tabla1[[#This Row],[Monto_Base]],H942)</f>
        <v>2141.12</v>
      </c>
      <c r="J942" t="s">
        <v>5045</v>
      </c>
      <c r="K942" t="s">
        <v>5048</v>
      </c>
      <c r="L942" t="s">
        <v>5052</v>
      </c>
      <c r="M942" t="s">
        <v>5054</v>
      </c>
    </row>
    <row r="943" spans="1:13" x14ac:dyDescent="0.3">
      <c r="A943" s="1">
        <v>45461</v>
      </c>
      <c r="B943" s="1" t="str">
        <f>TEXT(Tabla1[[#This Row],[Fecha]],"MMMM")</f>
        <v>junio</v>
      </c>
      <c r="C943" t="s">
        <v>953</v>
      </c>
      <c r="D943" t="s">
        <v>5021</v>
      </c>
      <c r="E943" t="s">
        <v>5033</v>
      </c>
      <c r="F943" t="s">
        <v>5039</v>
      </c>
      <c r="G943" s="3">
        <v>5948.46</v>
      </c>
      <c r="H943" s="3">
        <v>773.3</v>
      </c>
      <c r="I943" s="3">
        <f>SUM(Tabla1[[#This Row],[Monto_Base]],H943)</f>
        <v>6721.76</v>
      </c>
      <c r="J943" t="s">
        <v>5045</v>
      </c>
      <c r="K943" t="s">
        <v>5047</v>
      </c>
      <c r="L943" t="s">
        <v>5052</v>
      </c>
      <c r="M943" t="s">
        <v>5055</v>
      </c>
    </row>
    <row r="944" spans="1:13" x14ac:dyDescent="0.3">
      <c r="A944" s="1">
        <v>45641</v>
      </c>
      <c r="B944" s="1" t="str">
        <f>TEXT(Tabla1[[#This Row],[Fecha]],"MMMM")</f>
        <v>diciembre</v>
      </c>
      <c r="C944" t="s">
        <v>954</v>
      </c>
      <c r="D944" t="s">
        <v>5030</v>
      </c>
      <c r="E944" t="s">
        <v>5032</v>
      </c>
      <c r="F944" t="s">
        <v>5041</v>
      </c>
      <c r="G944" s="3">
        <v>8274.35</v>
      </c>
      <c r="H944" s="3">
        <v>0</v>
      </c>
      <c r="I944" s="3">
        <f>SUM(Tabla1[[#This Row],[Monto_Base]],H944)</f>
        <v>8274.35</v>
      </c>
      <c r="J944" t="s">
        <v>5046</v>
      </c>
      <c r="K944" t="s">
        <v>5048</v>
      </c>
      <c r="L944" t="s">
        <v>5050</v>
      </c>
      <c r="M944" t="s">
        <v>5055</v>
      </c>
    </row>
    <row r="945" spans="1:13" x14ac:dyDescent="0.3">
      <c r="A945" s="1">
        <v>45468</v>
      </c>
      <c r="B945" s="1" t="str">
        <f>TEXT(Tabla1[[#This Row],[Fecha]],"MMMM")</f>
        <v>junio</v>
      </c>
      <c r="C945" t="s">
        <v>955</v>
      </c>
      <c r="D945" t="s">
        <v>5013</v>
      </c>
      <c r="E945" t="s">
        <v>5033</v>
      </c>
      <c r="F945" t="s">
        <v>5035</v>
      </c>
      <c r="G945" s="3">
        <v>1935.55</v>
      </c>
      <c r="H945" s="3">
        <v>251.62</v>
      </c>
      <c r="I945" s="3">
        <f>SUM(Tabla1[[#This Row],[Monto_Base]],H945)</f>
        <v>2187.17</v>
      </c>
      <c r="J945" t="s">
        <v>5042</v>
      </c>
      <c r="K945" t="s">
        <v>5047</v>
      </c>
      <c r="L945" t="s">
        <v>5052</v>
      </c>
      <c r="M945" t="s">
        <v>5054</v>
      </c>
    </row>
    <row r="946" spans="1:13" x14ac:dyDescent="0.3">
      <c r="A946" s="1">
        <v>45436</v>
      </c>
      <c r="B946" s="1" t="str">
        <f>TEXT(Tabla1[[#This Row],[Fecha]],"MMMM")</f>
        <v>mayo</v>
      </c>
      <c r="C946" t="s">
        <v>956</v>
      </c>
      <c r="D946" t="s">
        <v>5019</v>
      </c>
      <c r="E946" t="s">
        <v>5033</v>
      </c>
      <c r="F946" t="s">
        <v>5037</v>
      </c>
      <c r="G946" s="3">
        <v>7228.89</v>
      </c>
      <c r="H946" s="3">
        <v>939.76</v>
      </c>
      <c r="I946" s="3">
        <f>SUM(Tabla1[[#This Row],[Monto_Base]],H946)</f>
        <v>8168.6500000000005</v>
      </c>
      <c r="J946" t="s">
        <v>5043</v>
      </c>
      <c r="K946" t="s">
        <v>5047</v>
      </c>
      <c r="L946" t="s">
        <v>5050</v>
      </c>
      <c r="M946" t="s">
        <v>5054</v>
      </c>
    </row>
    <row r="947" spans="1:13" x14ac:dyDescent="0.3">
      <c r="A947" s="1">
        <v>45350</v>
      </c>
      <c r="B947" s="1" t="str">
        <f>TEXT(Tabla1[[#This Row],[Fecha]],"MMMM")</f>
        <v>febrero</v>
      </c>
      <c r="C947" t="s">
        <v>957</v>
      </c>
      <c r="D947" t="s">
        <v>5023</v>
      </c>
      <c r="E947" t="s">
        <v>5033</v>
      </c>
      <c r="F947" t="s">
        <v>5034</v>
      </c>
      <c r="G947" s="3">
        <v>4253.03</v>
      </c>
      <c r="H947" s="3">
        <v>552.89</v>
      </c>
      <c r="I947" s="3">
        <f>SUM(Tabla1[[#This Row],[Monto_Base]],H947)</f>
        <v>4805.92</v>
      </c>
      <c r="J947" t="s">
        <v>5044</v>
      </c>
      <c r="K947" t="s">
        <v>5049</v>
      </c>
      <c r="L947" t="s">
        <v>5052</v>
      </c>
      <c r="M947" t="s">
        <v>5055</v>
      </c>
    </row>
    <row r="948" spans="1:13" x14ac:dyDescent="0.3">
      <c r="A948" s="1">
        <v>45594</v>
      </c>
      <c r="B948" s="1" t="str">
        <f>TEXT(Tabla1[[#This Row],[Fecha]],"MMMM")</f>
        <v>octubre</v>
      </c>
      <c r="C948" t="s">
        <v>958</v>
      </c>
      <c r="D948" t="s">
        <v>5018</v>
      </c>
      <c r="E948" t="s">
        <v>5033</v>
      </c>
      <c r="F948" t="s">
        <v>5039</v>
      </c>
      <c r="G948" s="3">
        <v>2870.6</v>
      </c>
      <c r="H948" s="3">
        <v>373.18</v>
      </c>
      <c r="I948" s="3">
        <f>SUM(Tabla1[[#This Row],[Monto_Base]],H948)</f>
        <v>3243.7799999999997</v>
      </c>
      <c r="J948" t="s">
        <v>5046</v>
      </c>
      <c r="K948" t="s">
        <v>5047</v>
      </c>
      <c r="L948" t="s">
        <v>5053</v>
      </c>
      <c r="M948" t="s">
        <v>5054</v>
      </c>
    </row>
    <row r="949" spans="1:13" x14ac:dyDescent="0.3">
      <c r="A949" s="1">
        <v>45510</v>
      </c>
      <c r="B949" s="1" t="str">
        <f>TEXT(Tabla1[[#This Row],[Fecha]],"MMMM")</f>
        <v>agosto</v>
      </c>
      <c r="C949" t="s">
        <v>959</v>
      </c>
      <c r="D949" t="s">
        <v>5022</v>
      </c>
      <c r="E949" t="s">
        <v>5032</v>
      </c>
      <c r="F949" t="s">
        <v>5034</v>
      </c>
      <c r="G949" s="3">
        <v>13940.02</v>
      </c>
      <c r="H949" s="3">
        <v>0</v>
      </c>
      <c r="I949" s="3">
        <f>SUM(Tabla1[[#This Row],[Monto_Base]],H949)</f>
        <v>13940.02</v>
      </c>
      <c r="J949" t="s">
        <v>5045</v>
      </c>
      <c r="K949" t="s">
        <v>5049</v>
      </c>
      <c r="L949" t="s">
        <v>5052</v>
      </c>
      <c r="M949" t="s">
        <v>5054</v>
      </c>
    </row>
    <row r="950" spans="1:13" x14ac:dyDescent="0.3">
      <c r="A950" s="1">
        <v>45410</v>
      </c>
      <c r="B950" s="1" t="str">
        <f>TEXT(Tabla1[[#This Row],[Fecha]],"MMMM")</f>
        <v>abril</v>
      </c>
      <c r="C950" t="s">
        <v>960</v>
      </c>
      <c r="D950" t="s">
        <v>5027</v>
      </c>
      <c r="E950" t="s">
        <v>5032</v>
      </c>
      <c r="F950" t="s">
        <v>5038</v>
      </c>
      <c r="G950" s="3">
        <v>10517.37</v>
      </c>
      <c r="H950" s="3">
        <v>0</v>
      </c>
      <c r="I950" s="3">
        <f>SUM(Tabla1[[#This Row],[Monto_Base]],H950)</f>
        <v>10517.37</v>
      </c>
      <c r="J950" t="s">
        <v>5046</v>
      </c>
      <c r="K950" t="s">
        <v>5048</v>
      </c>
      <c r="L950" t="s">
        <v>5050</v>
      </c>
      <c r="M950" t="s">
        <v>5055</v>
      </c>
    </row>
    <row r="951" spans="1:13" x14ac:dyDescent="0.3">
      <c r="A951" s="1">
        <v>45429</v>
      </c>
      <c r="B951" s="1" t="str">
        <f>TEXT(Tabla1[[#This Row],[Fecha]],"MMMM")</f>
        <v>mayo</v>
      </c>
      <c r="C951" t="s">
        <v>961</v>
      </c>
      <c r="D951" t="s">
        <v>5023</v>
      </c>
      <c r="E951" t="s">
        <v>5032</v>
      </c>
      <c r="F951" t="s">
        <v>5035</v>
      </c>
      <c r="G951" s="3">
        <v>4599.1400000000003</v>
      </c>
      <c r="H951" s="3">
        <v>0</v>
      </c>
      <c r="I951" s="3">
        <f>SUM(Tabla1[[#This Row],[Monto_Base]],H951)</f>
        <v>4599.1400000000003</v>
      </c>
      <c r="J951" t="s">
        <v>5044</v>
      </c>
      <c r="K951" t="s">
        <v>5048</v>
      </c>
      <c r="L951" t="s">
        <v>5051</v>
      </c>
      <c r="M951" t="s">
        <v>5055</v>
      </c>
    </row>
    <row r="952" spans="1:13" x14ac:dyDescent="0.3">
      <c r="A952" s="1">
        <v>45318</v>
      </c>
      <c r="B952" s="1" t="str">
        <f>TEXT(Tabla1[[#This Row],[Fecha]],"MMMM")</f>
        <v>enero</v>
      </c>
      <c r="C952" t="s">
        <v>962</v>
      </c>
      <c r="D952" t="s">
        <v>5015</v>
      </c>
      <c r="E952" t="s">
        <v>5033</v>
      </c>
      <c r="F952" t="s">
        <v>5039</v>
      </c>
      <c r="G952" s="3">
        <v>661.29</v>
      </c>
      <c r="H952" s="3">
        <v>85.97</v>
      </c>
      <c r="I952" s="3">
        <f>SUM(Tabla1[[#This Row],[Monto_Base]],H952)</f>
        <v>747.26</v>
      </c>
      <c r="J952" t="s">
        <v>5044</v>
      </c>
      <c r="K952" t="s">
        <v>5047</v>
      </c>
      <c r="L952" t="s">
        <v>5051</v>
      </c>
      <c r="M952" t="s">
        <v>5055</v>
      </c>
    </row>
    <row r="953" spans="1:13" x14ac:dyDescent="0.3">
      <c r="A953" s="1">
        <v>45543</v>
      </c>
      <c r="B953" s="1" t="str">
        <f>TEXT(Tabla1[[#This Row],[Fecha]],"MMMM")</f>
        <v>septiembre</v>
      </c>
      <c r="C953" t="s">
        <v>963</v>
      </c>
      <c r="D953" t="s">
        <v>5014</v>
      </c>
      <c r="E953" t="s">
        <v>5033</v>
      </c>
      <c r="F953" t="s">
        <v>5037</v>
      </c>
      <c r="G953" s="3">
        <v>2813.36</v>
      </c>
      <c r="H953" s="3">
        <v>365.74</v>
      </c>
      <c r="I953" s="3">
        <f>SUM(Tabla1[[#This Row],[Monto_Base]],H953)</f>
        <v>3179.1000000000004</v>
      </c>
      <c r="J953" t="s">
        <v>5044</v>
      </c>
      <c r="K953" t="s">
        <v>5048</v>
      </c>
      <c r="L953" t="s">
        <v>5051</v>
      </c>
      <c r="M953" t="s">
        <v>5054</v>
      </c>
    </row>
    <row r="954" spans="1:13" x14ac:dyDescent="0.3">
      <c r="A954" s="1">
        <v>45477</v>
      </c>
      <c r="B954" s="1" t="str">
        <f>TEXT(Tabla1[[#This Row],[Fecha]],"MMMM")</f>
        <v>julio</v>
      </c>
      <c r="C954" t="s">
        <v>964</v>
      </c>
      <c r="D954" t="s">
        <v>5012</v>
      </c>
      <c r="E954" t="s">
        <v>5033</v>
      </c>
      <c r="F954" t="s">
        <v>5040</v>
      </c>
      <c r="G954" s="3">
        <v>5440.5</v>
      </c>
      <c r="H954" s="3">
        <v>707.26</v>
      </c>
      <c r="I954" s="3">
        <f>SUM(Tabla1[[#This Row],[Monto_Base]],H954)</f>
        <v>6147.76</v>
      </c>
      <c r="J954" t="s">
        <v>5042</v>
      </c>
      <c r="K954" t="s">
        <v>5049</v>
      </c>
      <c r="L954" t="s">
        <v>5051</v>
      </c>
      <c r="M954" t="s">
        <v>5054</v>
      </c>
    </row>
    <row r="955" spans="1:13" x14ac:dyDescent="0.3">
      <c r="A955" s="1">
        <v>45358</v>
      </c>
      <c r="B955" s="1" t="str">
        <f>TEXT(Tabla1[[#This Row],[Fecha]],"MMMM")</f>
        <v>marzo</v>
      </c>
      <c r="C955" t="s">
        <v>965</v>
      </c>
      <c r="D955" t="s">
        <v>5024</v>
      </c>
      <c r="E955" t="s">
        <v>5032</v>
      </c>
      <c r="F955" t="s">
        <v>5036</v>
      </c>
      <c r="G955" s="3">
        <v>13313.55</v>
      </c>
      <c r="H955" s="3">
        <v>0</v>
      </c>
      <c r="I955" s="3">
        <f>SUM(Tabla1[[#This Row],[Monto_Base]],H955)</f>
        <v>13313.55</v>
      </c>
      <c r="J955" t="s">
        <v>5042</v>
      </c>
      <c r="K955" t="s">
        <v>5047</v>
      </c>
      <c r="L955" t="s">
        <v>5053</v>
      </c>
      <c r="M955" t="s">
        <v>5054</v>
      </c>
    </row>
    <row r="956" spans="1:13" x14ac:dyDescent="0.3">
      <c r="A956" s="1">
        <v>45608</v>
      </c>
      <c r="B956" s="1" t="str">
        <f>TEXT(Tabla1[[#This Row],[Fecha]],"MMMM")</f>
        <v>noviembre</v>
      </c>
      <c r="C956" t="s">
        <v>966</v>
      </c>
      <c r="D956" t="s">
        <v>5018</v>
      </c>
      <c r="E956" t="s">
        <v>5033</v>
      </c>
      <c r="F956" t="s">
        <v>5036</v>
      </c>
      <c r="G956" s="3">
        <v>14130.18</v>
      </c>
      <c r="H956" s="3">
        <v>1836.92</v>
      </c>
      <c r="I956" s="3">
        <f>SUM(Tabla1[[#This Row],[Monto_Base]],H956)</f>
        <v>15967.1</v>
      </c>
      <c r="J956" t="s">
        <v>5044</v>
      </c>
      <c r="K956" t="s">
        <v>5048</v>
      </c>
      <c r="L956" t="s">
        <v>5050</v>
      </c>
      <c r="M956" t="s">
        <v>5054</v>
      </c>
    </row>
    <row r="957" spans="1:13" x14ac:dyDescent="0.3">
      <c r="A957" s="1">
        <v>45656</v>
      </c>
      <c r="B957" s="1" t="str">
        <f>TEXT(Tabla1[[#This Row],[Fecha]],"MMMM")</f>
        <v>diciembre</v>
      </c>
      <c r="C957" t="s">
        <v>967</v>
      </c>
      <c r="D957" t="s">
        <v>5012</v>
      </c>
      <c r="E957" t="s">
        <v>5033</v>
      </c>
      <c r="F957" t="s">
        <v>5034</v>
      </c>
      <c r="G957" s="3">
        <v>6302.28</v>
      </c>
      <c r="H957" s="3">
        <v>819.3</v>
      </c>
      <c r="I957" s="3">
        <f>SUM(Tabla1[[#This Row],[Monto_Base]],H957)</f>
        <v>7121.58</v>
      </c>
      <c r="J957" t="s">
        <v>5044</v>
      </c>
      <c r="K957" t="s">
        <v>5049</v>
      </c>
      <c r="L957" t="s">
        <v>5051</v>
      </c>
      <c r="M957" t="s">
        <v>5055</v>
      </c>
    </row>
    <row r="958" spans="1:13" x14ac:dyDescent="0.3">
      <c r="A958" s="1">
        <v>45560</v>
      </c>
      <c r="B958" s="1" t="str">
        <f>TEXT(Tabla1[[#This Row],[Fecha]],"MMMM")</f>
        <v>septiembre</v>
      </c>
      <c r="C958" t="s">
        <v>968</v>
      </c>
      <c r="D958" t="s">
        <v>5030</v>
      </c>
      <c r="E958" t="s">
        <v>5032</v>
      </c>
      <c r="F958" t="s">
        <v>5036</v>
      </c>
      <c r="G958" s="3">
        <v>7268.17</v>
      </c>
      <c r="H958" s="3">
        <v>0</v>
      </c>
      <c r="I958" s="3">
        <f>SUM(Tabla1[[#This Row],[Monto_Base]],H958)</f>
        <v>7268.17</v>
      </c>
      <c r="J958" t="s">
        <v>5042</v>
      </c>
      <c r="K958" t="s">
        <v>5047</v>
      </c>
      <c r="L958" t="s">
        <v>5052</v>
      </c>
      <c r="M958" t="s">
        <v>5055</v>
      </c>
    </row>
    <row r="959" spans="1:13" x14ac:dyDescent="0.3">
      <c r="A959" s="1">
        <v>45647</v>
      </c>
      <c r="B959" s="1" t="str">
        <f>TEXT(Tabla1[[#This Row],[Fecha]],"MMMM")</f>
        <v>diciembre</v>
      </c>
      <c r="C959" t="s">
        <v>969</v>
      </c>
      <c r="D959" t="s">
        <v>5021</v>
      </c>
      <c r="E959" t="s">
        <v>5033</v>
      </c>
      <c r="F959" t="s">
        <v>5035</v>
      </c>
      <c r="G959" s="3">
        <v>11926.14</v>
      </c>
      <c r="H959" s="3">
        <v>1550.4</v>
      </c>
      <c r="I959" s="3">
        <f>SUM(Tabla1[[#This Row],[Monto_Base]],H959)</f>
        <v>13476.539999999999</v>
      </c>
      <c r="J959" t="s">
        <v>5046</v>
      </c>
      <c r="K959" t="s">
        <v>5049</v>
      </c>
      <c r="L959" t="s">
        <v>5050</v>
      </c>
      <c r="M959" t="s">
        <v>5055</v>
      </c>
    </row>
    <row r="960" spans="1:13" x14ac:dyDescent="0.3">
      <c r="A960" s="1">
        <v>45491</v>
      </c>
      <c r="B960" s="1" t="str">
        <f>TEXT(Tabla1[[#This Row],[Fecha]],"MMMM")</f>
        <v>julio</v>
      </c>
      <c r="C960" t="s">
        <v>970</v>
      </c>
      <c r="D960" t="s">
        <v>5026</v>
      </c>
      <c r="E960" t="s">
        <v>5032</v>
      </c>
      <c r="F960" t="s">
        <v>5037</v>
      </c>
      <c r="G960" s="3">
        <v>8459.35</v>
      </c>
      <c r="H960" s="3">
        <v>0</v>
      </c>
      <c r="I960" s="3">
        <f>SUM(Tabla1[[#This Row],[Monto_Base]],H960)</f>
        <v>8459.35</v>
      </c>
      <c r="J960" t="s">
        <v>5043</v>
      </c>
      <c r="K960" t="s">
        <v>5049</v>
      </c>
      <c r="L960" t="s">
        <v>5051</v>
      </c>
      <c r="M960" t="s">
        <v>5054</v>
      </c>
    </row>
    <row r="961" spans="1:13" x14ac:dyDescent="0.3">
      <c r="A961" s="1">
        <v>45296</v>
      </c>
      <c r="B961" s="1" t="str">
        <f>TEXT(Tabla1[[#This Row],[Fecha]],"MMMM")</f>
        <v>enero</v>
      </c>
      <c r="C961" t="s">
        <v>971</v>
      </c>
      <c r="D961" t="s">
        <v>5012</v>
      </c>
      <c r="E961" t="s">
        <v>5033</v>
      </c>
      <c r="F961" t="s">
        <v>5034</v>
      </c>
      <c r="G961" s="3">
        <v>8902.09</v>
      </c>
      <c r="H961" s="3">
        <v>1157.27</v>
      </c>
      <c r="I961" s="3">
        <f>SUM(Tabla1[[#This Row],[Monto_Base]],H961)</f>
        <v>10059.36</v>
      </c>
      <c r="J961" t="s">
        <v>5042</v>
      </c>
      <c r="K961" t="s">
        <v>5048</v>
      </c>
      <c r="L961" t="s">
        <v>5051</v>
      </c>
      <c r="M961" t="s">
        <v>5055</v>
      </c>
    </row>
    <row r="962" spans="1:13" x14ac:dyDescent="0.3">
      <c r="A962" s="1">
        <v>45315</v>
      </c>
      <c r="B962" s="1" t="str">
        <f>TEXT(Tabla1[[#This Row],[Fecha]],"MMMM")</f>
        <v>enero</v>
      </c>
      <c r="C962" t="s">
        <v>972</v>
      </c>
      <c r="D962" t="s">
        <v>5021</v>
      </c>
      <c r="E962" t="s">
        <v>5032</v>
      </c>
      <c r="F962" t="s">
        <v>5036</v>
      </c>
      <c r="G962" s="3">
        <v>2608.08</v>
      </c>
      <c r="H962" s="3">
        <v>0</v>
      </c>
      <c r="I962" s="3">
        <f>SUM(Tabla1[[#This Row],[Monto_Base]],H962)</f>
        <v>2608.08</v>
      </c>
      <c r="J962" t="s">
        <v>5042</v>
      </c>
      <c r="K962" t="s">
        <v>5047</v>
      </c>
      <c r="L962" t="s">
        <v>5051</v>
      </c>
      <c r="M962" t="s">
        <v>5054</v>
      </c>
    </row>
    <row r="963" spans="1:13" x14ac:dyDescent="0.3">
      <c r="A963" s="1">
        <v>45318</v>
      </c>
      <c r="B963" s="1" t="str">
        <f>TEXT(Tabla1[[#This Row],[Fecha]],"MMMM")</f>
        <v>enero</v>
      </c>
      <c r="C963" t="s">
        <v>973</v>
      </c>
      <c r="D963" t="s">
        <v>5021</v>
      </c>
      <c r="E963" t="s">
        <v>5033</v>
      </c>
      <c r="F963" t="s">
        <v>5038</v>
      </c>
      <c r="G963" s="3">
        <v>13107.07</v>
      </c>
      <c r="H963" s="3">
        <v>1703.92</v>
      </c>
      <c r="I963" s="3">
        <f>SUM(Tabla1[[#This Row],[Monto_Base]],H963)</f>
        <v>14810.99</v>
      </c>
      <c r="J963" t="s">
        <v>5046</v>
      </c>
      <c r="K963" t="s">
        <v>5047</v>
      </c>
      <c r="L963" t="s">
        <v>5053</v>
      </c>
      <c r="M963" t="s">
        <v>5054</v>
      </c>
    </row>
    <row r="964" spans="1:13" x14ac:dyDescent="0.3">
      <c r="A964" s="1">
        <v>45653</v>
      </c>
      <c r="B964" s="1" t="str">
        <f>TEXT(Tabla1[[#This Row],[Fecha]],"MMMM")</f>
        <v>diciembre</v>
      </c>
      <c r="C964" t="s">
        <v>974</v>
      </c>
      <c r="D964" t="s">
        <v>5014</v>
      </c>
      <c r="E964" t="s">
        <v>5032</v>
      </c>
      <c r="F964" t="s">
        <v>5040</v>
      </c>
      <c r="G964" s="3">
        <v>1294.53</v>
      </c>
      <c r="H964" s="3">
        <v>0</v>
      </c>
      <c r="I964" s="3">
        <f>SUM(Tabla1[[#This Row],[Monto_Base]],H964)</f>
        <v>1294.53</v>
      </c>
      <c r="J964" t="s">
        <v>5042</v>
      </c>
      <c r="K964" t="s">
        <v>5048</v>
      </c>
      <c r="L964" t="s">
        <v>5052</v>
      </c>
      <c r="M964" t="s">
        <v>5055</v>
      </c>
    </row>
    <row r="965" spans="1:13" x14ac:dyDescent="0.3">
      <c r="A965" s="1">
        <v>45404</v>
      </c>
      <c r="B965" s="1" t="str">
        <f>TEXT(Tabla1[[#This Row],[Fecha]],"MMMM")</f>
        <v>abril</v>
      </c>
      <c r="C965" t="s">
        <v>975</v>
      </c>
      <c r="D965" t="s">
        <v>5020</v>
      </c>
      <c r="E965" t="s">
        <v>5033</v>
      </c>
      <c r="F965" t="s">
        <v>5035</v>
      </c>
      <c r="G965" s="3">
        <v>12367.78</v>
      </c>
      <c r="H965" s="3">
        <v>1607.81</v>
      </c>
      <c r="I965" s="3">
        <f>SUM(Tabla1[[#This Row],[Monto_Base]],H965)</f>
        <v>13975.59</v>
      </c>
      <c r="J965" t="s">
        <v>5044</v>
      </c>
      <c r="K965" t="s">
        <v>5047</v>
      </c>
      <c r="L965" t="s">
        <v>5051</v>
      </c>
      <c r="M965" t="s">
        <v>5054</v>
      </c>
    </row>
    <row r="966" spans="1:13" x14ac:dyDescent="0.3">
      <c r="A966" s="1">
        <v>45404</v>
      </c>
      <c r="B966" s="1" t="str">
        <f>TEXT(Tabla1[[#This Row],[Fecha]],"MMMM")</f>
        <v>abril</v>
      </c>
      <c r="C966" t="s">
        <v>976</v>
      </c>
      <c r="D966" t="s">
        <v>5027</v>
      </c>
      <c r="E966" t="s">
        <v>5032</v>
      </c>
      <c r="F966" t="s">
        <v>5034</v>
      </c>
      <c r="G966" s="3">
        <v>12261.86</v>
      </c>
      <c r="H966" s="3">
        <v>0</v>
      </c>
      <c r="I966" s="3">
        <f>SUM(Tabla1[[#This Row],[Monto_Base]],H966)</f>
        <v>12261.86</v>
      </c>
      <c r="J966" t="s">
        <v>5044</v>
      </c>
      <c r="K966" t="s">
        <v>5048</v>
      </c>
      <c r="L966" t="s">
        <v>5052</v>
      </c>
      <c r="M966" t="s">
        <v>5055</v>
      </c>
    </row>
    <row r="967" spans="1:13" x14ac:dyDescent="0.3">
      <c r="A967" s="1">
        <v>45537</v>
      </c>
      <c r="B967" s="1" t="str">
        <f>TEXT(Tabla1[[#This Row],[Fecha]],"MMMM")</f>
        <v>septiembre</v>
      </c>
      <c r="C967" t="s">
        <v>977</v>
      </c>
      <c r="D967" t="s">
        <v>5018</v>
      </c>
      <c r="E967" t="s">
        <v>5033</v>
      </c>
      <c r="F967" t="s">
        <v>5037</v>
      </c>
      <c r="G967" s="3">
        <v>5561.17</v>
      </c>
      <c r="H967" s="3">
        <v>722.95</v>
      </c>
      <c r="I967" s="3">
        <f>SUM(Tabla1[[#This Row],[Monto_Base]],H967)</f>
        <v>6284.12</v>
      </c>
      <c r="J967" t="s">
        <v>5045</v>
      </c>
      <c r="K967" t="s">
        <v>5048</v>
      </c>
      <c r="L967" t="s">
        <v>5052</v>
      </c>
      <c r="M967" t="s">
        <v>5055</v>
      </c>
    </row>
    <row r="968" spans="1:13" x14ac:dyDescent="0.3">
      <c r="A968" s="1">
        <v>45384</v>
      </c>
      <c r="B968" s="1" t="str">
        <f>TEXT(Tabla1[[#This Row],[Fecha]],"MMMM")</f>
        <v>abril</v>
      </c>
      <c r="C968" t="s">
        <v>978</v>
      </c>
      <c r="D968" t="s">
        <v>5026</v>
      </c>
      <c r="E968" t="s">
        <v>5033</v>
      </c>
      <c r="F968" t="s">
        <v>5041</v>
      </c>
      <c r="G968" s="3">
        <v>14153.16</v>
      </c>
      <c r="H968" s="3">
        <v>1839.91</v>
      </c>
      <c r="I968" s="3">
        <f>SUM(Tabla1[[#This Row],[Monto_Base]],H968)</f>
        <v>15993.07</v>
      </c>
      <c r="J968" t="s">
        <v>5044</v>
      </c>
      <c r="K968" t="s">
        <v>5047</v>
      </c>
      <c r="L968" t="s">
        <v>5051</v>
      </c>
      <c r="M968" t="s">
        <v>5054</v>
      </c>
    </row>
    <row r="969" spans="1:13" x14ac:dyDescent="0.3">
      <c r="A969" s="1">
        <v>45510</v>
      </c>
      <c r="B969" s="1" t="str">
        <f>TEXT(Tabla1[[#This Row],[Fecha]],"MMMM")</f>
        <v>agosto</v>
      </c>
      <c r="C969" t="s">
        <v>979</v>
      </c>
      <c r="D969" t="s">
        <v>5027</v>
      </c>
      <c r="E969" t="s">
        <v>5033</v>
      </c>
      <c r="F969" t="s">
        <v>5036</v>
      </c>
      <c r="G969" s="3">
        <v>2195.66</v>
      </c>
      <c r="H969" s="3">
        <v>285.44</v>
      </c>
      <c r="I969" s="3">
        <f>SUM(Tabla1[[#This Row],[Monto_Base]],H969)</f>
        <v>2481.1</v>
      </c>
      <c r="J969" t="s">
        <v>5046</v>
      </c>
      <c r="K969" t="s">
        <v>5048</v>
      </c>
      <c r="L969" t="s">
        <v>5050</v>
      </c>
      <c r="M969" t="s">
        <v>5054</v>
      </c>
    </row>
    <row r="970" spans="1:13" x14ac:dyDescent="0.3">
      <c r="A970" s="1">
        <v>45348</v>
      </c>
      <c r="B970" s="1" t="str">
        <f>TEXT(Tabla1[[#This Row],[Fecha]],"MMMM")</f>
        <v>febrero</v>
      </c>
      <c r="C970" t="s">
        <v>980</v>
      </c>
      <c r="D970" t="s">
        <v>5012</v>
      </c>
      <c r="E970" t="s">
        <v>5033</v>
      </c>
      <c r="F970" t="s">
        <v>5037</v>
      </c>
      <c r="G970" s="3">
        <v>5790.66</v>
      </c>
      <c r="H970" s="3">
        <v>752.79</v>
      </c>
      <c r="I970" s="3">
        <f>SUM(Tabla1[[#This Row],[Monto_Base]],H970)</f>
        <v>6543.45</v>
      </c>
      <c r="J970" t="s">
        <v>5045</v>
      </c>
      <c r="K970" t="s">
        <v>5049</v>
      </c>
      <c r="L970" t="s">
        <v>5053</v>
      </c>
      <c r="M970" t="s">
        <v>5054</v>
      </c>
    </row>
    <row r="971" spans="1:13" x14ac:dyDescent="0.3">
      <c r="A971" s="1">
        <v>45599</v>
      </c>
      <c r="B971" s="1" t="str">
        <f>TEXT(Tabla1[[#This Row],[Fecha]],"MMMM")</f>
        <v>noviembre</v>
      </c>
      <c r="C971" t="s">
        <v>981</v>
      </c>
      <c r="D971" t="s">
        <v>5013</v>
      </c>
      <c r="E971" t="s">
        <v>5032</v>
      </c>
      <c r="F971" t="s">
        <v>5039</v>
      </c>
      <c r="G971" s="3">
        <v>14082.05</v>
      </c>
      <c r="H971" s="3">
        <v>0</v>
      </c>
      <c r="I971" s="3">
        <f>SUM(Tabla1[[#This Row],[Monto_Base]],H971)</f>
        <v>14082.05</v>
      </c>
      <c r="J971" t="s">
        <v>5045</v>
      </c>
      <c r="K971" t="s">
        <v>5047</v>
      </c>
      <c r="L971" t="s">
        <v>5053</v>
      </c>
      <c r="M971" t="s">
        <v>5055</v>
      </c>
    </row>
    <row r="972" spans="1:13" x14ac:dyDescent="0.3">
      <c r="A972" s="1">
        <v>45519</v>
      </c>
      <c r="B972" s="1" t="str">
        <f>TEXT(Tabla1[[#This Row],[Fecha]],"MMMM")</f>
        <v>agosto</v>
      </c>
      <c r="C972" t="s">
        <v>982</v>
      </c>
      <c r="D972" t="s">
        <v>5017</v>
      </c>
      <c r="E972" t="s">
        <v>5033</v>
      </c>
      <c r="F972" t="s">
        <v>5041</v>
      </c>
      <c r="G972" s="3">
        <v>11407.09</v>
      </c>
      <c r="H972" s="3">
        <v>1482.92</v>
      </c>
      <c r="I972" s="3">
        <f>SUM(Tabla1[[#This Row],[Monto_Base]],H972)</f>
        <v>12890.01</v>
      </c>
      <c r="J972" t="s">
        <v>5046</v>
      </c>
      <c r="K972" t="s">
        <v>5048</v>
      </c>
      <c r="L972" t="s">
        <v>5051</v>
      </c>
      <c r="M972" t="s">
        <v>5055</v>
      </c>
    </row>
    <row r="973" spans="1:13" x14ac:dyDescent="0.3">
      <c r="A973" s="1">
        <v>45355</v>
      </c>
      <c r="B973" s="1" t="str">
        <f>TEXT(Tabla1[[#This Row],[Fecha]],"MMMM")</f>
        <v>marzo</v>
      </c>
      <c r="C973" t="s">
        <v>983</v>
      </c>
      <c r="D973" t="s">
        <v>5017</v>
      </c>
      <c r="E973" t="s">
        <v>5033</v>
      </c>
      <c r="F973" t="s">
        <v>5038</v>
      </c>
      <c r="G973" s="3">
        <v>9430.91</v>
      </c>
      <c r="H973" s="3">
        <v>1226.02</v>
      </c>
      <c r="I973" s="3">
        <f>SUM(Tabla1[[#This Row],[Monto_Base]],H973)</f>
        <v>10656.93</v>
      </c>
      <c r="J973" t="s">
        <v>5045</v>
      </c>
      <c r="K973" t="s">
        <v>5047</v>
      </c>
      <c r="L973" t="s">
        <v>5053</v>
      </c>
      <c r="M973" t="s">
        <v>5055</v>
      </c>
    </row>
    <row r="974" spans="1:13" x14ac:dyDescent="0.3">
      <c r="A974" s="1">
        <v>45406</v>
      </c>
      <c r="B974" s="1" t="str">
        <f>TEXT(Tabla1[[#This Row],[Fecha]],"MMMM")</f>
        <v>abril</v>
      </c>
      <c r="C974" t="s">
        <v>984</v>
      </c>
      <c r="D974" t="s">
        <v>5023</v>
      </c>
      <c r="E974" t="s">
        <v>5032</v>
      </c>
      <c r="F974" t="s">
        <v>5039</v>
      </c>
      <c r="G974" s="3">
        <v>68.099999999999994</v>
      </c>
      <c r="H974" s="3">
        <v>0</v>
      </c>
      <c r="I974" s="3">
        <f>SUM(Tabla1[[#This Row],[Monto_Base]],H974)</f>
        <v>68.099999999999994</v>
      </c>
      <c r="J974" t="s">
        <v>5045</v>
      </c>
      <c r="K974" t="s">
        <v>5047</v>
      </c>
      <c r="L974" t="s">
        <v>5050</v>
      </c>
      <c r="M974" t="s">
        <v>5055</v>
      </c>
    </row>
    <row r="975" spans="1:13" x14ac:dyDescent="0.3">
      <c r="A975" s="1">
        <v>45642</v>
      </c>
      <c r="B975" s="1" t="str">
        <f>TEXT(Tabla1[[#This Row],[Fecha]],"MMMM")</f>
        <v>diciembre</v>
      </c>
      <c r="C975" t="s">
        <v>985</v>
      </c>
      <c r="D975" t="s">
        <v>5015</v>
      </c>
      <c r="E975" t="s">
        <v>5032</v>
      </c>
      <c r="F975" t="s">
        <v>5034</v>
      </c>
      <c r="G975" s="3">
        <v>13829.28</v>
      </c>
      <c r="H975" s="3">
        <v>0</v>
      </c>
      <c r="I975" s="3">
        <f>SUM(Tabla1[[#This Row],[Monto_Base]],H975)</f>
        <v>13829.28</v>
      </c>
      <c r="J975" t="s">
        <v>5043</v>
      </c>
      <c r="K975" t="s">
        <v>5049</v>
      </c>
      <c r="L975" t="s">
        <v>5053</v>
      </c>
      <c r="M975" t="s">
        <v>5055</v>
      </c>
    </row>
    <row r="976" spans="1:13" x14ac:dyDescent="0.3">
      <c r="A976" s="1">
        <v>45436</v>
      </c>
      <c r="B976" s="1" t="str">
        <f>TEXT(Tabla1[[#This Row],[Fecha]],"MMMM")</f>
        <v>mayo</v>
      </c>
      <c r="C976" t="s">
        <v>986</v>
      </c>
      <c r="D976" t="s">
        <v>5013</v>
      </c>
      <c r="E976" t="s">
        <v>5033</v>
      </c>
      <c r="F976" t="s">
        <v>5036</v>
      </c>
      <c r="G976" s="3">
        <v>14349.17</v>
      </c>
      <c r="H976" s="3">
        <v>1865.39</v>
      </c>
      <c r="I976" s="3">
        <f>SUM(Tabla1[[#This Row],[Monto_Base]],H976)</f>
        <v>16214.56</v>
      </c>
      <c r="J976" t="s">
        <v>5044</v>
      </c>
      <c r="K976" t="s">
        <v>5047</v>
      </c>
      <c r="L976" t="s">
        <v>5051</v>
      </c>
      <c r="M976" t="s">
        <v>5054</v>
      </c>
    </row>
    <row r="977" spans="1:13" x14ac:dyDescent="0.3">
      <c r="A977" s="1">
        <v>45563</v>
      </c>
      <c r="B977" s="1" t="str">
        <f>TEXT(Tabla1[[#This Row],[Fecha]],"MMMM")</f>
        <v>septiembre</v>
      </c>
      <c r="C977" t="s">
        <v>987</v>
      </c>
      <c r="D977" t="s">
        <v>5030</v>
      </c>
      <c r="E977" t="s">
        <v>5033</v>
      </c>
      <c r="F977" t="s">
        <v>5039</v>
      </c>
      <c r="G977" s="3">
        <v>2712.11</v>
      </c>
      <c r="H977" s="3">
        <v>352.57</v>
      </c>
      <c r="I977" s="3">
        <f>SUM(Tabla1[[#This Row],[Monto_Base]],H977)</f>
        <v>3064.6800000000003</v>
      </c>
      <c r="J977" t="s">
        <v>5044</v>
      </c>
      <c r="K977" t="s">
        <v>5049</v>
      </c>
      <c r="L977" t="s">
        <v>5052</v>
      </c>
      <c r="M977" t="s">
        <v>5055</v>
      </c>
    </row>
    <row r="978" spans="1:13" x14ac:dyDescent="0.3">
      <c r="A978" s="1">
        <v>45430</v>
      </c>
      <c r="B978" s="1" t="str">
        <f>TEXT(Tabla1[[#This Row],[Fecha]],"MMMM")</f>
        <v>mayo</v>
      </c>
      <c r="C978" t="s">
        <v>988</v>
      </c>
      <c r="D978" t="s">
        <v>5021</v>
      </c>
      <c r="E978" t="s">
        <v>5032</v>
      </c>
      <c r="F978" t="s">
        <v>5040</v>
      </c>
      <c r="G978" s="3">
        <v>13137.26</v>
      </c>
      <c r="H978" s="3">
        <v>0</v>
      </c>
      <c r="I978" s="3">
        <f>SUM(Tabla1[[#This Row],[Monto_Base]],H978)</f>
        <v>13137.26</v>
      </c>
      <c r="J978" t="s">
        <v>5043</v>
      </c>
      <c r="K978" t="s">
        <v>5049</v>
      </c>
      <c r="L978" t="s">
        <v>5051</v>
      </c>
      <c r="M978" t="s">
        <v>5055</v>
      </c>
    </row>
    <row r="979" spans="1:13" x14ac:dyDescent="0.3">
      <c r="A979" s="1">
        <v>45491</v>
      </c>
      <c r="B979" s="1" t="str">
        <f>TEXT(Tabla1[[#This Row],[Fecha]],"MMMM")</f>
        <v>julio</v>
      </c>
      <c r="C979" t="s">
        <v>989</v>
      </c>
      <c r="D979" t="s">
        <v>5012</v>
      </c>
      <c r="E979" t="s">
        <v>5033</v>
      </c>
      <c r="F979" t="s">
        <v>5039</v>
      </c>
      <c r="G979" s="3">
        <v>4837.83</v>
      </c>
      <c r="H979" s="3">
        <v>628.91999999999996</v>
      </c>
      <c r="I979" s="3">
        <f>SUM(Tabla1[[#This Row],[Monto_Base]],H979)</f>
        <v>5466.75</v>
      </c>
      <c r="J979" t="s">
        <v>5043</v>
      </c>
      <c r="K979" t="s">
        <v>5049</v>
      </c>
      <c r="L979" t="s">
        <v>5050</v>
      </c>
      <c r="M979" t="s">
        <v>5054</v>
      </c>
    </row>
    <row r="980" spans="1:13" x14ac:dyDescent="0.3">
      <c r="A980" s="1">
        <v>45457</v>
      </c>
      <c r="B980" s="1" t="str">
        <f>TEXT(Tabla1[[#This Row],[Fecha]],"MMMM")</f>
        <v>junio</v>
      </c>
      <c r="C980" t="s">
        <v>990</v>
      </c>
      <c r="D980" t="s">
        <v>5031</v>
      </c>
      <c r="E980" t="s">
        <v>5032</v>
      </c>
      <c r="F980" t="s">
        <v>5038</v>
      </c>
      <c r="G980" s="3">
        <v>2212.7800000000002</v>
      </c>
      <c r="H980" s="3">
        <v>0</v>
      </c>
      <c r="I980" s="3">
        <f>SUM(Tabla1[[#This Row],[Monto_Base]],H980)</f>
        <v>2212.7800000000002</v>
      </c>
      <c r="J980" t="s">
        <v>5046</v>
      </c>
      <c r="K980" t="s">
        <v>5047</v>
      </c>
      <c r="L980" t="s">
        <v>5050</v>
      </c>
      <c r="M980" t="s">
        <v>5055</v>
      </c>
    </row>
    <row r="981" spans="1:13" x14ac:dyDescent="0.3">
      <c r="A981" s="1">
        <v>45503</v>
      </c>
      <c r="B981" s="1" t="str">
        <f>TEXT(Tabla1[[#This Row],[Fecha]],"MMMM")</f>
        <v>julio</v>
      </c>
      <c r="C981" t="s">
        <v>991</v>
      </c>
      <c r="D981" t="s">
        <v>5025</v>
      </c>
      <c r="E981" t="s">
        <v>5032</v>
      </c>
      <c r="F981" t="s">
        <v>5041</v>
      </c>
      <c r="G981" s="3">
        <v>10416.64</v>
      </c>
      <c r="H981" s="3">
        <v>0</v>
      </c>
      <c r="I981" s="3">
        <f>SUM(Tabla1[[#This Row],[Monto_Base]],H981)</f>
        <v>10416.64</v>
      </c>
      <c r="J981" t="s">
        <v>5042</v>
      </c>
      <c r="K981" t="s">
        <v>5049</v>
      </c>
      <c r="L981" t="s">
        <v>5051</v>
      </c>
      <c r="M981" t="s">
        <v>5054</v>
      </c>
    </row>
    <row r="982" spans="1:13" x14ac:dyDescent="0.3">
      <c r="A982" s="1">
        <v>45544</v>
      </c>
      <c r="B982" s="1" t="str">
        <f>TEXT(Tabla1[[#This Row],[Fecha]],"MMMM")</f>
        <v>septiembre</v>
      </c>
      <c r="C982" t="s">
        <v>992</v>
      </c>
      <c r="D982" t="s">
        <v>5027</v>
      </c>
      <c r="E982" t="s">
        <v>5032</v>
      </c>
      <c r="F982" t="s">
        <v>5041</v>
      </c>
      <c r="G982" s="3">
        <v>8104.27</v>
      </c>
      <c r="H982" s="3">
        <v>0</v>
      </c>
      <c r="I982" s="3">
        <f>SUM(Tabla1[[#This Row],[Monto_Base]],H982)</f>
        <v>8104.27</v>
      </c>
      <c r="J982" t="s">
        <v>5042</v>
      </c>
      <c r="K982" t="s">
        <v>5049</v>
      </c>
      <c r="L982" t="s">
        <v>5052</v>
      </c>
      <c r="M982" t="s">
        <v>5055</v>
      </c>
    </row>
    <row r="983" spans="1:13" x14ac:dyDescent="0.3">
      <c r="A983" s="1">
        <v>45412</v>
      </c>
      <c r="B983" s="1" t="str">
        <f>TEXT(Tabla1[[#This Row],[Fecha]],"MMMM")</f>
        <v>abril</v>
      </c>
      <c r="C983" t="s">
        <v>993</v>
      </c>
      <c r="D983" t="s">
        <v>5031</v>
      </c>
      <c r="E983" t="s">
        <v>5032</v>
      </c>
      <c r="F983" t="s">
        <v>5034</v>
      </c>
      <c r="G983" s="3">
        <v>10561.25</v>
      </c>
      <c r="H983" s="3">
        <v>0</v>
      </c>
      <c r="I983" s="3">
        <f>SUM(Tabla1[[#This Row],[Monto_Base]],H983)</f>
        <v>10561.25</v>
      </c>
      <c r="J983" t="s">
        <v>5044</v>
      </c>
      <c r="K983" t="s">
        <v>5047</v>
      </c>
      <c r="L983" t="s">
        <v>5052</v>
      </c>
      <c r="M983" t="s">
        <v>5054</v>
      </c>
    </row>
    <row r="984" spans="1:13" x14ac:dyDescent="0.3">
      <c r="A984" s="1">
        <v>45322</v>
      </c>
      <c r="B984" s="1" t="str">
        <f>TEXT(Tabla1[[#This Row],[Fecha]],"MMMM")</f>
        <v>enero</v>
      </c>
      <c r="C984" t="s">
        <v>994</v>
      </c>
      <c r="D984" t="s">
        <v>5016</v>
      </c>
      <c r="E984" t="s">
        <v>5032</v>
      </c>
      <c r="F984" t="s">
        <v>5039</v>
      </c>
      <c r="G984" s="3">
        <v>13817.52</v>
      </c>
      <c r="H984" s="3">
        <v>0</v>
      </c>
      <c r="I984" s="3">
        <f>SUM(Tabla1[[#This Row],[Monto_Base]],H984)</f>
        <v>13817.52</v>
      </c>
      <c r="J984" t="s">
        <v>5044</v>
      </c>
      <c r="K984" t="s">
        <v>5048</v>
      </c>
      <c r="L984" t="s">
        <v>5052</v>
      </c>
      <c r="M984" t="s">
        <v>5055</v>
      </c>
    </row>
    <row r="985" spans="1:13" x14ac:dyDescent="0.3">
      <c r="A985" s="1">
        <v>45406</v>
      </c>
      <c r="B985" s="1" t="str">
        <f>TEXT(Tabla1[[#This Row],[Fecha]],"MMMM")</f>
        <v>abril</v>
      </c>
      <c r="C985" t="s">
        <v>995</v>
      </c>
      <c r="D985" t="s">
        <v>5028</v>
      </c>
      <c r="E985" t="s">
        <v>5032</v>
      </c>
      <c r="F985" t="s">
        <v>5034</v>
      </c>
      <c r="G985" s="3">
        <v>3200.52</v>
      </c>
      <c r="H985" s="3">
        <v>0</v>
      </c>
      <c r="I985" s="3">
        <f>SUM(Tabla1[[#This Row],[Monto_Base]],H985)</f>
        <v>3200.52</v>
      </c>
      <c r="J985" t="s">
        <v>5045</v>
      </c>
      <c r="K985" t="s">
        <v>5049</v>
      </c>
      <c r="L985" t="s">
        <v>5052</v>
      </c>
      <c r="M985" t="s">
        <v>5054</v>
      </c>
    </row>
    <row r="986" spans="1:13" x14ac:dyDescent="0.3">
      <c r="A986" s="1">
        <v>45651</v>
      </c>
      <c r="B986" s="1" t="str">
        <f>TEXT(Tabla1[[#This Row],[Fecha]],"MMMM")</f>
        <v>diciembre</v>
      </c>
      <c r="C986" t="s">
        <v>996</v>
      </c>
      <c r="D986" t="s">
        <v>5027</v>
      </c>
      <c r="E986" t="s">
        <v>5033</v>
      </c>
      <c r="F986" t="s">
        <v>5037</v>
      </c>
      <c r="G986" s="3">
        <v>5606.68</v>
      </c>
      <c r="H986" s="3">
        <v>728.87</v>
      </c>
      <c r="I986" s="3">
        <f>SUM(Tabla1[[#This Row],[Monto_Base]],H986)</f>
        <v>6335.55</v>
      </c>
      <c r="J986" t="s">
        <v>5045</v>
      </c>
      <c r="K986" t="s">
        <v>5049</v>
      </c>
      <c r="L986" t="s">
        <v>5053</v>
      </c>
      <c r="M986" t="s">
        <v>5055</v>
      </c>
    </row>
    <row r="987" spans="1:13" x14ac:dyDescent="0.3">
      <c r="A987" s="1">
        <v>45417</v>
      </c>
      <c r="B987" s="1" t="str">
        <f>TEXT(Tabla1[[#This Row],[Fecha]],"MMMM")</f>
        <v>mayo</v>
      </c>
      <c r="C987" t="s">
        <v>997</v>
      </c>
      <c r="D987" t="s">
        <v>5012</v>
      </c>
      <c r="E987" t="s">
        <v>5033</v>
      </c>
      <c r="F987" t="s">
        <v>5040</v>
      </c>
      <c r="G987" s="3">
        <v>2162.1</v>
      </c>
      <c r="H987" s="3">
        <v>281.07</v>
      </c>
      <c r="I987" s="3">
        <f>SUM(Tabla1[[#This Row],[Monto_Base]],H987)</f>
        <v>2443.17</v>
      </c>
      <c r="J987" t="s">
        <v>5045</v>
      </c>
      <c r="K987" t="s">
        <v>5047</v>
      </c>
      <c r="L987" t="s">
        <v>5050</v>
      </c>
      <c r="M987" t="s">
        <v>5054</v>
      </c>
    </row>
    <row r="988" spans="1:13" x14ac:dyDescent="0.3">
      <c r="A988" s="1">
        <v>45464</v>
      </c>
      <c r="B988" s="1" t="str">
        <f>TEXT(Tabla1[[#This Row],[Fecha]],"MMMM")</f>
        <v>junio</v>
      </c>
      <c r="C988" t="s">
        <v>998</v>
      </c>
      <c r="D988" t="s">
        <v>5018</v>
      </c>
      <c r="E988" t="s">
        <v>5033</v>
      </c>
      <c r="F988" t="s">
        <v>5038</v>
      </c>
      <c r="G988" s="3">
        <v>7079.26</v>
      </c>
      <c r="H988" s="3">
        <v>920.3</v>
      </c>
      <c r="I988" s="3">
        <f>SUM(Tabla1[[#This Row],[Monto_Base]],H988)</f>
        <v>7999.56</v>
      </c>
      <c r="J988" t="s">
        <v>5043</v>
      </c>
      <c r="K988" t="s">
        <v>5049</v>
      </c>
      <c r="L988" t="s">
        <v>5053</v>
      </c>
      <c r="M988" t="s">
        <v>5055</v>
      </c>
    </row>
    <row r="989" spans="1:13" x14ac:dyDescent="0.3">
      <c r="A989" s="1">
        <v>45380</v>
      </c>
      <c r="B989" s="1" t="str">
        <f>TEXT(Tabla1[[#This Row],[Fecha]],"MMMM")</f>
        <v>marzo</v>
      </c>
      <c r="C989" t="s">
        <v>999</v>
      </c>
      <c r="D989" t="s">
        <v>5026</v>
      </c>
      <c r="E989" t="s">
        <v>5033</v>
      </c>
      <c r="F989" t="s">
        <v>5035</v>
      </c>
      <c r="G989" s="3">
        <v>9082.4</v>
      </c>
      <c r="H989" s="3">
        <v>1180.71</v>
      </c>
      <c r="I989" s="3">
        <f>SUM(Tabla1[[#This Row],[Monto_Base]],H989)</f>
        <v>10263.11</v>
      </c>
      <c r="J989" t="s">
        <v>5042</v>
      </c>
      <c r="K989" t="s">
        <v>5047</v>
      </c>
      <c r="L989" t="s">
        <v>5053</v>
      </c>
      <c r="M989" t="s">
        <v>5055</v>
      </c>
    </row>
    <row r="990" spans="1:13" x14ac:dyDescent="0.3">
      <c r="A990" s="1">
        <v>45508</v>
      </c>
      <c r="B990" s="1" t="str">
        <f>TEXT(Tabla1[[#This Row],[Fecha]],"MMMM")</f>
        <v>agosto</v>
      </c>
      <c r="C990" t="s">
        <v>1000</v>
      </c>
      <c r="D990" t="s">
        <v>5025</v>
      </c>
      <c r="E990" t="s">
        <v>5032</v>
      </c>
      <c r="F990" t="s">
        <v>5038</v>
      </c>
      <c r="G990" s="3">
        <v>10654.82</v>
      </c>
      <c r="H990" s="3">
        <v>0</v>
      </c>
      <c r="I990" s="3">
        <f>SUM(Tabla1[[#This Row],[Monto_Base]],H990)</f>
        <v>10654.82</v>
      </c>
      <c r="J990" t="s">
        <v>5046</v>
      </c>
      <c r="K990" t="s">
        <v>5048</v>
      </c>
      <c r="L990" t="s">
        <v>5053</v>
      </c>
      <c r="M990" t="s">
        <v>5055</v>
      </c>
    </row>
    <row r="991" spans="1:13" x14ac:dyDescent="0.3">
      <c r="A991" s="1">
        <v>45386</v>
      </c>
      <c r="B991" s="1" t="str">
        <f>TEXT(Tabla1[[#This Row],[Fecha]],"MMMM")</f>
        <v>abril</v>
      </c>
      <c r="C991" t="s">
        <v>1001</v>
      </c>
      <c r="D991" t="s">
        <v>5017</v>
      </c>
      <c r="E991" t="s">
        <v>5032</v>
      </c>
      <c r="F991" t="s">
        <v>5035</v>
      </c>
      <c r="G991" s="3">
        <v>3322.65</v>
      </c>
      <c r="H991" s="3">
        <v>0</v>
      </c>
      <c r="I991" s="3">
        <f>SUM(Tabla1[[#This Row],[Monto_Base]],H991)</f>
        <v>3322.65</v>
      </c>
      <c r="J991" t="s">
        <v>5042</v>
      </c>
      <c r="K991" t="s">
        <v>5049</v>
      </c>
      <c r="L991" t="s">
        <v>5053</v>
      </c>
      <c r="M991" t="s">
        <v>5055</v>
      </c>
    </row>
    <row r="992" spans="1:13" x14ac:dyDescent="0.3">
      <c r="A992" s="1">
        <v>45482</v>
      </c>
      <c r="B992" s="1" t="str">
        <f>TEXT(Tabla1[[#This Row],[Fecha]],"MMMM")</f>
        <v>julio</v>
      </c>
      <c r="C992" t="s">
        <v>1002</v>
      </c>
      <c r="D992" t="s">
        <v>5020</v>
      </c>
      <c r="E992" t="s">
        <v>5032</v>
      </c>
      <c r="F992" t="s">
        <v>5037</v>
      </c>
      <c r="G992" s="3">
        <v>2514.12</v>
      </c>
      <c r="H992" s="3">
        <v>0</v>
      </c>
      <c r="I992" s="3">
        <f>SUM(Tabla1[[#This Row],[Monto_Base]],H992)</f>
        <v>2514.12</v>
      </c>
      <c r="J992" t="s">
        <v>5043</v>
      </c>
      <c r="K992" t="s">
        <v>5047</v>
      </c>
      <c r="L992" t="s">
        <v>5051</v>
      </c>
      <c r="M992" t="s">
        <v>5054</v>
      </c>
    </row>
    <row r="993" spans="1:13" x14ac:dyDescent="0.3">
      <c r="A993" s="1">
        <v>45436</v>
      </c>
      <c r="B993" s="1" t="str">
        <f>TEXT(Tabla1[[#This Row],[Fecha]],"MMMM")</f>
        <v>mayo</v>
      </c>
      <c r="C993" t="s">
        <v>1003</v>
      </c>
      <c r="D993" t="s">
        <v>5013</v>
      </c>
      <c r="E993" t="s">
        <v>5032</v>
      </c>
      <c r="F993" t="s">
        <v>5040</v>
      </c>
      <c r="G993" s="3">
        <v>469.33</v>
      </c>
      <c r="H993" s="3">
        <v>0</v>
      </c>
      <c r="I993" s="3">
        <f>SUM(Tabla1[[#This Row],[Monto_Base]],H993)</f>
        <v>469.33</v>
      </c>
      <c r="J993" t="s">
        <v>5046</v>
      </c>
      <c r="K993" t="s">
        <v>5049</v>
      </c>
      <c r="L993" t="s">
        <v>5053</v>
      </c>
      <c r="M993" t="s">
        <v>5054</v>
      </c>
    </row>
    <row r="994" spans="1:13" x14ac:dyDescent="0.3">
      <c r="A994" s="1">
        <v>45395</v>
      </c>
      <c r="B994" s="1" t="str">
        <f>TEXT(Tabla1[[#This Row],[Fecha]],"MMMM")</f>
        <v>abril</v>
      </c>
      <c r="C994" t="s">
        <v>1004</v>
      </c>
      <c r="D994" t="s">
        <v>5031</v>
      </c>
      <c r="E994" t="s">
        <v>5033</v>
      </c>
      <c r="F994" t="s">
        <v>5038</v>
      </c>
      <c r="G994" s="3">
        <v>2856.77</v>
      </c>
      <c r="H994" s="3">
        <v>371.38</v>
      </c>
      <c r="I994" s="3">
        <f>SUM(Tabla1[[#This Row],[Monto_Base]],H994)</f>
        <v>3228.15</v>
      </c>
      <c r="J994" t="s">
        <v>5045</v>
      </c>
      <c r="K994" t="s">
        <v>5047</v>
      </c>
      <c r="L994" t="s">
        <v>5051</v>
      </c>
      <c r="M994" t="s">
        <v>5054</v>
      </c>
    </row>
    <row r="995" spans="1:13" x14ac:dyDescent="0.3">
      <c r="A995" s="1">
        <v>45339</v>
      </c>
      <c r="B995" s="1" t="str">
        <f>TEXT(Tabla1[[#This Row],[Fecha]],"MMMM")</f>
        <v>febrero</v>
      </c>
      <c r="C995" t="s">
        <v>1005</v>
      </c>
      <c r="D995" t="s">
        <v>5031</v>
      </c>
      <c r="E995" t="s">
        <v>5032</v>
      </c>
      <c r="F995" t="s">
        <v>5035</v>
      </c>
      <c r="G995" s="3">
        <v>768.33</v>
      </c>
      <c r="H995" s="3">
        <v>0</v>
      </c>
      <c r="I995" s="3">
        <f>SUM(Tabla1[[#This Row],[Monto_Base]],H995)</f>
        <v>768.33</v>
      </c>
      <c r="J995" t="s">
        <v>5044</v>
      </c>
      <c r="K995" t="s">
        <v>5047</v>
      </c>
      <c r="L995" t="s">
        <v>5051</v>
      </c>
      <c r="M995" t="s">
        <v>5055</v>
      </c>
    </row>
    <row r="996" spans="1:13" x14ac:dyDescent="0.3">
      <c r="A996" s="1">
        <v>45474</v>
      </c>
      <c r="B996" s="1" t="str">
        <f>TEXT(Tabla1[[#This Row],[Fecha]],"MMMM")</f>
        <v>julio</v>
      </c>
      <c r="C996" t="s">
        <v>1006</v>
      </c>
      <c r="D996" t="s">
        <v>5016</v>
      </c>
      <c r="E996" t="s">
        <v>5033</v>
      </c>
      <c r="F996" t="s">
        <v>5040</v>
      </c>
      <c r="G996" s="3">
        <v>11290.04</v>
      </c>
      <c r="H996" s="3">
        <v>1467.71</v>
      </c>
      <c r="I996" s="3">
        <f>SUM(Tabla1[[#This Row],[Monto_Base]],H996)</f>
        <v>12757.75</v>
      </c>
      <c r="J996" t="s">
        <v>5046</v>
      </c>
      <c r="K996" t="s">
        <v>5049</v>
      </c>
      <c r="L996" t="s">
        <v>5053</v>
      </c>
      <c r="M996" t="s">
        <v>5055</v>
      </c>
    </row>
    <row r="997" spans="1:13" x14ac:dyDescent="0.3">
      <c r="A997" s="1">
        <v>45487</v>
      </c>
      <c r="B997" s="1" t="str">
        <f>TEXT(Tabla1[[#This Row],[Fecha]],"MMMM")</f>
        <v>julio</v>
      </c>
      <c r="C997" t="s">
        <v>1007</v>
      </c>
      <c r="D997" t="s">
        <v>5016</v>
      </c>
      <c r="E997" t="s">
        <v>5033</v>
      </c>
      <c r="F997" t="s">
        <v>5039</v>
      </c>
      <c r="G997" s="3">
        <v>404.1</v>
      </c>
      <c r="H997" s="3">
        <v>52.53</v>
      </c>
      <c r="I997" s="3">
        <f>SUM(Tabla1[[#This Row],[Monto_Base]],H997)</f>
        <v>456.63</v>
      </c>
      <c r="J997" t="s">
        <v>5043</v>
      </c>
      <c r="K997" t="s">
        <v>5049</v>
      </c>
      <c r="L997" t="s">
        <v>5053</v>
      </c>
      <c r="M997" t="s">
        <v>5055</v>
      </c>
    </row>
    <row r="998" spans="1:13" x14ac:dyDescent="0.3">
      <c r="A998" s="1">
        <v>45339</v>
      </c>
      <c r="B998" s="1" t="str">
        <f>TEXT(Tabla1[[#This Row],[Fecha]],"MMMM")</f>
        <v>febrero</v>
      </c>
      <c r="C998" t="s">
        <v>1008</v>
      </c>
      <c r="D998" t="s">
        <v>5026</v>
      </c>
      <c r="E998" t="s">
        <v>5032</v>
      </c>
      <c r="F998" t="s">
        <v>5036</v>
      </c>
      <c r="G998" s="3">
        <v>13283.8</v>
      </c>
      <c r="H998" s="3">
        <v>0</v>
      </c>
      <c r="I998" s="3">
        <f>SUM(Tabla1[[#This Row],[Monto_Base]],H998)</f>
        <v>13283.8</v>
      </c>
      <c r="J998" t="s">
        <v>5046</v>
      </c>
      <c r="K998" t="s">
        <v>5047</v>
      </c>
      <c r="L998" t="s">
        <v>5052</v>
      </c>
      <c r="M998" t="s">
        <v>5054</v>
      </c>
    </row>
    <row r="999" spans="1:13" x14ac:dyDescent="0.3">
      <c r="A999" s="1">
        <v>45611</v>
      </c>
      <c r="B999" s="1" t="str">
        <f>TEXT(Tabla1[[#This Row],[Fecha]],"MMMM")</f>
        <v>noviembre</v>
      </c>
      <c r="C999" t="s">
        <v>1009</v>
      </c>
      <c r="D999" t="s">
        <v>5025</v>
      </c>
      <c r="E999" t="s">
        <v>5033</v>
      </c>
      <c r="F999" t="s">
        <v>5040</v>
      </c>
      <c r="G999" s="3">
        <v>4398.08</v>
      </c>
      <c r="H999" s="3">
        <v>571.75</v>
      </c>
      <c r="I999" s="3">
        <f>SUM(Tabla1[[#This Row],[Monto_Base]],H999)</f>
        <v>4969.83</v>
      </c>
      <c r="J999" t="s">
        <v>5043</v>
      </c>
      <c r="K999" t="s">
        <v>5047</v>
      </c>
      <c r="L999" t="s">
        <v>5050</v>
      </c>
      <c r="M999" t="s">
        <v>5054</v>
      </c>
    </row>
    <row r="1000" spans="1:13" x14ac:dyDescent="0.3">
      <c r="A1000" s="1">
        <v>45546</v>
      </c>
      <c r="B1000" s="1" t="str">
        <f>TEXT(Tabla1[[#This Row],[Fecha]],"MMMM")</f>
        <v>septiembre</v>
      </c>
      <c r="C1000" t="s">
        <v>1010</v>
      </c>
      <c r="D1000" t="s">
        <v>5031</v>
      </c>
      <c r="E1000" t="s">
        <v>5033</v>
      </c>
      <c r="F1000" t="s">
        <v>5039</v>
      </c>
      <c r="G1000" s="3">
        <v>8525.17</v>
      </c>
      <c r="H1000" s="3">
        <v>1108.27</v>
      </c>
      <c r="I1000" s="3">
        <f>SUM(Tabla1[[#This Row],[Monto_Base]],H1000)</f>
        <v>9633.44</v>
      </c>
      <c r="J1000" t="s">
        <v>5045</v>
      </c>
      <c r="K1000" t="s">
        <v>5047</v>
      </c>
      <c r="L1000" t="s">
        <v>5052</v>
      </c>
      <c r="M1000" t="s">
        <v>5055</v>
      </c>
    </row>
    <row r="1001" spans="1:13" x14ac:dyDescent="0.3">
      <c r="A1001" s="1">
        <v>45443</v>
      </c>
      <c r="B1001" s="1" t="str">
        <f>TEXT(Tabla1[[#This Row],[Fecha]],"MMMM")</f>
        <v>mayo</v>
      </c>
      <c r="C1001" t="s">
        <v>1011</v>
      </c>
      <c r="D1001" t="s">
        <v>5018</v>
      </c>
      <c r="E1001" t="s">
        <v>5033</v>
      </c>
      <c r="F1001" t="s">
        <v>5041</v>
      </c>
      <c r="G1001" s="3">
        <v>4740.09</v>
      </c>
      <c r="H1001" s="3">
        <v>616.21</v>
      </c>
      <c r="I1001" s="3">
        <f>SUM(Tabla1[[#This Row],[Monto_Base]],H1001)</f>
        <v>5356.3</v>
      </c>
      <c r="J1001" t="s">
        <v>5046</v>
      </c>
      <c r="K1001" t="s">
        <v>5047</v>
      </c>
      <c r="L1001" t="s">
        <v>5051</v>
      </c>
      <c r="M1001" t="s">
        <v>5055</v>
      </c>
    </row>
    <row r="1002" spans="1:13" x14ac:dyDescent="0.3">
      <c r="A1002" s="1">
        <v>45527</v>
      </c>
      <c r="B1002" s="1" t="str">
        <f>TEXT(Tabla1[[#This Row],[Fecha]],"MMMM")</f>
        <v>agosto</v>
      </c>
      <c r="C1002" t="s">
        <v>1012</v>
      </c>
      <c r="D1002" t="s">
        <v>5030</v>
      </c>
      <c r="E1002" t="s">
        <v>5033</v>
      </c>
      <c r="F1002" t="s">
        <v>5039</v>
      </c>
      <c r="G1002" s="3">
        <v>10674.29</v>
      </c>
      <c r="H1002" s="3">
        <v>1387.66</v>
      </c>
      <c r="I1002" s="3">
        <f>SUM(Tabla1[[#This Row],[Monto_Base]],H1002)</f>
        <v>12061.95</v>
      </c>
      <c r="J1002" t="s">
        <v>5044</v>
      </c>
      <c r="K1002" t="s">
        <v>5048</v>
      </c>
      <c r="L1002" t="s">
        <v>5051</v>
      </c>
      <c r="M1002" t="s">
        <v>5055</v>
      </c>
    </row>
    <row r="1003" spans="1:13" x14ac:dyDescent="0.3">
      <c r="A1003" s="1">
        <v>45438</v>
      </c>
      <c r="B1003" s="1" t="str">
        <f>TEXT(Tabla1[[#This Row],[Fecha]],"MMMM")</f>
        <v>mayo</v>
      </c>
      <c r="C1003" t="s">
        <v>1013</v>
      </c>
      <c r="D1003" t="s">
        <v>5013</v>
      </c>
      <c r="E1003" t="s">
        <v>5032</v>
      </c>
      <c r="F1003" t="s">
        <v>5035</v>
      </c>
      <c r="G1003" s="3">
        <v>5483.91</v>
      </c>
      <c r="H1003" s="3">
        <v>0</v>
      </c>
      <c r="I1003" s="3">
        <f>SUM(Tabla1[[#This Row],[Monto_Base]],H1003)</f>
        <v>5483.91</v>
      </c>
      <c r="J1003" t="s">
        <v>5043</v>
      </c>
      <c r="K1003" t="s">
        <v>5048</v>
      </c>
      <c r="L1003" t="s">
        <v>5052</v>
      </c>
      <c r="M1003" t="s">
        <v>5055</v>
      </c>
    </row>
    <row r="1004" spans="1:13" x14ac:dyDescent="0.3">
      <c r="A1004" s="1">
        <v>45503</v>
      </c>
      <c r="B1004" s="1" t="str">
        <f>TEXT(Tabla1[[#This Row],[Fecha]],"MMMM")</f>
        <v>julio</v>
      </c>
      <c r="C1004" t="s">
        <v>1014</v>
      </c>
      <c r="D1004" t="s">
        <v>5016</v>
      </c>
      <c r="E1004" t="s">
        <v>5032</v>
      </c>
      <c r="F1004" t="s">
        <v>5040</v>
      </c>
      <c r="G1004" s="3">
        <v>1298.18</v>
      </c>
      <c r="H1004" s="3">
        <v>0</v>
      </c>
      <c r="I1004" s="3">
        <f>SUM(Tabla1[[#This Row],[Monto_Base]],H1004)</f>
        <v>1298.18</v>
      </c>
      <c r="J1004" t="s">
        <v>5042</v>
      </c>
      <c r="K1004" t="s">
        <v>5048</v>
      </c>
      <c r="L1004" t="s">
        <v>5051</v>
      </c>
      <c r="M1004" t="s">
        <v>5054</v>
      </c>
    </row>
    <row r="1005" spans="1:13" x14ac:dyDescent="0.3">
      <c r="A1005" s="1">
        <v>45440</v>
      </c>
      <c r="B1005" s="1" t="str">
        <f>TEXT(Tabla1[[#This Row],[Fecha]],"MMMM")</f>
        <v>mayo</v>
      </c>
      <c r="C1005" t="s">
        <v>1015</v>
      </c>
      <c r="D1005" t="s">
        <v>5017</v>
      </c>
      <c r="E1005" t="s">
        <v>5033</v>
      </c>
      <c r="F1005" t="s">
        <v>5039</v>
      </c>
      <c r="G1005" s="3">
        <v>12803.24</v>
      </c>
      <c r="H1005" s="3">
        <v>1664.42</v>
      </c>
      <c r="I1005" s="3">
        <f>SUM(Tabla1[[#This Row],[Monto_Base]],H1005)</f>
        <v>14467.66</v>
      </c>
      <c r="J1005" t="s">
        <v>5043</v>
      </c>
      <c r="K1005" t="s">
        <v>5047</v>
      </c>
      <c r="L1005" t="s">
        <v>5050</v>
      </c>
      <c r="M1005" t="s">
        <v>5054</v>
      </c>
    </row>
    <row r="1006" spans="1:13" x14ac:dyDescent="0.3">
      <c r="A1006" s="1">
        <v>45531</v>
      </c>
      <c r="B1006" s="1" t="str">
        <f>TEXT(Tabla1[[#This Row],[Fecha]],"MMMM")</f>
        <v>agosto</v>
      </c>
      <c r="C1006" t="s">
        <v>1016</v>
      </c>
      <c r="D1006" t="s">
        <v>5027</v>
      </c>
      <c r="E1006" t="s">
        <v>5032</v>
      </c>
      <c r="F1006" t="s">
        <v>5036</v>
      </c>
      <c r="G1006" s="3">
        <v>5266.62</v>
      </c>
      <c r="H1006" s="3">
        <v>0</v>
      </c>
      <c r="I1006" s="3">
        <f>SUM(Tabla1[[#This Row],[Monto_Base]],H1006)</f>
        <v>5266.62</v>
      </c>
      <c r="J1006" t="s">
        <v>5042</v>
      </c>
      <c r="K1006" t="s">
        <v>5048</v>
      </c>
      <c r="L1006" t="s">
        <v>5053</v>
      </c>
      <c r="M1006" t="s">
        <v>5054</v>
      </c>
    </row>
    <row r="1007" spans="1:13" x14ac:dyDescent="0.3">
      <c r="A1007" s="1">
        <v>45460</v>
      </c>
      <c r="B1007" s="1" t="str">
        <f>TEXT(Tabla1[[#This Row],[Fecha]],"MMMM")</f>
        <v>junio</v>
      </c>
      <c r="C1007" t="s">
        <v>1017</v>
      </c>
      <c r="D1007" t="s">
        <v>5013</v>
      </c>
      <c r="E1007" t="s">
        <v>5032</v>
      </c>
      <c r="F1007" t="s">
        <v>5037</v>
      </c>
      <c r="G1007" s="3">
        <v>3032.09</v>
      </c>
      <c r="H1007" s="3">
        <v>0</v>
      </c>
      <c r="I1007" s="3">
        <f>SUM(Tabla1[[#This Row],[Monto_Base]],H1007)</f>
        <v>3032.09</v>
      </c>
      <c r="J1007" t="s">
        <v>5045</v>
      </c>
      <c r="K1007" t="s">
        <v>5048</v>
      </c>
      <c r="L1007" t="s">
        <v>5051</v>
      </c>
      <c r="M1007" t="s">
        <v>5055</v>
      </c>
    </row>
    <row r="1008" spans="1:13" x14ac:dyDescent="0.3">
      <c r="A1008" s="1">
        <v>45571</v>
      </c>
      <c r="B1008" s="1" t="str">
        <f>TEXT(Tabla1[[#This Row],[Fecha]],"MMMM")</f>
        <v>octubre</v>
      </c>
      <c r="C1008" t="s">
        <v>1018</v>
      </c>
      <c r="D1008" t="s">
        <v>5018</v>
      </c>
      <c r="E1008" t="s">
        <v>5033</v>
      </c>
      <c r="F1008" t="s">
        <v>5038</v>
      </c>
      <c r="G1008" s="3">
        <v>6845.95</v>
      </c>
      <c r="H1008" s="3">
        <v>889.97</v>
      </c>
      <c r="I1008" s="3">
        <f>SUM(Tabla1[[#This Row],[Monto_Base]],H1008)</f>
        <v>7735.92</v>
      </c>
      <c r="J1008" t="s">
        <v>5046</v>
      </c>
      <c r="K1008" t="s">
        <v>5048</v>
      </c>
      <c r="L1008" t="s">
        <v>5052</v>
      </c>
      <c r="M1008" t="s">
        <v>5054</v>
      </c>
    </row>
    <row r="1009" spans="1:13" x14ac:dyDescent="0.3">
      <c r="A1009" s="1">
        <v>45477</v>
      </c>
      <c r="B1009" s="1" t="str">
        <f>TEXT(Tabla1[[#This Row],[Fecha]],"MMMM")</f>
        <v>julio</v>
      </c>
      <c r="C1009" t="s">
        <v>1019</v>
      </c>
      <c r="D1009" t="s">
        <v>5014</v>
      </c>
      <c r="E1009" t="s">
        <v>5033</v>
      </c>
      <c r="F1009" t="s">
        <v>5037</v>
      </c>
      <c r="G1009" s="3">
        <v>982.88</v>
      </c>
      <c r="H1009" s="3">
        <v>127.77</v>
      </c>
      <c r="I1009" s="3">
        <f>SUM(Tabla1[[#This Row],[Monto_Base]],H1009)</f>
        <v>1110.6500000000001</v>
      </c>
      <c r="J1009" t="s">
        <v>5043</v>
      </c>
      <c r="K1009" t="s">
        <v>5048</v>
      </c>
      <c r="L1009" t="s">
        <v>5052</v>
      </c>
      <c r="M1009" t="s">
        <v>5054</v>
      </c>
    </row>
    <row r="1010" spans="1:13" x14ac:dyDescent="0.3">
      <c r="A1010" s="1">
        <v>45382</v>
      </c>
      <c r="B1010" s="1" t="str">
        <f>TEXT(Tabla1[[#This Row],[Fecha]],"MMMM")</f>
        <v>marzo</v>
      </c>
      <c r="C1010" t="s">
        <v>1020</v>
      </c>
      <c r="D1010" t="s">
        <v>5012</v>
      </c>
      <c r="E1010" t="s">
        <v>5032</v>
      </c>
      <c r="F1010" t="s">
        <v>5038</v>
      </c>
      <c r="G1010" s="3">
        <v>3818.47</v>
      </c>
      <c r="H1010" s="3">
        <v>0</v>
      </c>
      <c r="I1010" s="3">
        <f>SUM(Tabla1[[#This Row],[Monto_Base]],H1010)</f>
        <v>3818.47</v>
      </c>
      <c r="J1010" t="s">
        <v>5045</v>
      </c>
      <c r="K1010" t="s">
        <v>5047</v>
      </c>
      <c r="L1010" t="s">
        <v>5053</v>
      </c>
      <c r="M1010" t="s">
        <v>5055</v>
      </c>
    </row>
    <row r="1011" spans="1:13" x14ac:dyDescent="0.3">
      <c r="A1011" s="1">
        <v>45560</v>
      </c>
      <c r="B1011" s="1" t="str">
        <f>TEXT(Tabla1[[#This Row],[Fecha]],"MMMM")</f>
        <v>septiembre</v>
      </c>
      <c r="C1011" t="s">
        <v>1021</v>
      </c>
      <c r="D1011" t="s">
        <v>5030</v>
      </c>
      <c r="E1011" t="s">
        <v>5032</v>
      </c>
      <c r="F1011" t="s">
        <v>5041</v>
      </c>
      <c r="G1011" s="3">
        <v>13075.77</v>
      </c>
      <c r="H1011" s="3">
        <v>0</v>
      </c>
      <c r="I1011" s="3">
        <f>SUM(Tabla1[[#This Row],[Monto_Base]],H1011)</f>
        <v>13075.77</v>
      </c>
      <c r="J1011" t="s">
        <v>5046</v>
      </c>
      <c r="K1011" t="s">
        <v>5049</v>
      </c>
      <c r="L1011" t="s">
        <v>5051</v>
      </c>
      <c r="M1011" t="s">
        <v>5054</v>
      </c>
    </row>
    <row r="1012" spans="1:13" x14ac:dyDescent="0.3">
      <c r="A1012" s="1">
        <v>45444</v>
      </c>
      <c r="B1012" s="1" t="str">
        <f>TEXT(Tabla1[[#This Row],[Fecha]],"MMMM")</f>
        <v>junio</v>
      </c>
      <c r="C1012" t="s">
        <v>1022</v>
      </c>
      <c r="D1012" t="s">
        <v>5013</v>
      </c>
      <c r="E1012" t="s">
        <v>5032</v>
      </c>
      <c r="F1012" t="s">
        <v>5040</v>
      </c>
      <c r="G1012" s="3">
        <v>14452.32</v>
      </c>
      <c r="H1012" s="3">
        <v>0</v>
      </c>
      <c r="I1012" s="3">
        <f>SUM(Tabla1[[#This Row],[Monto_Base]],H1012)</f>
        <v>14452.32</v>
      </c>
      <c r="J1012" t="s">
        <v>5046</v>
      </c>
      <c r="K1012" t="s">
        <v>5047</v>
      </c>
      <c r="L1012" t="s">
        <v>5051</v>
      </c>
      <c r="M1012" t="s">
        <v>5055</v>
      </c>
    </row>
    <row r="1013" spans="1:13" x14ac:dyDescent="0.3">
      <c r="A1013" s="1">
        <v>45646</v>
      </c>
      <c r="B1013" s="1" t="str">
        <f>TEXT(Tabla1[[#This Row],[Fecha]],"MMMM")</f>
        <v>diciembre</v>
      </c>
      <c r="C1013" t="s">
        <v>1023</v>
      </c>
      <c r="D1013" t="s">
        <v>5025</v>
      </c>
      <c r="E1013" t="s">
        <v>5033</v>
      </c>
      <c r="F1013" t="s">
        <v>5037</v>
      </c>
      <c r="G1013" s="3">
        <v>5352.65</v>
      </c>
      <c r="H1013" s="3">
        <v>695.84</v>
      </c>
      <c r="I1013" s="3">
        <f>SUM(Tabla1[[#This Row],[Monto_Base]],H1013)</f>
        <v>6048.49</v>
      </c>
      <c r="J1013" t="s">
        <v>5042</v>
      </c>
      <c r="K1013" t="s">
        <v>5048</v>
      </c>
      <c r="L1013" t="s">
        <v>5053</v>
      </c>
      <c r="M1013" t="s">
        <v>5054</v>
      </c>
    </row>
    <row r="1014" spans="1:13" x14ac:dyDescent="0.3">
      <c r="A1014" s="1">
        <v>45454</v>
      </c>
      <c r="B1014" s="1" t="str">
        <f>TEXT(Tabla1[[#This Row],[Fecha]],"MMMM")</f>
        <v>junio</v>
      </c>
      <c r="C1014" t="s">
        <v>1024</v>
      </c>
      <c r="D1014" t="s">
        <v>5031</v>
      </c>
      <c r="E1014" t="s">
        <v>5033</v>
      </c>
      <c r="F1014" t="s">
        <v>5040</v>
      </c>
      <c r="G1014" s="3">
        <v>9977.74</v>
      </c>
      <c r="H1014" s="3">
        <v>1297.1099999999999</v>
      </c>
      <c r="I1014" s="3">
        <f>SUM(Tabla1[[#This Row],[Monto_Base]],H1014)</f>
        <v>11274.85</v>
      </c>
      <c r="J1014" t="s">
        <v>5045</v>
      </c>
      <c r="K1014" t="s">
        <v>5047</v>
      </c>
      <c r="L1014" t="s">
        <v>5050</v>
      </c>
      <c r="M1014" t="s">
        <v>5054</v>
      </c>
    </row>
    <row r="1015" spans="1:13" x14ac:dyDescent="0.3">
      <c r="A1015" s="1">
        <v>45293</v>
      </c>
      <c r="B1015" s="1" t="str">
        <f>TEXT(Tabla1[[#This Row],[Fecha]],"MMMM")</f>
        <v>enero</v>
      </c>
      <c r="C1015" t="s">
        <v>1025</v>
      </c>
      <c r="D1015" t="s">
        <v>5020</v>
      </c>
      <c r="E1015" t="s">
        <v>5033</v>
      </c>
      <c r="F1015" t="s">
        <v>5037</v>
      </c>
      <c r="G1015" s="3">
        <v>3978.9</v>
      </c>
      <c r="H1015" s="3">
        <v>517.26</v>
      </c>
      <c r="I1015" s="3">
        <f>SUM(Tabla1[[#This Row],[Monto_Base]],H1015)</f>
        <v>4496.16</v>
      </c>
      <c r="J1015" t="s">
        <v>5043</v>
      </c>
      <c r="K1015" t="s">
        <v>5047</v>
      </c>
      <c r="L1015" t="s">
        <v>5050</v>
      </c>
      <c r="M1015" t="s">
        <v>5054</v>
      </c>
    </row>
    <row r="1016" spans="1:13" x14ac:dyDescent="0.3">
      <c r="A1016" s="1">
        <v>45377</v>
      </c>
      <c r="B1016" s="1" t="str">
        <f>TEXT(Tabla1[[#This Row],[Fecha]],"MMMM")</f>
        <v>marzo</v>
      </c>
      <c r="C1016" t="s">
        <v>1026</v>
      </c>
      <c r="D1016" t="s">
        <v>5017</v>
      </c>
      <c r="E1016" t="s">
        <v>5033</v>
      </c>
      <c r="F1016" t="s">
        <v>5037</v>
      </c>
      <c r="G1016" s="3">
        <v>10461.870000000001</v>
      </c>
      <c r="H1016" s="3">
        <v>1360.04</v>
      </c>
      <c r="I1016" s="3">
        <f>SUM(Tabla1[[#This Row],[Monto_Base]],H1016)</f>
        <v>11821.91</v>
      </c>
      <c r="J1016" t="s">
        <v>5042</v>
      </c>
      <c r="K1016" t="s">
        <v>5048</v>
      </c>
      <c r="L1016" t="s">
        <v>5052</v>
      </c>
      <c r="M1016" t="s">
        <v>5055</v>
      </c>
    </row>
    <row r="1017" spans="1:13" x14ac:dyDescent="0.3">
      <c r="A1017" s="1">
        <v>45300</v>
      </c>
      <c r="B1017" s="1" t="str">
        <f>TEXT(Tabla1[[#This Row],[Fecha]],"MMMM")</f>
        <v>enero</v>
      </c>
      <c r="C1017" t="s">
        <v>1027</v>
      </c>
      <c r="D1017" t="s">
        <v>5017</v>
      </c>
      <c r="E1017" t="s">
        <v>5033</v>
      </c>
      <c r="F1017" t="s">
        <v>5040</v>
      </c>
      <c r="G1017" s="3">
        <v>12216</v>
      </c>
      <c r="H1017" s="3">
        <v>1588.08</v>
      </c>
      <c r="I1017" s="3">
        <f>SUM(Tabla1[[#This Row],[Monto_Base]],H1017)</f>
        <v>13804.08</v>
      </c>
      <c r="J1017" t="s">
        <v>5044</v>
      </c>
      <c r="K1017" t="s">
        <v>5048</v>
      </c>
      <c r="L1017" t="s">
        <v>5053</v>
      </c>
      <c r="M1017" t="s">
        <v>5055</v>
      </c>
    </row>
    <row r="1018" spans="1:13" x14ac:dyDescent="0.3">
      <c r="A1018" s="1">
        <v>45569</v>
      </c>
      <c r="B1018" s="1" t="str">
        <f>TEXT(Tabla1[[#This Row],[Fecha]],"MMMM")</f>
        <v>octubre</v>
      </c>
      <c r="C1018" t="s">
        <v>1028</v>
      </c>
      <c r="D1018" t="s">
        <v>5019</v>
      </c>
      <c r="E1018" t="s">
        <v>5032</v>
      </c>
      <c r="F1018" t="s">
        <v>5040</v>
      </c>
      <c r="G1018" s="3">
        <v>5315.56</v>
      </c>
      <c r="H1018" s="3">
        <v>0</v>
      </c>
      <c r="I1018" s="3">
        <f>SUM(Tabla1[[#This Row],[Monto_Base]],H1018)</f>
        <v>5315.56</v>
      </c>
      <c r="J1018" t="s">
        <v>5043</v>
      </c>
      <c r="K1018" t="s">
        <v>5049</v>
      </c>
      <c r="L1018" t="s">
        <v>5051</v>
      </c>
      <c r="M1018" t="s">
        <v>5054</v>
      </c>
    </row>
    <row r="1019" spans="1:13" x14ac:dyDescent="0.3">
      <c r="A1019" s="1">
        <v>45596</v>
      </c>
      <c r="B1019" s="1" t="str">
        <f>TEXT(Tabla1[[#This Row],[Fecha]],"MMMM")</f>
        <v>octubre</v>
      </c>
      <c r="C1019" t="s">
        <v>1029</v>
      </c>
      <c r="D1019" t="s">
        <v>5018</v>
      </c>
      <c r="E1019" t="s">
        <v>5032</v>
      </c>
      <c r="F1019" t="s">
        <v>5040</v>
      </c>
      <c r="G1019" s="3">
        <v>2694.58</v>
      </c>
      <c r="H1019" s="3">
        <v>0</v>
      </c>
      <c r="I1019" s="3">
        <f>SUM(Tabla1[[#This Row],[Monto_Base]],H1019)</f>
        <v>2694.58</v>
      </c>
      <c r="J1019" t="s">
        <v>5046</v>
      </c>
      <c r="K1019" t="s">
        <v>5049</v>
      </c>
      <c r="L1019" t="s">
        <v>5050</v>
      </c>
      <c r="M1019" t="s">
        <v>5055</v>
      </c>
    </row>
    <row r="1020" spans="1:13" x14ac:dyDescent="0.3">
      <c r="A1020" s="1">
        <v>45345</v>
      </c>
      <c r="B1020" s="1" t="str">
        <f>TEXT(Tabla1[[#This Row],[Fecha]],"MMMM")</f>
        <v>febrero</v>
      </c>
      <c r="C1020" t="s">
        <v>1030</v>
      </c>
      <c r="D1020" t="s">
        <v>5019</v>
      </c>
      <c r="E1020" t="s">
        <v>5032</v>
      </c>
      <c r="F1020" t="s">
        <v>5036</v>
      </c>
      <c r="G1020" s="3">
        <v>14930.68</v>
      </c>
      <c r="H1020" s="3">
        <v>0</v>
      </c>
      <c r="I1020" s="3">
        <f>SUM(Tabla1[[#This Row],[Monto_Base]],H1020)</f>
        <v>14930.68</v>
      </c>
      <c r="J1020" t="s">
        <v>5045</v>
      </c>
      <c r="K1020" t="s">
        <v>5049</v>
      </c>
      <c r="L1020" t="s">
        <v>5053</v>
      </c>
      <c r="M1020" t="s">
        <v>5055</v>
      </c>
    </row>
    <row r="1021" spans="1:13" x14ac:dyDescent="0.3">
      <c r="A1021" s="1">
        <v>45308</v>
      </c>
      <c r="B1021" s="1" t="str">
        <f>TEXT(Tabla1[[#This Row],[Fecha]],"MMMM")</f>
        <v>enero</v>
      </c>
      <c r="C1021" t="s">
        <v>1031</v>
      </c>
      <c r="D1021" t="s">
        <v>5018</v>
      </c>
      <c r="E1021" t="s">
        <v>5033</v>
      </c>
      <c r="F1021" t="s">
        <v>5041</v>
      </c>
      <c r="G1021" s="3">
        <v>7575.25</v>
      </c>
      <c r="H1021" s="3">
        <v>984.78</v>
      </c>
      <c r="I1021" s="3">
        <f>SUM(Tabla1[[#This Row],[Monto_Base]],H1021)</f>
        <v>8560.0300000000007</v>
      </c>
      <c r="J1021" t="s">
        <v>5044</v>
      </c>
      <c r="K1021" t="s">
        <v>5048</v>
      </c>
      <c r="L1021" t="s">
        <v>5052</v>
      </c>
      <c r="M1021" t="s">
        <v>5054</v>
      </c>
    </row>
    <row r="1022" spans="1:13" x14ac:dyDescent="0.3">
      <c r="A1022" s="1">
        <v>45532</v>
      </c>
      <c r="B1022" s="1" t="str">
        <f>TEXT(Tabla1[[#This Row],[Fecha]],"MMMM")</f>
        <v>agosto</v>
      </c>
      <c r="C1022" t="s">
        <v>1032</v>
      </c>
      <c r="D1022" t="s">
        <v>5016</v>
      </c>
      <c r="E1022" t="s">
        <v>5032</v>
      </c>
      <c r="F1022" t="s">
        <v>5036</v>
      </c>
      <c r="G1022" s="3">
        <v>2973.63</v>
      </c>
      <c r="H1022" s="3">
        <v>0</v>
      </c>
      <c r="I1022" s="3">
        <f>SUM(Tabla1[[#This Row],[Monto_Base]],H1022)</f>
        <v>2973.63</v>
      </c>
      <c r="J1022" t="s">
        <v>5045</v>
      </c>
      <c r="K1022" t="s">
        <v>5048</v>
      </c>
      <c r="L1022" t="s">
        <v>5050</v>
      </c>
      <c r="M1022" t="s">
        <v>5055</v>
      </c>
    </row>
    <row r="1023" spans="1:13" x14ac:dyDescent="0.3">
      <c r="A1023" s="1">
        <v>45429</v>
      </c>
      <c r="B1023" s="1" t="str">
        <f>TEXT(Tabla1[[#This Row],[Fecha]],"MMMM")</f>
        <v>mayo</v>
      </c>
      <c r="C1023" t="s">
        <v>1033</v>
      </c>
      <c r="D1023" t="s">
        <v>5022</v>
      </c>
      <c r="E1023" t="s">
        <v>5032</v>
      </c>
      <c r="F1023" t="s">
        <v>5034</v>
      </c>
      <c r="G1023" s="3">
        <v>7638.03</v>
      </c>
      <c r="H1023" s="3">
        <v>0</v>
      </c>
      <c r="I1023" s="3">
        <f>SUM(Tabla1[[#This Row],[Monto_Base]],H1023)</f>
        <v>7638.03</v>
      </c>
      <c r="J1023" t="s">
        <v>5044</v>
      </c>
      <c r="K1023" t="s">
        <v>5048</v>
      </c>
      <c r="L1023" t="s">
        <v>5050</v>
      </c>
      <c r="M1023" t="s">
        <v>5054</v>
      </c>
    </row>
    <row r="1024" spans="1:13" x14ac:dyDescent="0.3">
      <c r="A1024" s="1">
        <v>45483</v>
      </c>
      <c r="B1024" s="1" t="str">
        <f>TEXT(Tabla1[[#This Row],[Fecha]],"MMMM")</f>
        <v>julio</v>
      </c>
      <c r="C1024" t="s">
        <v>1034</v>
      </c>
      <c r="D1024" t="s">
        <v>5027</v>
      </c>
      <c r="E1024" t="s">
        <v>5033</v>
      </c>
      <c r="F1024" t="s">
        <v>5035</v>
      </c>
      <c r="G1024" s="3">
        <v>442.39</v>
      </c>
      <c r="H1024" s="3">
        <v>57.51</v>
      </c>
      <c r="I1024" s="3">
        <f>SUM(Tabla1[[#This Row],[Monto_Base]],H1024)</f>
        <v>499.9</v>
      </c>
      <c r="J1024" t="s">
        <v>5042</v>
      </c>
      <c r="K1024" t="s">
        <v>5049</v>
      </c>
      <c r="L1024" t="s">
        <v>5051</v>
      </c>
      <c r="M1024" t="s">
        <v>5055</v>
      </c>
    </row>
    <row r="1025" spans="1:13" x14ac:dyDescent="0.3">
      <c r="A1025" s="1">
        <v>45492</v>
      </c>
      <c r="B1025" s="1" t="str">
        <f>TEXT(Tabla1[[#This Row],[Fecha]],"MMMM")</f>
        <v>julio</v>
      </c>
      <c r="C1025" t="s">
        <v>1035</v>
      </c>
      <c r="D1025" t="s">
        <v>5031</v>
      </c>
      <c r="E1025" t="s">
        <v>5032</v>
      </c>
      <c r="F1025" t="s">
        <v>5034</v>
      </c>
      <c r="G1025" s="3">
        <v>8358.31</v>
      </c>
      <c r="H1025" s="3">
        <v>0</v>
      </c>
      <c r="I1025" s="3">
        <f>SUM(Tabla1[[#This Row],[Monto_Base]],H1025)</f>
        <v>8358.31</v>
      </c>
      <c r="J1025" t="s">
        <v>5046</v>
      </c>
      <c r="K1025" t="s">
        <v>5049</v>
      </c>
      <c r="L1025" t="s">
        <v>5050</v>
      </c>
      <c r="M1025" t="s">
        <v>5054</v>
      </c>
    </row>
    <row r="1026" spans="1:13" x14ac:dyDescent="0.3">
      <c r="A1026" s="1">
        <v>45454</v>
      </c>
      <c r="B1026" s="1" t="str">
        <f>TEXT(Tabla1[[#This Row],[Fecha]],"MMMM")</f>
        <v>junio</v>
      </c>
      <c r="C1026" t="s">
        <v>1036</v>
      </c>
      <c r="D1026" t="s">
        <v>5028</v>
      </c>
      <c r="E1026" t="s">
        <v>5032</v>
      </c>
      <c r="F1026" t="s">
        <v>5039</v>
      </c>
      <c r="G1026" s="3">
        <v>6076.63</v>
      </c>
      <c r="H1026" s="3">
        <v>0</v>
      </c>
      <c r="I1026" s="3">
        <f>SUM(Tabla1[[#This Row],[Monto_Base]],H1026)</f>
        <v>6076.63</v>
      </c>
      <c r="J1026" t="s">
        <v>5042</v>
      </c>
      <c r="K1026" t="s">
        <v>5047</v>
      </c>
      <c r="L1026" t="s">
        <v>5050</v>
      </c>
      <c r="M1026" t="s">
        <v>5054</v>
      </c>
    </row>
    <row r="1027" spans="1:13" x14ac:dyDescent="0.3">
      <c r="A1027" s="1">
        <v>45613</v>
      </c>
      <c r="B1027" s="1" t="str">
        <f>TEXT(Tabla1[[#This Row],[Fecha]],"MMMM")</f>
        <v>noviembre</v>
      </c>
      <c r="C1027" t="s">
        <v>1037</v>
      </c>
      <c r="D1027" t="s">
        <v>5026</v>
      </c>
      <c r="E1027" t="s">
        <v>5033</v>
      </c>
      <c r="F1027" t="s">
        <v>5037</v>
      </c>
      <c r="G1027" s="3">
        <v>12653.31</v>
      </c>
      <c r="H1027" s="3">
        <v>1644.93</v>
      </c>
      <c r="I1027" s="3">
        <f>SUM(Tabla1[[#This Row],[Monto_Base]],H1027)</f>
        <v>14298.24</v>
      </c>
      <c r="J1027" t="s">
        <v>5044</v>
      </c>
      <c r="K1027" t="s">
        <v>5049</v>
      </c>
      <c r="L1027" t="s">
        <v>5052</v>
      </c>
      <c r="M1027" t="s">
        <v>5055</v>
      </c>
    </row>
    <row r="1028" spans="1:13" x14ac:dyDescent="0.3">
      <c r="A1028" s="1">
        <v>45613</v>
      </c>
      <c r="B1028" s="1" t="str">
        <f>TEXT(Tabla1[[#This Row],[Fecha]],"MMMM")</f>
        <v>noviembre</v>
      </c>
      <c r="C1028" t="s">
        <v>1038</v>
      </c>
      <c r="D1028" t="s">
        <v>5013</v>
      </c>
      <c r="E1028" t="s">
        <v>5033</v>
      </c>
      <c r="F1028" t="s">
        <v>5035</v>
      </c>
      <c r="G1028" s="3">
        <v>6589.44</v>
      </c>
      <c r="H1028" s="3">
        <v>856.63</v>
      </c>
      <c r="I1028" s="3">
        <f>SUM(Tabla1[[#This Row],[Monto_Base]],H1028)</f>
        <v>7446.07</v>
      </c>
      <c r="J1028" t="s">
        <v>5042</v>
      </c>
      <c r="K1028" t="s">
        <v>5047</v>
      </c>
      <c r="L1028" t="s">
        <v>5053</v>
      </c>
      <c r="M1028" t="s">
        <v>5054</v>
      </c>
    </row>
    <row r="1029" spans="1:13" x14ac:dyDescent="0.3">
      <c r="A1029" s="1">
        <v>45475</v>
      </c>
      <c r="B1029" s="1" t="str">
        <f>TEXT(Tabla1[[#This Row],[Fecha]],"MMMM")</f>
        <v>julio</v>
      </c>
      <c r="C1029" t="s">
        <v>1039</v>
      </c>
      <c r="D1029" t="s">
        <v>5022</v>
      </c>
      <c r="E1029" t="s">
        <v>5033</v>
      </c>
      <c r="F1029" t="s">
        <v>5041</v>
      </c>
      <c r="G1029" s="3">
        <v>9535.2199999999993</v>
      </c>
      <c r="H1029" s="3">
        <v>1239.58</v>
      </c>
      <c r="I1029" s="3">
        <f>SUM(Tabla1[[#This Row],[Monto_Base]],H1029)</f>
        <v>10774.8</v>
      </c>
      <c r="J1029" t="s">
        <v>5046</v>
      </c>
      <c r="K1029" t="s">
        <v>5047</v>
      </c>
      <c r="L1029" t="s">
        <v>5052</v>
      </c>
      <c r="M1029" t="s">
        <v>5055</v>
      </c>
    </row>
    <row r="1030" spans="1:13" x14ac:dyDescent="0.3">
      <c r="A1030" s="1">
        <v>45629</v>
      </c>
      <c r="B1030" s="1" t="str">
        <f>TEXT(Tabla1[[#This Row],[Fecha]],"MMMM")</f>
        <v>diciembre</v>
      </c>
      <c r="C1030" t="s">
        <v>1040</v>
      </c>
      <c r="D1030" t="s">
        <v>5023</v>
      </c>
      <c r="E1030" t="s">
        <v>5033</v>
      </c>
      <c r="F1030" t="s">
        <v>5037</v>
      </c>
      <c r="G1030" s="3">
        <v>11567.35</v>
      </c>
      <c r="H1030" s="3">
        <v>1503.76</v>
      </c>
      <c r="I1030" s="3">
        <f>SUM(Tabla1[[#This Row],[Monto_Base]],H1030)</f>
        <v>13071.11</v>
      </c>
      <c r="J1030" t="s">
        <v>5045</v>
      </c>
      <c r="K1030" t="s">
        <v>5048</v>
      </c>
      <c r="L1030" t="s">
        <v>5053</v>
      </c>
      <c r="M1030" t="s">
        <v>5054</v>
      </c>
    </row>
    <row r="1031" spans="1:13" x14ac:dyDescent="0.3">
      <c r="A1031" s="1">
        <v>45597</v>
      </c>
      <c r="B1031" s="1" t="str">
        <f>TEXT(Tabla1[[#This Row],[Fecha]],"MMMM")</f>
        <v>noviembre</v>
      </c>
      <c r="C1031" t="s">
        <v>1041</v>
      </c>
      <c r="D1031" t="s">
        <v>5031</v>
      </c>
      <c r="E1031" t="s">
        <v>5033</v>
      </c>
      <c r="F1031" t="s">
        <v>5036</v>
      </c>
      <c r="G1031" s="3">
        <v>6913.96</v>
      </c>
      <c r="H1031" s="3">
        <v>898.81</v>
      </c>
      <c r="I1031" s="3">
        <f>SUM(Tabla1[[#This Row],[Monto_Base]],H1031)</f>
        <v>7812.77</v>
      </c>
      <c r="J1031" t="s">
        <v>5045</v>
      </c>
      <c r="K1031" t="s">
        <v>5047</v>
      </c>
      <c r="L1031" t="s">
        <v>5052</v>
      </c>
      <c r="M1031" t="s">
        <v>5055</v>
      </c>
    </row>
    <row r="1032" spans="1:13" x14ac:dyDescent="0.3">
      <c r="A1032" s="1">
        <v>45477</v>
      </c>
      <c r="B1032" s="1" t="str">
        <f>TEXT(Tabla1[[#This Row],[Fecha]],"MMMM")</f>
        <v>julio</v>
      </c>
      <c r="C1032" t="s">
        <v>1042</v>
      </c>
      <c r="D1032" t="s">
        <v>5028</v>
      </c>
      <c r="E1032" t="s">
        <v>5033</v>
      </c>
      <c r="F1032" t="s">
        <v>5036</v>
      </c>
      <c r="G1032" s="3">
        <v>7438.96</v>
      </c>
      <c r="H1032" s="3">
        <v>967.06</v>
      </c>
      <c r="I1032" s="3">
        <f>SUM(Tabla1[[#This Row],[Monto_Base]],H1032)</f>
        <v>8406.02</v>
      </c>
      <c r="J1032" t="s">
        <v>5046</v>
      </c>
      <c r="K1032" t="s">
        <v>5048</v>
      </c>
      <c r="L1032" t="s">
        <v>5053</v>
      </c>
      <c r="M1032" t="s">
        <v>5055</v>
      </c>
    </row>
    <row r="1033" spans="1:13" x14ac:dyDescent="0.3">
      <c r="A1033" s="1">
        <v>45331</v>
      </c>
      <c r="B1033" s="1" t="str">
        <f>TEXT(Tabla1[[#This Row],[Fecha]],"MMMM")</f>
        <v>febrero</v>
      </c>
      <c r="C1033" t="s">
        <v>1043</v>
      </c>
      <c r="D1033" t="s">
        <v>5027</v>
      </c>
      <c r="E1033" t="s">
        <v>5033</v>
      </c>
      <c r="F1033" t="s">
        <v>5041</v>
      </c>
      <c r="G1033" s="3">
        <v>14390.3</v>
      </c>
      <c r="H1033" s="3">
        <v>1870.74</v>
      </c>
      <c r="I1033" s="3">
        <f>SUM(Tabla1[[#This Row],[Monto_Base]],H1033)</f>
        <v>16261.039999999999</v>
      </c>
      <c r="J1033" t="s">
        <v>5046</v>
      </c>
      <c r="K1033" t="s">
        <v>5049</v>
      </c>
      <c r="L1033" t="s">
        <v>5050</v>
      </c>
      <c r="M1033" t="s">
        <v>5055</v>
      </c>
    </row>
    <row r="1034" spans="1:13" x14ac:dyDescent="0.3">
      <c r="A1034" s="1">
        <v>45383</v>
      </c>
      <c r="B1034" s="1" t="str">
        <f>TEXT(Tabla1[[#This Row],[Fecha]],"MMMM")</f>
        <v>abril</v>
      </c>
      <c r="C1034" t="s">
        <v>1044</v>
      </c>
      <c r="D1034" t="s">
        <v>5025</v>
      </c>
      <c r="E1034" t="s">
        <v>5033</v>
      </c>
      <c r="F1034" t="s">
        <v>5039</v>
      </c>
      <c r="G1034" s="3">
        <v>4516.3900000000003</v>
      </c>
      <c r="H1034" s="3">
        <v>587.13</v>
      </c>
      <c r="I1034" s="3">
        <f>SUM(Tabla1[[#This Row],[Monto_Base]],H1034)</f>
        <v>5103.5200000000004</v>
      </c>
      <c r="J1034" t="s">
        <v>5042</v>
      </c>
      <c r="K1034" t="s">
        <v>5049</v>
      </c>
      <c r="L1034" t="s">
        <v>5053</v>
      </c>
      <c r="M1034" t="s">
        <v>5054</v>
      </c>
    </row>
    <row r="1035" spans="1:13" x14ac:dyDescent="0.3">
      <c r="A1035" s="1">
        <v>45422</v>
      </c>
      <c r="B1035" s="1" t="str">
        <f>TEXT(Tabla1[[#This Row],[Fecha]],"MMMM")</f>
        <v>mayo</v>
      </c>
      <c r="C1035" t="s">
        <v>1045</v>
      </c>
      <c r="D1035" t="s">
        <v>5020</v>
      </c>
      <c r="E1035" t="s">
        <v>5032</v>
      </c>
      <c r="F1035" t="s">
        <v>5035</v>
      </c>
      <c r="G1035" s="3">
        <v>2417.9</v>
      </c>
      <c r="H1035" s="3">
        <v>0</v>
      </c>
      <c r="I1035" s="3">
        <f>SUM(Tabla1[[#This Row],[Monto_Base]],H1035)</f>
        <v>2417.9</v>
      </c>
      <c r="J1035" t="s">
        <v>5045</v>
      </c>
      <c r="K1035" t="s">
        <v>5047</v>
      </c>
      <c r="L1035" t="s">
        <v>5053</v>
      </c>
      <c r="M1035" t="s">
        <v>5054</v>
      </c>
    </row>
    <row r="1036" spans="1:13" x14ac:dyDescent="0.3">
      <c r="A1036" s="1">
        <v>45307</v>
      </c>
      <c r="B1036" s="1" t="str">
        <f>TEXT(Tabla1[[#This Row],[Fecha]],"MMMM")</f>
        <v>enero</v>
      </c>
      <c r="C1036" t="s">
        <v>1046</v>
      </c>
      <c r="D1036" t="s">
        <v>5017</v>
      </c>
      <c r="E1036" t="s">
        <v>5032</v>
      </c>
      <c r="F1036" t="s">
        <v>5036</v>
      </c>
      <c r="G1036" s="3">
        <v>13483.66</v>
      </c>
      <c r="H1036" s="3">
        <v>0</v>
      </c>
      <c r="I1036" s="3">
        <f>SUM(Tabla1[[#This Row],[Monto_Base]],H1036)</f>
        <v>13483.66</v>
      </c>
      <c r="J1036" t="s">
        <v>5044</v>
      </c>
      <c r="K1036" t="s">
        <v>5047</v>
      </c>
      <c r="L1036" t="s">
        <v>5052</v>
      </c>
      <c r="M1036" t="s">
        <v>5054</v>
      </c>
    </row>
    <row r="1037" spans="1:13" x14ac:dyDescent="0.3">
      <c r="A1037" s="1">
        <v>45339</v>
      </c>
      <c r="B1037" s="1" t="str">
        <f>TEXT(Tabla1[[#This Row],[Fecha]],"MMMM")</f>
        <v>febrero</v>
      </c>
      <c r="C1037" t="s">
        <v>1047</v>
      </c>
      <c r="D1037" t="s">
        <v>5021</v>
      </c>
      <c r="E1037" t="s">
        <v>5032</v>
      </c>
      <c r="F1037" t="s">
        <v>5041</v>
      </c>
      <c r="G1037" s="3">
        <v>3028.6</v>
      </c>
      <c r="H1037" s="3">
        <v>0</v>
      </c>
      <c r="I1037" s="3">
        <f>SUM(Tabla1[[#This Row],[Monto_Base]],H1037)</f>
        <v>3028.6</v>
      </c>
      <c r="J1037" t="s">
        <v>5044</v>
      </c>
      <c r="K1037" t="s">
        <v>5049</v>
      </c>
      <c r="L1037" t="s">
        <v>5051</v>
      </c>
      <c r="M1037" t="s">
        <v>5055</v>
      </c>
    </row>
    <row r="1038" spans="1:13" x14ac:dyDescent="0.3">
      <c r="A1038" s="1">
        <v>45393</v>
      </c>
      <c r="B1038" s="1" t="str">
        <f>TEXT(Tabla1[[#This Row],[Fecha]],"MMMM")</f>
        <v>abril</v>
      </c>
      <c r="C1038" t="s">
        <v>1048</v>
      </c>
      <c r="D1038" t="s">
        <v>5019</v>
      </c>
      <c r="E1038" t="s">
        <v>5032</v>
      </c>
      <c r="F1038" t="s">
        <v>5034</v>
      </c>
      <c r="G1038" s="3">
        <v>3788.89</v>
      </c>
      <c r="H1038" s="3">
        <v>0</v>
      </c>
      <c r="I1038" s="3">
        <f>SUM(Tabla1[[#This Row],[Monto_Base]],H1038)</f>
        <v>3788.89</v>
      </c>
      <c r="J1038" t="s">
        <v>5044</v>
      </c>
      <c r="K1038" t="s">
        <v>5048</v>
      </c>
      <c r="L1038" t="s">
        <v>5053</v>
      </c>
      <c r="M1038" t="s">
        <v>5055</v>
      </c>
    </row>
    <row r="1039" spans="1:13" x14ac:dyDescent="0.3">
      <c r="A1039" s="1">
        <v>45508</v>
      </c>
      <c r="B1039" s="1" t="str">
        <f>TEXT(Tabla1[[#This Row],[Fecha]],"MMMM")</f>
        <v>agosto</v>
      </c>
      <c r="C1039" t="s">
        <v>1049</v>
      </c>
      <c r="D1039" t="s">
        <v>5017</v>
      </c>
      <c r="E1039" t="s">
        <v>5032</v>
      </c>
      <c r="F1039" t="s">
        <v>5037</v>
      </c>
      <c r="G1039" s="3">
        <v>13248.72</v>
      </c>
      <c r="H1039" s="3">
        <v>0</v>
      </c>
      <c r="I1039" s="3">
        <f>SUM(Tabla1[[#This Row],[Monto_Base]],H1039)</f>
        <v>13248.72</v>
      </c>
      <c r="J1039" t="s">
        <v>5042</v>
      </c>
      <c r="K1039" t="s">
        <v>5049</v>
      </c>
      <c r="L1039" t="s">
        <v>5051</v>
      </c>
      <c r="M1039" t="s">
        <v>5055</v>
      </c>
    </row>
    <row r="1040" spans="1:13" x14ac:dyDescent="0.3">
      <c r="A1040" s="1">
        <v>45472</v>
      </c>
      <c r="B1040" s="1" t="str">
        <f>TEXT(Tabla1[[#This Row],[Fecha]],"MMMM")</f>
        <v>junio</v>
      </c>
      <c r="C1040" t="s">
        <v>1050</v>
      </c>
      <c r="D1040" t="s">
        <v>5031</v>
      </c>
      <c r="E1040" t="s">
        <v>5032</v>
      </c>
      <c r="F1040" t="s">
        <v>5037</v>
      </c>
      <c r="G1040" s="3">
        <v>3035.83</v>
      </c>
      <c r="H1040" s="3">
        <v>0</v>
      </c>
      <c r="I1040" s="3">
        <f>SUM(Tabla1[[#This Row],[Monto_Base]],H1040)</f>
        <v>3035.83</v>
      </c>
      <c r="J1040" t="s">
        <v>5044</v>
      </c>
      <c r="K1040" t="s">
        <v>5049</v>
      </c>
      <c r="L1040" t="s">
        <v>5053</v>
      </c>
      <c r="M1040" t="s">
        <v>5055</v>
      </c>
    </row>
    <row r="1041" spans="1:13" x14ac:dyDescent="0.3">
      <c r="A1041" s="1">
        <v>45622</v>
      </c>
      <c r="B1041" s="1" t="str">
        <f>TEXT(Tabla1[[#This Row],[Fecha]],"MMMM")</f>
        <v>noviembre</v>
      </c>
      <c r="C1041" t="s">
        <v>1051</v>
      </c>
      <c r="D1041" t="s">
        <v>5012</v>
      </c>
      <c r="E1041" t="s">
        <v>5032</v>
      </c>
      <c r="F1041" t="s">
        <v>5037</v>
      </c>
      <c r="G1041" s="3">
        <v>4437.43</v>
      </c>
      <c r="H1041" s="3">
        <v>0</v>
      </c>
      <c r="I1041" s="3">
        <f>SUM(Tabla1[[#This Row],[Monto_Base]],H1041)</f>
        <v>4437.43</v>
      </c>
      <c r="J1041" t="s">
        <v>5042</v>
      </c>
      <c r="K1041" t="s">
        <v>5048</v>
      </c>
      <c r="L1041" t="s">
        <v>5050</v>
      </c>
      <c r="M1041" t="s">
        <v>5054</v>
      </c>
    </row>
    <row r="1042" spans="1:13" x14ac:dyDescent="0.3">
      <c r="A1042" s="1">
        <v>45475</v>
      </c>
      <c r="B1042" s="1" t="str">
        <f>TEXT(Tabla1[[#This Row],[Fecha]],"MMMM")</f>
        <v>julio</v>
      </c>
      <c r="C1042" t="s">
        <v>1052</v>
      </c>
      <c r="D1042" t="s">
        <v>5026</v>
      </c>
      <c r="E1042" t="s">
        <v>5032</v>
      </c>
      <c r="F1042" t="s">
        <v>5037</v>
      </c>
      <c r="G1042" s="3">
        <v>11873.9</v>
      </c>
      <c r="H1042" s="3">
        <v>0</v>
      </c>
      <c r="I1042" s="3">
        <f>SUM(Tabla1[[#This Row],[Monto_Base]],H1042)</f>
        <v>11873.9</v>
      </c>
      <c r="J1042" t="s">
        <v>5046</v>
      </c>
      <c r="K1042" t="s">
        <v>5047</v>
      </c>
      <c r="L1042" t="s">
        <v>5052</v>
      </c>
      <c r="M1042" t="s">
        <v>5055</v>
      </c>
    </row>
    <row r="1043" spans="1:13" x14ac:dyDescent="0.3">
      <c r="A1043" s="1">
        <v>45644</v>
      </c>
      <c r="B1043" s="1" t="str">
        <f>TEXT(Tabla1[[#This Row],[Fecha]],"MMMM")</f>
        <v>diciembre</v>
      </c>
      <c r="C1043" t="s">
        <v>1053</v>
      </c>
      <c r="D1043" t="s">
        <v>5028</v>
      </c>
      <c r="E1043" t="s">
        <v>5032</v>
      </c>
      <c r="F1043" t="s">
        <v>5036</v>
      </c>
      <c r="G1043" s="3">
        <v>194.01</v>
      </c>
      <c r="H1043" s="3">
        <v>0</v>
      </c>
      <c r="I1043" s="3">
        <f>SUM(Tabla1[[#This Row],[Monto_Base]],H1043)</f>
        <v>194.01</v>
      </c>
      <c r="J1043" t="s">
        <v>5045</v>
      </c>
      <c r="K1043" t="s">
        <v>5049</v>
      </c>
      <c r="L1043" t="s">
        <v>5051</v>
      </c>
      <c r="M1043" t="s">
        <v>5054</v>
      </c>
    </row>
    <row r="1044" spans="1:13" x14ac:dyDescent="0.3">
      <c r="A1044" s="1">
        <v>45489</v>
      </c>
      <c r="B1044" s="1" t="str">
        <f>TEXT(Tabla1[[#This Row],[Fecha]],"MMMM")</f>
        <v>julio</v>
      </c>
      <c r="C1044" t="s">
        <v>1054</v>
      </c>
      <c r="D1044" t="s">
        <v>5014</v>
      </c>
      <c r="E1044" t="s">
        <v>5032</v>
      </c>
      <c r="F1044" t="s">
        <v>5034</v>
      </c>
      <c r="G1044" s="3">
        <v>8446.5300000000007</v>
      </c>
      <c r="H1044" s="3">
        <v>0</v>
      </c>
      <c r="I1044" s="3">
        <f>SUM(Tabla1[[#This Row],[Monto_Base]],H1044)</f>
        <v>8446.5300000000007</v>
      </c>
      <c r="J1044" t="s">
        <v>5044</v>
      </c>
      <c r="K1044" t="s">
        <v>5049</v>
      </c>
      <c r="L1044" t="s">
        <v>5052</v>
      </c>
      <c r="M1044" t="s">
        <v>5054</v>
      </c>
    </row>
    <row r="1045" spans="1:13" x14ac:dyDescent="0.3">
      <c r="A1045" s="1">
        <v>45622</v>
      </c>
      <c r="B1045" s="1" t="str">
        <f>TEXT(Tabla1[[#This Row],[Fecha]],"MMMM")</f>
        <v>noviembre</v>
      </c>
      <c r="C1045" t="s">
        <v>1055</v>
      </c>
      <c r="D1045" t="s">
        <v>5023</v>
      </c>
      <c r="E1045" t="s">
        <v>5032</v>
      </c>
      <c r="F1045" t="s">
        <v>5036</v>
      </c>
      <c r="G1045" s="3">
        <v>8630.5300000000007</v>
      </c>
      <c r="H1045" s="3">
        <v>0</v>
      </c>
      <c r="I1045" s="3">
        <f>SUM(Tabla1[[#This Row],[Monto_Base]],H1045)</f>
        <v>8630.5300000000007</v>
      </c>
      <c r="J1045" t="s">
        <v>5043</v>
      </c>
      <c r="K1045" t="s">
        <v>5049</v>
      </c>
      <c r="L1045" t="s">
        <v>5050</v>
      </c>
      <c r="M1045" t="s">
        <v>5055</v>
      </c>
    </row>
    <row r="1046" spans="1:13" x14ac:dyDescent="0.3">
      <c r="A1046" s="1">
        <v>45547</v>
      </c>
      <c r="B1046" s="1" t="str">
        <f>TEXT(Tabla1[[#This Row],[Fecha]],"MMMM")</f>
        <v>septiembre</v>
      </c>
      <c r="C1046" t="s">
        <v>1056</v>
      </c>
      <c r="D1046" t="s">
        <v>5024</v>
      </c>
      <c r="E1046" t="s">
        <v>5033</v>
      </c>
      <c r="F1046" t="s">
        <v>5035</v>
      </c>
      <c r="G1046" s="3">
        <v>12050.74</v>
      </c>
      <c r="H1046" s="3">
        <v>1566.6</v>
      </c>
      <c r="I1046" s="3">
        <f>SUM(Tabla1[[#This Row],[Monto_Base]],H1046)</f>
        <v>13617.34</v>
      </c>
      <c r="J1046" t="s">
        <v>5045</v>
      </c>
      <c r="K1046" t="s">
        <v>5048</v>
      </c>
      <c r="L1046" t="s">
        <v>5050</v>
      </c>
      <c r="M1046" t="s">
        <v>5054</v>
      </c>
    </row>
    <row r="1047" spans="1:13" x14ac:dyDescent="0.3">
      <c r="A1047" s="1">
        <v>45413</v>
      </c>
      <c r="B1047" s="1" t="str">
        <f>TEXT(Tabla1[[#This Row],[Fecha]],"MMMM")</f>
        <v>mayo</v>
      </c>
      <c r="C1047" t="s">
        <v>1057</v>
      </c>
      <c r="D1047" t="s">
        <v>5018</v>
      </c>
      <c r="E1047" t="s">
        <v>5033</v>
      </c>
      <c r="F1047" t="s">
        <v>5040</v>
      </c>
      <c r="G1047" s="3">
        <v>8888.01</v>
      </c>
      <c r="H1047" s="3">
        <v>1155.44</v>
      </c>
      <c r="I1047" s="3">
        <f>SUM(Tabla1[[#This Row],[Monto_Base]],H1047)</f>
        <v>10043.450000000001</v>
      </c>
      <c r="J1047" t="s">
        <v>5042</v>
      </c>
      <c r="K1047" t="s">
        <v>5047</v>
      </c>
      <c r="L1047" t="s">
        <v>5051</v>
      </c>
      <c r="M1047" t="s">
        <v>5054</v>
      </c>
    </row>
    <row r="1048" spans="1:13" x14ac:dyDescent="0.3">
      <c r="A1048" s="1">
        <v>45498</v>
      </c>
      <c r="B1048" s="1" t="str">
        <f>TEXT(Tabla1[[#This Row],[Fecha]],"MMMM")</f>
        <v>julio</v>
      </c>
      <c r="C1048" t="s">
        <v>1058</v>
      </c>
      <c r="D1048" t="s">
        <v>5018</v>
      </c>
      <c r="E1048" t="s">
        <v>5032</v>
      </c>
      <c r="F1048" t="s">
        <v>5039</v>
      </c>
      <c r="G1048" s="3">
        <v>12632.56</v>
      </c>
      <c r="H1048" s="3">
        <v>0</v>
      </c>
      <c r="I1048" s="3">
        <f>SUM(Tabla1[[#This Row],[Monto_Base]],H1048)</f>
        <v>12632.56</v>
      </c>
      <c r="J1048" t="s">
        <v>5045</v>
      </c>
      <c r="K1048" t="s">
        <v>5049</v>
      </c>
      <c r="L1048" t="s">
        <v>5053</v>
      </c>
      <c r="M1048" t="s">
        <v>5055</v>
      </c>
    </row>
    <row r="1049" spans="1:13" x14ac:dyDescent="0.3">
      <c r="A1049" s="1">
        <v>45504</v>
      </c>
      <c r="B1049" s="1" t="str">
        <f>TEXT(Tabla1[[#This Row],[Fecha]],"MMMM")</f>
        <v>julio</v>
      </c>
      <c r="C1049" t="s">
        <v>1059</v>
      </c>
      <c r="D1049" t="s">
        <v>5013</v>
      </c>
      <c r="E1049" t="s">
        <v>5032</v>
      </c>
      <c r="F1049" t="s">
        <v>5036</v>
      </c>
      <c r="G1049" s="3">
        <v>12456.26</v>
      </c>
      <c r="H1049" s="3">
        <v>0</v>
      </c>
      <c r="I1049" s="3">
        <f>SUM(Tabla1[[#This Row],[Monto_Base]],H1049)</f>
        <v>12456.26</v>
      </c>
      <c r="J1049" t="s">
        <v>5044</v>
      </c>
      <c r="K1049" t="s">
        <v>5048</v>
      </c>
      <c r="L1049" t="s">
        <v>5051</v>
      </c>
      <c r="M1049" t="s">
        <v>5055</v>
      </c>
    </row>
    <row r="1050" spans="1:13" x14ac:dyDescent="0.3">
      <c r="A1050" s="1">
        <v>45493</v>
      </c>
      <c r="B1050" s="1" t="str">
        <f>TEXT(Tabla1[[#This Row],[Fecha]],"MMMM")</f>
        <v>julio</v>
      </c>
      <c r="C1050" t="s">
        <v>1060</v>
      </c>
      <c r="D1050" t="s">
        <v>5030</v>
      </c>
      <c r="E1050" t="s">
        <v>5032</v>
      </c>
      <c r="F1050" t="s">
        <v>5041</v>
      </c>
      <c r="G1050" s="3">
        <v>9204.19</v>
      </c>
      <c r="H1050" s="3">
        <v>0</v>
      </c>
      <c r="I1050" s="3">
        <f>SUM(Tabla1[[#This Row],[Monto_Base]],H1050)</f>
        <v>9204.19</v>
      </c>
      <c r="J1050" t="s">
        <v>5044</v>
      </c>
      <c r="K1050" t="s">
        <v>5049</v>
      </c>
      <c r="L1050" t="s">
        <v>5050</v>
      </c>
      <c r="M1050" t="s">
        <v>5055</v>
      </c>
    </row>
    <row r="1051" spans="1:13" x14ac:dyDescent="0.3">
      <c r="A1051" s="1">
        <v>45297</v>
      </c>
      <c r="B1051" s="1" t="str">
        <f>TEXT(Tabla1[[#This Row],[Fecha]],"MMMM")</f>
        <v>enero</v>
      </c>
      <c r="C1051" t="s">
        <v>1061</v>
      </c>
      <c r="D1051" t="s">
        <v>5015</v>
      </c>
      <c r="E1051" t="s">
        <v>5033</v>
      </c>
      <c r="F1051" t="s">
        <v>5035</v>
      </c>
      <c r="G1051" s="3">
        <v>3399.01</v>
      </c>
      <c r="H1051" s="3">
        <v>441.87</v>
      </c>
      <c r="I1051" s="3">
        <f>SUM(Tabla1[[#This Row],[Monto_Base]],H1051)</f>
        <v>3840.88</v>
      </c>
      <c r="J1051" t="s">
        <v>5046</v>
      </c>
      <c r="K1051" t="s">
        <v>5047</v>
      </c>
      <c r="L1051" t="s">
        <v>5051</v>
      </c>
      <c r="M1051" t="s">
        <v>5055</v>
      </c>
    </row>
    <row r="1052" spans="1:13" x14ac:dyDescent="0.3">
      <c r="A1052" s="1">
        <v>45480</v>
      </c>
      <c r="B1052" s="1" t="str">
        <f>TEXT(Tabla1[[#This Row],[Fecha]],"MMMM")</f>
        <v>julio</v>
      </c>
      <c r="C1052" t="s">
        <v>1062</v>
      </c>
      <c r="D1052" t="s">
        <v>5026</v>
      </c>
      <c r="E1052" t="s">
        <v>5033</v>
      </c>
      <c r="F1052" t="s">
        <v>5034</v>
      </c>
      <c r="G1052" s="3">
        <v>10875.41</v>
      </c>
      <c r="H1052" s="3">
        <v>1413.8</v>
      </c>
      <c r="I1052" s="3">
        <f>SUM(Tabla1[[#This Row],[Monto_Base]],H1052)</f>
        <v>12289.21</v>
      </c>
      <c r="J1052" t="s">
        <v>5042</v>
      </c>
      <c r="K1052" t="s">
        <v>5047</v>
      </c>
      <c r="L1052" t="s">
        <v>5053</v>
      </c>
      <c r="M1052" t="s">
        <v>5055</v>
      </c>
    </row>
    <row r="1053" spans="1:13" x14ac:dyDescent="0.3">
      <c r="A1053" s="1">
        <v>45460</v>
      </c>
      <c r="B1053" s="1" t="str">
        <f>TEXT(Tabla1[[#This Row],[Fecha]],"MMMM")</f>
        <v>junio</v>
      </c>
      <c r="C1053" t="s">
        <v>1063</v>
      </c>
      <c r="D1053" t="s">
        <v>5013</v>
      </c>
      <c r="E1053" t="s">
        <v>5033</v>
      </c>
      <c r="F1053" t="s">
        <v>5038</v>
      </c>
      <c r="G1053" s="3">
        <v>1171.8800000000001</v>
      </c>
      <c r="H1053" s="3">
        <v>152.34</v>
      </c>
      <c r="I1053" s="3">
        <f>SUM(Tabla1[[#This Row],[Monto_Base]],H1053)</f>
        <v>1324.22</v>
      </c>
      <c r="J1053" t="s">
        <v>5042</v>
      </c>
      <c r="K1053" t="s">
        <v>5048</v>
      </c>
      <c r="L1053" t="s">
        <v>5051</v>
      </c>
      <c r="M1053" t="s">
        <v>5054</v>
      </c>
    </row>
    <row r="1054" spans="1:13" x14ac:dyDescent="0.3">
      <c r="A1054" s="1">
        <v>45367</v>
      </c>
      <c r="B1054" s="1" t="str">
        <f>TEXT(Tabla1[[#This Row],[Fecha]],"MMMM")</f>
        <v>marzo</v>
      </c>
      <c r="C1054" t="s">
        <v>1064</v>
      </c>
      <c r="D1054" t="s">
        <v>5031</v>
      </c>
      <c r="E1054" t="s">
        <v>5032</v>
      </c>
      <c r="F1054" t="s">
        <v>5036</v>
      </c>
      <c r="G1054" s="3">
        <v>1938.02</v>
      </c>
      <c r="H1054" s="3">
        <v>0</v>
      </c>
      <c r="I1054" s="3">
        <f>SUM(Tabla1[[#This Row],[Monto_Base]],H1054)</f>
        <v>1938.02</v>
      </c>
      <c r="J1054" t="s">
        <v>5042</v>
      </c>
      <c r="K1054" t="s">
        <v>5048</v>
      </c>
      <c r="L1054" t="s">
        <v>5050</v>
      </c>
      <c r="M1054" t="s">
        <v>5054</v>
      </c>
    </row>
    <row r="1055" spans="1:13" x14ac:dyDescent="0.3">
      <c r="A1055" s="1">
        <v>45456</v>
      </c>
      <c r="B1055" s="1" t="str">
        <f>TEXT(Tabla1[[#This Row],[Fecha]],"MMMM")</f>
        <v>junio</v>
      </c>
      <c r="C1055" t="s">
        <v>1065</v>
      </c>
      <c r="D1055" t="s">
        <v>5031</v>
      </c>
      <c r="E1055" t="s">
        <v>5032</v>
      </c>
      <c r="F1055" t="s">
        <v>5041</v>
      </c>
      <c r="G1055" s="3">
        <v>14646.42</v>
      </c>
      <c r="H1055" s="3">
        <v>0</v>
      </c>
      <c r="I1055" s="3">
        <f>SUM(Tabla1[[#This Row],[Monto_Base]],H1055)</f>
        <v>14646.42</v>
      </c>
      <c r="J1055" t="s">
        <v>5043</v>
      </c>
      <c r="K1055" t="s">
        <v>5047</v>
      </c>
      <c r="L1055" t="s">
        <v>5053</v>
      </c>
      <c r="M1055" t="s">
        <v>5055</v>
      </c>
    </row>
    <row r="1056" spans="1:13" x14ac:dyDescent="0.3">
      <c r="A1056" s="1">
        <v>45397</v>
      </c>
      <c r="B1056" s="1" t="str">
        <f>TEXT(Tabla1[[#This Row],[Fecha]],"MMMM")</f>
        <v>abril</v>
      </c>
      <c r="C1056" t="s">
        <v>1066</v>
      </c>
      <c r="D1056" t="s">
        <v>5030</v>
      </c>
      <c r="E1056" t="s">
        <v>5032</v>
      </c>
      <c r="F1056" t="s">
        <v>5034</v>
      </c>
      <c r="G1056" s="3">
        <v>9909.24</v>
      </c>
      <c r="H1056" s="3">
        <v>0</v>
      </c>
      <c r="I1056" s="3">
        <f>SUM(Tabla1[[#This Row],[Monto_Base]],H1056)</f>
        <v>9909.24</v>
      </c>
      <c r="J1056" t="s">
        <v>5045</v>
      </c>
      <c r="K1056" t="s">
        <v>5047</v>
      </c>
      <c r="L1056" t="s">
        <v>5050</v>
      </c>
      <c r="M1056" t="s">
        <v>5054</v>
      </c>
    </row>
    <row r="1057" spans="1:13" x14ac:dyDescent="0.3">
      <c r="A1057" s="1">
        <v>45388</v>
      </c>
      <c r="B1057" s="1" t="str">
        <f>TEXT(Tabla1[[#This Row],[Fecha]],"MMMM")</f>
        <v>abril</v>
      </c>
      <c r="C1057" t="s">
        <v>1067</v>
      </c>
      <c r="D1057" t="s">
        <v>5012</v>
      </c>
      <c r="E1057" t="s">
        <v>5033</v>
      </c>
      <c r="F1057" t="s">
        <v>5041</v>
      </c>
      <c r="G1057" s="3">
        <v>12286.75</v>
      </c>
      <c r="H1057" s="3">
        <v>1597.28</v>
      </c>
      <c r="I1057" s="3">
        <f>SUM(Tabla1[[#This Row],[Monto_Base]],H1057)</f>
        <v>13884.03</v>
      </c>
      <c r="J1057" t="s">
        <v>5043</v>
      </c>
      <c r="K1057" t="s">
        <v>5047</v>
      </c>
      <c r="L1057" t="s">
        <v>5051</v>
      </c>
      <c r="M1057" t="s">
        <v>5054</v>
      </c>
    </row>
    <row r="1058" spans="1:13" x14ac:dyDescent="0.3">
      <c r="A1058" s="1">
        <v>45346</v>
      </c>
      <c r="B1058" s="1" t="str">
        <f>TEXT(Tabla1[[#This Row],[Fecha]],"MMMM")</f>
        <v>febrero</v>
      </c>
      <c r="C1058" t="s">
        <v>1068</v>
      </c>
      <c r="D1058" t="s">
        <v>5029</v>
      </c>
      <c r="E1058" t="s">
        <v>5032</v>
      </c>
      <c r="F1058" t="s">
        <v>5039</v>
      </c>
      <c r="G1058" s="3">
        <v>12724.71</v>
      </c>
      <c r="H1058" s="3">
        <v>0</v>
      </c>
      <c r="I1058" s="3">
        <f>SUM(Tabla1[[#This Row],[Monto_Base]],H1058)</f>
        <v>12724.71</v>
      </c>
      <c r="J1058" t="s">
        <v>5046</v>
      </c>
      <c r="K1058" t="s">
        <v>5047</v>
      </c>
      <c r="L1058" t="s">
        <v>5051</v>
      </c>
      <c r="M1058" t="s">
        <v>5055</v>
      </c>
    </row>
    <row r="1059" spans="1:13" x14ac:dyDescent="0.3">
      <c r="A1059" s="1">
        <v>45434</v>
      </c>
      <c r="B1059" s="1" t="str">
        <f>TEXT(Tabla1[[#This Row],[Fecha]],"MMMM")</f>
        <v>mayo</v>
      </c>
      <c r="C1059" t="s">
        <v>1069</v>
      </c>
      <c r="D1059" t="s">
        <v>5014</v>
      </c>
      <c r="E1059" t="s">
        <v>5033</v>
      </c>
      <c r="F1059" t="s">
        <v>5037</v>
      </c>
      <c r="G1059" s="3">
        <v>2859.9</v>
      </c>
      <c r="H1059" s="3">
        <v>371.79</v>
      </c>
      <c r="I1059" s="3">
        <f>SUM(Tabla1[[#This Row],[Monto_Base]],H1059)</f>
        <v>3231.69</v>
      </c>
      <c r="J1059" t="s">
        <v>5043</v>
      </c>
      <c r="K1059" t="s">
        <v>5047</v>
      </c>
      <c r="L1059" t="s">
        <v>5051</v>
      </c>
      <c r="M1059" t="s">
        <v>5054</v>
      </c>
    </row>
    <row r="1060" spans="1:13" x14ac:dyDescent="0.3">
      <c r="A1060" s="1">
        <v>45527</v>
      </c>
      <c r="B1060" s="1" t="str">
        <f>TEXT(Tabla1[[#This Row],[Fecha]],"MMMM")</f>
        <v>agosto</v>
      </c>
      <c r="C1060" t="s">
        <v>1070</v>
      </c>
      <c r="D1060" t="s">
        <v>5018</v>
      </c>
      <c r="E1060" t="s">
        <v>5033</v>
      </c>
      <c r="F1060" t="s">
        <v>5036</v>
      </c>
      <c r="G1060" s="3">
        <v>3646.41</v>
      </c>
      <c r="H1060" s="3">
        <v>474.03</v>
      </c>
      <c r="I1060" s="3">
        <f>SUM(Tabla1[[#This Row],[Monto_Base]],H1060)</f>
        <v>4120.4399999999996</v>
      </c>
      <c r="J1060" t="s">
        <v>5046</v>
      </c>
      <c r="K1060" t="s">
        <v>5048</v>
      </c>
      <c r="L1060" t="s">
        <v>5053</v>
      </c>
      <c r="M1060" t="s">
        <v>5055</v>
      </c>
    </row>
    <row r="1061" spans="1:13" x14ac:dyDescent="0.3">
      <c r="A1061" s="1">
        <v>45335</v>
      </c>
      <c r="B1061" s="1" t="str">
        <f>TEXT(Tabla1[[#This Row],[Fecha]],"MMMM")</f>
        <v>febrero</v>
      </c>
      <c r="C1061" t="s">
        <v>1071</v>
      </c>
      <c r="D1061" t="s">
        <v>5020</v>
      </c>
      <c r="E1061" t="s">
        <v>5032</v>
      </c>
      <c r="F1061" t="s">
        <v>5036</v>
      </c>
      <c r="G1061" s="3">
        <v>13907.57</v>
      </c>
      <c r="H1061" s="3">
        <v>0</v>
      </c>
      <c r="I1061" s="3">
        <f>SUM(Tabla1[[#This Row],[Monto_Base]],H1061)</f>
        <v>13907.57</v>
      </c>
      <c r="J1061" t="s">
        <v>5044</v>
      </c>
      <c r="K1061" t="s">
        <v>5048</v>
      </c>
      <c r="L1061" t="s">
        <v>5052</v>
      </c>
      <c r="M1061" t="s">
        <v>5054</v>
      </c>
    </row>
    <row r="1062" spans="1:13" x14ac:dyDescent="0.3">
      <c r="A1062" s="1">
        <v>45431</v>
      </c>
      <c r="B1062" s="1" t="str">
        <f>TEXT(Tabla1[[#This Row],[Fecha]],"MMMM")</f>
        <v>mayo</v>
      </c>
      <c r="C1062" t="s">
        <v>1072</v>
      </c>
      <c r="D1062" t="s">
        <v>5016</v>
      </c>
      <c r="E1062" t="s">
        <v>5032</v>
      </c>
      <c r="F1062" t="s">
        <v>5040</v>
      </c>
      <c r="G1062" s="3">
        <v>844.7</v>
      </c>
      <c r="H1062" s="3">
        <v>0</v>
      </c>
      <c r="I1062" s="3">
        <f>SUM(Tabla1[[#This Row],[Monto_Base]],H1062)</f>
        <v>844.7</v>
      </c>
      <c r="J1062" t="s">
        <v>5044</v>
      </c>
      <c r="K1062" t="s">
        <v>5047</v>
      </c>
      <c r="L1062" t="s">
        <v>5053</v>
      </c>
      <c r="M1062" t="s">
        <v>5055</v>
      </c>
    </row>
    <row r="1063" spans="1:13" x14ac:dyDescent="0.3">
      <c r="A1063" s="1">
        <v>45596</v>
      </c>
      <c r="B1063" s="1" t="str">
        <f>TEXT(Tabla1[[#This Row],[Fecha]],"MMMM")</f>
        <v>octubre</v>
      </c>
      <c r="C1063" t="s">
        <v>1073</v>
      </c>
      <c r="D1063" t="s">
        <v>5024</v>
      </c>
      <c r="E1063" t="s">
        <v>5032</v>
      </c>
      <c r="F1063" t="s">
        <v>5034</v>
      </c>
      <c r="G1063" s="3">
        <v>6070.25</v>
      </c>
      <c r="H1063" s="3">
        <v>0</v>
      </c>
      <c r="I1063" s="3">
        <f>SUM(Tabla1[[#This Row],[Monto_Base]],H1063)</f>
        <v>6070.25</v>
      </c>
      <c r="J1063" t="s">
        <v>5044</v>
      </c>
      <c r="K1063" t="s">
        <v>5049</v>
      </c>
      <c r="L1063" t="s">
        <v>5050</v>
      </c>
      <c r="M1063" t="s">
        <v>5055</v>
      </c>
    </row>
    <row r="1064" spans="1:13" x14ac:dyDescent="0.3">
      <c r="A1064" s="1">
        <v>45319</v>
      </c>
      <c r="B1064" s="1" t="str">
        <f>TEXT(Tabla1[[#This Row],[Fecha]],"MMMM")</f>
        <v>enero</v>
      </c>
      <c r="C1064" t="s">
        <v>1074</v>
      </c>
      <c r="D1064" t="s">
        <v>5012</v>
      </c>
      <c r="E1064" t="s">
        <v>5033</v>
      </c>
      <c r="F1064" t="s">
        <v>5036</v>
      </c>
      <c r="G1064" s="3">
        <v>3332.72</v>
      </c>
      <c r="H1064" s="3">
        <v>433.25</v>
      </c>
      <c r="I1064" s="3">
        <f>SUM(Tabla1[[#This Row],[Monto_Base]],H1064)</f>
        <v>3765.97</v>
      </c>
      <c r="J1064" t="s">
        <v>5045</v>
      </c>
      <c r="K1064" t="s">
        <v>5049</v>
      </c>
      <c r="L1064" t="s">
        <v>5051</v>
      </c>
      <c r="M1064" t="s">
        <v>5054</v>
      </c>
    </row>
    <row r="1065" spans="1:13" x14ac:dyDescent="0.3">
      <c r="A1065" s="1">
        <v>45609</v>
      </c>
      <c r="B1065" s="1" t="str">
        <f>TEXT(Tabla1[[#This Row],[Fecha]],"MMMM")</f>
        <v>noviembre</v>
      </c>
      <c r="C1065" t="s">
        <v>1075</v>
      </c>
      <c r="D1065" t="s">
        <v>5023</v>
      </c>
      <c r="E1065" t="s">
        <v>5033</v>
      </c>
      <c r="F1065" t="s">
        <v>5038</v>
      </c>
      <c r="G1065" s="3">
        <v>3435.65</v>
      </c>
      <c r="H1065" s="3">
        <v>446.63</v>
      </c>
      <c r="I1065" s="3">
        <f>SUM(Tabla1[[#This Row],[Monto_Base]],H1065)</f>
        <v>3882.28</v>
      </c>
      <c r="J1065" t="s">
        <v>5043</v>
      </c>
      <c r="K1065" t="s">
        <v>5048</v>
      </c>
      <c r="L1065" t="s">
        <v>5050</v>
      </c>
      <c r="M1065" t="s">
        <v>5054</v>
      </c>
    </row>
    <row r="1066" spans="1:13" x14ac:dyDescent="0.3">
      <c r="A1066" s="1">
        <v>45396</v>
      </c>
      <c r="B1066" s="1" t="str">
        <f>TEXT(Tabla1[[#This Row],[Fecha]],"MMMM")</f>
        <v>abril</v>
      </c>
      <c r="C1066" t="s">
        <v>1076</v>
      </c>
      <c r="D1066" t="s">
        <v>5021</v>
      </c>
      <c r="E1066" t="s">
        <v>5032</v>
      </c>
      <c r="F1066" t="s">
        <v>5034</v>
      </c>
      <c r="G1066" s="3">
        <v>2606.89</v>
      </c>
      <c r="H1066" s="3">
        <v>0</v>
      </c>
      <c r="I1066" s="3">
        <f>SUM(Tabla1[[#This Row],[Monto_Base]],H1066)</f>
        <v>2606.89</v>
      </c>
      <c r="J1066" t="s">
        <v>5044</v>
      </c>
      <c r="K1066" t="s">
        <v>5049</v>
      </c>
      <c r="L1066" t="s">
        <v>5051</v>
      </c>
      <c r="M1066" t="s">
        <v>5055</v>
      </c>
    </row>
    <row r="1067" spans="1:13" x14ac:dyDescent="0.3">
      <c r="A1067" s="1">
        <v>45644</v>
      </c>
      <c r="B1067" s="1" t="str">
        <f>TEXT(Tabla1[[#This Row],[Fecha]],"MMMM")</f>
        <v>diciembre</v>
      </c>
      <c r="C1067" t="s">
        <v>1077</v>
      </c>
      <c r="D1067" t="s">
        <v>5013</v>
      </c>
      <c r="E1067" t="s">
        <v>5033</v>
      </c>
      <c r="F1067" t="s">
        <v>5041</v>
      </c>
      <c r="G1067" s="3">
        <v>11099.41</v>
      </c>
      <c r="H1067" s="3">
        <v>1442.92</v>
      </c>
      <c r="I1067" s="3">
        <f>SUM(Tabla1[[#This Row],[Monto_Base]],H1067)</f>
        <v>12542.33</v>
      </c>
      <c r="J1067" t="s">
        <v>5046</v>
      </c>
      <c r="K1067" t="s">
        <v>5047</v>
      </c>
      <c r="L1067" t="s">
        <v>5051</v>
      </c>
      <c r="M1067" t="s">
        <v>5054</v>
      </c>
    </row>
    <row r="1068" spans="1:13" x14ac:dyDescent="0.3">
      <c r="A1068" s="1">
        <v>45298</v>
      </c>
      <c r="B1068" s="1" t="str">
        <f>TEXT(Tabla1[[#This Row],[Fecha]],"MMMM")</f>
        <v>enero</v>
      </c>
      <c r="C1068" t="s">
        <v>1078</v>
      </c>
      <c r="D1068" t="s">
        <v>5026</v>
      </c>
      <c r="E1068" t="s">
        <v>5032</v>
      </c>
      <c r="F1068" t="s">
        <v>5041</v>
      </c>
      <c r="G1068" s="3">
        <v>2170.41</v>
      </c>
      <c r="H1068" s="3">
        <v>0</v>
      </c>
      <c r="I1068" s="3">
        <f>SUM(Tabla1[[#This Row],[Monto_Base]],H1068)</f>
        <v>2170.41</v>
      </c>
      <c r="J1068" t="s">
        <v>5043</v>
      </c>
      <c r="K1068" t="s">
        <v>5048</v>
      </c>
      <c r="L1068" t="s">
        <v>5051</v>
      </c>
      <c r="M1068" t="s">
        <v>5054</v>
      </c>
    </row>
    <row r="1069" spans="1:13" x14ac:dyDescent="0.3">
      <c r="A1069" s="1">
        <v>45296</v>
      </c>
      <c r="B1069" s="1" t="str">
        <f>TEXT(Tabla1[[#This Row],[Fecha]],"MMMM")</f>
        <v>enero</v>
      </c>
      <c r="C1069" t="s">
        <v>1079</v>
      </c>
      <c r="D1069" t="s">
        <v>5021</v>
      </c>
      <c r="E1069" t="s">
        <v>5033</v>
      </c>
      <c r="F1069" t="s">
        <v>5039</v>
      </c>
      <c r="G1069" s="3">
        <v>10204.08</v>
      </c>
      <c r="H1069" s="3">
        <v>1326.53</v>
      </c>
      <c r="I1069" s="3">
        <f>SUM(Tabla1[[#This Row],[Monto_Base]],H1069)</f>
        <v>11530.61</v>
      </c>
      <c r="J1069" t="s">
        <v>5042</v>
      </c>
      <c r="K1069" t="s">
        <v>5048</v>
      </c>
      <c r="L1069" t="s">
        <v>5050</v>
      </c>
      <c r="M1069" t="s">
        <v>5054</v>
      </c>
    </row>
    <row r="1070" spans="1:13" x14ac:dyDescent="0.3">
      <c r="A1070" s="1">
        <v>45300</v>
      </c>
      <c r="B1070" s="1" t="str">
        <f>TEXT(Tabla1[[#This Row],[Fecha]],"MMMM")</f>
        <v>enero</v>
      </c>
      <c r="C1070" t="s">
        <v>1080</v>
      </c>
      <c r="D1070" t="s">
        <v>5024</v>
      </c>
      <c r="E1070" t="s">
        <v>5032</v>
      </c>
      <c r="F1070" t="s">
        <v>5036</v>
      </c>
      <c r="G1070" s="3">
        <v>725.39</v>
      </c>
      <c r="H1070" s="3">
        <v>0</v>
      </c>
      <c r="I1070" s="3">
        <f>SUM(Tabla1[[#This Row],[Monto_Base]],H1070)</f>
        <v>725.39</v>
      </c>
      <c r="J1070" t="s">
        <v>5042</v>
      </c>
      <c r="K1070" t="s">
        <v>5049</v>
      </c>
      <c r="L1070" t="s">
        <v>5051</v>
      </c>
      <c r="M1070" t="s">
        <v>5054</v>
      </c>
    </row>
    <row r="1071" spans="1:13" x14ac:dyDescent="0.3">
      <c r="A1071" s="1">
        <v>45463</v>
      </c>
      <c r="B1071" s="1" t="str">
        <f>TEXT(Tabla1[[#This Row],[Fecha]],"MMMM")</f>
        <v>junio</v>
      </c>
      <c r="C1071" t="s">
        <v>1081</v>
      </c>
      <c r="D1071" t="s">
        <v>5026</v>
      </c>
      <c r="E1071" t="s">
        <v>5033</v>
      </c>
      <c r="F1071" t="s">
        <v>5036</v>
      </c>
      <c r="G1071" s="3">
        <v>4603.8</v>
      </c>
      <c r="H1071" s="3">
        <v>598.49</v>
      </c>
      <c r="I1071" s="3">
        <f>SUM(Tabla1[[#This Row],[Monto_Base]],H1071)</f>
        <v>5202.29</v>
      </c>
      <c r="J1071" t="s">
        <v>5043</v>
      </c>
      <c r="K1071" t="s">
        <v>5048</v>
      </c>
      <c r="L1071" t="s">
        <v>5051</v>
      </c>
      <c r="M1071" t="s">
        <v>5055</v>
      </c>
    </row>
    <row r="1072" spans="1:13" x14ac:dyDescent="0.3">
      <c r="A1072" s="1">
        <v>45472</v>
      </c>
      <c r="B1072" s="1" t="str">
        <f>TEXT(Tabla1[[#This Row],[Fecha]],"MMMM")</f>
        <v>junio</v>
      </c>
      <c r="C1072" t="s">
        <v>1082</v>
      </c>
      <c r="D1072" t="s">
        <v>5029</v>
      </c>
      <c r="E1072" t="s">
        <v>5032</v>
      </c>
      <c r="F1072" t="s">
        <v>5041</v>
      </c>
      <c r="G1072" s="3">
        <v>252.74</v>
      </c>
      <c r="H1072" s="3">
        <v>0</v>
      </c>
      <c r="I1072" s="3">
        <f>SUM(Tabla1[[#This Row],[Monto_Base]],H1072)</f>
        <v>252.74</v>
      </c>
      <c r="J1072" t="s">
        <v>5044</v>
      </c>
      <c r="K1072" t="s">
        <v>5049</v>
      </c>
      <c r="L1072" t="s">
        <v>5051</v>
      </c>
      <c r="M1072" t="s">
        <v>5055</v>
      </c>
    </row>
    <row r="1073" spans="1:13" x14ac:dyDescent="0.3">
      <c r="A1073" s="1">
        <v>45404</v>
      </c>
      <c r="B1073" s="1" t="str">
        <f>TEXT(Tabla1[[#This Row],[Fecha]],"MMMM")</f>
        <v>abril</v>
      </c>
      <c r="C1073" t="s">
        <v>1083</v>
      </c>
      <c r="D1073" t="s">
        <v>5021</v>
      </c>
      <c r="E1073" t="s">
        <v>5033</v>
      </c>
      <c r="F1073" t="s">
        <v>5039</v>
      </c>
      <c r="G1073" s="3">
        <v>14680.63</v>
      </c>
      <c r="H1073" s="3">
        <v>1908.48</v>
      </c>
      <c r="I1073" s="3">
        <f>SUM(Tabla1[[#This Row],[Monto_Base]],H1073)</f>
        <v>16589.11</v>
      </c>
      <c r="J1073" t="s">
        <v>5046</v>
      </c>
      <c r="K1073" t="s">
        <v>5048</v>
      </c>
      <c r="L1073" t="s">
        <v>5050</v>
      </c>
      <c r="M1073" t="s">
        <v>5054</v>
      </c>
    </row>
    <row r="1074" spans="1:13" x14ac:dyDescent="0.3">
      <c r="A1074" s="1">
        <v>45337</v>
      </c>
      <c r="B1074" s="1" t="str">
        <f>TEXT(Tabla1[[#This Row],[Fecha]],"MMMM")</f>
        <v>febrero</v>
      </c>
      <c r="C1074" t="s">
        <v>1084</v>
      </c>
      <c r="D1074" t="s">
        <v>5031</v>
      </c>
      <c r="E1074" t="s">
        <v>5032</v>
      </c>
      <c r="F1074" t="s">
        <v>5040</v>
      </c>
      <c r="G1074" s="3">
        <v>3134.3</v>
      </c>
      <c r="H1074" s="3">
        <v>0</v>
      </c>
      <c r="I1074" s="3">
        <f>SUM(Tabla1[[#This Row],[Monto_Base]],H1074)</f>
        <v>3134.3</v>
      </c>
      <c r="J1074" t="s">
        <v>5046</v>
      </c>
      <c r="K1074" t="s">
        <v>5048</v>
      </c>
      <c r="L1074" t="s">
        <v>5053</v>
      </c>
      <c r="M1074" t="s">
        <v>5055</v>
      </c>
    </row>
    <row r="1075" spans="1:13" x14ac:dyDescent="0.3">
      <c r="A1075" s="1">
        <v>45470</v>
      </c>
      <c r="B1075" s="1" t="str">
        <f>TEXT(Tabla1[[#This Row],[Fecha]],"MMMM")</f>
        <v>junio</v>
      </c>
      <c r="C1075" t="s">
        <v>1085</v>
      </c>
      <c r="D1075" t="s">
        <v>5016</v>
      </c>
      <c r="E1075" t="s">
        <v>5033</v>
      </c>
      <c r="F1075" t="s">
        <v>5038</v>
      </c>
      <c r="G1075" s="3">
        <v>13659.39</v>
      </c>
      <c r="H1075" s="3">
        <v>1775.72</v>
      </c>
      <c r="I1075" s="3">
        <f>SUM(Tabla1[[#This Row],[Monto_Base]],H1075)</f>
        <v>15435.109999999999</v>
      </c>
      <c r="J1075" t="s">
        <v>5044</v>
      </c>
      <c r="K1075" t="s">
        <v>5048</v>
      </c>
      <c r="L1075" t="s">
        <v>5050</v>
      </c>
      <c r="M1075" t="s">
        <v>5055</v>
      </c>
    </row>
    <row r="1076" spans="1:13" x14ac:dyDescent="0.3">
      <c r="A1076" s="1">
        <v>45354</v>
      </c>
      <c r="B1076" s="1" t="str">
        <f>TEXT(Tabla1[[#This Row],[Fecha]],"MMMM")</f>
        <v>marzo</v>
      </c>
      <c r="C1076" t="s">
        <v>1086</v>
      </c>
      <c r="D1076" t="s">
        <v>5024</v>
      </c>
      <c r="E1076" t="s">
        <v>5033</v>
      </c>
      <c r="F1076" t="s">
        <v>5040</v>
      </c>
      <c r="G1076" s="3">
        <v>12520.86</v>
      </c>
      <c r="H1076" s="3">
        <v>1627.71</v>
      </c>
      <c r="I1076" s="3">
        <f>SUM(Tabla1[[#This Row],[Monto_Base]],H1076)</f>
        <v>14148.57</v>
      </c>
      <c r="J1076" t="s">
        <v>5043</v>
      </c>
      <c r="K1076" t="s">
        <v>5048</v>
      </c>
      <c r="L1076" t="s">
        <v>5051</v>
      </c>
      <c r="M1076" t="s">
        <v>5055</v>
      </c>
    </row>
    <row r="1077" spans="1:13" x14ac:dyDescent="0.3">
      <c r="A1077" s="1">
        <v>45368</v>
      </c>
      <c r="B1077" s="1" t="str">
        <f>TEXT(Tabla1[[#This Row],[Fecha]],"MMMM")</f>
        <v>marzo</v>
      </c>
      <c r="C1077" t="s">
        <v>1087</v>
      </c>
      <c r="D1077" t="s">
        <v>5012</v>
      </c>
      <c r="E1077" t="s">
        <v>5032</v>
      </c>
      <c r="F1077" t="s">
        <v>5039</v>
      </c>
      <c r="G1077" s="3">
        <v>7021.45</v>
      </c>
      <c r="H1077" s="3">
        <v>0</v>
      </c>
      <c r="I1077" s="3">
        <f>SUM(Tabla1[[#This Row],[Monto_Base]],H1077)</f>
        <v>7021.45</v>
      </c>
      <c r="J1077" t="s">
        <v>5042</v>
      </c>
      <c r="K1077" t="s">
        <v>5048</v>
      </c>
      <c r="L1077" t="s">
        <v>5052</v>
      </c>
      <c r="M1077" t="s">
        <v>5055</v>
      </c>
    </row>
    <row r="1078" spans="1:13" x14ac:dyDescent="0.3">
      <c r="A1078" s="1">
        <v>45312</v>
      </c>
      <c r="B1078" s="1" t="str">
        <f>TEXT(Tabla1[[#This Row],[Fecha]],"MMMM")</f>
        <v>enero</v>
      </c>
      <c r="C1078" t="s">
        <v>1088</v>
      </c>
      <c r="D1078" t="s">
        <v>5029</v>
      </c>
      <c r="E1078" t="s">
        <v>5033</v>
      </c>
      <c r="F1078" t="s">
        <v>5038</v>
      </c>
      <c r="G1078" s="3">
        <v>283.11</v>
      </c>
      <c r="H1078" s="3">
        <v>36.799999999999997</v>
      </c>
      <c r="I1078" s="3">
        <f>SUM(Tabla1[[#This Row],[Monto_Base]],H1078)</f>
        <v>319.91000000000003</v>
      </c>
      <c r="J1078" t="s">
        <v>5046</v>
      </c>
      <c r="K1078" t="s">
        <v>5048</v>
      </c>
      <c r="L1078" t="s">
        <v>5053</v>
      </c>
      <c r="M1078" t="s">
        <v>5054</v>
      </c>
    </row>
    <row r="1079" spans="1:13" x14ac:dyDescent="0.3">
      <c r="A1079" s="1">
        <v>45292</v>
      </c>
      <c r="B1079" s="1" t="str">
        <f>TEXT(Tabla1[[#This Row],[Fecha]],"MMMM")</f>
        <v>enero</v>
      </c>
      <c r="C1079" t="s">
        <v>1089</v>
      </c>
      <c r="D1079" t="s">
        <v>5029</v>
      </c>
      <c r="E1079" t="s">
        <v>5033</v>
      </c>
      <c r="F1079" t="s">
        <v>5037</v>
      </c>
      <c r="G1079" s="3">
        <v>5316.22</v>
      </c>
      <c r="H1079" s="3">
        <v>691.11</v>
      </c>
      <c r="I1079" s="3">
        <f>SUM(Tabla1[[#This Row],[Monto_Base]],H1079)</f>
        <v>6007.33</v>
      </c>
      <c r="J1079" t="s">
        <v>5045</v>
      </c>
      <c r="K1079" t="s">
        <v>5048</v>
      </c>
      <c r="L1079" t="s">
        <v>5052</v>
      </c>
      <c r="M1079" t="s">
        <v>5055</v>
      </c>
    </row>
    <row r="1080" spans="1:13" x14ac:dyDescent="0.3">
      <c r="A1080" s="1">
        <v>45365</v>
      </c>
      <c r="B1080" s="1" t="str">
        <f>TEXT(Tabla1[[#This Row],[Fecha]],"MMMM")</f>
        <v>marzo</v>
      </c>
      <c r="C1080" t="s">
        <v>1090</v>
      </c>
      <c r="D1080" t="s">
        <v>5016</v>
      </c>
      <c r="E1080" t="s">
        <v>5033</v>
      </c>
      <c r="F1080" t="s">
        <v>5036</v>
      </c>
      <c r="G1080" s="3">
        <v>10712.3</v>
      </c>
      <c r="H1080" s="3">
        <v>1392.6</v>
      </c>
      <c r="I1080" s="3">
        <f>SUM(Tabla1[[#This Row],[Monto_Base]],H1080)</f>
        <v>12104.9</v>
      </c>
      <c r="J1080" t="s">
        <v>5046</v>
      </c>
      <c r="K1080" t="s">
        <v>5048</v>
      </c>
      <c r="L1080" t="s">
        <v>5053</v>
      </c>
      <c r="M1080" t="s">
        <v>5055</v>
      </c>
    </row>
    <row r="1081" spans="1:13" x14ac:dyDescent="0.3">
      <c r="A1081" s="1">
        <v>45639</v>
      </c>
      <c r="B1081" s="1" t="str">
        <f>TEXT(Tabla1[[#This Row],[Fecha]],"MMMM")</f>
        <v>diciembre</v>
      </c>
      <c r="C1081" t="s">
        <v>1091</v>
      </c>
      <c r="D1081" t="s">
        <v>5012</v>
      </c>
      <c r="E1081" t="s">
        <v>5032</v>
      </c>
      <c r="F1081" t="s">
        <v>5040</v>
      </c>
      <c r="G1081" s="3">
        <v>3768.49</v>
      </c>
      <c r="H1081" s="3">
        <v>0</v>
      </c>
      <c r="I1081" s="3">
        <f>SUM(Tabla1[[#This Row],[Monto_Base]],H1081)</f>
        <v>3768.49</v>
      </c>
      <c r="J1081" t="s">
        <v>5043</v>
      </c>
      <c r="K1081" t="s">
        <v>5048</v>
      </c>
      <c r="L1081" t="s">
        <v>5050</v>
      </c>
      <c r="M1081" t="s">
        <v>5054</v>
      </c>
    </row>
    <row r="1082" spans="1:13" x14ac:dyDescent="0.3">
      <c r="A1082" s="1">
        <v>45639</v>
      </c>
      <c r="B1082" s="1" t="str">
        <f>TEXT(Tabla1[[#This Row],[Fecha]],"MMMM")</f>
        <v>diciembre</v>
      </c>
      <c r="C1082" t="s">
        <v>1092</v>
      </c>
      <c r="D1082" t="s">
        <v>5029</v>
      </c>
      <c r="E1082" t="s">
        <v>5032</v>
      </c>
      <c r="F1082" t="s">
        <v>5039</v>
      </c>
      <c r="G1082" s="3">
        <v>8480.42</v>
      </c>
      <c r="H1082" s="3">
        <v>0</v>
      </c>
      <c r="I1082" s="3">
        <f>SUM(Tabla1[[#This Row],[Monto_Base]],H1082)</f>
        <v>8480.42</v>
      </c>
      <c r="J1082" t="s">
        <v>5044</v>
      </c>
      <c r="K1082" t="s">
        <v>5049</v>
      </c>
      <c r="L1082" t="s">
        <v>5052</v>
      </c>
      <c r="M1082" t="s">
        <v>5054</v>
      </c>
    </row>
    <row r="1083" spans="1:13" x14ac:dyDescent="0.3">
      <c r="A1083" s="1">
        <v>45335</v>
      </c>
      <c r="B1083" s="1" t="str">
        <f>TEXT(Tabla1[[#This Row],[Fecha]],"MMMM")</f>
        <v>febrero</v>
      </c>
      <c r="C1083" t="s">
        <v>1093</v>
      </c>
      <c r="D1083" t="s">
        <v>5028</v>
      </c>
      <c r="E1083" t="s">
        <v>5032</v>
      </c>
      <c r="F1083" t="s">
        <v>5034</v>
      </c>
      <c r="G1083" s="3">
        <v>4550.88</v>
      </c>
      <c r="H1083" s="3">
        <v>0</v>
      </c>
      <c r="I1083" s="3">
        <f>SUM(Tabla1[[#This Row],[Monto_Base]],H1083)</f>
        <v>4550.88</v>
      </c>
      <c r="J1083" t="s">
        <v>5044</v>
      </c>
      <c r="K1083" t="s">
        <v>5049</v>
      </c>
      <c r="L1083" t="s">
        <v>5050</v>
      </c>
      <c r="M1083" t="s">
        <v>5054</v>
      </c>
    </row>
    <row r="1084" spans="1:13" x14ac:dyDescent="0.3">
      <c r="A1084" s="1">
        <v>45647</v>
      </c>
      <c r="B1084" s="1" t="str">
        <f>TEXT(Tabla1[[#This Row],[Fecha]],"MMMM")</f>
        <v>diciembre</v>
      </c>
      <c r="C1084" t="s">
        <v>1094</v>
      </c>
      <c r="D1084" t="s">
        <v>5019</v>
      </c>
      <c r="E1084" t="s">
        <v>5033</v>
      </c>
      <c r="F1084" t="s">
        <v>5039</v>
      </c>
      <c r="G1084" s="3">
        <v>7922.24</v>
      </c>
      <c r="H1084" s="3">
        <v>1029.8900000000001</v>
      </c>
      <c r="I1084" s="3">
        <f>SUM(Tabla1[[#This Row],[Monto_Base]],H1084)</f>
        <v>8952.1299999999992</v>
      </c>
      <c r="J1084" t="s">
        <v>5044</v>
      </c>
      <c r="K1084" t="s">
        <v>5049</v>
      </c>
      <c r="L1084" t="s">
        <v>5051</v>
      </c>
      <c r="M1084" t="s">
        <v>5055</v>
      </c>
    </row>
    <row r="1085" spans="1:13" x14ac:dyDescent="0.3">
      <c r="A1085" s="1">
        <v>45528</v>
      </c>
      <c r="B1085" s="1" t="str">
        <f>TEXT(Tabla1[[#This Row],[Fecha]],"MMMM")</f>
        <v>agosto</v>
      </c>
      <c r="C1085" t="s">
        <v>1095</v>
      </c>
      <c r="D1085" t="s">
        <v>5019</v>
      </c>
      <c r="E1085" t="s">
        <v>5032</v>
      </c>
      <c r="F1085" t="s">
        <v>5037</v>
      </c>
      <c r="G1085" s="3">
        <v>14423.63</v>
      </c>
      <c r="H1085" s="3">
        <v>0</v>
      </c>
      <c r="I1085" s="3">
        <f>SUM(Tabla1[[#This Row],[Monto_Base]],H1085)</f>
        <v>14423.63</v>
      </c>
      <c r="J1085" t="s">
        <v>5045</v>
      </c>
      <c r="K1085" t="s">
        <v>5049</v>
      </c>
      <c r="L1085" t="s">
        <v>5053</v>
      </c>
      <c r="M1085" t="s">
        <v>5055</v>
      </c>
    </row>
    <row r="1086" spans="1:13" x14ac:dyDescent="0.3">
      <c r="A1086" s="1">
        <v>45483</v>
      </c>
      <c r="B1086" s="1" t="str">
        <f>TEXT(Tabla1[[#This Row],[Fecha]],"MMMM")</f>
        <v>julio</v>
      </c>
      <c r="C1086" t="s">
        <v>1096</v>
      </c>
      <c r="D1086" t="s">
        <v>5026</v>
      </c>
      <c r="E1086" t="s">
        <v>5032</v>
      </c>
      <c r="F1086" t="s">
        <v>5034</v>
      </c>
      <c r="G1086" s="3">
        <v>8725.82</v>
      </c>
      <c r="H1086" s="3">
        <v>0</v>
      </c>
      <c r="I1086" s="3">
        <f>SUM(Tabla1[[#This Row],[Monto_Base]],H1086)</f>
        <v>8725.82</v>
      </c>
      <c r="J1086" t="s">
        <v>5046</v>
      </c>
      <c r="K1086" t="s">
        <v>5049</v>
      </c>
      <c r="L1086" t="s">
        <v>5051</v>
      </c>
      <c r="M1086" t="s">
        <v>5054</v>
      </c>
    </row>
    <row r="1087" spans="1:13" x14ac:dyDescent="0.3">
      <c r="A1087" s="1">
        <v>45557</v>
      </c>
      <c r="B1087" s="1" t="str">
        <f>TEXT(Tabla1[[#This Row],[Fecha]],"MMMM")</f>
        <v>septiembre</v>
      </c>
      <c r="C1087" t="s">
        <v>1097</v>
      </c>
      <c r="D1087" t="s">
        <v>5028</v>
      </c>
      <c r="E1087" t="s">
        <v>5032</v>
      </c>
      <c r="F1087" t="s">
        <v>5035</v>
      </c>
      <c r="G1087" s="3">
        <v>6968.98</v>
      </c>
      <c r="H1087" s="3">
        <v>0</v>
      </c>
      <c r="I1087" s="3">
        <f>SUM(Tabla1[[#This Row],[Monto_Base]],H1087)</f>
        <v>6968.98</v>
      </c>
      <c r="J1087" t="s">
        <v>5043</v>
      </c>
      <c r="K1087" t="s">
        <v>5047</v>
      </c>
      <c r="L1087" t="s">
        <v>5053</v>
      </c>
      <c r="M1087" t="s">
        <v>5054</v>
      </c>
    </row>
    <row r="1088" spans="1:13" x14ac:dyDescent="0.3">
      <c r="A1088" s="1">
        <v>45581</v>
      </c>
      <c r="B1088" s="1" t="str">
        <f>TEXT(Tabla1[[#This Row],[Fecha]],"MMMM")</f>
        <v>octubre</v>
      </c>
      <c r="C1088" t="s">
        <v>1098</v>
      </c>
      <c r="D1088" t="s">
        <v>5030</v>
      </c>
      <c r="E1088" t="s">
        <v>5032</v>
      </c>
      <c r="F1088" t="s">
        <v>5036</v>
      </c>
      <c r="G1088" s="3">
        <v>12338</v>
      </c>
      <c r="H1088" s="3">
        <v>0</v>
      </c>
      <c r="I1088" s="3">
        <f>SUM(Tabla1[[#This Row],[Monto_Base]],H1088)</f>
        <v>12338</v>
      </c>
      <c r="J1088" t="s">
        <v>5043</v>
      </c>
      <c r="K1088" t="s">
        <v>5049</v>
      </c>
      <c r="L1088" t="s">
        <v>5051</v>
      </c>
      <c r="M1088" t="s">
        <v>5054</v>
      </c>
    </row>
    <row r="1089" spans="1:13" x14ac:dyDescent="0.3">
      <c r="A1089" s="1">
        <v>45579</v>
      </c>
      <c r="B1089" s="1" t="str">
        <f>TEXT(Tabla1[[#This Row],[Fecha]],"MMMM")</f>
        <v>octubre</v>
      </c>
      <c r="C1089" t="s">
        <v>1099</v>
      </c>
      <c r="D1089" t="s">
        <v>5031</v>
      </c>
      <c r="E1089" t="s">
        <v>5033</v>
      </c>
      <c r="F1089" t="s">
        <v>5034</v>
      </c>
      <c r="G1089" s="3">
        <v>7768.15</v>
      </c>
      <c r="H1089" s="3">
        <v>1009.86</v>
      </c>
      <c r="I1089" s="3">
        <f>SUM(Tabla1[[#This Row],[Monto_Base]],H1089)</f>
        <v>8778.01</v>
      </c>
      <c r="J1089" t="s">
        <v>5043</v>
      </c>
      <c r="K1089" t="s">
        <v>5047</v>
      </c>
      <c r="L1089" t="s">
        <v>5052</v>
      </c>
      <c r="M1089" t="s">
        <v>5054</v>
      </c>
    </row>
    <row r="1090" spans="1:13" x14ac:dyDescent="0.3">
      <c r="A1090" s="1">
        <v>45394</v>
      </c>
      <c r="B1090" s="1" t="str">
        <f>TEXT(Tabla1[[#This Row],[Fecha]],"MMMM")</f>
        <v>abril</v>
      </c>
      <c r="C1090" t="s">
        <v>1100</v>
      </c>
      <c r="D1090" t="s">
        <v>5029</v>
      </c>
      <c r="E1090" t="s">
        <v>5033</v>
      </c>
      <c r="F1090" t="s">
        <v>5041</v>
      </c>
      <c r="G1090" s="3">
        <v>9373.7800000000007</v>
      </c>
      <c r="H1090" s="3">
        <v>1218.5899999999999</v>
      </c>
      <c r="I1090" s="3">
        <f>SUM(Tabla1[[#This Row],[Monto_Base]],H1090)</f>
        <v>10592.37</v>
      </c>
      <c r="J1090" t="s">
        <v>5045</v>
      </c>
      <c r="K1090" t="s">
        <v>5047</v>
      </c>
      <c r="L1090" t="s">
        <v>5053</v>
      </c>
      <c r="M1090" t="s">
        <v>5054</v>
      </c>
    </row>
    <row r="1091" spans="1:13" x14ac:dyDescent="0.3">
      <c r="A1091" s="1">
        <v>45534</v>
      </c>
      <c r="B1091" s="1" t="str">
        <f>TEXT(Tabla1[[#This Row],[Fecha]],"MMMM")</f>
        <v>agosto</v>
      </c>
      <c r="C1091" t="s">
        <v>1101</v>
      </c>
      <c r="D1091" t="s">
        <v>5023</v>
      </c>
      <c r="E1091" t="s">
        <v>5033</v>
      </c>
      <c r="F1091" t="s">
        <v>5034</v>
      </c>
      <c r="G1091" s="3">
        <v>3104.19</v>
      </c>
      <c r="H1091" s="3">
        <v>403.54</v>
      </c>
      <c r="I1091" s="3">
        <f>SUM(Tabla1[[#This Row],[Monto_Base]],H1091)</f>
        <v>3507.73</v>
      </c>
      <c r="J1091" t="s">
        <v>5045</v>
      </c>
      <c r="K1091" t="s">
        <v>5049</v>
      </c>
      <c r="L1091" t="s">
        <v>5050</v>
      </c>
      <c r="M1091" t="s">
        <v>5055</v>
      </c>
    </row>
    <row r="1092" spans="1:13" x14ac:dyDescent="0.3">
      <c r="A1092" s="1">
        <v>45386</v>
      </c>
      <c r="B1092" s="1" t="str">
        <f>TEXT(Tabla1[[#This Row],[Fecha]],"MMMM")</f>
        <v>abril</v>
      </c>
      <c r="C1092" t="s">
        <v>1102</v>
      </c>
      <c r="D1092" t="s">
        <v>5013</v>
      </c>
      <c r="E1092" t="s">
        <v>5032</v>
      </c>
      <c r="F1092" t="s">
        <v>5037</v>
      </c>
      <c r="G1092" s="3">
        <v>7281.61</v>
      </c>
      <c r="H1092" s="3">
        <v>0</v>
      </c>
      <c r="I1092" s="3">
        <f>SUM(Tabla1[[#This Row],[Monto_Base]],H1092)</f>
        <v>7281.61</v>
      </c>
      <c r="J1092" t="s">
        <v>5046</v>
      </c>
      <c r="K1092" t="s">
        <v>5049</v>
      </c>
      <c r="L1092" t="s">
        <v>5051</v>
      </c>
      <c r="M1092" t="s">
        <v>5055</v>
      </c>
    </row>
    <row r="1093" spans="1:13" x14ac:dyDescent="0.3">
      <c r="A1093" s="1">
        <v>45628</v>
      </c>
      <c r="B1093" s="1" t="str">
        <f>TEXT(Tabla1[[#This Row],[Fecha]],"MMMM")</f>
        <v>diciembre</v>
      </c>
      <c r="C1093" t="s">
        <v>1103</v>
      </c>
      <c r="D1093" t="s">
        <v>5027</v>
      </c>
      <c r="E1093" t="s">
        <v>5033</v>
      </c>
      <c r="F1093" t="s">
        <v>5035</v>
      </c>
      <c r="G1093" s="3">
        <v>2812.88</v>
      </c>
      <c r="H1093" s="3">
        <v>365.67</v>
      </c>
      <c r="I1093" s="3">
        <f>SUM(Tabla1[[#This Row],[Monto_Base]],H1093)</f>
        <v>3178.55</v>
      </c>
      <c r="J1093" t="s">
        <v>5046</v>
      </c>
      <c r="K1093" t="s">
        <v>5047</v>
      </c>
      <c r="L1093" t="s">
        <v>5052</v>
      </c>
      <c r="M1093" t="s">
        <v>5055</v>
      </c>
    </row>
    <row r="1094" spans="1:13" x14ac:dyDescent="0.3">
      <c r="A1094" s="1">
        <v>45544</v>
      </c>
      <c r="B1094" s="1" t="str">
        <f>TEXT(Tabla1[[#This Row],[Fecha]],"MMMM")</f>
        <v>septiembre</v>
      </c>
      <c r="C1094" t="s">
        <v>1104</v>
      </c>
      <c r="D1094" t="s">
        <v>5029</v>
      </c>
      <c r="E1094" t="s">
        <v>5032</v>
      </c>
      <c r="F1094" t="s">
        <v>5036</v>
      </c>
      <c r="G1094" s="3">
        <v>14388.42</v>
      </c>
      <c r="H1094" s="3">
        <v>0</v>
      </c>
      <c r="I1094" s="3">
        <f>SUM(Tabla1[[#This Row],[Monto_Base]],H1094)</f>
        <v>14388.42</v>
      </c>
      <c r="J1094" t="s">
        <v>5044</v>
      </c>
      <c r="K1094" t="s">
        <v>5049</v>
      </c>
      <c r="L1094" t="s">
        <v>5051</v>
      </c>
      <c r="M1094" t="s">
        <v>5055</v>
      </c>
    </row>
    <row r="1095" spans="1:13" x14ac:dyDescent="0.3">
      <c r="A1095" s="1">
        <v>45367</v>
      </c>
      <c r="B1095" s="1" t="str">
        <f>TEXT(Tabla1[[#This Row],[Fecha]],"MMMM")</f>
        <v>marzo</v>
      </c>
      <c r="C1095" t="s">
        <v>1105</v>
      </c>
      <c r="D1095" t="s">
        <v>5030</v>
      </c>
      <c r="E1095" t="s">
        <v>5032</v>
      </c>
      <c r="F1095" t="s">
        <v>5037</v>
      </c>
      <c r="G1095" s="3">
        <v>12211.73</v>
      </c>
      <c r="H1095" s="3">
        <v>0</v>
      </c>
      <c r="I1095" s="3">
        <f>SUM(Tabla1[[#This Row],[Monto_Base]],H1095)</f>
        <v>12211.73</v>
      </c>
      <c r="J1095" t="s">
        <v>5045</v>
      </c>
      <c r="K1095" t="s">
        <v>5048</v>
      </c>
      <c r="L1095" t="s">
        <v>5050</v>
      </c>
      <c r="M1095" t="s">
        <v>5054</v>
      </c>
    </row>
    <row r="1096" spans="1:13" x14ac:dyDescent="0.3">
      <c r="A1096" s="1">
        <v>45628</v>
      </c>
      <c r="B1096" s="1" t="str">
        <f>TEXT(Tabla1[[#This Row],[Fecha]],"MMMM")</f>
        <v>diciembre</v>
      </c>
      <c r="C1096" t="s">
        <v>1106</v>
      </c>
      <c r="D1096" t="s">
        <v>5022</v>
      </c>
      <c r="E1096" t="s">
        <v>5032</v>
      </c>
      <c r="F1096" t="s">
        <v>5035</v>
      </c>
      <c r="G1096" s="3">
        <v>9694.3799999999992</v>
      </c>
      <c r="H1096" s="3">
        <v>0</v>
      </c>
      <c r="I1096" s="3">
        <f>SUM(Tabla1[[#This Row],[Monto_Base]],H1096)</f>
        <v>9694.3799999999992</v>
      </c>
      <c r="J1096" t="s">
        <v>5042</v>
      </c>
      <c r="K1096" t="s">
        <v>5048</v>
      </c>
      <c r="L1096" t="s">
        <v>5053</v>
      </c>
      <c r="M1096" t="s">
        <v>5055</v>
      </c>
    </row>
    <row r="1097" spans="1:13" x14ac:dyDescent="0.3">
      <c r="A1097" s="1">
        <v>45373</v>
      </c>
      <c r="B1097" s="1" t="str">
        <f>TEXT(Tabla1[[#This Row],[Fecha]],"MMMM")</f>
        <v>marzo</v>
      </c>
      <c r="C1097" t="s">
        <v>1107</v>
      </c>
      <c r="D1097" t="s">
        <v>5018</v>
      </c>
      <c r="E1097" t="s">
        <v>5032</v>
      </c>
      <c r="F1097" t="s">
        <v>5038</v>
      </c>
      <c r="G1097" s="3">
        <v>186.34</v>
      </c>
      <c r="H1097" s="3">
        <v>0</v>
      </c>
      <c r="I1097" s="3">
        <f>SUM(Tabla1[[#This Row],[Monto_Base]],H1097)</f>
        <v>186.34</v>
      </c>
      <c r="J1097" t="s">
        <v>5044</v>
      </c>
      <c r="K1097" t="s">
        <v>5049</v>
      </c>
      <c r="L1097" t="s">
        <v>5052</v>
      </c>
      <c r="M1097" t="s">
        <v>5055</v>
      </c>
    </row>
    <row r="1098" spans="1:13" x14ac:dyDescent="0.3">
      <c r="A1098" s="1">
        <v>45472</v>
      </c>
      <c r="B1098" s="1" t="str">
        <f>TEXT(Tabla1[[#This Row],[Fecha]],"MMMM")</f>
        <v>junio</v>
      </c>
      <c r="C1098" t="s">
        <v>1108</v>
      </c>
      <c r="D1098" t="s">
        <v>5016</v>
      </c>
      <c r="E1098" t="s">
        <v>5033</v>
      </c>
      <c r="F1098" t="s">
        <v>5039</v>
      </c>
      <c r="G1098" s="3">
        <v>9855.99</v>
      </c>
      <c r="H1098" s="3">
        <v>1281.28</v>
      </c>
      <c r="I1098" s="3">
        <f>SUM(Tabla1[[#This Row],[Monto_Base]],H1098)</f>
        <v>11137.27</v>
      </c>
      <c r="J1098" t="s">
        <v>5042</v>
      </c>
      <c r="K1098" t="s">
        <v>5048</v>
      </c>
      <c r="L1098" t="s">
        <v>5050</v>
      </c>
      <c r="M1098" t="s">
        <v>5054</v>
      </c>
    </row>
    <row r="1099" spans="1:13" x14ac:dyDescent="0.3">
      <c r="A1099" s="1">
        <v>45622</v>
      </c>
      <c r="B1099" s="1" t="str">
        <f>TEXT(Tabla1[[#This Row],[Fecha]],"MMMM")</f>
        <v>noviembre</v>
      </c>
      <c r="C1099" t="s">
        <v>1109</v>
      </c>
      <c r="D1099" t="s">
        <v>5029</v>
      </c>
      <c r="E1099" t="s">
        <v>5032</v>
      </c>
      <c r="F1099" t="s">
        <v>5036</v>
      </c>
      <c r="G1099" s="3">
        <v>13746.59</v>
      </c>
      <c r="H1099" s="3">
        <v>0</v>
      </c>
      <c r="I1099" s="3">
        <f>SUM(Tabla1[[#This Row],[Monto_Base]],H1099)</f>
        <v>13746.59</v>
      </c>
      <c r="J1099" t="s">
        <v>5043</v>
      </c>
      <c r="K1099" t="s">
        <v>5048</v>
      </c>
      <c r="L1099" t="s">
        <v>5050</v>
      </c>
      <c r="M1099" t="s">
        <v>5054</v>
      </c>
    </row>
    <row r="1100" spans="1:13" x14ac:dyDescent="0.3">
      <c r="A1100" s="1">
        <v>45498</v>
      </c>
      <c r="B1100" s="1" t="str">
        <f>TEXT(Tabla1[[#This Row],[Fecha]],"MMMM")</f>
        <v>julio</v>
      </c>
      <c r="C1100" t="s">
        <v>1110</v>
      </c>
      <c r="D1100" t="s">
        <v>5028</v>
      </c>
      <c r="E1100" t="s">
        <v>5032</v>
      </c>
      <c r="F1100" t="s">
        <v>5040</v>
      </c>
      <c r="G1100" s="3">
        <v>8788.17</v>
      </c>
      <c r="H1100" s="3">
        <v>0</v>
      </c>
      <c r="I1100" s="3">
        <f>SUM(Tabla1[[#This Row],[Monto_Base]],H1100)</f>
        <v>8788.17</v>
      </c>
      <c r="J1100" t="s">
        <v>5045</v>
      </c>
      <c r="K1100" t="s">
        <v>5047</v>
      </c>
      <c r="L1100" t="s">
        <v>5053</v>
      </c>
      <c r="M1100" t="s">
        <v>5054</v>
      </c>
    </row>
    <row r="1101" spans="1:13" x14ac:dyDescent="0.3">
      <c r="A1101" s="1">
        <v>45535</v>
      </c>
      <c r="B1101" s="1" t="str">
        <f>TEXT(Tabla1[[#This Row],[Fecha]],"MMMM")</f>
        <v>agosto</v>
      </c>
      <c r="C1101" t="s">
        <v>1111</v>
      </c>
      <c r="D1101" t="s">
        <v>5013</v>
      </c>
      <c r="E1101" t="s">
        <v>5033</v>
      </c>
      <c r="F1101" t="s">
        <v>5041</v>
      </c>
      <c r="G1101" s="3">
        <v>14016.8</v>
      </c>
      <c r="H1101" s="3">
        <v>1822.18</v>
      </c>
      <c r="I1101" s="3">
        <f>SUM(Tabla1[[#This Row],[Monto_Base]],H1101)</f>
        <v>15838.98</v>
      </c>
      <c r="J1101" t="s">
        <v>5044</v>
      </c>
      <c r="K1101" t="s">
        <v>5047</v>
      </c>
      <c r="L1101" t="s">
        <v>5052</v>
      </c>
      <c r="M1101" t="s">
        <v>5054</v>
      </c>
    </row>
    <row r="1102" spans="1:13" x14ac:dyDescent="0.3">
      <c r="A1102" s="1">
        <v>45420</v>
      </c>
      <c r="B1102" s="1" t="str">
        <f>TEXT(Tabla1[[#This Row],[Fecha]],"MMMM")</f>
        <v>mayo</v>
      </c>
      <c r="C1102" t="s">
        <v>1112</v>
      </c>
      <c r="D1102" t="s">
        <v>5027</v>
      </c>
      <c r="E1102" t="s">
        <v>5032</v>
      </c>
      <c r="F1102" t="s">
        <v>5036</v>
      </c>
      <c r="G1102" s="3">
        <v>975.8</v>
      </c>
      <c r="H1102" s="3">
        <v>0</v>
      </c>
      <c r="I1102" s="3">
        <f>SUM(Tabla1[[#This Row],[Monto_Base]],H1102)</f>
        <v>975.8</v>
      </c>
      <c r="J1102" t="s">
        <v>5045</v>
      </c>
      <c r="K1102" t="s">
        <v>5047</v>
      </c>
      <c r="L1102" t="s">
        <v>5053</v>
      </c>
      <c r="M1102" t="s">
        <v>5055</v>
      </c>
    </row>
    <row r="1103" spans="1:13" x14ac:dyDescent="0.3">
      <c r="A1103" s="1">
        <v>45649</v>
      </c>
      <c r="B1103" s="1" t="str">
        <f>TEXT(Tabla1[[#This Row],[Fecha]],"MMMM")</f>
        <v>diciembre</v>
      </c>
      <c r="C1103" t="s">
        <v>1113</v>
      </c>
      <c r="D1103" t="s">
        <v>5014</v>
      </c>
      <c r="E1103" t="s">
        <v>5033</v>
      </c>
      <c r="F1103" t="s">
        <v>5039</v>
      </c>
      <c r="G1103" s="3">
        <v>4851.33</v>
      </c>
      <c r="H1103" s="3">
        <v>630.66999999999996</v>
      </c>
      <c r="I1103" s="3">
        <f>SUM(Tabla1[[#This Row],[Monto_Base]],H1103)</f>
        <v>5482</v>
      </c>
      <c r="J1103" t="s">
        <v>5043</v>
      </c>
      <c r="K1103" t="s">
        <v>5048</v>
      </c>
      <c r="L1103" t="s">
        <v>5052</v>
      </c>
      <c r="M1103" t="s">
        <v>5054</v>
      </c>
    </row>
    <row r="1104" spans="1:13" x14ac:dyDescent="0.3">
      <c r="A1104" s="1">
        <v>45407</v>
      </c>
      <c r="B1104" s="1" t="str">
        <f>TEXT(Tabla1[[#This Row],[Fecha]],"MMMM")</f>
        <v>abril</v>
      </c>
      <c r="C1104" t="s">
        <v>1114</v>
      </c>
      <c r="D1104" t="s">
        <v>5021</v>
      </c>
      <c r="E1104" t="s">
        <v>5032</v>
      </c>
      <c r="F1104" t="s">
        <v>5041</v>
      </c>
      <c r="G1104" s="3">
        <v>10198.790000000001</v>
      </c>
      <c r="H1104" s="3">
        <v>0</v>
      </c>
      <c r="I1104" s="3">
        <f>SUM(Tabla1[[#This Row],[Monto_Base]],H1104)</f>
        <v>10198.790000000001</v>
      </c>
      <c r="J1104" t="s">
        <v>5046</v>
      </c>
      <c r="K1104" t="s">
        <v>5049</v>
      </c>
      <c r="L1104" t="s">
        <v>5052</v>
      </c>
      <c r="M1104" t="s">
        <v>5055</v>
      </c>
    </row>
    <row r="1105" spans="1:13" x14ac:dyDescent="0.3">
      <c r="A1105" s="1">
        <v>45363</v>
      </c>
      <c r="B1105" s="1" t="str">
        <f>TEXT(Tabla1[[#This Row],[Fecha]],"MMMM")</f>
        <v>marzo</v>
      </c>
      <c r="C1105" t="s">
        <v>1115</v>
      </c>
      <c r="D1105" t="s">
        <v>5013</v>
      </c>
      <c r="E1105" t="s">
        <v>5033</v>
      </c>
      <c r="F1105" t="s">
        <v>5036</v>
      </c>
      <c r="G1105" s="3">
        <v>3092.92</v>
      </c>
      <c r="H1105" s="3">
        <v>402.08</v>
      </c>
      <c r="I1105" s="3">
        <f>SUM(Tabla1[[#This Row],[Monto_Base]],H1105)</f>
        <v>3495</v>
      </c>
      <c r="J1105" t="s">
        <v>5045</v>
      </c>
      <c r="K1105" t="s">
        <v>5048</v>
      </c>
      <c r="L1105" t="s">
        <v>5050</v>
      </c>
      <c r="M1105" t="s">
        <v>5054</v>
      </c>
    </row>
    <row r="1106" spans="1:13" x14ac:dyDescent="0.3">
      <c r="A1106" s="1">
        <v>45584</v>
      </c>
      <c r="B1106" s="1" t="str">
        <f>TEXT(Tabla1[[#This Row],[Fecha]],"MMMM")</f>
        <v>octubre</v>
      </c>
      <c r="C1106" t="s">
        <v>1116</v>
      </c>
      <c r="D1106" t="s">
        <v>5028</v>
      </c>
      <c r="E1106" t="s">
        <v>5032</v>
      </c>
      <c r="F1106" t="s">
        <v>5034</v>
      </c>
      <c r="G1106" s="3">
        <v>12494.42</v>
      </c>
      <c r="H1106" s="3">
        <v>0</v>
      </c>
      <c r="I1106" s="3">
        <f>SUM(Tabla1[[#This Row],[Monto_Base]],H1106)</f>
        <v>12494.42</v>
      </c>
      <c r="J1106" t="s">
        <v>5043</v>
      </c>
      <c r="K1106" t="s">
        <v>5049</v>
      </c>
      <c r="L1106" t="s">
        <v>5051</v>
      </c>
      <c r="M1106" t="s">
        <v>5055</v>
      </c>
    </row>
    <row r="1107" spans="1:13" x14ac:dyDescent="0.3">
      <c r="A1107" s="1">
        <v>45328</v>
      </c>
      <c r="B1107" s="1" t="str">
        <f>TEXT(Tabla1[[#This Row],[Fecha]],"MMMM")</f>
        <v>febrero</v>
      </c>
      <c r="C1107" t="s">
        <v>1117</v>
      </c>
      <c r="D1107" t="s">
        <v>5013</v>
      </c>
      <c r="E1107" t="s">
        <v>5032</v>
      </c>
      <c r="F1107" t="s">
        <v>5037</v>
      </c>
      <c r="G1107" s="3">
        <v>9400.7900000000009</v>
      </c>
      <c r="H1107" s="3">
        <v>0</v>
      </c>
      <c r="I1107" s="3">
        <f>SUM(Tabla1[[#This Row],[Monto_Base]],H1107)</f>
        <v>9400.7900000000009</v>
      </c>
      <c r="J1107" t="s">
        <v>5042</v>
      </c>
      <c r="K1107" t="s">
        <v>5047</v>
      </c>
      <c r="L1107" t="s">
        <v>5052</v>
      </c>
      <c r="M1107" t="s">
        <v>5055</v>
      </c>
    </row>
    <row r="1108" spans="1:13" x14ac:dyDescent="0.3">
      <c r="A1108" s="1">
        <v>45568</v>
      </c>
      <c r="B1108" s="1" t="str">
        <f>TEXT(Tabla1[[#This Row],[Fecha]],"MMMM")</f>
        <v>octubre</v>
      </c>
      <c r="C1108" t="s">
        <v>1118</v>
      </c>
      <c r="D1108" t="s">
        <v>5013</v>
      </c>
      <c r="E1108" t="s">
        <v>5032</v>
      </c>
      <c r="F1108" t="s">
        <v>5034</v>
      </c>
      <c r="G1108" s="3">
        <v>819.61</v>
      </c>
      <c r="H1108" s="3">
        <v>0</v>
      </c>
      <c r="I1108" s="3">
        <f>SUM(Tabla1[[#This Row],[Monto_Base]],H1108)</f>
        <v>819.61</v>
      </c>
      <c r="J1108" t="s">
        <v>5044</v>
      </c>
      <c r="K1108" t="s">
        <v>5047</v>
      </c>
      <c r="L1108" t="s">
        <v>5052</v>
      </c>
      <c r="M1108" t="s">
        <v>5055</v>
      </c>
    </row>
    <row r="1109" spans="1:13" x14ac:dyDescent="0.3">
      <c r="A1109" s="1">
        <v>45372</v>
      </c>
      <c r="B1109" s="1" t="str">
        <f>TEXT(Tabla1[[#This Row],[Fecha]],"MMMM")</f>
        <v>marzo</v>
      </c>
      <c r="C1109" t="s">
        <v>1119</v>
      </c>
      <c r="D1109" t="s">
        <v>5019</v>
      </c>
      <c r="E1109" t="s">
        <v>5032</v>
      </c>
      <c r="F1109" t="s">
        <v>5036</v>
      </c>
      <c r="G1109" s="3">
        <v>13093.02</v>
      </c>
      <c r="H1109" s="3">
        <v>0</v>
      </c>
      <c r="I1109" s="3">
        <f>SUM(Tabla1[[#This Row],[Monto_Base]],H1109)</f>
        <v>13093.02</v>
      </c>
      <c r="J1109" t="s">
        <v>5044</v>
      </c>
      <c r="K1109" t="s">
        <v>5047</v>
      </c>
      <c r="L1109" t="s">
        <v>5052</v>
      </c>
      <c r="M1109" t="s">
        <v>5055</v>
      </c>
    </row>
    <row r="1110" spans="1:13" x14ac:dyDescent="0.3">
      <c r="A1110" s="1">
        <v>45426</v>
      </c>
      <c r="B1110" s="1" t="str">
        <f>TEXT(Tabla1[[#This Row],[Fecha]],"MMMM")</f>
        <v>mayo</v>
      </c>
      <c r="C1110" t="s">
        <v>1120</v>
      </c>
      <c r="D1110" t="s">
        <v>5014</v>
      </c>
      <c r="E1110" t="s">
        <v>5033</v>
      </c>
      <c r="F1110" t="s">
        <v>5036</v>
      </c>
      <c r="G1110" s="3">
        <v>8762.4500000000007</v>
      </c>
      <c r="H1110" s="3">
        <v>1139.1199999999999</v>
      </c>
      <c r="I1110" s="3">
        <f>SUM(Tabla1[[#This Row],[Monto_Base]],H1110)</f>
        <v>9901.57</v>
      </c>
      <c r="J1110" t="s">
        <v>5045</v>
      </c>
      <c r="K1110" t="s">
        <v>5047</v>
      </c>
      <c r="L1110" t="s">
        <v>5051</v>
      </c>
      <c r="M1110" t="s">
        <v>5055</v>
      </c>
    </row>
    <row r="1111" spans="1:13" x14ac:dyDescent="0.3">
      <c r="A1111" s="1">
        <v>45572</v>
      </c>
      <c r="B1111" s="1" t="str">
        <f>TEXT(Tabla1[[#This Row],[Fecha]],"MMMM")</f>
        <v>octubre</v>
      </c>
      <c r="C1111" t="s">
        <v>1121</v>
      </c>
      <c r="D1111" t="s">
        <v>5024</v>
      </c>
      <c r="E1111" t="s">
        <v>5032</v>
      </c>
      <c r="F1111" t="s">
        <v>5035</v>
      </c>
      <c r="G1111" s="3">
        <v>2132.36</v>
      </c>
      <c r="H1111" s="3">
        <v>0</v>
      </c>
      <c r="I1111" s="3">
        <f>SUM(Tabla1[[#This Row],[Monto_Base]],H1111)</f>
        <v>2132.36</v>
      </c>
      <c r="J1111" t="s">
        <v>5044</v>
      </c>
      <c r="K1111" t="s">
        <v>5049</v>
      </c>
      <c r="L1111" t="s">
        <v>5053</v>
      </c>
      <c r="M1111" t="s">
        <v>5054</v>
      </c>
    </row>
    <row r="1112" spans="1:13" x14ac:dyDescent="0.3">
      <c r="A1112" s="1">
        <v>45505</v>
      </c>
      <c r="B1112" s="1" t="str">
        <f>TEXT(Tabla1[[#This Row],[Fecha]],"MMMM")</f>
        <v>agosto</v>
      </c>
      <c r="C1112" t="s">
        <v>1122</v>
      </c>
      <c r="D1112" t="s">
        <v>5030</v>
      </c>
      <c r="E1112" t="s">
        <v>5033</v>
      </c>
      <c r="F1112" t="s">
        <v>5040</v>
      </c>
      <c r="G1112" s="3">
        <v>14716.79</v>
      </c>
      <c r="H1112" s="3">
        <v>1913.18</v>
      </c>
      <c r="I1112" s="3">
        <f>SUM(Tabla1[[#This Row],[Monto_Base]],H1112)</f>
        <v>16629.97</v>
      </c>
      <c r="J1112" t="s">
        <v>5042</v>
      </c>
      <c r="K1112" t="s">
        <v>5049</v>
      </c>
      <c r="L1112" t="s">
        <v>5053</v>
      </c>
      <c r="M1112" t="s">
        <v>5055</v>
      </c>
    </row>
    <row r="1113" spans="1:13" x14ac:dyDescent="0.3">
      <c r="A1113" s="1">
        <v>45551</v>
      </c>
      <c r="B1113" s="1" t="str">
        <f>TEXT(Tabla1[[#This Row],[Fecha]],"MMMM")</f>
        <v>septiembre</v>
      </c>
      <c r="C1113" t="s">
        <v>1123</v>
      </c>
      <c r="D1113" t="s">
        <v>5021</v>
      </c>
      <c r="E1113" t="s">
        <v>5033</v>
      </c>
      <c r="F1113" t="s">
        <v>5036</v>
      </c>
      <c r="G1113" s="3">
        <v>582.22</v>
      </c>
      <c r="H1113" s="3">
        <v>75.69</v>
      </c>
      <c r="I1113" s="3">
        <f>SUM(Tabla1[[#This Row],[Monto_Base]],H1113)</f>
        <v>657.91000000000008</v>
      </c>
      <c r="J1113" t="s">
        <v>5046</v>
      </c>
      <c r="K1113" t="s">
        <v>5049</v>
      </c>
      <c r="L1113" t="s">
        <v>5051</v>
      </c>
      <c r="M1113" t="s">
        <v>5055</v>
      </c>
    </row>
    <row r="1114" spans="1:13" x14ac:dyDescent="0.3">
      <c r="A1114" s="1">
        <v>45305</v>
      </c>
      <c r="B1114" s="1" t="str">
        <f>TEXT(Tabla1[[#This Row],[Fecha]],"MMMM")</f>
        <v>enero</v>
      </c>
      <c r="C1114" t="s">
        <v>1124</v>
      </c>
      <c r="D1114" t="s">
        <v>5029</v>
      </c>
      <c r="E1114" t="s">
        <v>5033</v>
      </c>
      <c r="F1114" t="s">
        <v>5035</v>
      </c>
      <c r="G1114" s="3">
        <v>13972.14</v>
      </c>
      <c r="H1114" s="3">
        <v>1816.38</v>
      </c>
      <c r="I1114" s="3">
        <f>SUM(Tabla1[[#This Row],[Monto_Base]],H1114)</f>
        <v>15788.52</v>
      </c>
      <c r="J1114" t="s">
        <v>5046</v>
      </c>
      <c r="K1114" t="s">
        <v>5049</v>
      </c>
      <c r="L1114" t="s">
        <v>5050</v>
      </c>
      <c r="M1114" t="s">
        <v>5054</v>
      </c>
    </row>
    <row r="1115" spans="1:13" x14ac:dyDescent="0.3">
      <c r="A1115" s="1">
        <v>45512</v>
      </c>
      <c r="B1115" s="1" t="str">
        <f>TEXT(Tabla1[[#This Row],[Fecha]],"MMMM")</f>
        <v>agosto</v>
      </c>
      <c r="C1115" t="s">
        <v>1125</v>
      </c>
      <c r="D1115" t="s">
        <v>5022</v>
      </c>
      <c r="E1115" t="s">
        <v>5032</v>
      </c>
      <c r="F1115" t="s">
        <v>5037</v>
      </c>
      <c r="G1115" s="3">
        <v>10446.84</v>
      </c>
      <c r="H1115" s="3">
        <v>0</v>
      </c>
      <c r="I1115" s="3">
        <f>SUM(Tabla1[[#This Row],[Monto_Base]],H1115)</f>
        <v>10446.84</v>
      </c>
      <c r="J1115" t="s">
        <v>5043</v>
      </c>
      <c r="K1115" t="s">
        <v>5049</v>
      </c>
      <c r="L1115" t="s">
        <v>5052</v>
      </c>
      <c r="M1115" t="s">
        <v>5054</v>
      </c>
    </row>
    <row r="1116" spans="1:13" x14ac:dyDescent="0.3">
      <c r="A1116" s="1">
        <v>45515</v>
      </c>
      <c r="B1116" s="1" t="str">
        <f>TEXT(Tabla1[[#This Row],[Fecha]],"MMMM")</f>
        <v>agosto</v>
      </c>
      <c r="C1116" t="s">
        <v>1126</v>
      </c>
      <c r="D1116" t="s">
        <v>5030</v>
      </c>
      <c r="E1116" t="s">
        <v>5032</v>
      </c>
      <c r="F1116" t="s">
        <v>5040</v>
      </c>
      <c r="G1116" s="3">
        <v>2945</v>
      </c>
      <c r="H1116" s="3">
        <v>0</v>
      </c>
      <c r="I1116" s="3">
        <f>SUM(Tabla1[[#This Row],[Monto_Base]],H1116)</f>
        <v>2945</v>
      </c>
      <c r="J1116" t="s">
        <v>5045</v>
      </c>
      <c r="K1116" t="s">
        <v>5047</v>
      </c>
      <c r="L1116" t="s">
        <v>5052</v>
      </c>
      <c r="M1116" t="s">
        <v>5054</v>
      </c>
    </row>
    <row r="1117" spans="1:13" x14ac:dyDescent="0.3">
      <c r="A1117" s="1">
        <v>45299</v>
      </c>
      <c r="B1117" s="1" t="str">
        <f>TEXT(Tabla1[[#This Row],[Fecha]],"MMMM")</f>
        <v>enero</v>
      </c>
      <c r="C1117" t="s">
        <v>1127</v>
      </c>
      <c r="D1117" t="s">
        <v>5017</v>
      </c>
      <c r="E1117" t="s">
        <v>5032</v>
      </c>
      <c r="F1117" t="s">
        <v>5035</v>
      </c>
      <c r="G1117" s="3">
        <v>14864.53</v>
      </c>
      <c r="H1117" s="3">
        <v>0</v>
      </c>
      <c r="I1117" s="3">
        <f>SUM(Tabla1[[#This Row],[Monto_Base]],H1117)</f>
        <v>14864.53</v>
      </c>
      <c r="J1117" t="s">
        <v>5046</v>
      </c>
      <c r="K1117" t="s">
        <v>5047</v>
      </c>
      <c r="L1117" t="s">
        <v>5053</v>
      </c>
      <c r="M1117" t="s">
        <v>5054</v>
      </c>
    </row>
    <row r="1118" spans="1:13" x14ac:dyDescent="0.3">
      <c r="A1118" s="1">
        <v>45471</v>
      </c>
      <c r="B1118" s="1" t="str">
        <f>TEXT(Tabla1[[#This Row],[Fecha]],"MMMM")</f>
        <v>junio</v>
      </c>
      <c r="C1118" t="s">
        <v>1128</v>
      </c>
      <c r="D1118" t="s">
        <v>5018</v>
      </c>
      <c r="E1118" t="s">
        <v>5033</v>
      </c>
      <c r="F1118" t="s">
        <v>5038</v>
      </c>
      <c r="G1118" s="3">
        <v>703.61</v>
      </c>
      <c r="H1118" s="3">
        <v>91.47</v>
      </c>
      <c r="I1118" s="3">
        <f>SUM(Tabla1[[#This Row],[Monto_Base]],H1118)</f>
        <v>795.08</v>
      </c>
      <c r="J1118" t="s">
        <v>5042</v>
      </c>
      <c r="K1118" t="s">
        <v>5049</v>
      </c>
      <c r="L1118" t="s">
        <v>5052</v>
      </c>
      <c r="M1118" t="s">
        <v>5055</v>
      </c>
    </row>
    <row r="1119" spans="1:13" x14ac:dyDescent="0.3">
      <c r="A1119" s="1">
        <v>45628</v>
      </c>
      <c r="B1119" s="1" t="str">
        <f>TEXT(Tabla1[[#This Row],[Fecha]],"MMMM")</f>
        <v>diciembre</v>
      </c>
      <c r="C1119" t="s">
        <v>1129</v>
      </c>
      <c r="D1119" t="s">
        <v>5031</v>
      </c>
      <c r="E1119" t="s">
        <v>5032</v>
      </c>
      <c r="F1119" t="s">
        <v>5041</v>
      </c>
      <c r="G1119" s="3">
        <v>9880.86</v>
      </c>
      <c r="H1119" s="3">
        <v>0</v>
      </c>
      <c r="I1119" s="3">
        <f>SUM(Tabla1[[#This Row],[Monto_Base]],H1119)</f>
        <v>9880.86</v>
      </c>
      <c r="J1119" t="s">
        <v>5045</v>
      </c>
      <c r="K1119" t="s">
        <v>5047</v>
      </c>
      <c r="L1119" t="s">
        <v>5051</v>
      </c>
      <c r="M1119" t="s">
        <v>5054</v>
      </c>
    </row>
    <row r="1120" spans="1:13" x14ac:dyDescent="0.3">
      <c r="A1120" s="1">
        <v>45479</v>
      </c>
      <c r="B1120" s="1" t="str">
        <f>TEXT(Tabla1[[#This Row],[Fecha]],"MMMM")</f>
        <v>julio</v>
      </c>
      <c r="C1120" t="s">
        <v>1130</v>
      </c>
      <c r="D1120" t="s">
        <v>5020</v>
      </c>
      <c r="E1120" t="s">
        <v>5033</v>
      </c>
      <c r="F1120" t="s">
        <v>5041</v>
      </c>
      <c r="G1120" s="3">
        <v>10711.35</v>
      </c>
      <c r="H1120" s="3">
        <v>1392.48</v>
      </c>
      <c r="I1120" s="3">
        <f>SUM(Tabla1[[#This Row],[Monto_Base]],H1120)</f>
        <v>12103.83</v>
      </c>
      <c r="J1120" t="s">
        <v>5042</v>
      </c>
      <c r="K1120" t="s">
        <v>5048</v>
      </c>
      <c r="L1120" t="s">
        <v>5052</v>
      </c>
      <c r="M1120" t="s">
        <v>5055</v>
      </c>
    </row>
    <row r="1121" spans="1:13" x14ac:dyDescent="0.3">
      <c r="A1121" s="1">
        <v>45502</v>
      </c>
      <c r="B1121" s="1" t="str">
        <f>TEXT(Tabla1[[#This Row],[Fecha]],"MMMM")</f>
        <v>julio</v>
      </c>
      <c r="C1121" t="s">
        <v>1131</v>
      </c>
      <c r="D1121" t="s">
        <v>5016</v>
      </c>
      <c r="E1121" t="s">
        <v>5033</v>
      </c>
      <c r="F1121" t="s">
        <v>5035</v>
      </c>
      <c r="G1121" s="3">
        <v>5232.2</v>
      </c>
      <c r="H1121" s="3">
        <v>680.19</v>
      </c>
      <c r="I1121" s="3">
        <f>SUM(Tabla1[[#This Row],[Monto_Base]],H1121)</f>
        <v>5912.3899999999994</v>
      </c>
      <c r="J1121" t="s">
        <v>5042</v>
      </c>
      <c r="K1121" t="s">
        <v>5048</v>
      </c>
      <c r="L1121" t="s">
        <v>5051</v>
      </c>
      <c r="M1121" t="s">
        <v>5054</v>
      </c>
    </row>
    <row r="1122" spans="1:13" x14ac:dyDescent="0.3">
      <c r="A1122" s="1">
        <v>45399</v>
      </c>
      <c r="B1122" s="1" t="str">
        <f>TEXT(Tabla1[[#This Row],[Fecha]],"MMMM")</f>
        <v>abril</v>
      </c>
      <c r="C1122" t="s">
        <v>1132</v>
      </c>
      <c r="D1122" t="s">
        <v>5026</v>
      </c>
      <c r="E1122" t="s">
        <v>5033</v>
      </c>
      <c r="F1122" t="s">
        <v>5038</v>
      </c>
      <c r="G1122" s="3">
        <v>11141.53</v>
      </c>
      <c r="H1122" s="3">
        <v>1448.4</v>
      </c>
      <c r="I1122" s="3">
        <f>SUM(Tabla1[[#This Row],[Monto_Base]],H1122)</f>
        <v>12589.93</v>
      </c>
      <c r="J1122" t="s">
        <v>5045</v>
      </c>
      <c r="K1122" t="s">
        <v>5048</v>
      </c>
      <c r="L1122" t="s">
        <v>5052</v>
      </c>
      <c r="M1122" t="s">
        <v>5054</v>
      </c>
    </row>
    <row r="1123" spans="1:13" x14ac:dyDescent="0.3">
      <c r="A1123" s="1">
        <v>45309</v>
      </c>
      <c r="B1123" s="1" t="str">
        <f>TEXT(Tabla1[[#This Row],[Fecha]],"MMMM")</f>
        <v>enero</v>
      </c>
      <c r="C1123" t="s">
        <v>1133</v>
      </c>
      <c r="D1123" t="s">
        <v>5018</v>
      </c>
      <c r="E1123" t="s">
        <v>5032</v>
      </c>
      <c r="F1123" t="s">
        <v>5036</v>
      </c>
      <c r="G1123" s="3">
        <v>368.28</v>
      </c>
      <c r="H1123" s="3">
        <v>0</v>
      </c>
      <c r="I1123" s="3">
        <f>SUM(Tabla1[[#This Row],[Monto_Base]],H1123)</f>
        <v>368.28</v>
      </c>
      <c r="J1123" t="s">
        <v>5044</v>
      </c>
      <c r="K1123" t="s">
        <v>5048</v>
      </c>
      <c r="L1123" t="s">
        <v>5050</v>
      </c>
      <c r="M1123" t="s">
        <v>5055</v>
      </c>
    </row>
    <row r="1124" spans="1:13" x14ac:dyDescent="0.3">
      <c r="A1124" s="1">
        <v>45487</v>
      </c>
      <c r="B1124" s="1" t="str">
        <f>TEXT(Tabla1[[#This Row],[Fecha]],"MMMM")</f>
        <v>julio</v>
      </c>
      <c r="C1124" t="s">
        <v>1134</v>
      </c>
      <c r="D1124" t="s">
        <v>5012</v>
      </c>
      <c r="E1124" t="s">
        <v>5032</v>
      </c>
      <c r="F1124" t="s">
        <v>5037</v>
      </c>
      <c r="G1124" s="3">
        <v>7455.59</v>
      </c>
      <c r="H1124" s="3">
        <v>0</v>
      </c>
      <c r="I1124" s="3">
        <f>SUM(Tabla1[[#This Row],[Monto_Base]],H1124)</f>
        <v>7455.59</v>
      </c>
      <c r="J1124" t="s">
        <v>5043</v>
      </c>
      <c r="K1124" t="s">
        <v>5048</v>
      </c>
      <c r="L1124" t="s">
        <v>5053</v>
      </c>
      <c r="M1124" t="s">
        <v>5054</v>
      </c>
    </row>
    <row r="1125" spans="1:13" x14ac:dyDescent="0.3">
      <c r="A1125" s="1">
        <v>45630</v>
      </c>
      <c r="B1125" s="1" t="str">
        <f>TEXT(Tabla1[[#This Row],[Fecha]],"MMMM")</f>
        <v>diciembre</v>
      </c>
      <c r="C1125" t="s">
        <v>1135</v>
      </c>
      <c r="D1125" t="s">
        <v>5027</v>
      </c>
      <c r="E1125" t="s">
        <v>5033</v>
      </c>
      <c r="F1125" t="s">
        <v>5037</v>
      </c>
      <c r="G1125" s="3">
        <v>8010.75</v>
      </c>
      <c r="H1125" s="3">
        <v>1041.4000000000001</v>
      </c>
      <c r="I1125" s="3">
        <f>SUM(Tabla1[[#This Row],[Monto_Base]],H1125)</f>
        <v>9052.15</v>
      </c>
      <c r="J1125" t="s">
        <v>5044</v>
      </c>
      <c r="K1125" t="s">
        <v>5047</v>
      </c>
      <c r="L1125" t="s">
        <v>5051</v>
      </c>
      <c r="M1125" t="s">
        <v>5054</v>
      </c>
    </row>
    <row r="1126" spans="1:13" x14ac:dyDescent="0.3">
      <c r="A1126" s="1">
        <v>45610</v>
      </c>
      <c r="B1126" s="1" t="str">
        <f>TEXT(Tabla1[[#This Row],[Fecha]],"MMMM")</f>
        <v>noviembre</v>
      </c>
      <c r="C1126" t="s">
        <v>1136</v>
      </c>
      <c r="D1126" t="s">
        <v>5029</v>
      </c>
      <c r="E1126" t="s">
        <v>5033</v>
      </c>
      <c r="F1126" t="s">
        <v>5035</v>
      </c>
      <c r="G1126" s="3">
        <v>5147.12</v>
      </c>
      <c r="H1126" s="3">
        <v>669.13</v>
      </c>
      <c r="I1126" s="3">
        <f>SUM(Tabla1[[#This Row],[Monto_Base]],H1126)</f>
        <v>5816.25</v>
      </c>
      <c r="J1126" t="s">
        <v>5043</v>
      </c>
      <c r="K1126" t="s">
        <v>5048</v>
      </c>
      <c r="L1126" t="s">
        <v>5053</v>
      </c>
      <c r="M1126" t="s">
        <v>5054</v>
      </c>
    </row>
    <row r="1127" spans="1:13" x14ac:dyDescent="0.3">
      <c r="A1127" s="1">
        <v>45582</v>
      </c>
      <c r="B1127" s="1" t="str">
        <f>TEXT(Tabla1[[#This Row],[Fecha]],"MMMM")</f>
        <v>octubre</v>
      </c>
      <c r="C1127" t="s">
        <v>1137</v>
      </c>
      <c r="D1127" t="s">
        <v>5029</v>
      </c>
      <c r="E1127" t="s">
        <v>5032</v>
      </c>
      <c r="F1127" t="s">
        <v>5037</v>
      </c>
      <c r="G1127" s="3">
        <v>8610.41</v>
      </c>
      <c r="H1127" s="3">
        <v>0</v>
      </c>
      <c r="I1127" s="3">
        <f>SUM(Tabla1[[#This Row],[Monto_Base]],H1127)</f>
        <v>8610.41</v>
      </c>
      <c r="J1127" t="s">
        <v>5042</v>
      </c>
      <c r="K1127" t="s">
        <v>5048</v>
      </c>
      <c r="L1127" t="s">
        <v>5052</v>
      </c>
      <c r="M1127" t="s">
        <v>5055</v>
      </c>
    </row>
    <row r="1128" spans="1:13" x14ac:dyDescent="0.3">
      <c r="A1128" s="1">
        <v>45641</v>
      </c>
      <c r="B1128" s="1" t="str">
        <f>TEXT(Tabla1[[#This Row],[Fecha]],"MMMM")</f>
        <v>diciembre</v>
      </c>
      <c r="C1128" t="s">
        <v>1138</v>
      </c>
      <c r="D1128" t="s">
        <v>5024</v>
      </c>
      <c r="E1128" t="s">
        <v>5033</v>
      </c>
      <c r="F1128" t="s">
        <v>5035</v>
      </c>
      <c r="G1128" s="3">
        <v>4246.47</v>
      </c>
      <c r="H1128" s="3">
        <v>552.04</v>
      </c>
      <c r="I1128" s="3">
        <f>SUM(Tabla1[[#This Row],[Monto_Base]],H1128)</f>
        <v>4798.51</v>
      </c>
      <c r="J1128" t="s">
        <v>5044</v>
      </c>
      <c r="K1128" t="s">
        <v>5047</v>
      </c>
      <c r="L1128" t="s">
        <v>5052</v>
      </c>
      <c r="M1128" t="s">
        <v>5055</v>
      </c>
    </row>
    <row r="1129" spans="1:13" x14ac:dyDescent="0.3">
      <c r="A1129" s="1">
        <v>45477</v>
      </c>
      <c r="B1129" s="1" t="str">
        <f>TEXT(Tabla1[[#This Row],[Fecha]],"MMMM")</f>
        <v>julio</v>
      </c>
      <c r="C1129" t="s">
        <v>1139</v>
      </c>
      <c r="D1129" t="s">
        <v>5014</v>
      </c>
      <c r="E1129" t="s">
        <v>5032</v>
      </c>
      <c r="F1129" t="s">
        <v>5035</v>
      </c>
      <c r="G1129" s="3">
        <v>9252.43</v>
      </c>
      <c r="H1129" s="3">
        <v>0</v>
      </c>
      <c r="I1129" s="3">
        <f>SUM(Tabla1[[#This Row],[Monto_Base]],H1129)</f>
        <v>9252.43</v>
      </c>
      <c r="J1129" t="s">
        <v>5044</v>
      </c>
      <c r="K1129" t="s">
        <v>5049</v>
      </c>
      <c r="L1129" t="s">
        <v>5051</v>
      </c>
      <c r="M1129" t="s">
        <v>5054</v>
      </c>
    </row>
    <row r="1130" spans="1:13" x14ac:dyDescent="0.3">
      <c r="A1130" s="1">
        <v>45519</v>
      </c>
      <c r="B1130" s="1" t="str">
        <f>TEXT(Tabla1[[#This Row],[Fecha]],"MMMM")</f>
        <v>agosto</v>
      </c>
      <c r="C1130" t="s">
        <v>1140</v>
      </c>
      <c r="D1130" t="s">
        <v>5021</v>
      </c>
      <c r="E1130" t="s">
        <v>5032</v>
      </c>
      <c r="F1130" t="s">
        <v>5038</v>
      </c>
      <c r="G1130" s="3">
        <v>12721.51</v>
      </c>
      <c r="H1130" s="3">
        <v>0</v>
      </c>
      <c r="I1130" s="3">
        <f>SUM(Tabla1[[#This Row],[Monto_Base]],H1130)</f>
        <v>12721.51</v>
      </c>
      <c r="J1130" t="s">
        <v>5043</v>
      </c>
      <c r="K1130" t="s">
        <v>5047</v>
      </c>
      <c r="L1130" t="s">
        <v>5050</v>
      </c>
      <c r="M1130" t="s">
        <v>5054</v>
      </c>
    </row>
    <row r="1131" spans="1:13" x14ac:dyDescent="0.3">
      <c r="A1131" s="1">
        <v>45576</v>
      </c>
      <c r="B1131" s="1" t="str">
        <f>TEXT(Tabla1[[#This Row],[Fecha]],"MMMM")</f>
        <v>octubre</v>
      </c>
      <c r="C1131" t="s">
        <v>1141</v>
      </c>
      <c r="D1131" t="s">
        <v>5022</v>
      </c>
      <c r="E1131" t="s">
        <v>5032</v>
      </c>
      <c r="F1131" t="s">
        <v>5041</v>
      </c>
      <c r="G1131" s="3">
        <v>9584.26</v>
      </c>
      <c r="H1131" s="3">
        <v>0</v>
      </c>
      <c r="I1131" s="3">
        <f>SUM(Tabla1[[#This Row],[Monto_Base]],H1131)</f>
        <v>9584.26</v>
      </c>
      <c r="J1131" t="s">
        <v>5046</v>
      </c>
      <c r="K1131" t="s">
        <v>5048</v>
      </c>
      <c r="L1131" t="s">
        <v>5053</v>
      </c>
      <c r="M1131" t="s">
        <v>5054</v>
      </c>
    </row>
    <row r="1132" spans="1:13" x14ac:dyDescent="0.3">
      <c r="A1132" s="1">
        <v>45424</v>
      </c>
      <c r="B1132" s="1" t="str">
        <f>TEXT(Tabla1[[#This Row],[Fecha]],"MMMM")</f>
        <v>mayo</v>
      </c>
      <c r="C1132" t="s">
        <v>1142</v>
      </c>
      <c r="D1132" t="s">
        <v>5014</v>
      </c>
      <c r="E1132" t="s">
        <v>5032</v>
      </c>
      <c r="F1132" t="s">
        <v>5036</v>
      </c>
      <c r="G1132" s="3">
        <v>6634.57</v>
      </c>
      <c r="H1132" s="3">
        <v>0</v>
      </c>
      <c r="I1132" s="3">
        <f>SUM(Tabla1[[#This Row],[Monto_Base]],H1132)</f>
        <v>6634.57</v>
      </c>
      <c r="J1132" t="s">
        <v>5044</v>
      </c>
      <c r="K1132" t="s">
        <v>5048</v>
      </c>
      <c r="L1132" t="s">
        <v>5050</v>
      </c>
      <c r="M1132" t="s">
        <v>5054</v>
      </c>
    </row>
    <row r="1133" spans="1:13" x14ac:dyDescent="0.3">
      <c r="A1133" s="1">
        <v>45627</v>
      </c>
      <c r="B1133" s="1" t="str">
        <f>TEXT(Tabla1[[#This Row],[Fecha]],"MMMM")</f>
        <v>diciembre</v>
      </c>
      <c r="C1133" t="s">
        <v>1143</v>
      </c>
      <c r="D1133" t="s">
        <v>5026</v>
      </c>
      <c r="E1133" t="s">
        <v>5033</v>
      </c>
      <c r="F1133" t="s">
        <v>5035</v>
      </c>
      <c r="G1133" s="3">
        <v>3528.45</v>
      </c>
      <c r="H1133" s="3">
        <v>458.7</v>
      </c>
      <c r="I1133" s="3">
        <f>SUM(Tabla1[[#This Row],[Monto_Base]],H1133)</f>
        <v>3987.1499999999996</v>
      </c>
      <c r="J1133" t="s">
        <v>5045</v>
      </c>
      <c r="K1133" t="s">
        <v>5047</v>
      </c>
      <c r="L1133" t="s">
        <v>5050</v>
      </c>
      <c r="M1133" t="s">
        <v>5055</v>
      </c>
    </row>
    <row r="1134" spans="1:13" x14ac:dyDescent="0.3">
      <c r="A1134" s="1">
        <v>45424</v>
      </c>
      <c r="B1134" s="1" t="str">
        <f>TEXT(Tabla1[[#This Row],[Fecha]],"MMMM")</f>
        <v>mayo</v>
      </c>
      <c r="C1134" t="s">
        <v>1144</v>
      </c>
      <c r="D1134" t="s">
        <v>5023</v>
      </c>
      <c r="E1134" t="s">
        <v>5033</v>
      </c>
      <c r="F1134" t="s">
        <v>5035</v>
      </c>
      <c r="G1134" s="3">
        <v>14277.97</v>
      </c>
      <c r="H1134" s="3">
        <v>1856.14</v>
      </c>
      <c r="I1134" s="3">
        <f>SUM(Tabla1[[#This Row],[Monto_Base]],H1134)</f>
        <v>16134.109999999999</v>
      </c>
      <c r="J1134" t="s">
        <v>5044</v>
      </c>
      <c r="K1134" t="s">
        <v>5047</v>
      </c>
      <c r="L1134" t="s">
        <v>5051</v>
      </c>
      <c r="M1134" t="s">
        <v>5054</v>
      </c>
    </row>
    <row r="1135" spans="1:13" x14ac:dyDescent="0.3">
      <c r="A1135" s="1">
        <v>45349</v>
      </c>
      <c r="B1135" s="1" t="str">
        <f>TEXT(Tabla1[[#This Row],[Fecha]],"MMMM")</f>
        <v>febrero</v>
      </c>
      <c r="C1135" t="s">
        <v>1145</v>
      </c>
      <c r="D1135" t="s">
        <v>5015</v>
      </c>
      <c r="E1135" t="s">
        <v>5033</v>
      </c>
      <c r="F1135" t="s">
        <v>5036</v>
      </c>
      <c r="G1135" s="3">
        <v>7628.72</v>
      </c>
      <c r="H1135" s="3">
        <v>991.73</v>
      </c>
      <c r="I1135" s="3">
        <f>SUM(Tabla1[[#This Row],[Monto_Base]],H1135)</f>
        <v>8620.4500000000007</v>
      </c>
      <c r="J1135" t="s">
        <v>5042</v>
      </c>
      <c r="K1135" t="s">
        <v>5047</v>
      </c>
      <c r="L1135" t="s">
        <v>5052</v>
      </c>
      <c r="M1135" t="s">
        <v>5054</v>
      </c>
    </row>
    <row r="1136" spans="1:13" x14ac:dyDescent="0.3">
      <c r="A1136" s="1">
        <v>45510</v>
      </c>
      <c r="B1136" s="1" t="str">
        <f>TEXT(Tabla1[[#This Row],[Fecha]],"MMMM")</f>
        <v>agosto</v>
      </c>
      <c r="C1136" t="s">
        <v>1146</v>
      </c>
      <c r="D1136" t="s">
        <v>5014</v>
      </c>
      <c r="E1136" t="s">
        <v>5032</v>
      </c>
      <c r="F1136" t="s">
        <v>5037</v>
      </c>
      <c r="G1136" s="3">
        <v>1117.33</v>
      </c>
      <c r="H1136" s="3">
        <v>0</v>
      </c>
      <c r="I1136" s="3">
        <f>SUM(Tabla1[[#This Row],[Monto_Base]],H1136)</f>
        <v>1117.33</v>
      </c>
      <c r="J1136" t="s">
        <v>5044</v>
      </c>
      <c r="K1136" t="s">
        <v>5047</v>
      </c>
      <c r="L1136" t="s">
        <v>5053</v>
      </c>
      <c r="M1136" t="s">
        <v>5055</v>
      </c>
    </row>
    <row r="1137" spans="1:13" x14ac:dyDescent="0.3">
      <c r="A1137" s="1">
        <v>45442</v>
      </c>
      <c r="B1137" s="1" t="str">
        <f>TEXT(Tabla1[[#This Row],[Fecha]],"MMMM")</f>
        <v>mayo</v>
      </c>
      <c r="C1137" t="s">
        <v>1147</v>
      </c>
      <c r="D1137" t="s">
        <v>5020</v>
      </c>
      <c r="E1137" t="s">
        <v>5032</v>
      </c>
      <c r="F1137" t="s">
        <v>5040</v>
      </c>
      <c r="G1137" s="3">
        <v>7086.74</v>
      </c>
      <c r="H1137" s="3">
        <v>0</v>
      </c>
      <c r="I1137" s="3">
        <f>SUM(Tabla1[[#This Row],[Monto_Base]],H1137)</f>
        <v>7086.74</v>
      </c>
      <c r="J1137" t="s">
        <v>5042</v>
      </c>
      <c r="K1137" t="s">
        <v>5047</v>
      </c>
      <c r="L1137" t="s">
        <v>5052</v>
      </c>
      <c r="M1137" t="s">
        <v>5055</v>
      </c>
    </row>
    <row r="1138" spans="1:13" x14ac:dyDescent="0.3">
      <c r="A1138" s="1">
        <v>45400</v>
      </c>
      <c r="B1138" s="1" t="str">
        <f>TEXT(Tabla1[[#This Row],[Fecha]],"MMMM")</f>
        <v>abril</v>
      </c>
      <c r="C1138" t="s">
        <v>1148</v>
      </c>
      <c r="D1138" t="s">
        <v>5021</v>
      </c>
      <c r="E1138" t="s">
        <v>5033</v>
      </c>
      <c r="F1138" t="s">
        <v>5035</v>
      </c>
      <c r="G1138" s="3">
        <v>1638.17</v>
      </c>
      <c r="H1138" s="3">
        <v>212.96</v>
      </c>
      <c r="I1138" s="3">
        <f>SUM(Tabla1[[#This Row],[Monto_Base]],H1138)</f>
        <v>1851.13</v>
      </c>
      <c r="J1138" t="s">
        <v>5044</v>
      </c>
      <c r="K1138" t="s">
        <v>5049</v>
      </c>
      <c r="L1138" t="s">
        <v>5051</v>
      </c>
      <c r="M1138" t="s">
        <v>5054</v>
      </c>
    </row>
    <row r="1139" spans="1:13" x14ac:dyDescent="0.3">
      <c r="A1139" s="1">
        <v>45624</v>
      </c>
      <c r="B1139" s="1" t="str">
        <f>TEXT(Tabla1[[#This Row],[Fecha]],"MMMM")</f>
        <v>noviembre</v>
      </c>
      <c r="C1139" t="s">
        <v>1149</v>
      </c>
      <c r="D1139" t="s">
        <v>5014</v>
      </c>
      <c r="E1139" t="s">
        <v>5033</v>
      </c>
      <c r="F1139" t="s">
        <v>5039</v>
      </c>
      <c r="G1139" s="3">
        <v>5747.29</v>
      </c>
      <c r="H1139" s="3">
        <v>747.15</v>
      </c>
      <c r="I1139" s="3">
        <f>SUM(Tabla1[[#This Row],[Monto_Base]],H1139)</f>
        <v>6494.44</v>
      </c>
      <c r="J1139" t="s">
        <v>5045</v>
      </c>
      <c r="K1139" t="s">
        <v>5047</v>
      </c>
      <c r="L1139" t="s">
        <v>5052</v>
      </c>
      <c r="M1139" t="s">
        <v>5055</v>
      </c>
    </row>
    <row r="1140" spans="1:13" x14ac:dyDescent="0.3">
      <c r="A1140" s="1">
        <v>45558</v>
      </c>
      <c r="B1140" s="1" t="str">
        <f>TEXT(Tabla1[[#This Row],[Fecha]],"MMMM")</f>
        <v>septiembre</v>
      </c>
      <c r="C1140" t="s">
        <v>1150</v>
      </c>
      <c r="D1140" t="s">
        <v>5023</v>
      </c>
      <c r="E1140" t="s">
        <v>5033</v>
      </c>
      <c r="F1140" t="s">
        <v>5041</v>
      </c>
      <c r="G1140" s="3">
        <v>9905.01</v>
      </c>
      <c r="H1140" s="3">
        <v>1287.6500000000001</v>
      </c>
      <c r="I1140" s="3">
        <f>SUM(Tabla1[[#This Row],[Monto_Base]],H1140)</f>
        <v>11192.66</v>
      </c>
      <c r="J1140" t="s">
        <v>5043</v>
      </c>
      <c r="K1140" t="s">
        <v>5048</v>
      </c>
      <c r="L1140" t="s">
        <v>5051</v>
      </c>
      <c r="M1140" t="s">
        <v>5054</v>
      </c>
    </row>
    <row r="1141" spans="1:13" x14ac:dyDescent="0.3">
      <c r="A1141" s="1">
        <v>45477</v>
      </c>
      <c r="B1141" s="1" t="str">
        <f>TEXT(Tabla1[[#This Row],[Fecha]],"MMMM")</f>
        <v>julio</v>
      </c>
      <c r="C1141" t="s">
        <v>1151</v>
      </c>
      <c r="D1141" t="s">
        <v>5024</v>
      </c>
      <c r="E1141" t="s">
        <v>5032</v>
      </c>
      <c r="F1141" t="s">
        <v>5034</v>
      </c>
      <c r="G1141" s="3">
        <v>11995.14</v>
      </c>
      <c r="H1141" s="3">
        <v>0</v>
      </c>
      <c r="I1141" s="3">
        <f>SUM(Tabla1[[#This Row],[Monto_Base]],H1141)</f>
        <v>11995.14</v>
      </c>
      <c r="J1141" t="s">
        <v>5046</v>
      </c>
      <c r="K1141" t="s">
        <v>5048</v>
      </c>
      <c r="L1141" t="s">
        <v>5051</v>
      </c>
      <c r="M1141" t="s">
        <v>5054</v>
      </c>
    </row>
    <row r="1142" spans="1:13" x14ac:dyDescent="0.3">
      <c r="A1142" s="1">
        <v>45578</v>
      </c>
      <c r="B1142" s="1" t="str">
        <f>TEXT(Tabla1[[#This Row],[Fecha]],"MMMM")</f>
        <v>octubre</v>
      </c>
      <c r="C1142" t="s">
        <v>1152</v>
      </c>
      <c r="D1142" t="s">
        <v>5018</v>
      </c>
      <c r="E1142" t="s">
        <v>5032</v>
      </c>
      <c r="F1142" t="s">
        <v>5040</v>
      </c>
      <c r="G1142" s="3">
        <v>1241.3699999999999</v>
      </c>
      <c r="H1142" s="3">
        <v>0</v>
      </c>
      <c r="I1142" s="3">
        <f>SUM(Tabla1[[#This Row],[Monto_Base]],H1142)</f>
        <v>1241.3699999999999</v>
      </c>
      <c r="J1142" t="s">
        <v>5042</v>
      </c>
      <c r="K1142" t="s">
        <v>5047</v>
      </c>
      <c r="L1142" t="s">
        <v>5051</v>
      </c>
      <c r="M1142" t="s">
        <v>5055</v>
      </c>
    </row>
    <row r="1143" spans="1:13" x14ac:dyDescent="0.3">
      <c r="A1143" s="1">
        <v>45356</v>
      </c>
      <c r="B1143" s="1" t="str">
        <f>TEXT(Tabla1[[#This Row],[Fecha]],"MMMM")</f>
        <v>marzo</v>
      </c>
      <c r="C1143" t="s">
        <v>1153</v>
      </c>
      <c r="D1143" t="s">
        <v>5018</v>
      </c>
      <c r="E1143" t="s">
        <v>5032</v>
      </c>
      <c r="F1143" t="s">
        <v>5034</v>
      </c>
      <c r="G1143" s="3">
        <v>8561.67</v>
      </c>
      <c r="H1143" s="3">
        <v>0</v>
      </c>
      <c r="I1143" s="3">
        <f>SUM(Tabla1[[#This Row],[Monto_Base]],H1143)</f>
        <v>8561.67</v>
      </c>
      <c r="J1143" t="s">
        <v>5042</v>
      </c>
      <c r="K1143" t="s">
        <v>5047</v>
      </c>
      <c r="L1143" t="s">
        <v>5050</v>
      </c>
      <c r="M1143" t="s">
        <v>5054</v>
      </c>
    </row>
    <row r="1144" spans="1:13" x14ac:dyDescent="0.3">
      <c r="A1144" s="1">
        <v>45501</v>
      </c>
      <c r="B1144" s="1" t="str">
        <f>TEXT(Tabla1[[#This Row],[Fecha]],"MMMM")</f>
        <v>julio</v>
      </c>
      <c r="C1144" t="s">
        <v>1154</v>
      </c>
      <c r="D1144" t="s">
        <v>5029</v>
      </c>
      <c r="E1144" t="s">
        <v>5032</v>
      </c>
      <c r="F1144" t="s">
        <v>5040</v>
      </c>
      <c r="G1144" s="3">
        <v>1813.56</v>
      </c>
      <c r="H1144" s="3">
        <v>0</v>
      </c>
      <c r="I1144" s="3">
        <f>SUM(Tabla1[[#This Row],[Monto_Base]],H1144)</f>
        <v>1813.56</v>
      </c>
      <c r="J1144" t="s">
        <v>5043</v>
      </c>
      <c r="K1144" t="s">
        <v>5049</v>
      </c>
      <c r="L1144" t="s">
        <v>5052</v>
      </c>
      <c r="M1144" t="s">
        <v>5055</v>
      </c>
    </row>
    <row r="1145" spans="1:13" x14ac:dyDescent="0.3">
      <c r="A1145" s="1">
        <v>45506</v>
      </c>
      <c r="B1145" s="1" t="str">
        <f>TEXT(Tabla1[[#This Row],[Fecha]],"MMMM")</f>
        <v>agosto</v>
      </c>
      <c r="C1145" t="s">
        <v>1155</v>
      </c>
      <c r="D1145" t="s">
        <v>5026</v>
      </c>
      <c r="E1145" t="s">
        <v>5032</v>
      </c>
      <c r="F1145" t="s">
        <v>5035</v>
      </c>
      <c r="G1145" s="3">
        <v>2543.23</v>
      </c>
      <c r="H1145" s="3">
        <v>0</v>
      </c>
      <c r="I1145" s="3">
        <f>SUM(Tabla1[[#This Row],[Monto_Base]],H1145)</f>
        <v>2543.23</v>
      </c>
      <c r="J1145" t="s">
        <v>5044</v>
      </c>
      <c r="K1145" t="s">
        <v>5049</v>
      </c>
      <c r="L1145" t="s">
        <v>5050</v>
      </c>
      <c r="M1145" t="s">
        <v>5054</v>
      </c>
    </row>
    <row r="1146" spans="1:13" x14ac:dyDescent="0.3">
      <c r="A1146" s="1">
        <v>45329</v>
      </c>
      <c r="B1146" s="1" t="str">
        <f>TEXT(Tabla1[[#This Row],[Fecha]],"MMMM")</f>
        <v>febrero</v>
      </c>
      <c r="C1146" t="s">
        <v>1156</v>
      </c>
      <c r="D1146" t="s">
        <v>5012</v>
      </c>
      <c r="E1146" t="s">
        <v>5032</v>
      </c>
      <c r="F1146" t="s">
        <v>5035</v>
      </c>
      <c r="G1146" s="3">
        <v>10366.200000000001</v>
      </c>
      <c r="H1146" s="3">
        <v>0</v>
      </c>
      <c r="I1146" s="3">
        <f>SUM(Tabla1[[#This Row],[Monto_Base]],H1146)</f>
        <v>10366.200000000001</v>
      </c>
      <c r="J1146" t="s">
        <v>5046</v>
      </c>
      <c r="K1146" t="s">
        <v>5049</v>
      </c>
      <c r="L1146" t="s">
        <v>5050</v>
      </c>
      <c r="M1146" t="s">
        <v>5055</v>
      </c>
    </row>
    <row r="1147" spans="1:13" x14ac:dyDescent="0.3">
      <c r="A1147" s="1">
        <v>45352</v>
      </c>
      <c r="B1147" s="1" t="str">
        <f>TEXT(Tabla1[[#This Row],[Fecha]],"MMMM")</f>
        <v>marzo</v>
      </c>
      <c r="C1147" t="s">
        <v>1157</v>
      </c>
      <c r="D1147" t="s">
        <v>5028</v>
      </c>
      <c r="E1147" t="s">
        <v>5032</v>
      </c>
      <c r="F1147" t="s">
        <v>5034</v>
      </c>
      <c r="G1147" s="3">
        <v>10694.15</v>
      </c>
      <c r="H1147" s="3">
        <v>0</v>
      </c>
      <c r="I1147" s="3">
        <f>SUM(Tabla1[[#This Row],[Monto_Base]],H1147)</f>
        <v>10694.15</v>
      </c>
      <c r="J1147" t="s">
        <v>5044</v>
      </c>
      <c r="K1147" t="s">
        <v>5048</v>
      </c>
      <c r="L1147" t="s">
        <v>5053</v>
      </c>
      <c r="M1147" t="s">
        <v>5054</v>
      </c>
    </row>
    <row r="1148" spans="1:13" x14ac:dyDescent="0.3">
      <c r="A1148" s="1">
        <v>45515</v>
      </c>
      <c r="B1148" s="1" t="str">
        <f>TEXT(Tabla1[[#This Row],[Fecha]],"MMMM")</f>
        <v>agosto</v>
      </c>
      <c r="C1148" t="s">
        <v>1158</v>
      </c>
      <c r="D1148" t="s">
        <v>5015</v>
      </c>
      <c r="E1148" t="s">
        <v>5032</v>
      </c>
      <c r="F1148" t="s">
        <v>5037</v>
      </c>
      <c r="G1148" s="3">
        <v>9480.94</v>
      </c>
      <c r="H1148" s="3">
        <v>0</v>
      </c>
      <c r="I1148" s="3">
        <f>SUM(Tabla1[[#This Row],[Monto_Base]],H1148)</f>
        <v>9480.94</v>
      </c>
      <c r="J1148" t="s">
        <v>5044</v>
      </c>
      <c r="K1148" t="s">
        <v>5048</v>
      </c>
      <c r="L1148" t="s">
        <v>5052</v>
      </c>
      <c r="M1148" t="s">
        <v>5054</v>
      </c>
    </row>
    <row r="1149" spans="1:13" x14ac:dyDescent="0.3">
      <c r="A1149" s="1">
        <v>45524</v>
      </c>
      <c r="B1149" s="1" t="str">
        <f>TEXT(Tabla1[[#This Row],[Fecha]],"MMMM")</f>
        <v>agosto</v>
      </c>
      <c r="C1149" t="s">
        <v>1159</v>
      </c>
      <c r="D1149" t="s">
        <v>5026</v>
      </c>
      <c r="E1149" t="s">
        <v>5033</v>
      </c>
      <c r="F1149" t="s">
        <v>5040</v>
      </c>
      <c r="G1149" s="3">
        <v>10124.91</v>
      </c>
      <c r="H1149" s="3">
        <v>1316.24</v>
      </c>
      <c r="I1149" s="3">
        <f>SUM(Tabla1[[#This Row],[Monto_Base]],H1149)</f>
        <v>11441.15</v>
      </c>
      <c r="J1149" t="s">
        <v>5043</v>
      </c>
      <c r="K1149" t="s">
        <v>5048</v>
      </c>
      <c r="L1149" t="s">
        <v>5050</v>
      </c>
      <c r="M1149" t="s">
        <v>5054</v>
      </c>
    </row>
    <row r="1150" spans="1:13" x14ac:dyDescent="0.3">
      <c r="A1150" s="1">
        <v>45316</v>
      </c>
      <c r="B1150" s="1" t="str">
        <f>TEXT(Tabla1[[#This Row],[Fecha]],"MMMM")</f>
        <v>enero</v>
      </c>
      <c r="C1150" t="s">
        <v>1160</v>
      </c>
      <c r="D1150" t="s">
        <v>5030</v>
      </c>
      <c r="E1150" t="s">
        <v>5033</v>
      </c>
      <c r="F1150" t="s">
        <v>5038</v>
      </c>
      <c r="G1150" s="3">
        <v>7424.74</v>
      </c>
      <c r="H1150" s="3">
        <v>965.22</v>
      </c>
      <c r="I1150" s="3">
        <f>SUM(Tabla1[[#This Row],[Monto_Base]],H1150)</f>
        <v>8389.9599999999991</v>
      </c>
      <c r="J1150" t="s">
        <v>5042</v>
      </c>
      <c r="K1150" t="s">
        <v>5049</v>
      </c>
      <c r="L1150" t="s">
        <v>5050</v>
      </c>
      <c r="M1150" t="s">
        <v>5055</v>
      </c>
    </row>
    <row r="1151" spans="1:13" x14ac:dyDescent="0.3">
      <c r="A1151" s="1">
        <v>45313</v>
      </c>
      <c r="B1151" s="1" t="str">
        <f>TEXT(Tabla1[[#This Row],[Fecha]],"MMMM")</f>
        <v>enero</v>
      </c>
      <c r="C1151" t="s">
        <v>1161</v>
      </c>
      <c r="D1151" t="s">
        <v>5019</v>
      </c>
      <c r="E1151" t="s">
        <v>5032</v>
      </c>
      <c r="F1151" t="s">
        <v>5039</v>
      </c>
      <c r="G1151" s="3">
        <v>14305.03</v>
      </c>
      <c r="H1151" s="3">
        <v>0</v>
      </c>
      <c r="I1151" s="3">
        <f>SUM(Tabla1[[#This Row],[Monto_Base]],H1151)</f>
        <v>14305.03</v>
      </c>
      <c r="J1151" t="s">
        <v>5046</v>
      </c>
      <c r="K1151" t="s">
        <v>5048</v>
      </c>
      <c r="L1151" t="s">
        <v>5051</v>
      </c>
      <c r="M1151" t="s">
        <v>5055</v>
      </c>
    </row>
    <row r="1152" spans="1:13" x14ac:dyDescent="0.3">
      <c r="A1152" s="1">
        <v>45432</v>
      </c>
      <c r="B1152" s="1" t="str">
        <f>TEXT(Tabla1[[#This Row],[Fecha]],"MMMM")</f>
        <v>mayo</v>
      </c>
      <c r="C1152" t="s">
        <v>1162</v>
      </c>
      <c r="D1152" t="s">
        <v>5015</v>
      </c>
      <c r="E1152" t="s">
        <v>5032</v>
      </c>
      <c r="F1152" t="s">
        <v>5039</v>
      </c>
      <c r="G1152" s="3">
        <v>1822.34</v>
      </c>
      <c r="H1152" s="3">
        <v>0</v>
      </c>
      <c r="I1152" s="3">
        <f>SUM(Tabla1[[#This Row],[Monto_Base]],H1152)</f>
        <v>1822.34</v>
      </c>
      <c r="J1152" t="s">
        <v>5043</v>
      </c>
      <c r="K1152" t="s">
        <v>5048</v>
      </c>
      <c r="L1152" t="s">
        <v>5052</v>
      </c>
      <c r="M1152" t="s">
        <v>5054</v>
      </c>
    </row>
    <row r="1153" spans="1:13" x14ac:dyDescent="0.3">
      <c r="A1153" s="1">
        <v>45364</v>
      </c>
      <c r="B1153" s="1" t="str">
        <f>TEXT(Tabla1[[#This Row],[Fecha]],"MMMM")</f>
        <v>marzo</v>
      </c>
      <c r="C1153" t="s">
        <v>1163</v>
      </c>
      <c r="D1153" t="s">
        <v>5029</v>
      </c>
      <c r="E1153" t="s">
        <v>5033</v>
      </c>
      <c r="F1153" t="s">
        <v>5034</v>
      </c>
      <c r="G1153" s="3">
        <v>10013.18</v>
      </c>
      <c r="H1153" s="3">
        <v>1301.71</v>
      </c>
      <c r="I1153" s="3">
        <f>SUM(Tabla1[[#This Row],[Monto_Base]],H1153)</f>
        <v>11314.89</v>
      </c>
      <c r="J1153" t="s">
        <v>5045</v>
      </c>
      <c r="K1153" t="s">
        <v>5047</v>
      </c>
      <c r="L1153" t="s">
        <v>5052</v>
      </c>
      <c r="M1153" t="s">
        <v>5054</v>
      </c>
    </row>
    <row r="1154" spans="1:13" x14ac:dyDescent="0.3">
      <c r="A1154" s="1">
        <v>45305</v>
      </c>
      <c r="B1154" s="1" t="str">
        <f>TEXT(Tabla1[[#This Row],[Fecha]],"MMMM")</f>
        <v>enero</v>
      </c>
      <c r="C1154" t="s">
        <v>1164</v>
      </c>
      <c r="D1154" t="s">
        <v>5023</v>
      </c>
      <c r="E1154" t="s">
        <v>5033</v>
      </c>
      <c r="F1154" t="s">
        <v>5035</v>
      </c>
      <c r="G1154" s="3">
        <v>7351.07</v>
      </c>
      <c r="H1154" s="3">
        <v>955.64</v>
      </c>
      <c r="I1154" s="3">
        <f>SUM(Tabla1[[#This Row],[Monto_Base]],H1154)</f>
        <v>8306.7099999999991</v>
      </c>
      <c r="J1154" t="s">
        <v>5044</v>
      </c>
      <c r="K1154" t="s">
        <v>5047</v>
      </c>
      <c r="L1154" t="s">
        <v>5051</v>
      </c>
      <c r="M1154" t="s">
        <v>5055</v>
      </c>
    </row>
    <row r="1155" spans="1:13" x14ac:dyDescent="0.3">
      <c r="A1155" s="1">
        <v>45348</v>
      </c>
      <c r="B1155" s="1" t="str">
        <f>TEXT(Tabla1[[#This Row],[Fecha]],"MMMM")</f>
        <v>febrero</v>
      </c>
      <c r="C1155" t="s">
        <v>1165</v>
      </c>
      <c r="D1155" t="s">
        <v>5016</v>
      </c>
      <c r="E1155" t="s">
        <v>5033</v>
      </c>
      <c r="F1155" t="s">
        <v>5041</v>
      </c>
      <c r="G1155" s="3">
        <v>4459.38</v>
      </c>
      <c r="H1155" s="3">
        <v>579.72</v>
      </c>
      <c r="I1155" s="3">
        <f>SUM(Tabla1[[#This Row],[Monto_Base]],H1155)</f>
        <v>5039.1000000000004</v>
      </c>
      <c r="J1155" t="s">
        <v>5045</v>
      </c>
      <c r="K1155" t="s">
        <v>5048</v>
      </c>
      <c r="L1155" t="s">
        <v>5050</v>
      </c>
      <c r="M1155" t="s">
        <v>5055</v>
      </c>
    </row>
    <row r="1156" spans="1:13" x14ac:dyDescent="0.3">
      <c r="A1156" s="1">
        <v>45351</v>
      </c>
      <c r="B1156" s="1" t="str">
        <f>TEXT(Tabla1[[#This Row],[Fecha]],"MMMM")</f>
        <v>febrero</v>
      </c>
      <c r="C1156" t="s">
        <v>1166</v>
      </c>
      <c r="D1156" t="s">
        <v>5030</v>
      </c>
      <c r="E1156" t="s">
        <v>5033</v>
      </c>
      <c r="F1156" t="s">
        <v>5038</v>
      </c>
      <c r="G1156" s="3">
        <v>10987.92</v>
      </c>
      <c r="H1156" s="3">
        <v>1428.43</v>
      </c>
      <c r="I1156" s="3">
        <f>SUM(Tabla1[[#This Row],[Monto_Base]],H1156)</f>
        <v>12416.35</v>
      </c>
      <c r="J1156" t="s">
        <v>5044</v>
      </c>
      <c r="K1156" t="s">
        <v>5047</v>
      </c>
      <c r="L1156" t="s">
        <v>5052</v>
      </c>
      <c r="M1156" t="s">
        <v>5054</v>
      </c>
    </row>
    <row r="1157" spans="1:13" x14ac:dyDescent="0.3">
      <c r="A1157" s="1">
        <v>45554</v>
      </c>
      <c r="B1157" s="1" t="str">
        <f>TEXT(Tabla1[[#This Row],[Fecha]],"MMMM")</f>
        <v>septiembre</v>
      </c>
      <c r="C1157" t="s">
        <v>1167</v>
      </c>
      <c r="D1157" t="s">
        <v>5028</v>
      </c>
      <c r="E1157" t="s">
        <v>5032</v>
      </c>
      <c r="F1157" t="s">
        <v>5038</v>
      </c>
      <c r="G1157" s="3">
        <v>6829.29</v>
      </c>
      <c r="H1157" s="3">
        <v>0</v>
      </c>
      <c r="I1157" s="3">
        <f>SUM(Tabla1[[#This Row],[Monto_Base]],H1157)</f>
        <v>6829.29</v>
      </c>
      <c r="J1157" t="s">
        <v>5045</v>
      </c>
      <c r="K1157" t="s">
        <v>5049</v>
      </c>
      <c r="L1157" t="s">
        <v>5051</v>
      </c>
      <c r="M1157" t="s">
        <v>5054</v>
      </c>
    </row>
    <row r="1158" spans="1:13" x14ac:dyDescent="0.3">
      <c r="A1158" s="1">
        <v>45630</v>
      </c>
      <c r="B1158" s="1" t="str">
        <f>TEXT(Tabla1[[#This Row],[Fecha]],"MMMM")</f>
        <v>diciembre</v>
      </c>
      <c r="C1158" t="s">
        <v>1168</v>
      </c>
      <c r="D1158" t="s">
        <v>5030</v>
      </c>
      <c r="E1158" t="s">
        <v>5032</v>
      </c>
      <c r="F1158" t="s">
        <v>5034</v>
      </c>
      <c r="G1158" s="3">
        <v>12629.39</v>
      </c>
      <c r="H1158" s="3">
        <v>0</v>
      </c>
      <c r="I1158" s="3">
        <f>SUM(Tabla1[[#This Row],[Monto_Base]],H1158)</f>
        <v>12629.39</v>
      </c>
      <c r="J1158" t="s">
        <v>5045</v>
      </c>
      <c r="K1158" t="s">
        <v>5049</v>
      </c>
      <c r="L1158" t="s">
        <v>5053</v>
      </c>
      <c r="M1158" t="s">
        <v>5054</v>
      </c>
    </row>
    <row r="1159" spans="1:13" x14ac:dyDescent="0.3">
      <c r="A1159" s="1">
        <v>45427</v>
      </c>
      <c r="B1159" s="1" t="str">
        <f>TEXT(Tabla1[[#This Row],[Fecha]],"MMMM")</f>
        <v>mayo</v>
      </c>
      <c r="C1159" t="s">
        <v>1169</v>
      </c>
      <c r="D1159" t="s">
        <v>5031</v>
      </c>
      <c r="E1159" t="s">
        <v>5032</v>
      </c>
      <c r="F1159" t="s">
        <v>5034</v>
      </c>
      <c r="G1159" s="3">
        <v>10116.549999999999</v>
      </c>
      <c r="H1159" s="3">
        <v>0</v>
      </c>
      <c r="I1159" s="3">
        <f>SUM(Tabla1[[#This Row],[Monto_Base]],H1159)</f>
        <v>10116.549999999999</v>
      </c>
      <c r="J1159" t="s">
        <v>5043</v>
      </c>
      <c r="K1159" t="s">
        <v>5047</v>
      </c>
      <c r="L1159" t="s">
        <v>5050</v>
      </c>
      <c r="M1159" t="s">
        <v>5054</v>
      </c>
    </row>
    <row r="1160" spans="1:13" x14ac:dyDescent="0.3">
      <c r="A1160" s="1">
        <v>45337</v>
      </c>
      <c r="B1160" s="1" t="str">
        <f>TEXT(Tabla1[[#This Row],[Fecha]],"MMMM")</f>
        <v>febrero</v>
      </c>
      <c r="C1160" t="s">
        <v>1170</v>
      </c>
      <c r="D1160" t="s">
        <v>5029</v>
      </c>
      <c r="E1160" t="s">
        <v>5033</v>
      </c>
      <c r="F1160" t="s">
        <v>5034</v>
      </c>
      <c r="G1160" s="3">
        <v>9539.85</v>
      </c>
      <c r="H1160" s="3">
        <v>1240.18</v>
      </c>
      <c r="I1160" s="3">
        <f>SUM(Tabla1[[#This Row],[Monto_Base]],H1160)</f>
        <v>10780.03</v>
      </c>
      <c r="J1160" t="s">
        <v>5042</v>
      </c>
      <c r="K1160" t="s">
        <v>5049</v>
      </c>
      <c r="L1160" t="s">
        <v>5052</v>
      </c>
      <c r="M1160" t="s">
        <v>5054</v>
      </c>
    </row>
    <row r="1161" spans="1:13" x14ac:dyDescent="0.3">
      <c r="A1161" s="1">
        <v>45311</v>
      </c>
      <c r="B1161" s="1" t="str">
        <f>TEXT(Tabla1[[#This Row],[Fecha]],"MMMM")</f>
        <v>enero</v>
      </c>
      <c r="C1161" t="s">
        <v>1171</v>
      </c>
      <c r="D1161" t="s">
        <v>5030</v>
      </c>
      <c r="E1161" t="s">
        <v>5032</v>
      </c>
      <c r="F1161" t="s">
        <v>5034</v>
      </c>
      <c r="G1161" s="3">
        <v>10664.36</v>
      </c>
      <c r="H1161" s="3">
        <v>0</v>
      </c>
      <c r="I1161" s="3">
        <f>SUM(Tabla1[[#This Row],[Monto_Base]],H1161)</f>
        <v>10664.36</v>
      </c>
      <c r="J1161" t="s">
        <v>5043</v>
      </c>
      <c r="K1161" t="s">
        <v>5049</v>
      </c>
      <c r="L1161" t="s">
        <v>5051</v>
      </c>
      <c r="M1161" t="s">
        <v>5055</v>
      </c>
    </row>
    <row r="1162" spans="1:13" x14ac:dyDescent="0.3">
      <c r="A1162" s="1">
        <v>45410</v>
      </c>
      <c r="B1162" s="1" t="str">
        <f>TEXT(Tabla1[[#This Row],[Fecha]],"MMMM")</f>
        <v>abril</v>
      </c>
      <c r="C1162" t="s">
        <v>1172</v>
      </c>
      <c r="D1162" t="s">
        <v>5015</v>
      </c>
      <c r="E1162" t="s">
        <v>5032</v>
      </c>
      <c r="F1162" t="s">
        <v>5039</v>
      </c>
      <c r="G1162" s="3">
        <v>13174.45</v>
      </c>
      <c r="H1162" s="3">
        <v>0</v>
      </c>
      <c r="I1162" s="3">
        <f>SUM(Tabla1[[#This Row],[Monto_Base]],H1162)</f>
        <v>13174.45</v>
      </c>
      <c r="J1162" t="s">
        <v>5044</v>
      </c>
      <c r="K1162" t="s">
        <v>5049</v>
      </c>
      <c r="L1162" t="s">
        <v>5050</v>
      </c>
      <c r="M1162" t="s">
        <v>5055</v>
      </c>
    </row>
    <row r="1163" spans="1:13" x14ac:dyDescent="0.3">
      <c r="A1163" s="1">
        <v>45404</v>
      </c>
      <c r="B1163" s="1" t="str">
        <f>TEXT(Tabla1[[#This Row],[Fecha]],"MMMM")</f>
        <v>abril</v>
      </c>
      <c r="C1163" t="s">
        <v>1173</v>
      </c>
      <c r="D1163" t="s">
        <v>5014</v>
      </c>
      <c r="E1163" t="s">
        <v>5032</v>
      </c>
      <c r="F1163" t="s">
        <v>5041</v>
      </c>
      <c r="G1163" s="3">
        <v>4466.49</v>
      </c>
      <c r="H1163" s="3">
        <v>0</v>
      </c>
      <c r="I1163" s="3">
        <f>SUM(Tabla1[[#This Row],[Monto_Base]],H1163)</f>
        <v>4466.49</v>
      </c>
      <c r="J1163" t="s">
        <v>5045</v>
      </c>
      <c r="K1163" t="s">
        <v>5048</v>
      </c>
      <c r="L1163" t="s">
        <v>5050</v>
      </c>
      <c r="M1163" t="s">
        <v>5055</v>
      </c>
    </row>
    <row r="1164" spans="1:13" x14ac:dyDescent="0.3">
      <c r="A1164" s="1">
        <v>45455</v>
      </c>
      <c r="B1164" s="1" t="str">
        <f>TEXT(Tabla1[[#This Row],[Fecha]],"MMMM")</f>
        <v>junio</v>
      </c>
      <c r="C1164" t="s">
        <v>1174</v>
      </c>
      <c r="D1164" t="s">
        <v>5024</v>
      </c>
      <c r="E1164" t="s">
        <v>5032</v>
      </c>
      <c r="F1164" t="s">
        <v>5036</v>
      </c>
      <c r="G1164" s="3">
        <v>2684.11</v>
      </c>
      <c r="H1164" s="3">
        <v>0</v>
      </c>
      <c r="I1164" s="3">
        <f>SUM(Tabla1[[#This Row],[Monto_Base]],H1164)</f>
        <v>2684.11</v>
      </c>
      <c r="J1164" t="s">
        <v>5045</v>
      </c>
      <c r="K1164" t="s">
        <v>5048</v>
      </c>
      <c r="L1164" t="s">
        <v>5050</v>
      </c>
      <c r="M1164" t="s">
        <v>5054</v>
      </c>
    </row>
    <row r="1165" spans="1:13" x14ac:dyDescent="0.3">
      <c r="A1165" s="1">
        <v>45429</v>
      </c>
      <c r="B1165" s="1" t="str">
        <f>TEXT(Tabla1[[#This Row],[Fecha]],"MMMM")</f>
        <v>mayo</v>
      </c>
      <c r="C1165" t="s">
        <v>1175</v>
      </c>
      <c r="D1165" t="s">
        <v>5025</v>
      </c>
      <c r="E1165" t="s">
        <v>5032</v>
      </c>
      <c r="F1165" t="s">
        <v>5034</v>
      </c>
      <c r="G1165" s="3">
        <v>482.99</v>
      </c>
      <c r="H1165" s="3">
        <v>0</v>
      </c>
      <c r="I1165" s="3">
        <f>SUM(Tabla1[[#This Row],[Monto_Base]],H1165)</f>
        <v>482.99</v>
      </c>
      <c r="J1165" t="s">
        <v>5042</v>
      </c>
      <c r="K1165" t="s">
        <v>5047</v>
      </c>
      <c r="L1165" t="s">
        <v>5050</v>
      </c>
      <c r="M1165" t="s">
        <v>5054</v>
      </c>
    </row>
    <row r="1166" spans="1:13" x14ac:dyDescent="0.3">
      <c r="A1166" s="1">
        <v>45518</v>
      </c>
      <c r="B1166" s="1" t="str">
        <f>TEXT(Tabla1[[#This Row],[Fecha]],"MMMM")</f>
        <v>agosto</v>
      </c>
      <c r="C1166" t="s">
        <v>1176</v>
      </c>
      <c r="D1166" t="s">
        <v>5029</v>
      </c>
      <c r="E1166" t="s">
        <v>5032</v>
      </c>
      <c r="F1166" t="s">
        <v>5037</v>
      </c>
      <c r="G1166" s="3">
        <v>5901.11</v>
      </c>
      <c r="H1166" s="3">
        <v>0</v>
      </c>
      <c r="I1166" s="3">
        <f>SUM(Tabla1[[#This Row],[Monto_Base]],H1166)</f>
        <v>5901.11</v>
      </c>
      <c r="J1166" t="s">
        <v>5043</v>
      </c>
      <c r="K1166" t="s">
        <v>5048</v>
      </c>
      <c r="L1166" t="s">
        <v>5051</v>
      </c>
      <c r="M1166" t="s">
        <v>5054</v>
      </c>
    </row>
    <row r="1167" spans="1:13" x14ac:dyDescent="0.3">
      <c r="A1167" s="1">
        <v>45315</v>
      </c>
      <c r="B1167" s="1" t="str">
        <f>TEXT(Tabla1[[#This Row],[Fecha]],"MMMM")</f>
        <v>enero</v>
      </c>
      <c r="C1167" t="s">
        <v>1177</v>
      </c>
      <c r="D1167" t="s">
        <v>5025</v>
      </c>
      <c r="E1167" t="s">
        <v>5033</v>
      </c>
      <c r="F1167" t="s">
        <v>5040</v>
      </c>
      <c r="G1167" s="3">
        <v>9562.18</v>
      </c>
      <c r="H1167" s="3">
        <v>1243.08</v>
      </c>
      <c r="I1167" s="3">
        <f>SUM(Tabla1[[#This Row],[Monto_Base]],H1167)</f>
        <v>10805.26</v>
      </c>
      <c r="J1167" t="s">
        <v>5044</v>
      </c>
      <c r="K1167" t="s">
        <v>5048</v>
      </c>
      <c r="L1167" t="s">
        <v>5050</v>
      </c>
      <c r="M1167" t="s">
        <v>5054</v>
      </c>
    </row>
    <row r="1168" spans="1:13" x14ac:dyDescent="0.3">
      <c r="A1168" s="1">
        <v>45606</v>
      </c>
      <c r="B1168" s="1" t="str">
        <f>TEXT(Tabla1[[#This Row],[Fecha]],"MMMM")</f>
        <v>noviembre</v>
      </c>
      <c r="C1168" t="s">
        <v>1178</v>
      </c>
      <c r="D1168" t="s">
        <v>5023</v>
      </c>
      <c r="E1168" t="s">
        <v>5033</v>
      </c>
      <c r="F1168" t="s">
        <v>5036</v>
      </c>
      <c r="G1168" s="3">
        <v>14220.77</v>
      </c>
      <c r="H1168" s="3">
        <v>1848.7</v>
      </c>
      <c r="I1168" s="3">
        <f>SUM(Tabla1[[#This Row],[Monto_Base]],H1168)</f>
        <v>16069.470000000001</v>
      </c>
      <c r="J1168" t="s">
        <v>5042</v>
      </c>
      <c r="K1168" t="s">
        <v>5048</v>
      </c>
      <c r="L1168" t="s">
        <v>5052</v>
      </c>
      <c r="M1168" t="s">
        <v>5054</v>
      </c>
    </row>
    <row r="1169" spans="1:13" x14ac:dyDescent="0.3">
      <c r="A1169" s="1">
        <v>45575</v>
      </c>
      <c r="B1169" s="1" t="str">
        <f>TEXT(Tabla1[[#This Row],[Fecha]],"MMMM")</f>
        <v>octubre</v>
      </c>
      <c r="C1169" t="s">
        <v>1179</v>
      </c>
      <c r="D1169" t="s">
        <v>5027</v>
      </c>
      <c r="E1169" t="s">
        <v>5033</v>
      </c>
      <c r="F1169" t="s">
        <v>5040</v>
      </c>
      <c r="G1169" s="3">
        <v>13687.82</v>
      </c>
      <c r="H1169" s="3">
        <v>1779.42</v>
      </c>
      <c r="I1169" s="3">
        <f>SUM(Tabla1[[#This Row],[Monto_Base]],H1169)</f>
        <v>15467.24</v>
      </c>
      <c r="J1169" t="s">
        <v>5045</v>
      </c>
      <c r="K1169" t="s">
        <v>5049</v>
      </c>
      <c r="L1169" t="s">
        <v>5053</v>
      </c>
      <c r="M1169" t="s">
        <v>5054</v>
      </c>
    </row>
    <row r="1170" spans="1:13" x14ac:dyDescent="0.3">
      <c r="A1170" s="1">
        <v>45494</v>
      </c>
      <c r="B1170" s="1" t="str">
        <f>TEXT(Tabla1[[#This Row],[Fecha]],"MMMM")</f>
        <v>julio</v>
      </c>
      <c r="C1170" t="s">
        <v>1180</v>
      </c>
      <c r="D1170" t="s">
        <v>5016</v>
      </c>
      <c r="E1170" t="s">
        <v>5033</v>
      </c>
      <c r="F1170" t="s">
        <v>5039</v>
      </c>
      <c r="G1170" s="3">
        <v>12580.33</v>
      </c>
      <c r="H1170" s="3">
        <v>1635.44</v>
      </c>
      <c r="I1170" s="3">
        <f>SUM(Tabla1[[#This Row],[Monto_Base]],H1170)</f>
        <v>14215.77</v>
      </c>
      <c r="J1170" t="s">
        <v>5046</v>
      </c>
      <c r="K1170" t="s">
        <v>5048</v>
      </c>
      <c r="L1170" t="s">
        <v>5052</v>
      </c>
      <c r="M1170" t="s">
        <v>5055</v>
      </c>
    </row>
    <row r="1171" spans="1:13" x14ac:dyDescent="0.3">
      <c r="A1171" s="1">
        <v>45310</v>
      </c>
      <c r="B1171" s="1" t="str">
        <f>TEXT(Tabla1[[#This Row],[Fecha]],"MMMM")</f>
        <v>enero</v>
      </c>
      <c r="C1171" t="s">
        <v>1181</v>
      </c>
      <c r="D1171" t="s">
        <v>5019</v>
      </c>
      <c r="E1171" t="s">
        <v>5033</v>
      </c>
      <c r="F1171" t="s">
        <v>5034</v>
      </c>
      <c r="G1171" s="3">
        <v>14103.21</v>
      </c>
      <c r="H1171" s="3">
        <v>1833.42</v>
      </c>
      <c r="I1171" s="3">
        <f>SUM(Tabla1[[#This Row],[Monto_Base]],H1171)</f>
        <v>15936.63</v>
      </c>
      <c r="J1171" t="s">
        <v>5045</v>
      </c>
      <c r="K1171" t="s">
        <v>5049</v>
      </c>
      <c r="L1171" t="s">
        <v>5053</v>
      </c>
      <c r="M1171" t="s">
        <v>5055</v>
      </c>
    </row>
    <row r="1172" spans="1:13" x14ac:dyDescent="0.3">
      <c r="A1172" s="1">
        <v>45409</v>
      </c>
      <c r="B1172" s="1" t="str">
        <f>TEXT(Tabla1[[#This Row],[Fecha]],"MMMM")</f>
        <v>abril</v>
      </c>
      <c r="C1172" t="s">
        <v>1182</v>
      </c>
      <c r="D1172" t="s">
        <v>5022</v>
      </c>
      <c r="E1172" t="s">
        <v>5033</v>
      </c>
      <c r="F1172" t="s">
        <v>5038</v>
      </c>
      <c r="G1172" s="3">
        <v>4556.92</v>
      </c>
      <c r="H1172" s="3">
        <v>592.4</v>
      </c>
      <c r="I1172" s="3">
        <f>SUM(Tabla1[[#This Row],[Monto_Base]],H1172)</f>
        <v>5149.32</v>
      </c>
      <c r="J1172" t="s">
        <v>5046</v>
      </c>
      <c r="K1172" t="s">
        <v>5047</v>
      </c>
      <c r="L1172" t="s">
        <v>5051</v>
      </c>
      <c r="M1172" t="s">
        <v>5054</v>
      </c>
    </row>
    <row r="1173" spans="1:13" x14ac:dyDescent="0.3">
      <c r="A1173" s="1">
        <v>45331</v>
      </c>
      <c r="B1173" s="1" t="str">
        <f>TEXT(Tabla1[[#This Row],[Fecha]],"MMMM")</f>
        <v>febrero</v>
      </c>
      <c r="C1173" t="s">
        <v>1183</v>
      </c>
      <c r="D1173" t="s">
        <v>5019</v>
      </c>
      <c r="E1173" t="s">
        <v>5033</v>
      </c>
      <c r="F1173" t="s">
        <v>5038</v>
      </c>
      <c r="G1173" s="3">
        <v>12936.66</v>
      </c>
      <c r="H1173" s="3">
        <v>1681.77</v>
      </c>
      <c r="I1173" s="3">
        <f>SUM(Tabla1[[#This Row],[Monto_Base]],H1173)</f>
        <v>14618.43</v>
      </c>
      <c r="J1173" t="s">
        <v>5045</v>
      </c>
      <c r="K1173" t="s">
        <v>5049</v>
      </c>
      <c r="L1173" t="s">
        <v>5050</v>
      </c>
      <c r="M1173" t="s">
        <v>5054</v>
      </c>
    </row>
    <row r="1174" spans="1:13" x14ac:dyDescent="0.3">
      <c r="A1174" s="1">
        <v>45492</v>
      </c>
      <c r="B1174" s="1" t="str">
        <f>TEXT(Tabla1[[#This Row],[Fecha]],"MMMM")</f>
        <v>julio</v>
      </c>
      <c r="C1174" t="s">
        <v>1184</v>
      </c>
      <c r="D1174" t="s">
        <v>5023</v>
      </c>
      <c r="E1174" t="s">
        <v>5033</v>
      </c>
      <c r="F1174" t="s">
        <v>5036</v>
      </c>
      <c r="G1174" s="3">
        <v>11051.31</v>
      </c>
      <c r="H1174" s="3">
        <v>1436.67</v>
      </c>
      <c r="I1174" s="3">
        <f>SUM(Tabla1[[#This Row],[Monto_Base]],H1174)</f>
        <v>12487.98</v>
      </c>
      <c r="J1174" t="s">
        <v>5046</v>
      </c>
      <c r="K1174" t="s">
        <v>5049</v>
      </c>
      <c r="L1174" t="s">
        <v>5051</v>
      </c>
      <c r="M1174" t="s">
        <v>5055</v>
      </c>
    </row>
    <row r="1175" spans="1:13" x14ac:dyDescent="0.3">
      <c r="A1175" s="1">
        <v>45395</v>
      </c>
      <c r="B1175" s="1" t="str">
        <f>TEXT(Tabla1[[#This Row],[Fecha]],"MMMM")</f>
        <v>abril</v>
      </c>
      <c r="C1175" t="s">
        <v>1185</v>
      </c>
      <c r="D1175" t="s">
        <v>5016</v>
      </c>
      <c r="E1175" t="s">
        <v>5033</v>
      </c>
      <c r="F1175" t="s">
        <v>5038</v>
      </c>
      <c r="G1175" s="3">
        <v>4147.04</v>
      </c>
      <c r="H1175" s="3">
        <v>539.12</v>
      </c>
      <c r="I1175" s="3">
        <f>SUM(Tabla1[[#This Row],[Monto_Base]],H1175)</f>
        <v>4686.16</v>
      </c>
      <c r="J1175" t="s">
        <v>5045</v>
      </c>
      <c r="K1175" t="s">
        <v>5048</v>
      </c>
      <c r="L1175" t="s">
        <v>5050</v>
      </c>
      <c r="M1175" t="s">
        <v>5055</v>
      </c>
    </row>
    <row r="1176" spans="1:13" x14ac:dyDescent="0.3">
      <c r="A1176" s="1">
        <v>45579</v>
      </c>
      <c r="B1176" s="1" t="str">
        <f>TEXT(Tabla1[[#This Row],[Fecha]],"MMMM")</f>
        <v>octubre</v>
      </c>
      <c r="C1176" t="s">
        <v>1186</v>
      </c>
      <c r="D1176" t="s">
        <v>5019</v>
      </c>
      <c r="E1176" t="s">
        <v>5033</v>
      </c>
      <c r="F1176" t="s">
        <v>5034</v>
      </c>
      <c r="G1176" s="3">
        <v>14504.95</v>
      </c>
      <c r="H1176" s="3">
        <v>1885.64</v>
      </c>
      <c r="I1176" s="3">
        <f>SUM(Tabla1[[#This Row],[Monto_Base]],H1176)</f>
        <v>16390.59</v>
      </c>
      <c r="J1176" t="s">
        <v>5044</v>
      </c>
      <c r="K1176" t="s">
        <v>5048</v>
      </c>
      <c r="L1176" t="s">
        <v>5051</v>
      </c>
      <c r="M1176" t="s">
        <v>5054</v>
      </c>
    </row>
    <row r="1177" spans="1:13" x14ac:dyDescent="0.3">
      <c r="A1177" s="1">
        <v>45571</v>
      </c>
      <c r="B1177" s="1" t="str">
        <f>TEXT(Tabla1[[#This Row],[Fecha]],"MMMM")</f>
        <v>octubre</v>
      </c>
      <c r="C1177" t="s">
        <v>1187</v>
      </c>
      <c r="D1177" t="s">
        <v>5022</v>
      </c>
      <c r="E1177" t="s">
        <v>5032</v>
      </c>
      <c r="F1177" t="s">
        <v>5037</v>
      </c>
      <c r="G1177" s="3">
        <v>14274.29</v>
      </c>
      <c r="H1177" s="3">
        <v>0</v>
      </c>
      <c r="I1177" s="3">
        <f>SUM(Tabla1[[#This Row],[Monto_Base]],H1177)</f>
        <v>14274.29</v>
      </c>
      <c r="J1177" t="s">
        <v>5045</v>
      </c>
      <c r="K1177" t="s">
        <v>5048</v>
      </c>
      <c r="L1177" t="s">
        <v>5052</v>
      </c>
      <c r="M1177" t="s">
        <v>5054</v>
      </c>
    </row>
    <row r="1178" spans="1:13" x14ac:dyDescent="0.3">
      <c r="A1178" s="1">
        <v>45347</v>
      </c>
      <c r="B1178" s="1" t="str">
        <f>TEXT(Tabla1[[#This Row],[Fecha]],"MMMM")</f>
        <v>febrero</v>
      </c>
      <c r="C1178" t="s">
        <v>1188</v>
      </c>
      <c r="D1178" t="s">
        <v>5024</v>
      </c>
      <c r="E1178" t="s">
        <v>5032</v>
      </c>
      <c r="F1178" t="s">
        <v>5040</v>
      </c>
      <c r="G1178" s="3">
        <v>7178.25</v>
      </c>
      <c r="H1178" s="3">
        <v>0</v>
      </c>
      <c r="I1178" s="3">
        <f>SUM(Tabla1[[#This Row],[Monto_Base]],H1178)</f>
        <v>7178.25</v>
      </c>
      <c r="J1178" t="s">
        <v>5044</v>
      </c>
      <c r="K1178" t="s">
        <v>5048</v>
      </c>
      <c r="L1178" t="s">
        <v>5052</v>
      </c>
      <c r="M1178" t="s">
        <v>5054</v>
      </c>
    </row>
    <row r="1179" spans="1:13" x14ac:dyDescent="0.3">
      <c r="A1179" s="1">
        <v>45542</v>
      </c>
      <c r="B1179" s="1" t="str">
        <f>TEXT(Tabla1[[#This Row],[Fecha]],"MMMM")</f>
        <v>septiembre</v>
      </c>
      <c r="C1179" t="s">
        <v>1189</v>
      </c>
      <c r="D1179" t="s">
        <v>5023</v>
      </c>
      <c r="E1179" t="s">
        <v>5033</v>
      </c>
      <c r="F1179" t="s">
        <v>5034</v>
      </c>
      <c r="G1179" s="3">
        <v>12979.17</v>
      </c>
      <c r="H1179" s="3">
        <v>1687.29</v>
      </c>
      <c r="I1179" s="3">
        <f>SUM(Tabla1[[#This Row],[Monto_Base]],H1179)</f>
        <v>14666.46</v>
      </c>
      <c r="J1179" t="s">
        <v>5042</v>
      </c>
      <c r="K1179" t="s">
        <v>5047</v>
      </c>
      <c r="L1179" t="s">
        <v>5053</v>
      </c>
      <c r="M1179" t="s">
        <v>5054</v>
      </c>
    </row>
    <row r="1180" spans="1:13" x14ac:dyDescent="0.3">
      <c r="A1180" s="1">
        <v>45544</v>
      </c>
      <c r="B1180" s="1" t="str">
        <f>TEXT(Tabla1[[#This Row],[Fecha]],"MMMM")</f>
        <v>septiembre</v>
      </c>
      <c r="C1180" t="s">
        <v>1190</v>
      </c>
      <c r="D1180" t="s">
        <v>5014</v>
      </c>
      <c r="E1180" t="s">
        <v>5032</v>
      </c>
      <c r="F1180" t="s">
        <v>5034</v>
      </c>
      <c r="G1180" s="3">
        <v>931.05</v>
      </c>
      <c r="H1180" s="3">
        <v>0</v>
      </c>
      <c r="I1180" s="3">
        <f>SUM(Tabla1[[#This Row],[Monto_Base]],H1180)</f>
        <v>931.05</v>
      </c>
      <c r="J1180" t="s">
        <v>5044</v>
      </c>
      <c r="K1180" t="s">
        <v>5048</v>
      </c>
      <c r="L1180" t="s">
        <v>5051</v>
      </c>
      <c r="M1180" t="s">
        <v>5055</v>
      </c>
    </row>
    <row r="1181" spans="1:13" x14ac:dyDescent="0.3">
      <c r="A1181" s="1">
        <v>45429</v>
      </c>
      <c r="B1181" s="1" t="str">
        <f>TEXT(Tabla1[[#This Row],[Fecha]],"MMMM")</f>
        <v>mayo</v>
      </c>
      <c r="C1181" t="s">
        <v>1191</v>
      </c>
      <c r="D1181" t="s">
        <v>5012</v>
      </c>
      <c r="E1181" t="s">
        <v>5032</v>
      </c>
      <c r="F1181" t="s">
        <v>5037</v>
      </c>
      <c r="G1181" s="3">
        <v>13077.85</v>
      </c>
      <c r="H1181" s="3">
        <v>0</v>
      </c>
      <c r="I1181" s="3">
        <f>SUM(Tabla1[[#This Row],[Monto_Base]],H1181)</f>
        <v>13077.85</v>
      </c>
      <c r="J1181" t="s">
        <v>5046</v>
      </c>
      <c r="K1181" t="s">
        <v>5049</v>
      </c>
      <c r="L1181" t="s">
        <v>5050</v>
      </c>
      <c r="M1181" t="s">
        <v>5055</v>
      </c>
    </row>
    <row r="1182" spans="1:13" x14ac:dyDescent="0.3">
      <c r="A1182" s="1">
        <v>45555</v>
      </c>
      <c r="B1182" s="1" t="str">
        <f>TEXT(Tabla1[[#This Row],[Fecha]],"MMMM")</f>
        <v>septiembre</v>
      </c>
      <c r="C1182" t="s">
        <v>1192</v>
      </c>
      <c r="D1182" t="s">
        <v>5024</v>
      </c>
      <c r="E1182" t="s">
        <v>5032</v>
      </c>
      <c r="F1182" t="s">
        <v>5041</v>
      </c>
      <c r="G1182" s="3">
        <v>10647.58</v>
      </c>
      <c r="H1182" s="3">
        <v>0</v>
      </c>
      <c r="I1182" s="3">
        <f>SUM(Tabla1[[#This Row],[Monto_Base]],H1182)</f>
        <v>10647.58</v>
      </c>
      <c r="J1182" t="s">
        <v>5042</v>
      </c>
      <c r="K1182" t="s">
        <v>5049</v>
      </c>
      <c r="L1182" t="s">
        <v>5053</v>
      </c>
      <c r="M1182" t="s">
        <v>5054</v>
      </c>
    </row>
    <row r="1183" spans="1:13" x14ac:dyDescent="0.3">
      <c r="A1183" s="1">
        <v>45374</v>
      </c>
      <c r="B1183" s="1" t="str">
        <f>TEXT(Tabla1[[#This Row],[Fecha]],"MMMM")</f>
        <v>marzo</v>
      </c>
      <c r="C1183" t="s">
        <v>1193</v>
      </c>
      <c r="D1183" t="s">
        <v>5030</v>
      </c>
      <c r="E1183" t="s">
        <v>5032</v>
      </c>
      <c r="F1183" t="s">
        <v>5039</v>
      </c>
      <c r="G1183" s="3">
        <v>11365.46</v>
      </c>
      <c r="H1183" s="3">
        <v>0</v>
      </c>
      <c r="I1183" s="3">
        <f>SUM(Tabla1[[#This Row],[Monto_Base]],H1183)</f>
        <v>11365.46</v>
      </c>
      <c r="J1183" t="s">
        <v>5042</v>
      </c>
      <c r="K1183" t="s">
        <v>5049</v>
      </c>
      <c r="L1183" t="s">
        <v>5053</v>
      </c>
      <c r="M1183" t="s">
        <v>5054</v>
      </c>
    </row>
    <row r="1184" spans="1:13" x14ac:dyDescent="0.3">
      <c r="A1184" s="1">
        <v>45545</v>
      </c>
      <c r="B1184" s="1" t="str">
        <f>TEXT(Tabla1[[#This Row],[Fecha]],"MMMM")</f>
        <v>septiembre</v>
      </c>
      <c r="C1184" t="s">
        <v>1194</v>
      </c>
      <c r="D1184" t="s">
        <v>5018</v>
      </c>
      <c r="E1184" t="s">
        <v>5033</v>
      </c>
      <c r="F1184" t="s">
        <v>5035</v>
      </c>
      <c r="G1184" s="3">
        <v>13288.27</v>
      </c>
      <c r="H1184" s="3">
        <v>1727.48</v>
      </c>
      <c r="I1184" s="3">
        <f>SUM(Tabla1[[#This Row],[Monto_Base]],H1184)</f>
        <v>15015.75</v>
      </c>
      <c r="J1184" t="s">
        <v>5046</v>
      </c>
      <c r="K1184" t="s">
        <v>5049</v>
      </c>
      <c r="L1184" t="s">
        <v>5050</v>
      </c>
      <c r="M1184" t="s">
        <v>5054</v>
      </c>
    </row>
    <row r="1185" spans="1:13" x14ac:dyDescent="0.3">
      <c r="A1185" s="1">
        <v>45442</v>
      </c>
      <c r="B1185" s="1" t="str">
        <f>TEXT(Tabla1[[#This Row],[Fecha]],"MMMM")</f>
        <v>mayo</v>
      </c>
      <c r="C1185" t="s">
        <v>1195</v>
      </c>
      <c r="D1185" t="s">
        <v>5019</v>
      </c>
      <c r="E1185" t="s">
        <v>5033</v>
      </c>
      <c r="F1185" t="s">
        <v>5038</v>
      </c>
      <c r="G1185" s="3">
        <v>1807.87</v>
      </c>
      <c r="H1185" s="3">
        <v>235.02</v>
      </c>
      <c r="I1185" s="3">
        <f>SUM(Tabla1[[#This Row],[Monto_Base]],H1185)</f>
        <v>2042.8899999999999</v>
      </c>
      <c r="J1185" t="s">
        <v>5044</v>
      </c>
      <c r="K1185" t="s">
        <v>5049</v>
      </c>
      <c r="L1185" t="s">
        <v>5051</v>
      </c>
      <c r="M1185" t="s">
        <v>5055</v>
      </c>
    </row>
    <row r="1186" spans="1:13" x14ac:dyDescent="0.3">
      <c r="A1186" s="1">
        <v>45657</v>
      </c>
      <c r="B1186" s="1" t="str">
        <f>TEXT(Tabla1[[#This Row],[Fecha]],"MMMM")</f>
        <v>diciembre</v>
      </c>
      <c r="C1186" t="s">
        <v>1196</v>
      </c>
      <c r="D1186" t="s">
        <v>5026</v>
      </c>
      <c r="E1186" t="s">
        <v>5032</v>
      </c>
      <c r="F1186" t="s">
        <v>5034</v>
      </c>
      <c r="G1186" s="3">
        <v>12052.07</v>
      </c>
      <c r="H1186" s="3">
        <v>0</v>
      </c>
      <c r="I1186" s="3">
        <f>SUM(Tabla1[[#This Row],[Monto_Base]],H1186)</f>
        <v>12052.07</v>
      </c>
      <c r="J1186" t="s">
        <v>5044</v>
      </c>
      <c r="K1186" t="s">
        <v>5049</v>
      </c>
      <c r="L1186" t="s">
        <v>5051</v>
      </c>
      <c r="M1186" t="s">
        <v>5055</v>
      </c>
    </row>
    <row r="1187" spans="1:13" x14ac:dyDescent="0.3">
      <c r="A1187" s="1">
        <v>45534</v>
      </c>
      <c r="B1187" s="1" t="str">
        <f>TEXT(Tabla1[[#This Row],[Fecha]],"MMMM")</f>
        <v>agosto</v>
      </c>
      <c r="C1187" t="s">
        <v>1197</v>
      </c>
      <c r="D1187" t="s">
        <v>5024</v>
      </c>
      <c r="E1187" t="s">
        <v>5032</v>
      </c>
      <c r="F1187" t="s">
        <v>5039</v>
      </c>
      <c r="G1187" s="3">
        <v>2505.36</v>
      </c>
      <c r="H1187" s="3">
        <v>0</v>
      </c>
      <c r="I1187" s="3">
        <f>SUM(Tabla1[[#This Row],[Monto_Base]],H1187)</f>
        <v>2505.36</v>
      </c>
      <c r="J1187" t="s">
        <v>5045</v>
      </c>
      <c r="K1187" t="s">
        <v>5048</v>
      </c>
      <c r="L1187" t="s">
        <v>5050</v>
      </c>
      <c r="M1187" t="s">
        <v>5054</v>
      </c>
    </row>
    <row r="1188" spans="1:13" x14ac:dyDescent="0.3">
      <c r="A1188" s="1">
        <v>45388</v>
      </c>
      <c r="B1188" s="1" t="str">
        <f>TEXT(Tabla1[[#This Row],[Fecha]],"MMMM")</f>
        <v>abril</v>
      </c>
      <c r="C1188" t="s">
        <v>1198</v>
      </c>
      <c r="D1188" t="s">
        <v>5018</v>
      </c>
      <c r="E1188" t="s">
        <v>5033</v>
      </c>
      <c r="F1188" t="s">
        <v>5035</v>
      </c>
      <c r="G1188" s="3">
        <v>4712.0200000000004</v>
      </c>
      <c r="H1188" s="3">
        <v>612.55999999999995</v>
      </c>
      <c r="I1188" s="3">
        <f>SUM(Tabla1[[#This Row],[Monto_Base]],H1188)</f>
        <v>5324.58</v>
      </c>
      <c r="J1188" t="s">
        <v>5046</v>
      </c>
      <c r="K1188" t="s">
        <v>5049</v>
      </c>
      <c r="L1188" t="s">
        <v>5053</v>
      </c>
      <c r="M1188" t="s">
        <v>5055</v>
      </c>
    </row>
    <row r="1189" spans="1:13" x14ac:dyDescent="0.3">
      <c r="A1189" s="1">
        <v>45326</v>
      </c>
      <c r="B1189" s="1" t="str">
        <f>TEXT(Tabla1[[#This Row],[Fecha]],"MMMM")</f>
        <v>febrero</v>
      </c>
      <c r="C1189" t="s">
        <v>1199</v>
      </c>
      <c r="D1189" t="s">
        <v>5030</v>
      </c>
      <c r="E1189" t="s">
        <v>5033</v>
      </c>
      <c r="F1189" t="s">
        <v>5041</v>
      </c>
      <c r="G1189" s="3">
        <v>8937.09</v>
      </c>
      <c r="H1189" s="3">
        <v>1161.82</v>
      </c>
      <c r="I1189" s="3">
        <f>SUM(Tabla1[[#This Row],[Monto_Base]],H1189)</f>
        <v>10098.91</v>
      </c>
      <c r="J1189" t="s">
        <v>5044</v>
      </c>
      <c r="K1189" t="s">
        <v>5049</v>
      </c>
      <c r="L1189" t="s">
        <v>5052</v>
      </c>
      <c r="M1189" t="s">
        <v>5055</v>
      </c>
    </row>
    <row r="1190" spans="1:13" x14ac:dyDescent="0.3">
      <c r="A1190" s="1">
        <v>45510</v>
      </c>
      <c r="B1190" s="1" t="str">
        <f>TEXT(Tabla1[[#This Row],[Fecha]],"MMMM")</f>
        <v>agosto</v>
      </c>
      <c r="C1190" t="s">
        <v>1200</v>
      </c>
      <c r="D1190" t="s">
        <v>5017</v>
      </c>
      <c r="E1190" t="s">
        <v>5032</v>
      </c>
      <c r="F1190" t="s">
        <v>5038</v>
      </c>
      <c r="G1190" s="3">
        <v>12320.28</v>
      </c>
      <c r="H1190" s="3">
        <v>0</v>
      </c>
      <c r="I1190" s="3">
        <f>SUM(Tabla1[[#This Row],[Monto_Base]],H1190)</f>
        <v>12320.28</v>
      </c>
      <c r="J1190" t="s">
        <v>5042</v>
      </c>
      <c r="K1190" t="s">
        <v>5049</v>
      </c>
      <c r="L1190" t="s">
        <v>5051</v>
      </c>
      <c r="M1190" t="s">
        <v>5055</v>
      </c>
    </row>
    <row r="1191" spans="1:13" x14ac:dyDescent="0.3">
      <c r="A1191" s="1">
        <v>45344</v>
      </c>
      <c r="B1191" s="1" t="str">
        <f>TEXT(Tabla1[[#This Row],[Fecha]],"MMMM")</f>
        <v>febrero</v>
      </c>
      <c r="C1191" t="s">
        <v>1201</v>
      </c>
      <c r="D1191" t="s">
        <v>5029</v>
      </c>
      <c r="E1191" t="s">
        <v>5033</v>
      </c>
      <c r="F1191" t="s">
        <v>5036</v>
      </c>
      <c r="G1191" s="3">
        <v>8909.9500000000007</v>
      </c>
      <c r="H1191" s="3">
        <v>1158.29</v>
      </c>
      <c r="I1191" s="3">
        <f>SUM(Tabla1[[#This Row],[Monto_Base]],H1191)</f>
        <v>10068.240000000002</v>
      </c>
      <c r="J1191" t="s">
        <v>5046</v>
      </c>
      <c r="K1191" t="s">
        <v>5048</v>
      </c>
      <c r="L1191" t="s">
        <v>5052</v>
      </c>
      <c r="M1191" t="s">
        <v>5055</v>
      </c>
    </row>
    <row r="1192" spans="1:13" x14ac:dyDescent="0.3">
      <c r="A1192" s="1">
        <v>45595</v>
      </c>
      <c r="B1192" s="1" t="str">
        <f>TEXT(Tabla1[[#This Row],[Fecha]],"MMMM")</f>
        <v>octubre</v>
      </c>
      <c r="C1192" t="s">
        <v>1202</v>
      </c>
      <c r="D1192" t="s">
        <v>5026</v>
      </c>
      <c r="E1192" t="s">
        <v>5032</v>
      </c>
      <c r="F1192" t="s">
        <v>5040</v>
      </c>
      <c r="G1192" s="3">
        <v>8656.0499999999993</v>
      </c>
      <c r="H1192" s="3">
        <v>0</v>
      </c>
      <c r="I1192" s="3">
        <f>SUM(Tabla1[[#This Row],[Monto_Base]],H1192)</f>
        <v>8656.0499999999993</v>
      </c>
      <c r="J1192" t="s">
        <v>5042</v>
      </c>
      <c r="K1192" t="s">
        <v>5048</v>
      </c>
      <c r="L1192" t="s">
        <v>5050</v>
      </c>
      <c r="M1192" t="s">
        <v>5054</v>
      </c>
    </row>
    <row r="1193" spans="1:13" x14ac:dyDescent="0.3">
      <c r="A1193" s="1">
        <v>45606</v>
      </c>
      <c r="B1193" s="1" t="str">
        <f>TEXT(Tabla1[[#This Row],[Fecha]],"MMMM")</f>
        <v>noviembre</v>
      </c>
      <c r="C1193" t="s">
        <v>1203</v>
      </c>
      <c r="D1193" t="s">
        <v>5012</v>
      </c>
      <c r="E1193" t="s">
        <v>5033</v>
      </c>
      <c r="F1193" t="s">
        <v>5034</v>
      </c>
      <c r="G1193" s="3">
        <v>1415.51</v>
      </c>
      <c r="H1193" s="3">
        <v>184.02</v>
      </c>
      <c r="I1193" s="3">
        <f>SUM(Tabla1[[#This Row],[Monto_Base]],H1193)</f>
        <v>1599.53</v>
      </c>
      <c r="J1193" t="s">
        <v>5046</v>
      </c>
      <c r="K1193" t="s">
        <v>5047</v>
      </c>
      <c r="L1193" t="s">
        <v>5052</v>
      </c>
      <c r="M1193" t="s">
        <v>5055</v>
      </c>
    </row>
    <row r="1194" spans="1:13" x14ac:dyDescent="0.3">
      <c r="A1194" s="1">
        <v>45517</v>
      </c>
      <c r="B1194" s="1" t="str">
        <f>TEXT(Tabla1[[#This Row],[Fecha]],"MMMM")</f>
        <v>agosto</v>
      </c>
      <c r="C1194" t="s">
        <v>1204</v>
      </c>
      <c r="D1194" t="s">
        <v>5015</v>
      </c>
      <c r="E1194" t="s">
        <v>5033</v>
      </c>
      <c r="F1194" t="s">
        <v>5035</v>
      </c>
      <c r="G1194" s="3">
        <v>2097.7800000000002</v>
      </c>
      <c r="H1194" s="3">
        <v>272.70999999999998</v>
      </c>
      <c r="I1194" s="3">
        <f>SUM(Tabla1[[#This Row],[Monto_Base]],H1194)</f>
        <v>2370.4900000000002</v>
      </c>
      <c r="J1194" t="s">
        <v>5043</v>
      </c>
      <c r="K1194" t="s">
        <v>5049</v>
      </c>
      <c r="L1194" t="s">
        <v>5050</v>
      </c>
      <c r="M1194" t="s">
        <v>5055</v>
      </c>
    </row>
    <row r="1195" spans="1:13" x14ac:dyDescent="0.3">
      <c r="A1195" s="1">
        <v>45485</v>
      </c>
      <c r="B1195" s="1" t="str">
        <f>TEXT(Tabla1[[#This Row],[Fecha]],"MMMM")</f>
        <v>julio</v>
      </c>
      <c r="C1195" t="s">
        <v>1205</v>
      </c>
      <c r="D1195" t="s">
        <v>5016</v>
      </c>
      <c r="E1195" t="s">
        <v>5033</v>
      </c>
      <c r="F1195" t="s">
        <v>5034</v>
      </c>
      <c r="G1195" s="3">
        <v>8424.17</v>
      </c>
      <c r="H1195" s="3">
        <v>1095.1400000000001</v>
      </c>
      <c r="I1195" s="3">
        <f>SUM(Tabla1[[#This Row],[Monto_Base]],H1195)</f>
        <v>9519.31</v>
      </c>
      <c r="J1195" t="s">
        <v>5043</v>
      </c>
      <c r="K1195" t="s">
        <v>5049</v>
      </c>
      <c r="L1195" t="s">
        <v>5050</v>
      </c>
      <c r="M1195" t="s">
        <v>5055</v>
      </c>
    </row>
    <row r="1196" spans="1:13" x14ac:dyDescent="0.3">
      <c r="A1196" s="1">
        <v>45401</v>
      </c>
      <c r="B1196" s="1" t="str">
        <f>TEXT(Tabla1[[#This Row],[Fecha]],"MMMM")</f>
        <v>abril</v>
      </c>
      <c r="C1196" t="s">
        <v>1206</v>
      </c>
      <c r="D1196" t="s">
        <v>5016</v>
      </c>
      <c r="E1196" t="s">
        <v>5032</v>
      </c>
      <c r="F1196" t="s">
        <v>5036</v>
      </c>
      <c r="G1196" s="3">
        <v>13255.12</v>
      </c>
      <c r="H1196" s="3">
        <v>0</v>
      </c>
      <c r="I1196" s="3">
        <f>SUM(Tabla1[[#This Row],[Monto_Base]],H1196)</f>
        <v>13255.12</v>
      </c>
      <c r="J1196" t="s">
        <v>5046</v>
      </c>
      <c r="K1196" t="s">
        <v>5049</v>
      </c>
      <c r="L1196" t="s">
        <v>5051</v>
      </c>
      <c r="M1196" t="s">
        <v>5054</v>
      </c>
    </row>
    <row r="1197" spans="1:13" x14ac:dyDescent="0.3">
      <c r="A1197" s="1">
        <v>45420</v>
      </c>
      <c r="B1197" s="1" t="str">
        <f>TEXT(Tabla1[[#This Row],[Fecha]],"MMMM")</f>
        <v>mayo</v>
      </c>
      <c r="C1197" t="s">
        <v>1207</v>
      </c>
      <c r="D1197" t="s">
        <v>5016</v>
      </c>
      <c r="E1197" t="s">
        <v>5032</v>
      </c>
      <c r="F1197" t="s">
        <v>5041</v>
      </c>
      <c r="G1197" s="3">
        <v>10441.74</v>
      </c>
      <c r="H1197" s="3">
        <v>0</v>
      </c>
      <c r="I1197" s="3">
        <f>SUM(Tabla1[[#This Row],[Monto_Base]],H1197)</f>
        <v>10441.74</v>
      </c>
      <c r="J1197" t="s">
        <v>5045</v>
      </c>
      <c r="K1197" t="s">
        <v>5049</v>
      </c>
      <c r="L1197" t="s">
        <v>5050</v>
      </c>
      <c r="M1197" t="s">
        <v>5055</v>
      </c>
    </row>
    <row r="1198" spans="1:13" x14ac:dyDescent="0.3">
      <c r="A1198" s="1">
        <v>45469</v>
      </c>
      <c r="B1198" s="1" t="str">
        <f>TEXT(Tabla1[[#This Row],[Fecha]],"MMMM")</f>
        <v>junio</v>
      </c>
      <c r="C1198" t="s">
        <v>1208</v>
      </c>
      <c r="D1198" t="s">
        <v>5012</v>
      </c>
      <c r="E1198" t="s">
        <v>5032</v>
      </c>
      <c r="F1198" t="s">
        <v>5041</v>
      </c>
      <c r="G1198" s="3">
        <v>11572.63</v>
      </c>
      <c r="H1198" s="3">
        <v>0</v>
      </c>
      <c r="I1198" s="3">
        <f>SUM(Tabla1[[#This Row],[Monto_Base]],H1198)</f>
        <v>11572.63</v>
      </c>
      <c r="J1198" t="s">
        <v>5043</v>
      </c>
      <c r="K1198" t="s">
        <v>5047</v>
      </c>
      <c r="L1198" t="s">
        <v>5052</v>
      </c>
      <c r="M1198" t="s">
        <v>5055</v>
      </c>
    </row>
    <row r="1199" spans="1:13" x14ac:dyDescent="0.3">
      <c r="A1199" s="1">
        <v>45561</v>
      </c>
      <c r="B1199" s="1" t="str">
        <f>TEXT(Tabla1[[#This Row],[Fecha]],"MMMM")</f>
        <v>septiembre</v>
      </c>
      <c r="C1199" t="s">
        <v>1209</v>
      </c>
      <c r="D1199" t="s">
        <v>5028</v>
      </c>
      <c r="E1199" t="s">
        <v>5033</v>
      </c>
      <c r="F1199" t="s">
        <v>5034</v>
      </c>
      <c r="G1199" s="3">
        <v>6659.1</v>
      </c>
      <c r="H1199" s="3">
        <v>865.68</v>
      </c>
      <c r="I1199" s="3">
        <f>SUM(Tabla1[[#This Row],[Monto_Base]],H1199)</f>
        <v>7524.7800000000007</v>
      </c>
      <c r="J1199" t="s">
        <v>5046</v>
      </c>
      <c r="K1199" t="s">
        <v>5047</v>
      </c>
      <c r="L1199" t="s">
        <v>5051</v>
      </c>
      <c r="M1199" t="s">
        <v>5055</v>
      </c>
    </row>
    <row r="1200" spans="1:13" x14ac:dyDescent="0.3">
      <c r="A1200" s="1">
        <v>45309</v>
      </c>
      <c r="B1200" s="1" t="str">
        <f>TEXT(Tabla1[[#This Row],[Fecha]],"MMMM")</f>
        <v>enero</v>
      </c>
      <c r="C1200" t="s">
        <v>1210</v>
      </c>
      <c r="D1200" t="s">
        <v>5015</v>
      </c>
      <c r="E1200" t="s">
        <v>5032</v>
      </c>
      <c r="F1200" t="s">
        <v>5035</v>
      </c>
      <c r="G1200" s="3">
        <v>9121.2800000000007</v>
      </c>
      <c r="H1200" s="3">
        <v>0</v>
      </c>
      <c r="I1200" s="3">
        <f>SUM(Tabla1[[#This Row],[Monto_Base]],H1200)</f>
        <v>9121.2800000000007</v>
      </c>
      <c r="J1200" t="s">
        <v>5044</v>
      </c>
      <c r="K1200" t="s">
        <v>5049</v>
      </c>
      <c r="L1200" t="s">
        <v>5050</v>
      </c>
      <c r="M1200" t="s">
        <v>5055</v>
      </c>
    </row>
    <row r="1201" spans="1:13" x14ac:dyDescent="0.3">
      <c r="A1201" s="1">
        <v>45307</v>
      </c>
      <c r="B1201" s="1" t="str">
        <f>TEXT(Tabla1[[#This Row],[Fecha]],"MMMM")</f>
        <v>enero</v>
      </c>
      <c r="C1201" t="s">
        <v>1211</v>
      </c>
      <c r="D1201" t="s">
        <v>5021</v>
      </c>
      <c r="E1201" t="s">
        <v>5032</v>
      </c>
      <c r="F1201" t="s">
        <v>5035</v>
      </c>
      <c r="G1201" s="3">
        <v>14568.55</v>
      </c>
      <c r="H1201" s="3">
        <v>0</v>
      </c>
      <c r="I1201" s="3">
        <f>SUM(Tabla1[[#This Row],[Monto_Base]],H1201)</f>
        <v>14568.55</v>
      </c>
      <c r="J1201" t="s">
        <v>5043</v>
      </c>
      <c r="K1201" t="s">
        <v>5049</v>
      </c>
      <c r="L1201" t="s">
        <v>5050</v>
      </c>
      <c r="M1201" t="s">
        <v>5055</v>
      </c>
    </row>
    <row r="1202" spans="1:13" x14ac:dyDescent="0.3">
      <c r="A1202" s="1">
        <v>45605</v>
      </c>
      <c r="B1202" s="1" t="str">
        <f>TEXT(Tabla1[[#This Row],[Fecha]],"MMMM")</f>
        <v>noviembre</v>
      </c>
      <c r="C1202" t="s">
        <v>1212</v>
      </c>
      <c r="D1202" t="s">
        <v>5018</v>
      </c>
      <c r="E1202" t="s">
        <v>5033</v>
      </c>
      <c r="F1202" t="s">
        <v>5035</v>
      </c>
      <c r="G1202" s="3">
        <v>5574.53</v>
      </c>
      <c r="H1202" s="3">
        <v>724.69</v>
      </c>
      <c r="I1202" s="3">
        <f>SUM(Tabla1[[#This Row],[Monto_Base]],H1202)</f>
        <v>6299.2199999999993</v>
      </c>
      <c r="J1202" t="s">
        <v>5046</v>
      </c>
      <c r="K1202" t="s">
        <v>5049</v>
      </c>
      <c r="L1202" t="s">
        <v>5052</v>
      </c>
      <c r="M1202" t="s">
        <v>5054</v>
      </c>
    </row>
    <row r="1203" spans="1:13" x14ac:dyDescent="0.3">
      <c r="A1203" s="1">
        <v>45655</v>
      </c>
      <c r="B1203" s="1" t="str">
        <f>TEXT(Tabla1[[#This Row],[Fecha]],"MMMM")</f>
        <v>diciembre</v>
      </c>
      <c r="C1203" t="s">
        <v>1213</v>
      </c>
      <c r="D1203" t="s">
        <v>5027</v>
      </c>
      <c r="E1203" t="s">
        <v>5033</v>
      </c>
      <c r="F1203" t="s">
        <v>5035</v>
      </c>
      <c r="G1203" s="3">
        <v>6678.5</v>
      </c>
      <c r="H1203" s="3">
        <v>868.21</v>
      </c>
      <c r="I1203" s="3">
        <f>SUM(Tabla1[[#This Row],[Monto_Base]],H1203)</f>
        <v>7546.71</v>
      </c>
      <c r="J1203" t="s">
        <v>5045</v>
      </c>
      <c r="K1203" t="s">
        <v>5048</v>
      </c>
      <c r="L1203" t="s">
        <v>5053</v>
      </c>
      <c r="M1203" t="s">
        <v>5055</v>
      </c>
    </row>
    <row r="1204" spans="1:13" x14ac:dyDescent="0.3">
      <c r="A1204" s="1">
        <v>45454</v>
      </c>
      <c r="B1204" s="1" t="str">
        <f>TEXT(Tabla1[[#This Row],[Fecha]],"MMMM")</f>
        <v>junio</v>
      </c>
      <c r="C1204" t="s">
        <v>1214</v>
      </c>
      <c r="D1204" t="s">
        <v>5031</v>
      </c>
      <c r="E1204" t="s">
        <v>5033</v>
      </c>
      <c r="F1204" t="s">
        <v>5040</v>
      </c>
      <c r="G1204" s="3">
        <v>12567.24</v>
      </c>
      <c r="H1204" s="3">
        <v>1633.74</v>
      </c>
      <c r="I1204" s="3">
        <f>SUM(Tabla1[[#This Row],[Monto_Base]],H1204)</f>
        <v>14200.98</v>
      </c>
      <c r="J1204" t="s">
        <v>5046</v>
      </c>
      <c r="K1204" t="s">
        <v>5049</v>
      </c>
      <c r="L1204" t="s">
        <v>5051</v>
      </c>
      <c r="M1204" t="s">
        <v>5054</v>
      </c>
    </row>
    <row r="1205" spans="1:13" x14ac:dyDescent="0.3">
      <c r="A1205" s="1">
        <v>45548</v>
      </c>
      <c r="B1205" s="1" t="str">
        <f>TEXT(Tabla1[[#This Row],[Fecha]],"MMMM")</f>
        <v>septiembre</v>
      </c>
      <c r="C1205" t="s">
        <v>1215</v>
      </c>
      <c r="D1205" t="s">
        <v>5019</v>
      </c>
      <c r="E1205" t="s">
        <v>5033</v>
      </c>
      <c r="F1205" t="s">
        <v>5036</v>
      </c>
      <c r="G1205" s="3">
        <v>2934.45</v>
      </c>
      <c r="H1205" s="3">
        <v>381.48</v>
      </c>
      <c r="I1205" s="3">
        <f>SUM(Tabla1[[#This Row],[Monto_Base]],H1205)</f>
        <v>3315.93</v>
      </c>
      <c r="J1205" t="s">
        <v>5046</v>
      </c>
      <c r="K1205" t="s">
        <v>5049</v>
      </c>
      <c r="L1205" t="s">
        <v>5051</v>
      </c>
      <c r="M1205" t="s">
        <v>5054</v>
      </c>
    </row>
    <row r="1206" spans="1:13" x14ac:dyDescent="0.3">
      <c r="A1206" s="1">
        <v>45644</v>
      </c>
      <c r="B1206" s="1" t="str">
        <f>TEXT(Tabla1[[#This Row],[Fecha]],"MMMM")</f>
        <v>diciembre</v>
      </c>
      <c r="C1206" t="s">
        <v>1216</v>
      </c>
      <c r="D1206" t="s">
        <v>5018</v>
      </c>
      <c r="E1206" t="s">
        <v>5033</v>
      </c>
      <c r="F1206" t="s">
        <v>5038</v>
      </c>
      <c r="G1206" s="3">
        <v>9147.51</v>
      </c>
      <c r="H1206" s="3">
        <v>1189.18</v>
      </c>
      <c r="I1206" s="3">
        <f>SUM(Tabla1[[#This Row],[Monto_Base]],H1206)</f>
        <v>10336.69</v>
      </c>
      <c r="J1206" t="s">
        <v>5042</v>
      </c>
      <c r="K1206" t="s">
        <v>5048</v>
      </c>
      <c r="L1206" t="s">
        <v>5052</v>
      </c>
      <c r="M1206" t="s">
        <v>5054</v>
      </c>
    </row>
    <row r="1207" spans="1:13" x14ac:dyDescent="0.3">
      <c r="A1207" s="1">
        <v>45582</v>
      </c>
      <c r="B1207" s="1" t="str">
        <f>TEXT(Tabla1[[#This Row],[Fecha]],"MMMM")</f>
        <v>octubre</v>
      </c>
      <c r="C1207" t="s">
        <v>1217</v>
      </c>
      <c r="D1207" t="s">
        <v>5029</v>
      </c>
      <c r="E1207" t="s">
        <v>5032</v>
      </c>
      <c r="F1207" t="s">
        <v>5036</v>
      </c>
      <c r="G1207" s="3">
        <v>5154.71</v>
      </c>
      <c r="H1207" s="3">
        <v>0</v>
      </c>
      <c r="I1207" s="3">
        <f>SUM(Tabla1[[#This Row],[Monto_Base]],H1207)</f>
        <v>5154.71</v>
      </c>
      <c r="J1207" t="s">
        <v>5045</v>
      </c>
      <c r="K1207" t="s">
        <v>5049</v>
      </c>
      <c r="L1207" t="s">
        <v>5050</v>
      </c>
      <c r="M1207" t="s">
        <v>5054</v>
      </c>
    </row>
    <row r="1208" spans="1:13" x14ac:dyDescent="0.3">
      <c r="A1208" s="1">
        <v>45594</v>
      </c>
      <c r="B1208" s="1" t="str">
        <f>TEXT(Tabla1[[#This Row],[Fecha]],"MMMM")</f>
        <v>octubre</v>
      </c>
      <c r="C1208" t="s">
        <v>1218</v>
      </c>
      <c r="D1208" t="s">
        <v>5013</v>
      </c>
      <c r="E1208" t="s">
        <v>5033</v>
      </c>
      <c r="F1208" t="s">
        <v>5036</v>
      </c>
      <c r="G1208" s="3">
        <v>2825.6</v>
      </c>
      <c r="H1208" s="3">
        <v>367.33</v>
      </c>
      <c r="I1208" s="3">
        <f>SUM(Tabla1[[#This Row],[Monto_Base]],H1208)</f>
        <v>3192.93</v>
      </c>
      <c r="J1208" t="s">
        <v>5045</v>
      </c>
      <c r="K1208" t="s">
        <v>5047</v>
      </c>
      <c r="L1208" t="s">
        <v>5053</v>
      </c>
      <c r="M1208" t="s">
        <v>5054</v>
      </c>
    </row>
    <row r="1209" spans="1:13" x14ac:dyDescent="0.3">
      <c r="A1209" s="1">
        <v>45640</v>
      </c>
      <c r="B1209" s="1" t="str">
        <f>TEXT(Tabla1[[#This Row],[Fecha]],"MMMM")</f>
        <v>diciembre</v>
      </c>
      <c r="C1209" t="s">
        <v>1219</v>
      </c>
      <c r="D1209" t="s">
        <v>5025</v>
      </c>
      <c r="E1209" t="s">
        <v>5033</v>
      </c>
      <c r="F1209" t="s">
        <v>5034</v>
      </c>
      <c r="G1209" s="3">
        <v>4651.3500000000004</v>
      </c>
      <c r="H1209" s="3">
        <v>604.67999999999995</v>
      </c>
      <c r="I1209" s="3">
        <f>SUM(Tabla1[[#This Row],[Monto_Base]],H1209)</f>
        <v>5256.0300000000007</v>
      </c>
      <c r="J1209" t="s">
        <v>5046</v>
      </c>
      <c r="K1209" t="s">
        <v>5049</v>
      </c>
      <c r="L1209" t="s">
        <v>5052</v>
      </c>
      <c r="M1209" t="s">
        <v>5055</v>
      </c>
    </row>
    <row r="1210" spans="1:13" x14ac:dyDescent="0.3">
      <c r="A1210" s="1">
        <v>45581</v>
      </c>
      <c r="B1210" s="1" t="str">
        <f>TEXT(Tabla1[[#This Row],[Fecha]],"MMMM")</f>
        <v>octubre</v>
      </c>
      <c r="C1210" t="s">
        <v>1220</v>
      </c>
      <c r="D1210" t="s">
        <v>5027</v>
      </c>
      <c r="E1210" t="s">
        <v>5032</v>
      </c>
      <c r="F1210" t="s">
        <v>5039</v>
      </c>
      <c r="G1210" s="3">
        <v>4220.5</v>
      </c>
      <c r="H1210" s="3">
        <v>0</v>
      </c>
      <c r="I1210" s="3">
        <f>SUM(Tabla1[[#This Row],[Monto_Base]],H1210)</f>
        <v>4220.5</v>
      </c>
      <c r="J1210" t="s">
        <v>5044</v>
      </c>
      <c r="K1210" t="s">
        <v>5048</v>
      </c>
      <c r="L1210" t="s">
        <v>5052</v>
      </c>
      <c r="M1210" t="s">
        <v>5054</v>
      </c>
    </row>
    <row r="1211" spans="1:13" x14ac:dyDescent="0.3">
      <c r="A1211" s="1">
        <v>45517</v>
      </c>
      <c r="B1211" s="1" t="str">
        <f>TEXT(Tabla1[[#This Row],[Fecha]],"MMMM")</f>
        <v>agosto</v>
      </c>
      <c r="C1211" t="s">
        <v>1221</v>
      </c>
      <c r="D1211" t="s">
        <v>5024</v>
      </c>
      <c r="E1211" t="s">
        <v>5033</v>
      </c>
      <c r="F1211" t="s">
        <v>5038</v>
      </c>
      <c r="G1211" s="3">
        <v>3927.34</v>
      </c>
      <c r="H1211" s="3">
        <v>510.55</v>
      </c>
      <c r="I1211" s="3">
        <f>SUM(Tabla1[[#This Row],[Monto_Base]],H1211)</f>
        <v>4437.8900000000003</v>
      </c>
      <c r="J1211" t="s">
        <v>5044</v>
      </c>
      <c r="K1211" t="s">
        <v>5047</v>
      </c>
      <c r="L1211" t="s">
        <v>5050</v>
      </c>
      <c r="M1211" t="s">
        <v>5055</v>
      </c>
    </row>
    <row r="1212" spans="1:13" x14ac:dyDescent="0.3">
      <c r="A1212" s="1">
        <v>45591</v>
      </c>
      <c r="B1212" s="1" t="str">
        <f>TEXT(Tabla1[[#This Row],[Fecha]],"MMMM")</f>
        <v>octubre</v>
      </c>
      <c r="C1212" t="s">
        <v>1222</v>
      </c>
      <c r="D1212" t="s">
        <v>5020</v>
      </c>
      <c r="E1212" t="s">
        <v>5032</v>
      </c>
      <c r="F1212" t="s">
        <v>5039</v>
      </c>
      <c r="G1212" s="3">
        <v>599.13</v>
      </c>
      <c r="H1212" s="3">
        <v>0</v>
      </c>
      <c r="I1212" s="3">
        <f>SUM(Tabla1[[#This Row],[Monto_Base]],H1212)</f>
        <v>599.13</v>
      </c>
      <c r="J1212" t="s">
        <v>5043</v>
      </c>
      <c r="K1212" t="s">
        <v>5047</v>
      </c>
      <c r="L1212" t="s">
        <v>5052</v>
      </c>
      <c r="M1212" t="s">
        <v>5055</v>
      </c>
    </row>
    <row r="1213" spans="1:13" x14ac:dyDescent="0.3">
      <c r="A1213" s="1">
        <v>45549</v>
      </c>
      <c r="B1213" s="1" t="str">
        <f>TEXT(Tabla1[[#This Row],[Fecha]],"MMMM")</f>
        <v>septiembre</v>
      </c>
      <c r="C1213" t="s">
        <v>1223</v>
      </c>
      <c r="D1213" t="s">
        <v>5029</v>
      </c>
      <c r="E1213" t="s">
        <v>5033</v>
      </c>
      <c r="F1213" t="s">
        <v>5040</v>
      </c>
      <c r="G1213" s="3">
        <v>10509.82</v>
      </c>
      <c r="H1213" s="3">
        <v>1366.28</v>
      </c>
      <c r="I1213" s="3">
        <f>SUM(Tabla1[[#This Row],[Monto_Base]],H1213)</f>
        <v>11876.1</v>
      </c>
      <c r="J1213" t="s">
        <v>5042</v>
      </c>
      <c r="K1213" t="s">
        <v>5049</v>
      </c>
      <c r="L1213" t="s">
        <v>5051</v>
      </c>
      <c r="M1213" t="s">
        <v>5054</v>
      </c>
    </row>
    <row r="1214" spans="1:13" x14ac:dyDescent="0.3">
      <c r="A1214" s="1">
        <v>45351</v>
      </c>
      <c r="B1214" s="1" t="str">
        <f>TEXT(Tabla1[[#This Row],[Fecha]],"MMMM")</f>
        <v>febrero</v>
      </c>
      <c r="C1214" t="s">
        <v>1224</v>
      </c>
      <c r="D1214" t="s">
        <v>5021</v>
      </c>
      <c r="E1214" t="s">
        <v>5033</v>
      </c>
      <c r="F1214" t="s">
        <v>5041</v>
      </c>
      <c r="G1214" s="3">
        <v>3949.65</v>
      </c>
      <c r="H1214" s="3">
        <v>513.45000000000005</v>
      </c>
      <c r="I1214" s="3">
        <f>SUM(Tabla1[[#This Row],[Monto_Base]],H1214)</f>
        <v>4463.1000000000004</v>
      </c>
      <c r="J1214" t="s">
        <v>5042</v>
      </c>
      <c r="K1214" t="s">
        <v>5049</v>
      </c>
      <c r="L1214" t="s">
        <v>5052</v>
      </c>
      <c r="M1214" t="s">
        <v>5055</v>
      </c>
    </row>
    <row r="1215" spans="1:13" x14ac:dyDescent="0.3">
      <c r="A1215" s="1">
        <v>45629</v>
      </c>
      <c r="B1215" s="1" t="str">
        <f>TEXT(Tabla1[[#This Row],[Fecha]],"MMMM")</f>
        <v>diciembre</v>
      </c>
      <c r="C1215" t="s">
        <v>1225</v>
      </c>
      <c r="D1215" t="s">
        <v>5018</v>
      </c>
      <c r="E1215" t="s">
        <v>5032</v>
      </c>
      <c r="F1215" t="s">
        <v>5040</v>
      </c>
      <c r="G1215" s="3">
        <v>8478.35</v>
      </c>
      <c r="H1215" s="3">
        <v>0</v>
      </c>
      <c r="I1215" s="3">
        <f>SUM(Tabla1[[#This Row],[Monto_Base]],H1215)</f>
        <v>8478.35</v>
      </c>
      <c r="J1215" t="s">
        <v>5042</v>
      </c>
      <c r="K1215" t="s">
        <v>5047</v>
      </c>
      <c r="L1215" t="s">
        <v>5051</v>
      </c>
      <c r="M1215" t="s">
        <v>5054</v>
      </c>
    </row>
    <row r="1216" spans="1:13" x14ac:dyDescent="0.3">
      <c r="A1216" s="1">
        <v>45464</v>
      </c>
      <c r="B1216" s="1" t="str">
        <f>TEXT(Tabla1[[#This Row],[Fecha]],"MMMM")</f>
        <v>junio</v>
      </c>
      <c r="C1216" t="s">
        <v>1226</v>
      </c>
      <c r="D1216" t="s">
        <v>5022</v>
      </c>
      <c r="E1216" t="s">
        <v>5033</v>
      </c>
      <c r="F1216" t="s">
        <v>5037</v>
      </c>
      <c r="G1216" s="3">
        <v>7158.66</v>
      </c>
      <c r="H1216" s="3">
        <v>930.63</v>
      </c>
      <c r="I1216" s="3">
        <f>SUM(Tabla1[[#This Row],[Monto_Base]],H1216)</f>
        <v>8089.29</v>
      </c>
      <c r="J1216" t="s">
        <v>5045</v>
      </c>
      <c r="K1216" t="s">
        <v>5047</v>
      </c>
      <c r="L1216" t="s">
        <v>5051</v>
      </c>
      <c r="M1216" t="s">
        <v>5055</v>
      </c>
    </row>
    <row r="1217" spans="1:13" x14ac:dyDescent="0.3">
      <c r="A1217" s="1">
        <v>45607</v>
      </c>
      <c r="B1217" s="1" t="str">
        <f>TEXT(Tabla1[[#This Row],[Fecha]],"MMMM")</f>
        <v>noviembre</v>
      </c>
      <c r="C1217" t="s">
        <v>1227</v>
      </c>
      <c r="D1217" t="s">
        <v>5018</v>
      </c>
      <c r="E1217" t="s">
        <v>5033</v>
      </c>
      <c r="F1217" t="s">
        <v>5035</v>
      </c>
      <c r="G1217" s="3">
        <v>6613.18</v>
      </c>
      <c r="H1217" s="3">
        <v>859.71</v>
      </c>
      <c r="I1217" s="3">
        <f>SUM(Tabla1[[#This Row],[Monto_Base]],H1217)</f>
        <v>7472.89</v>
      </c>
      <c r="J1217" t="s">
        <v>5043</v>
      </c>
      <c r="K1217" t="s">
        <v>5049</v>
      </c>
      <c r="L1217" t="s">
        <v>5050</v>
      </c>
      <c r="M1217" t="s">
        <v>5055</v>
      </c>
    </row>
    <row r="1218" spans="1:13" x14ac:dyDescent="0.3">
      <c r="A1218" s="1">
        <v>45539</v>
      </c>
      <c r="B1218" s="1" t="str">
        <f>TEXT(Tabla1[[#This Row],[Fecha]],"MMMM")</f>
        <v>septiembre</v>
      </c>
      <c r="C1218" t="s">
        <v>1228</v>
      </c>
      <c r="D1218" t="s">
        <v>5024</v>
      </c>
      <c r="E1218" t="s">
        <v>5032</v>
      </c>
      <c r="F1218" t="s">
        <v>5040</v>
      </c>
      <c r="G1218" s="3">
        <v>9034.08</v>
      </c>
      <c r="H1218" s="3">
        <v>0</v>
      </c>
      <c r="I1218" s="3">
        <f>SUM(Tabla1[[#This Row],[Monto_Base]],H1218)</f>
        <v>9034.08</v>
      </c>
      <c r="J1218" t="s">
        <v>5043</v>
      </c>
      <c r="K1218" t="s">
        <v>5048</v>
      </c>
      <c r="L1218" t="s">
        <v>5053</v>
      </c>
      <c r="M1218" t="s">
        <v>5054</v>
      </c>
    </row>
    <row r="1219" spans="1:13" x14ac:dyDescent="0.3">
      <c r="A1219" s="1">
        <v>45497</v>
      </c>
      <c r="B1219" s="1" t="str">
        <f>TEXT(Tabla1[[#This Row],[Fecha]],"MMMM")</f>
        <v>julio</v>
      </c>
      <c r="C1219" t="s">
        <v>1229</v>
      </c>
      <c r="D1219" t="s">
        <v>5027</v>
      </c>
      <c r="E1219" t="s">
        <v>5032</v>
      </c>
      <c r="F1219" t="s">
        <v>5038</v>
      </c>
      <c r="G1219" s="3">
        <v>14312.03</v>
      </c>
      <c r="H1219" s="3">
        <v>0</v>
      </c>
      <c r="I1219" s="3">
        <f>SUM(Tabla1[[#This Row],[Monto_Base]],H1219)</f>
        <v>14312.03</v>
      </c>
      <c r="J1219" t="s">
        <v>5042</v>
      </c>
      <c r="K1219" t="s">
        <v>5047</v>
      </c>
      <c r="L1219" t="s">
        <v>5052</v>
      </c>
      <c r="M1219" t="s">
        <v>5054</v>
      </c>
    </row>
    <row r="1220" spans="1:13" x14ac:dyDescent="0.3">
      <c r="A1220" s="1">
        <v>45462</v>
      </c>
      <c r="B1220" s="1" t="str">
        <f>TEXT(Tabla1[[#This Row],[Fecha]],"MMMM")</f>
        <v>junio</v>
      </c>
      <c r="C1220" t="s">
        <v>1230</v>
      </c>
      <c r="D1220" t="s">
        <v>5014</v>
      </c>
      <c r="E1220" t="s">
        <v>5033</v>
      </c>
      <c r="F1220" t="s">
        <v>5039</v>
      </c>
      <c r="G1220" s="3">
        <v>1991.87</v>
      </c>
      <c r="H1220" s="3">
        <v>258.94</v>
      </c>
      <c r="I1220" s="3">
        <f>SUM(Tabla1[[#This Row],[Monto_Base]],H1220)</f>
        <v>2250.81</v>
      </c>
      <c r="J1220" t="s">
        <v>5045</v>
      </c>
      <c r="K1220" t="s">
        <v>5047</v>
      </c>
      <c r="L1220" t="s">
        <v>5051</v>
      </c>
      <c r="M1220" t="s">
        <v>5054</v>
      </c>
    </row>
    <row r="1221" spans="1:13" x14ac:dyDescent="0.3">
      <c r="A1221" s="1">
        <v>45629</v>
      </c>
      <c r="B1221" s="1" t="str">
        <f>TEXT(Tabla1[[#This Row],[Fecha]],"MMMM")</f>
        <v>diciembre</v>
      </c>
      <c r="C1221" t="s">
        <v>1231</v>
      </c>
      <c r="D1221" t="s">
        <v>5025</v>
      </c>
      <c r="E1221" t="s">
        <v>5032</v>
      </c>
      <c r="F1221" t="s">
        <v>5039</v>
      </c>
      <c r="G1221" s="3">
        <v>6935.79</v>
      </c>
      <c r="H1221" s="3">
        <v>0</v>
      </c>
      <c r="I1221" s="3">
        <f>SUM(Tabla1[[#This Row],[Monto_Base]],H1221)</f>
        <v>6935.79</v>
      </c>
      <c r="J1221" t="s">
        <v>5046</v>
      </c>
      <c r="K1221" t="s">
        <v>5047</v>
      </c>
      <c r="L1221" t="s">
        <v>5052</v>
      </c>
      <c r="M1221" t="s">
        <v>5055</v>
      </c>
    </row>
    <row r="1222" spans="1:13" x14ac:dyDescent="0.3">
      <c r="A1222" s="1">
        <v>45515</v>
      </c>
      <c r="B1222" s="1" t="str">
        <f>TEXT(Tabla1[[#This Row],[Fecha]],"MMMM")</f>
        <v>agosto</v>
      </c>
      <c r="C1222" t="s">
        <v>1232</v>
      </c>
      <c r="D1222" t="s">
        <v>5030</v>
      </c>
      <c r="E1222" t="s">
        <v>5033</v>
      </c>
      <c r="F1222" t="s">
        <v>5034</v>
      </c>
      <c r="G1222" s="3">
        <v>12873.54</v>
      </c>
      <c r="H1222" s="3">
        <v>1673.56</v>
      </c>
      <c r="I1222" s="3">
        <f>SUM(Tabla1[[#This Row],[Monto_Base]],H1222)</f>
        <v>14547.1</v>
      </c>
      <c r="J1222" t="s">
        <v>5045</v>
      </c>
      <c r="K1222" t="s">
        <v>5049</v>
      </c>
      <c r="L1222" t="s">
        <v>5052</v>
      </c>
      <c r="M1222" t="s">
        <v>5054</v>
      </c>
    </row>
    <row r="1223" spans="1:13" x14ac:dyDescent="0.3">
      <c r="A1223" s="1">
        <v>45533</v>
      </c>
      <c r="B1223" s="1" t="str">
        <f>TEXT(Tabla1[[#This Row],[Fecha]],"MMMM")</f>
        <v>agosto</v>
      </c>
      <c r="C1223" t="s">
        <v>1233</v>
      </c>
      <c r="D1223" t="s">
        <v>5022</v>
      </c>
      <c r="E1223" t="s">
        <v>5032</v>
      </c>
      <c r="F1223" t="s">
        <v>5039</v>
      </c>
      <c r="G1223" s="3">
        <v>5203.4399999999996</v>
      </c>
      <c r="H1223" s="3">
        <v>0</v>
      </c>
      <c r="I1223" s="3">
        <f>SUM(Tabla1[[#This Row],[Monto_Base]],H1223)</f>
        <v>5203.4399999999996</v>
      </c>
      <c r="J1223" t="s">
        <v>5042</v>
      </c>
      <c r="K1223" t="s">
        <v>5049</v>
      </c>
      <c r="L1223" t="s">
        <v>5050</v>
      </c>
      <c r="M1223" t="s">
        <v>5054</v>
      </c>
    </row>
    <row r="1224" spans="1:13" x14ac:dyDescent="0.3">
      <c r="A1224" s="1">
        <v>45341</v>
      </c>
      <c r="B1224" s="1" t="str">
        <f>TEXT(Tabla1[[#This Row],[Fecha]],"MMMM")</f>
        <v>febrero</v>
      </c>
      <c r="C1224" t="s">
        <v>1234</v>
      </c>
      <c r="D1224" t="s">
        <v>5019</v>
      </c>
      <c r="E1224" t="s">
        <v>5032</v>
      </c>
      <c r="F1224" t="s">
        <v>5034</v>
      </c>
      <c r="G1224" s="3">
        <v>11457.69</v>
      </c>
      <c r="H1224" s="3">
        <v>0</v>
      </c>
      <c r="I1224" s="3">
        <f>SUM(Tabla1[[#This Row],[Monto_Base]],H1224)</f>
        <v>11457.69</v>
      </c>
      <c r="J1224" t="s">
        <v>5043</v>
      </c>
      <c r="K1224" t="s">
        <v>5047</v>
      </c>
      <c r="L1224" t="s">
        <v>5051</v>
      </c>
      <c r="M1224" t="s">
        <v>5054</v>
      </c>
    </row>
    <row r="1225" spans="1:13" x14ac:dyDescent="0.3">
      <c r="A1225" s="1">
        <v>45565</v>
      </c>
      <c r="B1225" s="1" t="str">
        <f>TEXT(Tabla1[[#This Row],[Fecha]],"MMMM")</f>
        <v>septiembre</v>
      </c>
      <c r="C1225" t="s">
        <v>1235</v>
      </c>
      <c r="D1225" t="s">
        <v>5020</v>
      </c>
      <c r="E1225" t="s">
        <v>5032</v>
      </c>
      <c r="F1225" t="s">
        <v>5037</v>
      </c>
      <c r="G1225" s="3">
        <v>8974.24</v>
      </c>
      <c r="H1225" s="3">
        <v>0</v>
      </c>
      <c r="I1225" s="3">
        <f>SUM(Tabla1[[#This Row],[Monto_Base]],H1225)</f>
        <v>8974.24</v>
      </c>
      <c r="J1225" t="s">
        <v>5045</v>
      </c>
      <c r="K1225" t="s">
        <v>5048</v>
      </c>
      <c r="L1225" t="s">
        <v>5050</v>
      </c>
      <c r="M1225" t="s">
        <v>5054</v>
      </c>
    </row>
    <row r="1226" spans="1:13" x14ac:dyDescent="0.3">
      <c r="A1226" s="1">
        <v>45466</v>
      </c>
      <c r="B1226" s="1" t="str">
        <f>TEXT(Tabla1[[#This Row],[Fecha]],"MMMM")</f>
        <v>junio</v>
      </c>
      <c r="C1226" t="s">
        <v>1236</v>
      </c>
      <c r="D1226" t="s">
        <v>5031</v>
      </c>
      <c r="E1226" t="s">
        <v>5033</v>
      </c>
      <c r="F1226" t="s">
        <v>5034</v>
      </c>
      <c r="G1226" s="3">
        <v>5568.53</v>
      </c>
      <c r="H1226" s="3">
        <v>723.91</v>
      </c>
      <c r="I1226" s="3">
        <f>SUM(Tabla1[[#This Row],[Monto_Base]],H1226)</f>
        <v>6292.44</v>
      </c>
      <c r="J1226" t="s">
        <v>5042</v>
      </c>
      <c r="K1226" t="s">
        <v>5047</v>
      </c>
      <c r="L1226" t="s">
        <v>5050</v>
      </c>
      <c r="M1226" t="s">
        <v>5054</v>
      </c>
    </row>
    <row r="1227" spans="1:13" x14ac:dyDescent="0.3">
      <c r="A1227" s="1">
        <v>45446</v>
      </c>
      <c r="B1227" s="1" t="str">
        <f>TEXT(Tabla1[[#This Row],[Fecha]],"MMMM")</f>
        <v>junio</v>
      </c>
      <c r="C1227" t="s">
        <v>1237</v>
      </c>
      <c r="D1227" t="s">
        <v>5026</v>
      </c>
      <c r="E1227" t="s">
        <v>5032</v>
      </c>
      <c r="F1227" t="s">
        <v>5034</v>
      </c>
      <c r="G1227" s="3">
        <v>711.51</v>
      </c>
      <c r="H1227" s="3">
        <v>0</v>
      </c>
      <c r="I1227" s="3">
        <f>SUM(Tabla1[[#This Row],[Monto_Base]],H1227)</f>
        <v>711.51</v>
      </c>
      <c r="J1227" t="s">
        <v>5043</v>
      </c>
      <c r="K1227" t="s">
        <v>5047</v>
      </c>
      <c r="L1227" t="s">
        <v>5051</v>
      </c>
      <c r="M1227" t="s">
        <v>5055</v>
      </c>
    </row>
    <row r="1228" spans="1:13" x14ac:dyDescent="0.3">
      <c r="A1228" s="1">
        <v>45637</v>
      </c>
      <c r="B1228" s="1" t="str">
        <f>TEXT(Tabla1[[#This Row],[Fecha]],"MMMM")</f>
        <v>diciembre</v>
      </c>
      <c r="C1228" t="s">
        <v>1238</v>
      </c>
      <c r="D1228" t="s">
        <v>5027</v>
      </c>
      <c r="E1228" t="s">
        <v>5033</v>
      </c>
      <c r="F1228" t="s">
        <v>5038</v>
      </c>
      <c r="G1228" s="3">
        <v>4700.83</v>
      </c>
      <c r="H1228" s="3">
        <v>611.11</v>
      </c>
      <c r="I1228" s="3">
        <f>SUM(Tabla1[[#This Row],[Monto_Base]],H1228)</f>
        <v>5311.94</v>
      </c>
      <c r="J1228" t="s">
        <v>5043</v>
      </c>
      <c r="K1228" t="s">
        <v>5047</v>
      </c>
      <c r="L1228" t="s">
        <v>5051</v>
      </c>
      <c r="M1228" t="s">
        <v>5055</v>
      </c>
    </row>
    <row r="1229" spans="1:13" x14ac:dyDescent="0.3">
      <c r="A1229" s="1">
        <v>45334</v>
      </c>
      <c r="B1229" s="1" t="str">
        <f>TEXT(Tabla1[[#This Row],[Fecha]],"MMMM")</f>
        <v>febrero</v>
      </c>
      <c r="C1229" t="s">
        <v>1239</v>
      </c>
      <c r="D1229" t="s">
        <v>5026</v>
      </c>
      <c r="E1229" t="s">
        <v>5032</v>
      </c>
      <c r="F1229" t="s">
        <v>5036</v>
      </c>
      <c r="G1229" s="3">
        <v>7000.59</v>
      </c>
      <c r="H1229" s="3">
        <v>0</v>
      </c>
      <c r="I1229" s="3">
        <f>SUM(Tabla1[[#This Row],[Monto_Base]],H1229)</f>
        <v>7000.59</v>
      </c>
      <c r="J1229" t="s">
        <v>5044</v>
      </c>
      <c r="K1229" t="s">
        <v>5049</v>
      </c>
      <c r="L1229" t="s">
        <v>5053</v>
      </c>
      <c r="M1229" t="s">
        <v>5055</v>
      </c>
    </row>
    <row r="1230" spans="1:13" x14ac:dyDescent="0.3">
      <c r="A1230" s="1">
        <v>45488</v>
      </c>
      <c r="B1230" s="1" t="str">
        <f>TEXT(Tabla1[[#This Row],[Fecha]],"MMMM")</f>
        <v>julio</v>
      </c>
      <c r="C1230" t="s">
        <v>1240</v>
      </c>
      <c r="D1230" t="s">
        <v>5026</v>
      </c>
      <c r="E1230" t="s">
        <v>5032</v>
      </c>
      <c r="F1230" t="s">
        <v>5039</v>
      </c>
      <c r="G1230" s="3">
        <v>8641.5</v>
      </c>
      <c r="H1230" s="3">
        <v>0</v>
      </c>
      <c r="I1230" s="3">
        <f>SUM(Tabla1[[#This Row],[Monto_Base]],H1230)</f>
        <v>8641.5</v>
      </c>
      <c r="J1230" t="s">
        <v>5043</v>
      </c>
      <c r="K1230" t="s">
        <v>5047</v>
      </c>
      <c r="L1230" t="s">
        <v>5050</v>
      </c>
      <c r="M1230" t="s">
        <v>5055</v>
      </c>
    </row>
    <row r="1231" spans="1:13" x14ac:dyDescent="0.3">
      <c r="A1231" s="1">
        <v>45616</v>
      </c>
      <c r="B1231" s="1" t="str">
        <f>TEXT(Tabla1[[#This Row],[Fecha]],"MMMM")</f>
        <v>noviembre</v>
      </c>
      <c r="C1231" t="s">
        <v>1241</v>
      </c>
      <c r="D1231" t="s">
        <v>5022</v>
      </c>
      <c r="E1231" t="s">
        <v>5032</v>
      </c>
      <c r="F1231" t="s">
        <v>5037</v>
      </c>
      <c r="G1231" s="3">
        <v>3916.8</v>
      </c>
      <c r="H1231" s="3">
        <v>0</v>
      </c>
      <c r="I1231" s="3">
        <f>SUM(Tabla1[[#This Row],[Monto_Base]],H1231)</f>
        <v>3916.8</v>
      </c>
      <c r="J1231" t="s">
        <v>5045</v>
      </c>
      <c r="K1231" t="s">
        <v>5049</v>
      </c>
      <c r="L1231" t="s">
        <v>5050</v>
      </c>
      <c r="M1231" t="s">
        <v>5055</v>
      </c>
    </row>
    <row r="1232" spans="1:13" x14ac:dyDescent="0.3">
      <c r="A1232" s="1">
        <v>45509</v>
      </c>
      <c r="B1232" s="1" t="str">
        <f>TEXT(Tabla1[[#This Row],[Fecha]],"MMMM")</f>
        <v>agosto</v>
      </c>
      <c r="C1232" t="s">
        <v>1242</v>
      </c>
      <c r="D1232" t="s">
        <v>5020</v>
      </c>
      <c r="E1232" t="s">
        <v>5032</v>
      </c>
      <c r="F1232" t="s">
        <v>5036</v>
      </c>
      <c r="G1232" s="3">
        <v>11793.15</v>
      </c>
      <c r="H1232" s="3">
        <v>0</v>
      </c>
      <c r="I1232" s="3">
        <f>SUM(Tabla1[[#This Row],[Monto_Base]],H1232)</f>
        <v>11793.15</v>
      </c>
      <c r="J1232" t="s">
        <v>5042</v>
      </c>
      <c r="K1232" t="s">
        <v>5048</v>
      </c>
      <c r="L1232" t="s">
        <v>5053</v>
      </c>
      <c r="M1232" t="s">
        <v>5054</v>
      </c>
    </row>
    <row r="1233" spans="1:13" x14ac:dyDescent="0.3">
      <c r="A1233" s="1">
        <v>45606</v>
      </c>
      <c r="B1233" s="1" t="str">
        <f>TEXT(Tabla1[[#This Row],[Fecha]],"MMMM")</f>
        <v>noviembre</v>
      </c>
      <c r="C1233" t="s">
        <v>1243</v>
      </c>
      <c r="D1233" t="s">
        <v>5015</v>
      </c>
      <c r="E1233" t="s">
        <v>5032</v>
      </c>
      <c r="F1233" t="s">
        <v>5034</v>
      </c>
      <c r="G1233" s="3">
        <v>7747.7</v>
      </c>
      <c r="H1233" s="3">
        <v>0</v>
      </c>
      <c r="I1233" s="3">
        <f>SUM(Tabla1[[#This Row],[Monto_Base]],H1233)</f>
        <v>7747.7</v>
      </c>
      <c r="J1233" t="s">
        <v>5043</v>
      </c>
      <c r="K1233" t="s">
        <v>5048</v>
      </c>
      <c r="L1233" t="s">
        <v>5053</v>
      </c>
      <c r="M1233" t="s">
        <v>5055</v>
      </c>
    </row>
    <row r="1234" spans="1:13" x14ac:dyDescent="0.3">
      <c r="A1234" s="1">
        <v>45317</v>
      </c>
      <c r="B1234" s="1" t="str">
        <f>TEXT(Tabla1[[#This Row],[Fecha]],"MMMM")</f>
        <v>enero</v>
      </c>
      <c r="C1234" t="s">
        <v>1244</v>
      </c>
      <c r="D1234" t="s">
        <v>5022</v>
      </c>
      <c r="E1234" t="s">
        <v>5033</v>
      </c>
      <c r="F1234" t="s">
        <v>5041</v>
      </c>
      <c r="G1234" s="3">
        <v>6930.75</v>
      </c>
      <c r="H1234" s="3">
        <v>901</v>
      </c>
      <c r="I1234" s="3">
        <f>SUM(Tabla1[[#This Row],[Monto_Base]],H1234)</f>
        <v>7831.75</v>
      </c>
      <c r="J1234" t="s">
        <v>5042</v>
      </c>
      <c r="K1234" t="s">
        <v>5049</v>
      </c>
      <c r="L1234" t="s">
        <v>5051</v>
      </c>
      <c r="M1234" t="s">
        <v>5055</v>
      </c>
    </row>
    <row r="1235" spans="1:13" x14ac:dyDescent="0.3">
      <c r="A1235" s="1">
        <v>45383</v>
      </c>
      <c r="B1235" s="1" t="str">
        <f>TEXT(Tabla1[[#This Row],[Fecha]],"MMMM")</f>
        <v>abril</v>
      </c>
      <c r="C1235" t="s">
        <v>1245</v>
      </c>
      <c r="D1235" t="s">
        <v>5020</v>
      </c>
      <c r="E1235" t="s">
        <v>5032</v>
      </c>
      <c r="F1235" t="s">
        <v>5035</v>
      </c>
      <c r="G1235" s="3">
        <v>8164.09</v>
      </c>
      <c r="H1235" s="3">
        <v>0</v>
      </c>
      <c r="I1235" s="3">
        <f>SUM(Tabla1[[#This Row],[Monto_Base]],H1235)</f>
        <v>8164.09</v>
      </c>
      <c r="J1235" t="s">
        <v>5044</v>
      </c>
      <c r="K1235" t="s">
        <v>5048</v>
      </c>
      <c r="L1235" t="s">
        <v>5050</v>
      </c>
      <c r="M1235" t="s">
        <v>5054</v>
      </c>
    </row>
    <row r="1236" spans="1:13" x14ac:dyDescent="0.3">
      <c r="A1236" s="1">
        <v>45474</v>
      </c>
      <c r="B1236" s="1" t="str">
        <f>TEXT(Tabla1[[#This Row],[Fecha]],"MMMM")</f>
        <v>julio</v>
      </c>
      <c r="C1236" t="s">
        <v>1246</v>
      </c>
      <c r="D1236" t="s">
        <v>5020</v>
      </c>
      <c r="E1236" t="s">
        <v>5032</v>
      </c>
      <c r="F1236" t="s">
        <v>5035</v>
      </c>
      <c r="G1236" s="3">
        <v>8956.89</v>
      </c>
      <c r="H1236" s="3">
        <v>0</v>
      </c>
      <c r="I1236" s="3">
        <f>SUM(Tabla1[[#This Row],[Monto_Base]],H1236)</f>
        <v>8956.89</v>
      </c>
      <c r="J1236" t="s">
        <v>5045</v>
      </c>
      <c r="K1236" t="s">
        <v>5049</v>
      </c>
      <c r="L1236" t="s">
        <v>5050</v>
      </c>
      <c r="M1236" t="s">
        <v>5054</v>
      </c>
    </row>
    <row r="1237" spans="1:13" x14ac:dyDescent="0.3">
      <c r="A1237" s="1">
        <v>45616</v>
      </c>
      <c r="B1237" s="1" t="str">
        <f>TEXT(Tabla1[[#This Row],[Fecha]],"MMMM")</f>
        <v>noviembre</v>
      </c>
      <c r="C1237" t="s">
        <v>1247</v>
      </c>
      <c r="D1237" t="s">
        <v>5013</v>
      </c>
      <c r="E1237" t="s">
        <v>5033</v>
      </c>
      <c r="F1237" t="s">
        <v>5039</v>
      </c>
      <c r="G1237" s="3">
        <v>10915.47</v>
      </c>
      <c r="H1237" s="3">
        <v>1419.01</v>
      </c>
      <c r="I1237" s="3">
        <f>SUM(Tabla1[[#This Row],[Monto_Base]],H1237)</f>
        <v>12334.48</v>
      </c>
      <c r="J1237" t="s">
        <v>5043</v>
      </c>
      <c r="K1237" t="s">
        <v>5048</v>
      </c>
      <c r="L1237" t="s">
        <v>5051</v>
      </c>
      <c r="M1237" t="s">
        <v>5055</v>
      </c>
    </row>
    <row r="1238" spans="1:13" x14ac:dyDescent="0.3">
      <c r="A1238" s="1">
        <v>45459</v>
      </c>
      <c r="B1238" s="1" t="str">
        <f>TEXT(Tabla1[[#This Row],[Fecha]],"MMMM")</f>
        <v>junio</v>
      </c>
      <c r="C1238" t="s">
        <v>1248</v>
      </c>
      <c r="D1238" t="s">
        <v>5014</v>
      </c>
      <c r="E1238" t="s">
        <v>5033</v>
      </c>
      <c r="F1238" t="s">
        <v>5041</v>
      </c>
      <c r="G1238" s="3">
        <v>657.58</v>
      </c>
      <c r="H1238" s="3">
        <v>85.49</v>
      </c>
      <c r="I1238" s="3">
        <f>SUM(Tabla1[[#This Row],[Monto_Base]],H1238)</f>
        <v>743.07</v>
      </c>
      <c r="J1238" t="s">
        <v>5044</v>
      </c>
      <c r="K1238" t="s">
        <v>5047</v>
      </c>
      <c r="L1238" t="s">
        <v>5052</v>
      </c>
      <c r="M1238" t="s">
        <v>5054</v>
      </c>
    </row>
    <row r="1239" spans="1:13" x14ac:dyDescent="0.3">
      <c r="A1239" s="1">
        <v>45446</v>
      </c>
      <c r="B1239" s="1" t="str">
        <f>TEXT(Tabla1[[#This Row],[Fecha]],"MMMM")</f>
        <v>junio</v>
      </c>
      <c r="C1239" t="s">
        <v>1249</v>
      </c>
      <c r="D1239" t="s">
        <v>5016</v>
      </c>
      <c r="E1239" t="s">
        <v>5033</v>
      </c>
      <c r="F1239" t="s">
        <v>5040</v>
      </c>
      <c r="G1239" s="3">
        <v>13915.24</v>
      </c>
      <c r="H1239" s="3">
        <v>1808.98</v>
      </c>
      <c r="I1239" s="3">
        <f>SUM(Tabla1[[#This Row],[Monto_Base]],H1239)</f>
        <v>15724.22</v>
      </c>
      <c r="J1239" t="s">
        <v>5043</v>
      </c>
      <c r="K1239" t="s">
        <v>5048</v>
      </c>
      <c r="L1239" t="s">
        <v>5053</v>
      </c>
      <c r="M1239" t="s">
        <v>5054</v>
      </c>
    </row>
    <row r="1240" spans="1:13" x14ac:dyDescent="0.3">
      <c r="A1240" s="1">
        <v>45584</v>
      </c>
      <c r="B1240" s="1" t="str">
        <f>TEXT(Tabla1[[#This Row],[Fecha]],"MMMM")</f>
        <v>octubre</v>
      </c>
      <c r="C1240" t="s">
        <v>1250</v>
      </c>
      <c r="D1240" t="s">
        <v>5030</v>
      </c>
      <c r="E1240" t="s">
        <v>5032</v>
      </c>
      <c r="F1240" t="s">
        <v>5036</v>
      </c>
      <c r="G1240" s="3">
        <v>11914.99</v>
      </c>
      <c r="H1240" s="3">
        <v>0</v>
      </c>
      <c r="I1240" s="3">
        <f>SUM(Tabla1[[#This Row],[Monto_Base]],H1240)</f>
        <v>11914.99</v>
      </c>
      <c r="J1240" t="s">
        <v>5044</v>
      </c>
      <c r="K1240" t="s">
        <v>5048</v>
      </c>
      <c r="L1240" t="s">
        <v>5052</v>
      </c>
      <c r="M1240" t="s">
        <v>5054</v>
      </c>
    </row>
    <row r="1241" spans="1:13" x14ac:dyDescent="0.3">
      <c r="A1241" s="1">
        <v>45515</v>
      </c>
      <c r="B1241" s="1" t="str">
        <f>TEXT(Tabla1[[#This Row],[Fecha]],"MMMM")</f>
        <v>agosto</v>
      </c>
      <c r="C1241" t="s">
        <v>1251</v>
      </c>
      <c r="D1241" t="s">
        <v>5014</v>
      </c>
      <c r="E1241" t="s">
        <v>5032</v>
      </c>
      <c r="F1241" t="s">
        <v>5034</v>
      </c>
      <c r="G1241" s="3">
        <v>11422.75</v>
      </c>
      <c r="H1241" s="3">
        <v>0</v>
      </c>
      <c r="I1241" s="3">
        <f>SUM(Tabla1[[#This Row],[Monto_Base]],H1241)</f>
        <v>11422.75</v>
      </c>
      <c r="J1241" t="s">
        <v>5044</v>
      </c>
      <c r="K1241" t="s">
        <v>5049</v>
      </c>
      <c r="L1241" t="s">
        <v>5052</v>
      </c>
      <c r="M1241" t="s">
        <v>5055</v>
      </c>
    </row>
    <row r="1242" spans="1:13" x14ac:dyDescent="0.3">
      <c r="A1242" s="1">
        <v>45431</v>
      </c>
      <c r="B1242" s="1" t="str">
        <f>TEXT(Tabla1[[#This Row],[Fecha]],"MMMM")</f>
        <v>mayo</v>
      </c>
      <c r="C1242" t="s">
        <v>1252</v>
      </c>
      <c r="D1242" t="s">
        <v>5031</v>
      </c>
      <c r="E1242" t="s">
        <v>5032</v>
      </c>
      <c r="F1242" t="s">
        <v>5039</v>
      </c>
      <c r="G1242" s="3">
        <v>10189.209999999999</v>
      </c>
      <c r="H1242" s="3">
        <v>0</v>
      </c>
      <c r="I1242" s="3">
        <f>SUM(Tabla1[[#This Row],[Monto_Base]],H1242)</f>
        <v>10189.209999999999</v>
      </c>
      <c r="J1242" t="s">
        <v>5045</v>
      </c>
      <c r="K1242" t="s">
        <v>5048</v>
      </c>
      <c r="L1242" t="s">
        <v>5052</v>
      </c>
      <c r="M1242" t="s">
        <v>5054</v>
      </c>
    </row>
    <row r="1243" spans="1:13" x14ac:dyDescent="0.3">
      <c r="A1243" s="1">
        <v>45617</v>
      </c>
      <c r="B1243" s="1" t="str">
        <f>TEXT(Tabla1[[#This Row],[Fecha]],"MMMM")</f>
        <v>noviembre</v>
      </c>
      <c r="C1243" t="s">
        <v>1253</v>
      </c>
      <c r="D1243" t="s">
        <v>5028</v>
      </c>
      <c r="E1243" t="s">
        <v>5032</v>
      </c>
      <c r="F1243" t="s">
        <v>5038</v>
      </c>
      <c r="G1243" s="3">
        <v>6963.5</v>
      </c>
      <c r="H1243" s="3">
        <v>0</v>
      </c>
      <c r="I1243" s="3">
        <f>SUM(Tabla1[[#This Row],[Monto_Base]],H1243)</f>
        <v>6963.5</v>
      </c>
      <c r="J1243" t="s">
        <v>5044</v>
      </c>
      <c r="K1243" t="s">
        <v>5047</v>
      </c>
      <c r="L1243" t="s">
        <v>5052</v>
      </c>
      <c r="M1243" t="s">
        <v>5054</v>
      </c>
    </row>
    <row r="1244" spans="1:13" x14ac:dyDescent="0.3">
      <c r="A1244" s="1">
        <v>45656</v>
      </c>
      <c r="B1244" s="1" t="str">
        <f>TEXT(Tabla1[[#This Row],[Fecha]],"MMMM")</f>
        <v>diciembre</v>
      </c>
      <c r="C1244" t="s">
        <v>1254</v>
      </c>
      <c r="D1244" t="s">
        <v>5015</v>
      </c>
      <c r="E1244" t="s">
        <v>5033</v>
      </c>
      <c r="F1244" t="s">
        <v>5036</v>
      </c>
      <c r="G1244" s="3">
        <v>9190.2199999999993</v>
      </c>
      <c r="H1244" s="3">
        <v>1194.73</v>
      </c>
      <c r="I1244" s="3">
        <f>SUM(Tabla1[[#This Row],[Monto_Base]],H1244)</f>
        <v>10384.949999999999</v>
      </c>
      <c r="J1244" t="s">
        <v>5042</v>
      </c>
      <c r="K1244" t="s">
        <v>5048</v>
      </c>
      <c r="L1244" t="s">
        <v>5050</v>
      </c>
      <c r="M1244" t="s">
        <v>5055</v>
      </c>
    </row>
    <row r="1245" spans="1:13" x14ac:dyDescent="0.3">
      <c r="A1245" s="1">
        <v>45469</v>
      </c>
      <c r="B1245" s="1" t="str">
        <f>TEXT(Tabla1[[#This Row],[Fecha]],"MMMM")</f>
        <v>junio</v>
      </c>
      <c r="C1245" t="s">
        <v>1255</v>
      </c>
      <c r="D1245" t="s">
        <v>5025</v>
      </c>
      <c r="E1245" t="s">
        <v>5033</v>
      </c>
      <c r="F1245" t="s">
        <v>5040</v>
      </c>
      <c r="G1245" s="3">
        <v>5141.91</v>
      </c>
      <c r="H1245" s="3">
        <v>668.45</v>
      </c>
      <c r="I1245" s="3">
        <f>SUM(Tabla1[[#This Row],[Monto_Base]],H1245)</f>
        <v>5810.36</v>
      </c>
      <c r="J1245" t="s">
        <v>5043</v>
      </c>
      <c r="K1245" t="s">
        <v>5047</v>
      </c>
      <c r="L1245" t="s">
        <v>5050</v>
      </c>
      <c r="M1245" t="s">
        <v>5055</v>
      </c>
    </row>
    <row r="1246" spans="1:13" x14ac:dyDescent="0.3">
      <c r="A1246" s="1">
        <v>45308</v>
      </c>
      <c r="B1246" s="1" t="str">
        <f>TEXT(Tabla1[[#This Row],[Fecha]],"MMMM")</f>
        <v>enero</v>
      </c>
      <c r="C1246" t="s">
        <v>1256</v>
      </c>
      <c r="D1246" t="s">
        <v>5023</v>
      </c>
      <c r="E1246" t="s">
        <v>5033</v>
      </c>
      <c r="F1246" t="s">
        <v>5037</v>
      </c>
      <c r="G1246" s="3">
        <v>3872.6</v>
      </c>
      <c r="H1246" s="3">
        <v>503.44</v>
      </c>
      <c r="I1246" s="3">
        <f>SUM(Tabla1[[#This Row],[Monto_Base]],H1246)</f>
        <v>4376.04</v>
      </c>
      <c r="J1246" t="s">
        <v>5042</v>
      </c>
      <c r="K1246" t="s">
        <v>5047</v>
      </c>
      <c r="L1246" t="s">
        <v>5050</v>
      </c>
      <c r="M1246" t="s">
        <v>5055</v>
      </c>
    </row>
    <row r="1247" spans="1:13" x14ac:dyDescent="0.3">
      <c r="A1247" s="1">
        <v>45453</v>
      </c>
      <c r="B1247" s="1" t="str">
        <f>TEXT(Tabla1[[#This Row],[Fecha]],"MMMM")</f>
        <v>junio</v>
      </c>
      <c r="C1247" t="s">
        <v>1257</v>
      </c>
      <c r="D1247" t="s">
        <v>5017</v>
      </c>
      <c r="E1247" t="s">
        <v>5032</v>
      </c>
      <c r="F1247" t="s">
        <v>5038</v>
      </c>
      <c r="G1247" s="3">
        <v>4412.75</v>
      </c>
      <c r="H1247" s="3">
        <v>0</v>
      </c>
      <c r="I1247" s="3">
        <f>SUM(Tabla1[[#This Row],[Monto_Base]],H1247)</f>
        <v>4412.75</v>
      </c>
      <c r="J1247" t="s">
        <v>5043</v>
      </c>
      <c r="K1247" t="s">
        <v>5049</v>
      </c>
      <c r="L1247" t="s">
        <v>5050</v>
      </c>
      <c r="M1247" t="s">
        <v>5054</v>
      </c>
    </row>
    <row r="1248" spans="1:13" x14ac:dyDescent="0.3">
      <c r="A1248" s="1">
        <v>45504</v>
      </c>
      <c r="B1248" s="1" t="str">
        <f>TEXT(Tabla1[[#This Row],[Fecha]],"MMMM")</f>
        <v>julio</v>
      </c>
      <c r="C1248" t="s">
        <v>1258</v>
      </c>
      <c r="D1248" t="s">
        <v>5031</v>
      </c>
      <c r="E1248" t="s">
        <v>5033</v>
      </c>
      <c r="F1248" t="s">
        <v>5040</v>
      </c>
      <c r="G1248" s="3">
        <v>8495.14</v>
      </c>
      <c r="H1248" s="3">
        <v>1104.3699999999999</v>
      </c>
      <c r="I1248" s="3">
        <f>SUM(Tabla1[[#This Row],[Monto_Base]],H1248)</f>
        <v>9599.5099999999984</v>
      </c>
      <c r="J1248" t="s">
        <v>5045</v>
      </c>
      <c r="K1248" t="s">
        <v>5048</v>
      </c>
      <c r="L1248" t="s">
        <v>5050</v>
      </c>
      <c r="M1248" t="s">
        <v>5054</v>
      </c>
    </row>
    <row r="1249" spans="1:13" x14ac:dyDescent="0.3">
      <c r="A1249" s="1">
        <v>45355</v>
      </c>
      <c r="B1249" s="1" t="str">
        <f>TEXT(Tabla1[[#This Row],[Fecha]],"MMMM")</f>
        <v>marzo</v>
      </c>
      <c r="C1249" t="s">
        <v>1259</v>
      </c>
      <c r="D1249" t="s">
        <v>5016</v>
      </c>
      <c r="E1249" t="s">
        <v>5033</v>
      </c>
      <c r="F1249" t="s">
        <v>5037</v>
      </c>
      <c r="G1249" s="3">
        <v>9126.4699999999993</v>
      </c>
      <c r="H1249" s="3">
        <v>1186.44</v>
      </c>
      <c r="I1249" s="3">
        <f>SUM(Tabla1[[#This Row],[Monto_Base]],H1249)</f>
        <v>10312.91</v>
      </c>
      <c r="J1249" t="s">
        <v>5045</v>
      </c>
      <c r="K1249" t="s">
        <v>5048</v>
      </c>
      <c r="L1249" t="s">
        <v>5052</v>
      </c>
      <c r="M1249" t="s">
        <v>5054</v>
      </c>
    </row>
    <row r="1250" spans="1:13" x14ac:dyDescent="0.3">
      <c r="A1250" s="1">
        <v>45497</v>
      </c>
      <c r="B1250" s="1" t="str">
        <f>TEXT(Tabla1[[#This Row],[Fecha]],"MMMM")</f>
        <v>julio</v>
      </c>
      <c r="C1250" t="s">
        <v>1260</v>
      </c>
      <c r="D1250" t="s">
        <v>5031</v>
      </c>
      <c r="E1250" t="s">
        <v>5032</v>
      </c>
      <c r="F1250" t="s">
        <v>5039</v>
      </c>
      <c r="G1250" s="3">
        <v>12980.15</v>
      </c>
      <c r="H1250" s="3">
        <v>0</v>
      </c>
      <c r="I1250" s="3">
        <f>SUM(Tabla1[[#This Row],[Monto_Base]],H1250)</f>
        <v>12980.15</v>
      </c>
      <c r="J1250" t="s">
        <v>5042</v>
      </c>
      <c r="K1250" t="s">
        <v>5048</v>
      </c>
      <c r="L1250" t="s">
        <v>5051</v>
      </c>
      <c r="M1250" t="s">
        <v>5054</v>
      </c>
    </row>
    <row r="1251" spans="1:13" x14ac:dyDescent="0.3">
      <c r="A1251" s="1">
        <v>45614</v>
      </c>
      <c r="B1251" s="1" t="str">
        <f>TEXT(Tabla1[[#This Row],[Fecha]],"MMMM")</f>
        <v>noviembre</v>
      </c>
      <c r="C1251" t="s">
        <v>1261</v>
      </c>
      <c r="D1251" t="s">
        <v>5014</v>
      </c>
      <c r="E1251" t="s">
        <v>5032</v>
      </c>
      <c r="F1251" t="s">
        <v>5040</v>
      </c>
      <c r="G1251" s="3">
        <v>11568.97</v>
      </c>
      <c r="H1251" s="3">
        <v>0</v>
      </c>
      <c r="I1251" s="3">
        <f>SUM(Tabla1[[#This Row],[Monto_Base]],H1251)</f>
        <v>11568.97</v>
      </c>
      <c r="J1251" t="s">
        <v>5045</v>
      </c>
      <c r="K1251" t="s">
        <v>5049</v>
      </c>
      <c r="L1251" t="s">
        <v>5051</v>
      </c>
      <c r="M1251" t="s">
        <v>5055</v>
      </c>
    </row>
    <row r="1252" spans="1:13" x14ac:dyDescent="0.3">
      <c r="A1252" s="1">
        <v>45522</v>
      </c>
      <c r="B1252" s="1" t="str">
        <f>TEXT(Tabla1[[#This Row],[Fecha]],"MMMM")</f>
        <v>agosto</v>
      </c>
      <c r="C1252" t="s">
        <v>1262</v>
      </c>
      <c r="D1252" t="s">
        <v>5027</v>
      </c>
      <c r="E1252" t="s">
        <v>5032</v>
      </c>
      <c r="F1252" t="s">
        <v>5041</v>
      </c>
      <c r="G1252" s="3">
        <v>4329.9399999999996</v>
      </c>
      <c r="H1252" s="3">
        <v>0</v>
      </c>
      <c r="I1252" s="3">
        <f>SUM(Tabla1[[#This Row],[Monto_Base]],H1252)</f>
        <v>4329.9399999999996</v>
      </c>
      <c r="J1252" t="s">
        <v>5046</v>
      </c>
      <c r="K1252" t="s">
        <v>5047</v>
      </c>
      <c r="L1252" t="s">
        <v>5050</v>
      </c>
      <c r="M1252" t="s">
        <v>5055</v>
      </c>
    </row>
    <row r="1253" spans="1:13" x14ac:dyDescent="0.3">
      <c r="A1253" s="1">
        <v>45641</v>
      </c>
      <c r="B1253" s="1" t="str">
        <f>TEXT(Tabla1[[#This Row],[Fecha]],"MMMM")</f>
        <v>diciembre</v>
      </c>
      <c r="C1253" t="s">
        <v>1263</v>
      </c>
      <c r="D1253" t="s">
        <v>5023</v>
      </c>
      <c r="E1253" t="s">
        <v>5032</v>
      </c>
      <c r="F1253" t="s">
        <v>5041</v>
      </c>
      <c r="G1253" s="3">
        <v>9860.0499999999993</v>
      </c>
      <c r="H1253" s="3">
        <v>0</v>
      </c>
      <c r="I1253" s="3">
        <f>SUM(Tabla1[[#This Row],[Monto_Base]],H1253)</f>
        <v>9860.0499999999993</v>
      </c>
      <c r="J1253" t="s">
        <v>5045</v>
      </c>
      <c r="K1253" t="s">
        <v>5048</v>
      </c>
      <c r="L1253" t="s">
        <v>5050</v>
      </c>
      <c r="M1253" t="s">
        <v>5055</v>
      </c>
    </row>
    <row r="1254" spans="1:13" x14ac:dyDescent="0.3">
      <c r="A1254" s="1">
        <v>45609</v>
      </c>
      <c r="B1254" s="1" t="str">
        <f>TEXT(Tabla1[[#This Row],[Fecha]],"MMMM")</f>
        <v>noviembre</v>
      </c>
      <c r="C1254" t="s">
        <v>1264</v>
      </c>
      <c r="D1254" t="s">
        <v>5024</v>
      </c>
      <c r="E1254" t="s">
        <v>5033</v>
      </c>
      <c r="F1254" t="s">
        <v>5034</v>
      </c>
      <c r="G1254" s="3">
        <v>2121.65</v>
      </c>
      <c r="H1254" s="3">
        <v>275.81</v>
      </c>
      <c r="I1254" s="3">
        <f>SUM(Tabla1[[#This Row],[Monto_Base]],H1254)</f>
        <v>2397.46</v>
      </c>
      <c r="J1254" t="s">
        <v>5042</v>
      </c>
      <c r="K1254" t="s">
        <v>5047</v>
      </c>
      <c r="L1254" t="s">
        <v>5050</v>
      </c>
      <c r="M1254" t="s">
        <v>5054</v>
      </c>
    </row>
    <row r="1255" spans="1:13" x14ac:dyDescent="0.3">
      <c r="A1255" s="1">
        <v>45533</v>
      </c>
      <c r="B1255" s="1" t="str">
        <f>TEXT(Tabla1[[#This Row],[Fecha]],"MMMM")</f>
        <v>agosto</v>
      </c>
      <c r="C1255" t="s">
        <v>1265</v>
      </c>
      <c r="D1255" t="s">
        <v>5014</v>
      </c>
      <c r="E1255" t="s">
        <v>5033</v>
      </c>
      <c r="F1255" t="s">
        <v>5039</v>
      </c>
      <c r="G1255" s="3">
        <v>8561.1299999999992</v>
      </c>
      <c r="H1255" s="3">
        <v>1112.95</v>
      </c>
      <c r="I1255" s="3">
        <f>SUM(Tabla1[[#This Row],[Monto_Base]],H1255)</f>
        <v>9674.08</v>
      </c>
      <c r="J1255" t="s">
        <v>5045</v>
      </c>
      <c r="K1255" t="s">
        <v>5048</v>
      </c>
      <c r="L1255" t="s">
        <v>5053</v>
      </c>
      <c r="M1255" t="s">
        <v>5055</v>
      </c>
    </row>
    <row r="1256" spans="1:13" x14ac:dyDescent="0.3">
      <c r="A1256" s="1">
        <v>45414</v>
      </c>
      <c r="B1256" s="1" t="str">
        <f>TEXT(Tabla1[[#This Row],[Fecha]],"MMMM")</f>
        <v>mayo</v>
      </c>
      <c r="C1256" t="s">
        <v>1266</v>
      </c>
      <c r="D1256" t="s">
        <v>5026</v>
      </c>
      <c r="E1256" t="s">
        <v>5032</v>
      </c>
      <c r="F1256" t="s">
        <v>5040</v>
      </c>
      <c r="G1256" s="3">
        <v>10859.75</v>
      </c>
      <c r="H1256" s="3">
        <v>0</v>
      </c>
      <c r="I1256" s="3">
        <f>SUM(Tabla1[[#This Row],[Monto_Base]],H1256)</f>
        <v>10859.75</v>
      </c>
      <c r="J1256" t="s">
        <v>5046</v>
      </c>
      <c r="K1256" t="s">
        <v>5048</v>
      </c>
      <c r="L1256" t="s">
        <v>5052</v>
      </c>
      <c r="M1256" t="s">
        <v>5055</v>
      </c>
    </row>
    <row r="1257" spans="1:13" x14ac:dyDescent="0.3">
      <c r="A1257" s="1">
        <v>45528</v>
      </c>
      <c r="B1257" s="1" t="str">
        <f>TEXT(Tabla1[[#This Row],[Fecha]],"MMMM")</f>
        <v>agosto</v>
      </c>
      <c r="C1257" t="s">
        <v>1267</v>
      </c>
      <c r="D1257" t="s">
        <v>5021</v>
      </c>
      <c r="E1257" t="s">
        <v>5033</v>
      </c>
      <c r="F1257" t="s">
        <v>5035</v>
      </c>
      <c r="G1257" s="3">
        <v>3144.76</v>
      </c>
      <c r="H1257" s="3">
        <v>408.82</v>
      </c>
      <c r="I1257" s="3">
        <f>SUM(Tabla1[[#This Row],[Monto_Base]],H1257)</f>
        <v>3553.5800000000004</v>
      </c>
      <c r="J1257" t="s">
        <v>5043</v>
      </c>
      <c r="K1257" t="s">
        <v>5047</v>
      </c>
      <c r="L1257" t="s">
        <v>5050</v>
      </c>
      <c r="M1257" t="s">
        <v>5054</v>
      </c>
    </row>
    <row r="1258" spans="1:13" x14ac:dyDescent="0.3">
      <c r="A1258" s="1">
        <v>45373</v>
      </c>
      <c r="B1258" s="1" t="str">
        <f>TEXT(Tabla1[[#This Row],[Fecha]],"MMMM")</f>
        <v>marzo</v>
      </c>
      <c r="C1258" t="s">
        <v>1268</v>
      </c>
      <c r="D1258" t="s">
        <v>5018</v>
      </c>
      <c r="E1258" t="s">
        <v>5033</v>
      </c>
      <c r="F1258" t="s">
        <v>5040</v>
      </c>
      <c r="G1258" s="3">
        <v>13087.68</v>
      </c>
      <c r="H1258" s="3">
        <v>1701.4</v>
      </c>
      <c r="I1258" s="3">
        <f>SUM(Tabla1[[#This Row],[Monto_Base]],H1258)</f>
        <v>14789.08</v>
      </c>
      <c r="J1258" t="s">
        <v>5046</v>
      </c>
      <c r="K1258" t="s">
        <v>5048</v>
      </c>
      <c r="L1258" t="s">
        <v>5053</v>
      </c>
      <c r="M1258" t="s">
        <v>5054</v>
      </c>
    </row>
    <row r="1259" spans="1:13" x14ac:dyDescent="0.3">
      <c r="A1259" s="1">
        <v>45505</v>
      </c>
      <c r="B1259" s="1" t="str">
        <f>TEXT(Tabla1[[#This Row],[Fecha]],"MMMM")</f>
        <v>agosto</v>
      </c>
      <c r="C1259" t="s">
        <v>1269</v>
      </c>
      <c r="D1259" t="s">
        <v>5027</v>
      </c>
      <c r="E1259" t="s">
        <v>5032</v>
      </c>
      <c r="F1259" t="s">
        <v>5037</v>
      </c>
      <c r="G1259" s="3">
        <v>1101.97</v>
      </c>
      <c r="H1259" s="3">
        <v>0</v>
      </c>
      <c r="I1259" s="3">
        <f>SUM(Tabla1[[#This Row],[Monto_Base]],H1259)</f>
        <v>1101.97</v>
      </c>
      <c r="J1259" t="s">
        <v>5044</v>
      </c>
      <c r="K1259" t="s">
        <v>5049</v>
      </c>
      <c r="L1259" t="s">
        <v>5053</v>
      </c>
      <c r="M1259" t="s">
        <v>5054</v>
      </c>
    </row>
    <row r="1260" spans="1:13" x14ac:dyDescent="0.3">
      <c r="A1260" s="1">
        <v>45312</v>
      </c>
      <c r="B1260" s="1" t="str">
        <f>TEXT(Tabla1[[#This Row],[Fecha]],"MMMM")</f>
        <v>enero</v>
      </c>
      <c r="C1260" t="s">
        <v>1270</v>
      </c>
      <c r="D1260" t="s">
        <v>5025</v>
      </c>
      <c r="E1260" t="s">
        <v>5033</v>
      </c>
      <c r="F1260" t="s">
        <v>5038</v>
      </c>
      <c r="G1260" s="3">
        <v>12184.35</v>
      </c>
      <c r="H1260" s="3">
        <v>1583.97</v>
      </c>
      <c r="I1260" s="3">
        <f>SUM(Tabla1[[#This Row],[Monto_Base]],H1260)</f>
        <v>13768.32</v>
      </c>
      <c r="J1260" t="s">
        <v>5044</v>
      </c>
      <c r="K1260" t="s">
        <v>5048</v>
      </c>
      <c r="L1260" t="s">
        <v>5050</v>
      </c>
      <c r="M1260" t="s">
        <v>5055</v>
      </c>
    </row>
    <row r="1261" spans="1:13" x14ac:dyDescent="0.3">
      <c r="A1261" s="1">
        <v>45588</v>
      </c>
      <c r="B1261" s="1" t="str">
        <f>TEXT(Tabla1[[#This Row],[Fecha]],"MMMM")</f>
        <v>octubre</v>
      </c>
      <c r="C1261" t="s">
        <v>1271</v>
      </c>
      <c r="D1261" t="s">
        <v>5013</v>
      </c>
      <c r="E1261" t="s">
        <v>5033</v>
      </c>
      <c r="F1261" t="s">
        <v>5038</v>
      </c>
      <c r="G1261" s="3">
        <v>11381.21</v>
      </c>
      <c r="H1261" s="3">
        <v>1479.56</v>
      </c>
      <c r="I1261" s="3">
        <f>SUM(Tabla1[[#This Row],[Monto_Base]],H1261)</f>
        <v>12860.769999999999</v>
      </c>
      <c r="J1261" t="s">
        <v>5045</v>
      </c>
      <c r="K1261" t="s">
        <v>5049</v>
      </c>
      <c r="L1261" t="s">
        <v>5052</v>
      </c>
      <c r="M1261" t="s">
        <v>5055</v>
      </c>
    </row>
    <row r="1262" spans="1:13" x14ac:dyDescent="0.3">
      <c r="A1262" s="1">
        <v>45399</v>
      </c>
      <c r="B1262" s="1" t="str">
        <f>TEXT(Tabla1[[#This Row],[Fecha]],"MMMM")</f>
        <v>abril</v>
      </c>
      <c r="C1262" t="s">
        <v>1272</v>
      </c>
      <c r="D1262" t="s">
        <v>5020</v>
      </c>
      <c r="E1262" t="s">
        <v>5033</v>
      </c>
      <c r="F1262" t="s">
        <v>5034</v>
      </c>
      <c r="G1262" s="3">
        <v>11943.52</v>
      </c>
      <c r="H1262" s="3">
        <v>1552.66</v>
      </c>
      <c r="I1262" s="3">
        <f>SUM(Tabla1[[#This Row],[Monto_Base]],H1262)</f>
        <v>13496.18</v>
      </c>
      <c r="J1262" t="s">
        <v>5044</v>
      </c>
      <c r="K1262" t="s">
        <v>5047</v>
      </c>
      <c r="L1262" t="s">
        <v>5051</v>
      </c>
      <c r="M1262" t="s">
        <v>5054</v>
      </c>
    </row>
    <row r="1263" spans="1:13" x14ac:dyDescent="0.3">
      <c r="A1263" s="1">
        <v>45644</v>
      </c>
      <c r="B1263" s="1" t="str">
        <f>TEXT(Tabla1[[#This Row],[Fecha]],"MMMM")</f>
        <v>diciembre</v>
      </c>
      <c r="C1263" t="s">
        <v>1273</v>
      </c>
      <c r="D1263" t="s">
        <v>5025</v>
      </c>
      <c r="E1263" t="s">
        <v>5033</v>
      </c>
      <c r="F1263" t="s">
        <v>5038</v>
      </c>
      <c r="G1263" s="3">
        <v>5169.5200000000004</v>
      </c>
      <c r="H1263" s="3">
        <v>672.04</v>
      </c>
      <c r="I1263" s="3">
        <f>SUM(Tabla1[[#This Row],[Monto_Base]],H1263)</f>
        <v>5841.56</v>
      </c>
      <c r="J1263" t="s">
        <v>5043</v>
      </c>
      <c r="K1263" t="s">
        <v>5048</v>
      </c>
      <c r="L1263" t="s">
        <v>5050</v>
      </c>
      <c r="M1263" t="s">
        <v>5055</v>
      </c>
    </row>
    <row r="1264" spans="1:13" x14ac:dyDescent="0.3">
      <c r="A1264" s="1">
        <v>45439</v>
      </c>
      <c r="B1264" s="1" t="str">
        <f>TEXT(Tabla1[[#This Row],[Fecha]],"MMMM")</f>
        <v>mayo</v>
      </c>
      <c r="C1264" t="s">
        <v>1274</v>
      </c>
      <c r="D1264" t="s">
        <v>5014</v>
      </c>
      <c r="E1264" t="s">
        <v>5033</v>
      </c>
      <c r="F1264" t="s">
        <v>5039</v>
      </c>
      <c r="G1264" s="3">
        <v>2262.96</v>
      </c>
      <c r="H1264" s="3">
        <v>294.18</v>
      </c>
      <c r="I1264" s="3">
        <f>SUM(Tabla1[[#This Row],[Monto_Base]],H1264)</f>
        <v>2557.14</v>
      </c>
      <c r="J1264" t="s">
        <v>5045</v>
      </c>
      <c r="K1264" t="s">
        <v>5047</v>
      </c>
      <c r="L1264" t="s">
        <v>5051</v>
      </c>
      <c r="M1264" t="s">
        <v>5055</v>
      </c>
    </row>
    <row r="1265" spans="1:13" x14ac:dyDescent="0.3">
      <c r="A1265" s="1">
        <v>45517</v>
      </c>
      <c r="B1265" s="1" t="str">
        <f>TEXT(Tabla1[[#This Row],[Fecha]],"MMMM")</f>
        <v>agosto</v>
      </c>
      <c r="C1265" t="s">
        <v>1275</v>
      </c>
      <c r="D1265" t="s">
        <v>5029</v>
      </c>
      <c r="E1265" t="s">
        <v>5033</v>
      </c>
      <c r="F1265" t="s">
        <v>5038</v>
      </c>
      <c r="G1265" s="3">
        <v>7155.51</v>
      </c>
      <c r="H1265" s="3">
        <v>930.22</v>
      </c>
      <c r="I1265" s="3">
        <f>SUM(Tabla1[[#This Row],[Monto_Base]],H1265)</f>
        <v>8085.7300000000005</v>
      </c>
      <c r="J1265" t="s">
        <v>5044</v>
      </c>
      <c r="K1265" t="s">
        <v>5047</v>
      </c>
      <c r="L1265" t="s">
        <v>5052</v>
      </c>
      <c r="M1265" t="s">
        <v>5054</v>
      </c>
    </row>
    <row r="1266" spans="1:13" x14ac:dyDescent="0.3">
      <c r="A1266" s="1">
        <v>45400</v>
      </c>
      <c r="B1266" s="1" t="str">
        <f>TEXT(Tabla1[[#This Row],[Fecha]],"MMMM")</f>
        <v>abril</v>
      </c>
      <c r="C1266" t="s">
        <v>1276</v>
      </c>
      <c r="D1266" t="s">
        <v>5019</v>
      </c>
      <c r="E1266" t="s">
        <v>5032</v>
      </c>
      <c r="F1266" t="s">
        <v>5034</v>
      </c>
      <c r="G1266" s="3">
        <v>468.67</v>
      </c>
      <c r="H1266" s="3">
        <v>0</v>
      </c>
      <c r="I1266" s="3">
        <f>SUM(Tabla1[[#This Row],[Monto_Base]],H1266)</f>
        <v>468.67</v>
      </c>
      <c r="J1266" t="s">
        <v>5042</v>
      </c>
      <c r="K1266" t="s">
        <v>5048</v>
      </c>
      <c r="L1266" t="s">
        <v>5052</v>
      </c>
      <c r="M1266" t="s">
        <v>5054</v>
      </c>
    </row>
    <row r="1267" spans="1:13" x14ac:dyDescent="0.3">
      <c r="A1267" s="1">
        <v>45379</v>
      </c>
      <c r="B1267" s="1" t="str">
        <f>TEXT(Tabla1[[#This Row],[Fecha]],"MMMM")</f>
        <v>marzo</v>
      </c>
      <c r="C1267" t="s">
        <v>1277</v>
      </c>
      <c r="D1267" t="s">
        <v>5020</v>
      </c>
      <c r="E1267" t="s">
        <v>5032</v>
      </c>
      <c r="F1267" t="s">
        <v>5041</v>
      </c>
      <c r="G1267" s="3">
        <v>9295.98</v>
      </c>
      <c r="H1267" s="3">
        <v>0</v>
      </c>
      <c r="I1267" s="3">
        <f>SUM(Tabla1[[#This Row],[Monto_Base]],H1267)</f>
        <v>9295.98</v>
      </c>
      <c r="J1267" t="s">
        <v>5044</v>
      </c>
      <c r="K1267" t="s">
        <v>5049</v>
      </c>
      <c r="L1267" t="s">
        <v>5052</v>
      </c>
      <c r="M1267" t="s">
        <v>5055</v>
      </c>
    </row>
    <row r="1268" spans="1:13" x14ac:dyDescent="0.3">
      <c r="A1268" s="1">
        <v>45538</v>
      </c>
      <c r="B1268" s="1" t="str">
        <f>TEXT(Tabla1[[#This Row],[Fecha]],"MMMM")</f>
        <v>septiembre</v>
      </c>
      <c r="C1268" t="s">
        <v>1278</v>
      </c>
      <c r="D1268" t="s">
        <v>5019</v>
      </c>
      <c r="E1268" t="s">
        <v>5032</v>
      </c>
      <c r="F1268" t="s">
        <v>5039</v>
      </c>
      <c r="G1268" s="3">
        <v>13068.19</v>
      </c>
      <c r="H1268" s="3">
        <v>0</v>
      </c>
      <c r="I1268" s="3">
        <f>SUM(Tabla1[[#This Row],[Monto_Base]],H1268)</f>
        <v>13068.19</v>
      </c>
      <c r="J1268" t="s">
        <v>5046</v>
      </c>
      <c r="K1268" t="s">
        <v>5048</v>
      </c>
      <c r="L1268" t="s">
        <v>5050</v>
      </c>
      <c r="M1268" t="s">
        <v>5054</v>
      </c>
    </row>
    <row r="1269" spans="1:13" x14ac:dyDescent="0.3">
      <c r="A1269" s="1">
        <v>45368</v>
      </c>
      <c r="B1269" s="1" t="str">
        <f>TEXT(Tabla1[[#This Row],[Fecha]],"MMMM")</f>
        <v>marzo</v>
      </c>
      <c r="C1269" t="s">
        <v>1279</v>
      </c>
      <c r="D1269" t="s">
        <v>5015</v>
      </c>
      <c r="E1269" t="s">
        <v>5033</v>
      </c>
      <c r="F1269" t="s">
        <v>5038</v>
      </c>
      <c r="G1269" s="3">
        <v>3136.12</v>
      </c>
      <c r="H1269" s="3">
        <v>407.7</v>
      </c>
      <c r="I1269" s="3">
        <f>SUM(Tabla1[[#This Row],[Monto_Base]],H1269)</f>
        <v>3543.8199999999997</v>
      </c>
      <c r="J1269" t="s">
        <v>5044</v>
      </c>
      <c r="K1269" t="s">
        <v>5049</v>
      </c>
      <c r="L1269" t="s">
        <v>5053</v>
      </c>
      <c r="M1269" t="s">
        <v>5054</v>
      </c>
    </row>
    <row r="1270" spans="1:13" x14ac:dyDescent="0.3">
      <c r="A1270" s="1">
        <v>45560</v>
      </c>
      <c r="B1270" s="1" t="str">
        <f>TEXT(Tabla1[[#This Row],[Fecha]],"MMMM")</f>
        <v>septiembre</v>
      </c>
      <c r="C1270" t="s">
        <v>1280</v>
      </c>
      <c r="D1270" t="s">
        <v>5025</v>
      </c>
      <c r="E1270" t="s">
        <v>5032</v>
      </c>
      <c r="F1270" t="s">
        <v>5035</v>
      </c>
      <c r="G1270" s="3">
        <v>12607.66</v>
      </c>
      <c r="H1270" s="3">
        <v>0</v>
      </c>
      <c r="I1270" s="3">
        <f>SUM(Tabla1[[#This Row],[Monto_Base]],H1270)</f>
        <v>12607.66</v>
      </c>
      <c r="J1270" t="s">
        <v>5046</v>
      </c>
      <c r="K1270" t="s">
        <v>5049</v>
      </c>
      <c r="L1270" t="s">
        <v>5052</v>
      </c>
      <c r="M1270" t="s">
        <v>5055</v>
      </c>
    </row>
    <row r="1271" spans="1:13" x14ac:dyDescent="0.3">
      <c r="A1271" s="1">
        <v>45430</v>
      </c>
      <c r="B1271" s="1" t="str">
        <f>TEXT(Tabla1[[#This Row],[Fecha]],"MMMM")</f>
        <v>mayo</v>
      </c>
      <c r="C1271" t="s">
        <v>1281</v>
      </c>
      <c r="D1271" t="s">
        <v>5027</v>
      </c>
      <c r="E1271" t="s">
        <v>5033</v>
      </c>
      <c r="F1271" t="s">
        <v>5040</v>
      </c>
      <c r="G1271" s="3">
        <v>7635.88</v>
      </c>
      <c r="H1271" s="3">
        <v>992.66</v>
      </c>
      <c r="I1271" s="3">
        <f>SUM(Tabla1[[#This Row],[Monto_Base]],H1271)</f>
        <v>8628.5400000000009</v>
      </c>
      <c r="J1271" t="s">
        <v>5042</v>
      </c>
      <c r="K1271" t="s">
        <v>5049</v>
      </c>
      <c r="L1271" t="s">
        <v>5053</v>
      </c>
      <c r="M1271" t="s">
        <v>5054</v>
      </c>
    </row>
    <row r="1272" spans="1:13" x14ac:dyDescent="0.3">
      <c r="A1272" s="1">
        <v>45385</v>
      </c>
      <c r="B1272" s="1" t="str">
        <f>TEXT(Tabla1[[#This Row],[Fecha]],"MMMM")</f>
        <v>abril</v>
      </c>
      <c r="C1272" t="s">
        <v>1282</v>
      </c>
      <c r="D1272" t="s">
        <v>5014</v>
      </c>
      <c r="E1272" t="s">
        <v>5033</v>
      </c>
      <c r="F1272" t="s">
        <v>5034</v>
      </c>
      <c r="G1272" s="3">
        <v>3878.28</v>
      </c>
      <c r="H1272" s="3">
        <v>504.18</v>
      </c>
      <c r="I1272" s="3">
        <f>SUM(Tabla1[[#This Row],[Monto_Base]],H1272)</f>
        <v>4382.46</v>
      </c>
      <c r="J1272" t="s">
        <v>5046</v>
      </c>
      <c r="K1272" t="s">
        <v>5047</v>
      </c>
      <c r="L1272" t="s">
        <v>5050</v>
      </c>
      <c r="M1272" t="s">
        <v>5054</v>
      </c>
    </row>
    <row r="1273" spans="1:13" x14ac:dyDescent="0.3">
      <c r="A1273" s="1">
        <v>45389</v>
      </c>
      <c r="B1273" s="1" t="str">
        <f>TEXT(Tabla1[[#This Row],[Fecha]],"MMMM")</f>
        <v>abril</v>
      </c>
      <c r="C1273" t="s">
        <v>1283</v>
      </c>
      <c r="D1273" t="s">
        <v>5031</v>
      </c>
      <c r="E1273" t="s">
        <v>5032</v>
      </c>
      <c r="F1273" t="s">
        <v>5038</v>
      </c>
      <c r="G1273" s="3">
        <v>1415.82</v>
      </c>
      <c r="H1273" s="3">
        <v>0</v>
      </c>
      <c r="I1273" s="3">
        <f>SUM(Tabla1[[#This Row],[Monto_Base]],H1273)</f>
        <v>1415.82</v>
      </c>
      <c r="J1273" t="s">
        <v>5045</v>
      </c>
      <c r="K1273" t="s">
        <v>5047</v>
      </c>
      <c r="L1273" t="s">
        <v>5051</v>
      </c>
      <c r="M1273" t="s">
        <v>5054</v>
      </c>
    </row>
    <row r="1274" spans="1:13" x14ac:dyDescent="0.3">
      <c r="A1274" s="1">
        <v>45566</v>
      </c>
      <c r="B1274" s="1" t="str">
        <f>TEXT(Tabla1[[#This Row],[Fecha]],"MMMM")</f>
        <v>octubre</v>
      </c>
      <c r="C1274" t="s">
        <v>1284</v>
      </c>
      <c r="D1274" t="s">
        <v>5017</v>
      </c>
      <c r="E1274" t="s">
        <v>5033</v>
      </c>
      <c r="F1274" t="s">
        <v>5041</v>
      </c>
      <c r="G1274" s="3">
        <v>6990.86</v>
      </c>
      <c r="H1274" s="3">
        <v>908.81</v>
      </c>
      <c r="I1274" s="3">
        <f>SUM(Tabla1[[#This Row],[Monto_Base]],H1274)</f>
        <v>7899.67</v>
      </c>
      <c r="J1274" t="s">
        <v>5045</v>
      </c>
      <c r="K1274" t="s">
        <v>5048</v>
      </c>
      <c r="L1274" t="s">
        <v>5053</v>
      </c>
      <c r="M1274" t="s">
        <v>5054</v>
      </c>
    </row>
    <row r="1275" spans="1:13" x14ac:dyDescent="0.3">
      <c r="A1275" s="1">
        <v>45343</v>
      </c>
      <c r="B1275" s="1" t="str">
        <f>TEXT(Tabla1[[#This Row],[Fecha]],"MMMM")</f>
        <v>febrero</v>
      </c>
      <c r="C1275" t="s">
        <v>1285</v>
      </c>
      <c r="D1275" t="s">
        <v>5030</v>
      </c>
      <c r="E1275" t="s">
        <v>5032</v>
      </c>
      <c r="F1275" t="s">
        <v>5036</v>
      </c>
      <c r="G1275" s="3">
        <v>7166.74</v>
      </c>
      <c r="H1275" s="3">
        <v>0</v>
      </c>
      <c r="I1275" s="3">
        <f>SUM(Tabla1[[#This Row],[Monto_Base]],H1275)</f>
        <v>7166.74</v>
      </c>
      <c r="J1275" t="s">
        <v>5042</v>
      </c>
      <c r="K1275" t="s">
        <v>5049</v>
      </c>
      <c r="L1275" t="s">
        <v>5052</v>
      </c>
      <c r="M1275" t="s">
        <v>5055</v>
      </c>
    </row>
    <row r="1276" spans="1:13" x14ac:dyDescent="0.3">
      <c r="A1276" s="1">
        <v>45349</v>
      </c>
      <c r="B1276" s="1" t="str">
        <f>TEXT(Tabla1[[#This Row],[Fecha]],"MMMM")</f>
        <v>febrero</v>
      </c>
      <c r="C1276" t="s">
        <v>1286</v>
      </c>
      <c r="D1276" t="s">
        <v>5014</v>
      </c>
      <c r="E1276" t="s">
        <v>5033</v>
      </c>
      <c r="F1276" t="s">
        <v>5037</v>
      </c>
      <c r="G1276" s="3">
        <v>12924.03</v>
      </c>
      <c r="H1276" s="3">
        <v>1680.12</v>
      </c>
      <c r="I1276" s="3">
        <f>SUM(Tabla1[[#This Row],[Monto_Base]],H1276)</f>
        <v>14604.150000000001</v>
      </c>
      <c r="J1276" t="s">
        <v>5043</v>
      </c>
      <c r="K1276" t="s">
        <v>5049</v>
      </c>
      <c r="L1276" t="s">
        <v>5052</v>
      </c>
      <c r="M1276" t="s">
        <v>5055</v>
      </c>
    </row>
    <row r="1277" spans="1:13" x14ac:dyDescent="0.3">
      <c r="A1277" s="1">
        <v>45382</v>
      </c>
      <c r="B1277" s="1" t="str">
        <f>TEXT(Tabla1[[#This Row],[Fecha]],"MMMM")</f>
        <v>marzo</v>
      </c>
      <c r="C1277" t="s">
        <v>1287</v>
      </c>
      <c r="D1277" t="s">
        <v>5021</v>
      </c>
      <c r="E1277" t="s">
        <v>5032</v>
      </c>
      <c r="F1277" t="s">
        <v>5038</v>
      </c>
      <c r="G1277" s="3">
        <v>7414.45</v>
      </c>
      <c r="H1277" s="3">
        <v>0</v>
      </c>
      <c r="I1277" s="3">
        <f>SUM(Tabla1[[#This Row],[Monto_Base]],H1277)</f>
        <v>7414.45</v>
      </c>
      <c r="J1277" t="s">
        <v>5044</v>
      </c>
      <c r="K1277" t="s">
        <v>5049</v>
      </c>
      <c r="L1277" t="s">
        <v>5050</v>
      </c>
      <c r="M1277" t="s">
        <v>5055</v>
      </c>
    </row>
    <row r="1278" spans="1:13" x14ac:dyDescent="0.3">
      <c r="A1278" s="1">
        <v>45579</v>
      </c>
      <c r="B1278" s="1" t="str">
        <f>TEXT(Tabla1[[#This Row],[Fecha]],"MMMM")</f>
        <v>octubre</v>
      </c>
      <c r="C1278" t="s">
        <v>1288</v>
      </c>
      <c r="D1278" t="s">
        <v>5029</v>
      </c>
      <c r="E1278" t="s">
        <v>5033</v>
      </c>
      <c r="F1278" t="s">
        <v>5040</v>
      </c>
      <c r="G1278" s="3">
        <v>4165.5600000000004</v>
      </c>
      <c r="H1278" s="3">
        <v>541.52</v>
      </c>
      <c r="I1278" s="3">
        <f>SUM(Tabla1[[#This Row],[Monto_Base]],H1278)</f>
        <v>4707.08</v>
      </c>
      <c r="J1278" t="s">
        <v>5042</v>
      </c>
      <c r="K1278" t="s">
        <v>5048</v>
      </c>
      <c r="L1278" t="s">
        <v>5050</v>
      </c>
      <c r="M1278" t="s">
        <v>5054</v>
      </c>
    </row>
    <row r="1279" spans="1:13" x14ac:dyDescent="0.3">
      <c r="A1279" s="1">
        <v>45552</v>
      </c>
      <c r="B1279" s="1" t="str">
        <f>TEXT(Tabla1[[#This Row],[Fecha]],"MMMM")</f>
        <v>septiembre</v>
      </c>
      <c r="C1279" t="s">
        <v>1289</v>
      </c>
      <c r="D1279" t="s">
        <v>5018</v>
      </c>
      <c r="E1279" t="s">
        <v>5033</v>
      </c>
      <c r="F1279" t="s">
        <v>5040</v>
      </c>
      <c r="G1279" s="3">
        <v>13405.84</v>
      </c>
      <c r="H1279" s="3">
        <v>1742.76</v>
      </c>
      <c r="I1279" s="3">
        <f>SUM(Tabla1[[#This Row],[Monto_Base]],H1279)</f>
        <v>15148.6</v>
      </c>
      <c r="J1279" t="s">
        <v>5043</v>
      </c>
      <c r="K1279" t="s">
        <v>5048</v>
      </c>
      <c r="L1279" t="s">
        <v>5052</v>
      </c>
      <c r="M1279" t="s">
        <v>5054</v>
      </c>
    </row>
    <row r="1280" spans="1:13" x14ac:dyDescent="0.3">
      <c r="A1280" s="1">
        <v>45518</v>
      </c>
      <c r="B1280" s="1" t="str">
        <f>TEXT(Tabla1[[#This Row],[Fecha]],"MMMM")</f>
        <v>agosto</v>
      </c>
      <c r="C1280" t="s">
        <v>1290</v>
      </c>
      <c r="D1280" t="s">
        <v>5027</v>
      </c>
      <c r="E1280" t="s">
        <v>5032</v>
      </c>
      <c r="F1280" t="s">
        <v>5036</v>
      </c>
      <c r="G1280" s="3">
        <v>13883.17</v>
      </c>
      <c r="H1280" s="3">
        <v>0</v>
      </c>
      <c r="I1280" s="3">
        <f>SUM(Tabla1[[#This Row],[Monto_Base]],H1280)</f>
        <v>13883.17</v>
      </c>
      <c r="J1280" t="s">
        <v>5044</v>
      </c>
      <c r="K1280" t="s">
        <v>5049</v>
      </c>
      <c r="L1280" t="s">
        <v>5052</v>
      </c>
      <c r="M1280" t="s">
        <v>5054</v>
      </c>
    </row>
    <row r="1281" spans="1:13" x14ac:dyDescent="0.3">
      <c r="A1281" s="1">
        <v>45455</v>
      </c>
      <c r="B1281" s="1" t="str">
        <f>TEXT(Tabla1[[#This Row],[Fecha]],"MMMM")</f>
        <v>junio</v>
      </c>
      <c r="C1281" t="s">
        <v>1291</v>
      </c>
      <c r="D1281" t="s">
        <v>5017</v>
      </c>
      <c r="E1281" t="s">
        <v>5033</v>
      </c>
      <c r="F1281" t="s">
        <v>5038</v>
      </c>
      <c r="G1281" s="3">
        <v>7551.61</v>
      </c>
      <c r="H1281" s="3">
        <v>981.71</v>
      </c>
      <c r="I1281" s="3">
        <f>SUM(Tabla1[[#This Row],[Monto_Base]],H1281)</f>
        <v>8533.32</v>
      </c>
      <c r="J1281" t="s">
        <v>5042</v>
      </c>
      <c r="K1281" t="s">
        <v>5048</v>
      </c>
      <c r="L1281" t="s">
        <v>5053</v>
      </c>
      <c r="M1281" t="s">
        <v>5055</v>
      </c>
    </row>
    <row r="1282" spans="1:13" x14ac:dyDescent="0.3">
      <c r="A1282" s="1">
        <v>45494</v>
      </c>
      <c r="B1282" s="1" t="str">
        <f>TEXT(Tabla1[[#This Row],[Fecha]],"MMMM")</f>
        <v>julio</v>
      </c>
      <c r="C1282" t="s">
        <v>1292</v>
      </c>
      <c r="D1282" t="s">
        <v>5031</v>
      </c>
      <c r="E1282" t="s">
        <v>5033</v>
      </c>
      <c r="F1282" t="s">
        <v>5040</v>
      </c>
      <c r="G1282" s="3">
        <v>2388</v>
      </c>
      <c r="H1282" s="3">
        <v>310.44</v>
      </c>
      <c r="I1282" s="3">
        <f>SUM(Tabla1[[#This Row],[Monto_Base]],H1282)</f>
        <v>2698.44</v>
      </c>
      <c r="J1282" t="s">
        <v>5046</v>
      </c>
      <c r="K1282" t="s">
        <v>5047</v>
      </c>
      <c r="L1282" t="s">
        <v>5052</v>
      </c>
      <c r="M1282" t="s">
        <v>5055</v>
      </c>
    </row>
    <row r="1283" spans="1:13" x14ac:dyDescent="0.3">
      <c r="A1283" s="1">
        <v>45426</v>
      </c>
      <c r="B1283" s="1" t="str">
        <f>TEXT(Tabla1[[#This Row],[Fecha]],"MMMM")</f>
        <v>mayo</v>
      </c>
      <c r="C1283" t="s">
        <v>1293</v>
      </c>
      <c r="D1283" t="s">
        <v>5014</v>
      </c>
      <c r="E1283" t="s">
        <v>5032</v>
      </c>
      <c r="F1283" t="s">
        <v>5038</v>
      </c>
      <c r="G1283" s="3">
        <v>3469.42</v>
      </c>
      <c r="H1283" s="3">
        <v>0</v>
      </c>
      <c r="I1283" s="3">
        <f>SUM(Tabla1[[#This Row],[Monto_Base]],H1283)</f>
        <v>3469.42</v>
      </c>
      <c r="J1283" t="s">
        <v>5043</v>
      </c>
      <c r="K1283" t="s">
        <v>5048</v>
      </c>
      <c r="L1283" t="s">
        <v>5051</v>
      </c>
      <c r="M1283" t="s">
        <v>5054</v>
      </c>
    </row>
    <row r="1284" spans="1:13" x14ac:dyDescent="0.3">
      <c r="A1284" s="1">
        <v>45509</v>
      </c>
      <c r="B1284" s="1" t="str">
        <f>TEXT(Tabla1[[#This Row],[Fecha]],"MMMM")</f>
        <v>agosto</v>
      </c>
      <c r="C1284" t="s">
        <v>1294</v>
      </c>
      <c r="D1284" t="s">
        <v>5020</v>
      </c>
      <c r="E1284" t="s">
        <v>5032</v>
      </c>
      <c r="F1284" t="s">
        <v>5040</v>
      </c>
      <c r="G1284" s="3">
        <v>6773.13</v>
      </c>
      <c r="H1284" s="3">
        <v>0</v>
      </c>
      <c r="I1284" s="3">
        <f>SUM(Tabla1[[#This Row],[Monto_Base]],H1284)</f>
        <v>6773.13</v>
      </c>
      <c r="J1284" t="s">
        <v>5042</v>
      </c>
      <c r="K1284" t="s">
        <v>5048</v>
      </c>
      <c r="L1284" t="s">
        <v>5050</v>
      </c>
      <c r="M1284" t="s">
        <v>5054</v>
      </c>
    </row>
    <row r="1285" spans="1:13" x14ac:dyDescent="0.3">
      <c r="A1285" s="1">
        <v>45363</v>
      </c>
      <c r="B1285" s="1" t="str">
        <f>TEXT(Tabla1[[#This Row],[Fecha]],"MMMM")</f>
        <v>marzo</v>
      </c>
      <c r="C1285" t="s">
        <v>1295</v>
      </c>
      <c r="D1285" t="s">
        <v>5022</v>
      </c>
      <c r="E1285" t="s">
        <v>5032</v>
      </c>
      <c r="F1285" t="s">
        <v>5040</v>
      </c>
      <c r="G1285" s="3">
        <v>9704.6</v>
      </c>
      <c r="H1285" s="3">
        <v>0</v>
      </c>
      <c r="I1285" s="3">
        <f>SUM(Tabla1[[#This Row],[Monto_Base]],H1285)</f>
        <v>9704.6</v>
      </c>
      <c r="J1285" t="s">
        <v>5043</v>
      </c>
      <c r="K1285" t="s">
        <v>5048</v>
      </c>
      <c r="L1285" t="s">
        <v>5053</v>
      </c>
      <c r="M1285" t="s">
        <v>5054</v>
      </c>
    </row>
    <row r="1286" spans="1:13" x14ac:dyDescent="0.3">
      <c r="A1286" s="1">
        <v>45510</v>
      </c>
      <c r="B1286" s="1" t="str">
        <f>TEXT(Tabla1[[#This Row],[Fecha]],"MMMM")</f>
        <v>agosto</v>
      </c>
      <c r="C1286" t="s">
        <v>1296</v>
      </c>
      <c r="D1286" t="s">
        <v>5021</v>
      </c>
      <c r="E1286" t="s">
        <v>5032</v>
      </c>
      <c r="F1286" t="s">
        <v>5040</v>
      </c>
      <c r="G1286" s="3">
        <v>404</v>
      </c>
      <c r="H1286" s="3">
        <v>0</v>
      </c>
      <c r="I1286" s="3">
        <f>SUM(Tabla1[[#This Row],[Monto_Base]],H1286)</f>
        <v>404</v>
      </c>
      <c r="J1286" t="s">
        <v>5043</v>
      </c>
      <c r="K1286" t="s">
        <v>5048</v>
      </c>
      <c r="L1286" t="s">
        <v>5052</v>
      </c>
      <c r="M1286" t="s">
        <v>5054</v>
      </c>
    </row>
    <row r="1287" spans="1:13" x14ac:dyDescent="0.3">
      <c r="A1287" s="1">
        <v>45458</v>
      </c>
      <c r="B1287" s="1" t="str">
        <f>TEXT(Tabla1[[#This Row],[Fecha]],"MMMM")</f>
        <v>junio</v>
      </c>
      <c r="C1287" t="s">
        <v>1297</v>
      </c>
      <c r="D1287" t="s">
        <v>5029</v>
      </c>
      <c r="E1287" t="s">
        <v>5033</v>
      </c>
      <c r="F1287" t="s">
        <v>5036</v>
      </c>
      <c r="G1287" s="3">
        <v>3684.91</v>
      </c>
      <c r="H1287" s="3">
        <v>479.04</v>
      </c>
      <c r="I1287" s="3">
        <f>SUM(Tabla1[[#This Row],[Monto_Base]],H1287)</f>
        <v>4163.95</v>
      </c>
      <c r="J1287" t="s">
        <v>5043</v>
      </c>
      <c r="K1287" t="s">
        <v>5049</v>
      </c>
      <c r="L1287" t="s">
        <v>5050</v>
      </c>
      <c r="M1287" t="s">
        <v>5054</v>
      </c>
    </row>
    <row r="1288" spans="1:13" x14ac:dyDescent="0.3">
      <c r="A1288" s="1">
        <v>45592</v>
      </c>
      <c r="B1288" s="1" t="str">
        <f>TEXT(Tabla1[[#This Row],[Fecha]],"MMMM")</f>
        <v>octubre</v>
      </c>
      <c r="C1288" t="s">
        <v>1298</v>
      </c>
      <c r="D1288" t="s">
        <v>5025</v>
      </c>
      <c r="E1288" t="s">
        <v>5033</v>
      </c>
      <c r="F1288" t="s">
        <v>5038</v>
      </c>
      <c r="G1288" s="3">
        <v>14804.59</v>
      </c>
      <c r="H1288" s="3">
        <v>1924.6</v>
      </c>
      <c r="I1288" s="3">
        <f>SUM(Tabla1[[#This Row],[Monto_Base]],H1288)</f>
        <v>16729.189999999999</v>
      </c>
      <c r="J1288" t="s">
        <v>5043</v>
      </c>
      <c r="K1288" t="s">
        <v>5047</v>
      </c>
      <c r="L1288" t="s">
        <v>5053</v>
      </c>
      <c r="M1288" t="s">
        <v>5054</v>
      </c>
    </row>
    <row r="1289" spans="1:13" x14ac:dyDescent="0.3">
      <c r="A1289" s="1">
        <v>45348</v>
      </c>
      <c r="B1289" s="1" t="str">
        <f>TEXT(Tabla1[[#This Row],[Fecha]],"MMMM")</f>
        <v>febrero</v>
      </c>
      <c r="C1289" t="s">
        <v>1299</v>
      </c>
      <c r="D1289" t="s">
        <v>5029</v>
      </c>
      <c r="E1289" t="s">
        <v>5032</v>
      </c>
      <c r="F1289" t="s">
        <v>5041</v>
      </c>
      <c r="G1289" s="3">
        <v>13857.91</v>
      </c>
      <c r="H1289" s="3">
        <v>0</v>
      </c>
      <c r="I1289" s="3">
        <f>SUM(Tabla1[[#This Row],[Monto_Base]],H1289)</f>
        <v>13857.91</v>
      </c>
      <c r="J1289" t="s">
        <v>5043</v>
      </c>
      <c r="K1289" t="s">
        <v>5047</v>
      </c>
      <c r="L1289" t="s">
        <v>5053</v>
      </c>
      <c r="M1289" t="s">
        <v>5055</v>
      </c>
    </row>
    <row r="1290" spans="1:13" x14ac:dyDescent="0.3">
      <c r="A1290" s="1">
        <v>45579</v>
      </c>
      <c r="B1290" s="1" t="str">
        <f>TEXT(Tabla1[[#This Row],[Fecha]],"MMMM")</f>
        <v>octubre</v>
      </c>
      <c r="C1290" t="s">
        <v>1300</v>
      </c>
      <c r="D1290" t="s">
        <v>5028</v>
      </c>
      <c r="E1290" t="s">
        <v>5033</v>
      </c>
      <c r="F1290" t="s">
        <v>5038</v>
      </c>
      <c r="G1290" s="3">
        <v>8632.6200000000008</v>
      </c>
      <c r="H1290" s="3">
        <v>1122.24</v>
      </c>
      <c r="I1290" s="3">
        <f>SUM(Tabla1[[#This Row],[Monto_Base]],H1290)</f>
        <v>9754.86</v>
      </c>
      <c r="J1290" t="s">
        <v>5045</v>
      </c>
      <c r="K1290" t="s">
        <v>5048</v>
      </c>
      <c r="L1290" t="s">
        <v>5052</v>
      </c>
      <c r="M1290" t="s">
        <v>5055</v>
      </c>
    </row>
    <row r="1291" spans="1:13" x14ac:dyDescent="0.3">
      <c r="A1291" s="1">
        <v>45326</v>
      </c>
      <c r="B1291" s="1" t="str">
        <f>TEXT(Tabla1[[#This Row],[Fecha]],"MMMM")</f>
        <v>febrero</v>
      </c>
      <c r="C1291" t="s">
        <v>1301</v>
      </c>
      <c r="D1291" t="s">
        <v>5016</v>
      </c>
      <c r="E1291" t="s">
        <v>5032</v>
      </c>
      <c r="F1291" t="s">
        <v>5035</v>
      </c>
      <c r="G1291" s="3">
        <v>2149.9899999999998</v>
      </c>
      <c r="H1291" s="3">
        <v>0</v>
      </c>
      <c r="I1291" s="3">
        <f>SUM(Tabla1[[#This Row],[Monto_Base]],H1291)</f>
        <v>2149.9899999999998</v>
      </c>
      <c r="J1291" t="s">
        <v>5044</v>
      </c>
      <c r="K1291" t="s">
        <v>5048</v>
      </c>
      <c r="L1291" t="s">
        <v>5050</v>
      </c>
      <c r="M1291" t="s">
        <v>5054</v>
      </c>
    </row>
    <row r="1292" spans="1:13" x14ac:dyDescent="0.3">
      <c r="A1292" s="1">
        <v>45462</v>
      </c>
      <c r="B1292" s="1" t="str">
        <f>TEXT(Tabla1[[#This Row],[Fecha]],"MMMM")</f>
        <v>junio</v>
      </c>
      <c r="C1292" t="s">
        <v>1302</v>
      </c>
      <c r="D1292" t="s">
        <v>5015</v>
      </c>
      <c r="E1292" t="s">
        <v>5032</v>
      </c>
      <c r="F1292" t="s">
        <v>5034</v>
      </c>
      <c r="G1292" s="3">
        <v>6939.02</v>
      </c>
      <c r="H1292" s="3">
        <v>0</v>
      </c>
      <c r="I1292" s="3">
        <f>SUM(Tabla1[[#This Row],[Monto_Base]],H1292)</f>
        <v>6939.02</v>
      </c>
      <c r="J1292" t="s">
        <v>5046</v>
      </c>
      <c r="K1292" t="s">
        <v>5049</v>
      </c>
      <c r="L1292" t="s">
        <v>5051</v>
      </c>
      <c r="M1292" t="s">
        <v>5055</v>
      </c>
    </row>
    <row r="1293" spans="1:13" x14ac:dyDescent="0.3">
      <c r="A1293" s="1">
        <v>45541</v>
      </c>
      <c r="B1293" s="1" t="str">
        <f>TEXT(Tabla1[[#This Row],[Fecha]],"MMMM")</f>
        <v>septiembre</v>
      </c>
      <c r="C1293" t="s">
        <v>1303</v>
      </c>
      <c r="D1293" t="s">
        <v>5026</v>
      </c>
      <c r="E1293" t="s">
        <v>5033</v>
      </c>
      <c r="F1293" t="s">
        <v>5037</v>
      </c>
      <c r="G1293" s="3">
        <v>6438.6</v>
      </c>
      <c r="H1293" s="3">
        <v>837.02</v>
      </c>
      <c r="I1293" s="3">
        <f>SUM(Tabla1[[#This Row],[Monto_Base]],H1293)</f>
        <v>7275.6200000000008</v>
      </c>
      <c r="J1293" t="s">
        <v>5045</v>
      </c>
      <c r="K1293" t="s">
        <v>5049</v>
      </c>
      <c r="L1293" t="s">
        <v>5053</v>
      </c>
      <c r="M1293" t="s">
        <v>5055</v>
      </c>
    </row>
    <row r="1294" spans="1:13" x14ac:dyDescent="0.3">
      <c r="A1294" s="1">
        <v>45459</v>
      </c>
      <c r="B1294" s="1" t="str">
        <f>TEXT(Tabla1[[#This Row],[Fecha]],"MMMM")</f>
        <v>junio</v>
      </c>
      <c r="C1294" t="s">
        <v>1304</v>
      </c>
      <c r="D1294" t="s">
        <v>5031</v>
      </c>
      <c r="E1294" t="s">
        <v>5032</v>
      </c>
      <c r="F1294" t="s">
        <v>5035</v>
      </c>
      <c r="G1294" s="3">
        <v>14398.83</v>
      </c>
      <c r="H1294" s="3">
        <v>0</v>
      </c>
      <c r="I1294" s="3">
        <f>SUM(Tabla1[[#This Row],[Monto_Base]],H1294)</f>
        <v>14398.83</v>
      </c>
      <c r="J1294" t="s">
        <v>5042</v>
      </c>
      <c r="K1294" t="s">
        <v>5048</v>
      </c>
      <c r="L1294" t="s">
        <v>5051</v>
      </c>
      <c r="M1294" t="s">
        <v>5055</v>
      </c>
    </row>
    <row r="1295" spans="1:13" x14ac:dyDescent="0.3">
      <c r="A1295" s="1">
        <v>45554</v>
      </c>
      <c r="B1295" s="1" t="str">
        <f>TEXT(Tabla1[[#This Row],[Fecha]],"MMMM")</f>
        <v>septiembre</v>
      </c>
      <c r="C1295" t="s">
        <v>1305</v>
      </c>
      <c r="D1295" t="s">
        <v>5013</v>
      </c>
      <c r="E1295" t="s">
        <v>5033</v>
      </c>
      <c r="F1295" t="s">
        <v>5036</v>
      </c>
      <c r="G1295" s="3">
        <v>7999.85</v>
      </c>
      <c r="H1295" s="3">
        <v>1039.98</v>
      </c>
      <c r="I1295" s="3">
        <f>SUM(Tabla1[[#This Row],[Monto_Base]],H1295)</f>
        <v>9039.83</v>
      </c>
      <c r="J1295" t="s">
        <v>5045</v>
      </c>
      <c r="K1295" t="s">
        <v>5049</v>
      </c>
      <c r="L1295" t="s">
        <v>5050</v>
      </c>
      <c r="M1295" t="s">
        <v>5054</v>
      </c>
    </row>
    <row r="1296" spans="1:13" x14ac:dyDescent="0.3">
      <c r="A1296" s="1">
        <v>45369</v>
      </c>
      <c r="B1296" s="1" t="str">
        <f>TEXT(Tabla1[[#This Row],[Fecha]],"MMMM")</f>
        <v>marzo</v>
      </c>
      <c r="C1296" t="s">
        <v>1306</v>
      </c>
      <c r="D1296" t="s">
        <v>5027</v>
      </c>
      <c r="E1296" t="s">
        <v>5032</v>
      </c>
      <c r="F1296" t="s">
        <v>5041</v>
      </c>
      <c r="G1296" s="3">
        <v>6796.76</v>
      </c>
      <c r="H1296" s="3">
        <v>0</v>
      </c>
      <c r="I1296" s="3">
        <f>SUM(Tabla1[[#This Row],[Monto_Base]],H1296)</f>
        <v>6796.76</v>
      </c>
      <c r="J1296" t="s">
        <v>5044</v>
      </c>
      <c r="K1296" t="s">
        <v>5047</v>
      </c>
      <c r="L1296" t="s">
        <v>5052</v>
      </c>
      <c r="M1296" t="s">
        <v>5055</v>
      </c>
    </row>
    <row r="1297" spans="1:13" x14ac:dyDescent="0.3">
      <c r="A1297" s="1">
        <v>45442</v>
      </c>
      <c r="B1297" s="1" t="str">
        <f>TEXT(Tabla1[[#This Row],[Fecha]],"MMMM")</f>
        <v>mayo</v>
      </c>
      <c r="C1297" t="s">
        <v>1307</v>
      </c>
      <c r="D1297" t="s">
        <v>5016</v>
      </c>
      <c r="E1297" t="s">
        <v>5032</v>
      </c>
      <c r="F1297" t="s">
        <v>5035</v>
      </c>
      <c r="G1297" s="3">
        <v>6051.92</v>
      </c>
      <c r="H1297" s="3">
        <v>0</v>
      </c>
      <c r="I1297" s="3">
        <f>SUM(Tabla1[[#This Row],[Monto_Base]],H1297)</f>
        <v>6051.92</v>
      </c>
      <c r="J1297" t="s">
        <v>5045</v>
      </c>
      <c r="K1297" t="s">
        <v>5049</v>
      </c>
      <c r="L1297" t="s">
        <v>5050</v>
      </c>
      <c r="M1297" t="s">
        <v>5054</v>
      </c>
    </row>
    <row r="1298" spans="1:13" x14ac:dyDescent="0.3">
      <c r="A1298" s="1">
        <v>45406</v>
      </c>
      <c r="B1298" s="1" t="str">
        <f>TEXT(Tabla1[[#This Row],[Fecha]],"MMMM")</f>
        <v>abril</v>
      </c>
      <c r="C1298" t="s">
        <v>1308</v>
      </c>
      <c r="D1298" t="s">
        <v>5017</v>
      </c>
      <c r="E1298" t="s">
        <v>5032</v>
      </c>
      <c r="F1298" t="s">
        <v>5037</v>
      </c>
      <c r="G1298" s="3">
        <v>2299.9</v>
      </c>
      <c r="H1298" s="3">
        <v>0</v>
      </c>
      <c r="I1298" s="3">
        <f>SUM(Tabla1[[#This Row],[Monto_Base]],H1298)</f>
        <v>2299.9</v>
      </c>
      <c r="J1298" t="s">
        <v>5042</v>
      </c>
      <c r="K1298" t="s">
        <v>5049</v>
      </c>
      <c r="L1298" t="s">
        <v>5051</v>
      </c>
      <c r="M1298" t="s">
        <v>5055</v>
      </c>
    </row>
    <row r="1299" spans="1:13" x14ac:dyDescent="0.3">
      <c r="A1299" s="1">
        <v>45367</v>
      </c>
      <c r="B1299" s="1" t="str">
        <f>TEXT(Tabla1[[#This Row],[Fecha]],"MMMM")</f>
        <v>marzo</v>
      </c>
      <c r="C1299" t="s">
        <v>1309</v>
      </c>
      <c r="D1299" t="s">
        <v>5031</v>
      </c>
      <c r="E1299" t="s">
        <v>5032</v>
      </c>
      <c r="F1299" t="s">
        <v>5039</v>
      </c>
      <c r="G1299" s="3">
        <v>2873.27</v>
      </c>
      <c r="H1299" s="3">
        <v>0</v>
      </c>
      <c r="I1299" s="3">
        <f>SUM(Tabla1[[#This Row],[Monto_Base]],H1299)</f>
        <v>2873.27</v>
      </c>
      <c r="J1299" t="s">
        <v>5046</v>
      </c>
      <c r="K1299" t="s">
        <v>5048</v>
      </c>
      <c r="L1299" t="s">
        <v>5052</v>
      </c>
      <c r="M1299" t="s">
        <v>5054</v>
      </c>
    </row>
    <row r="1300" spans="1:13" x14ac:dyDescent="0.3">
      <c r="A1300" s="1">
        <v>45327</v>
      </c>
      <c r="B1300" s="1" t="str">
        <f>TEXT(Tabla1[[#This Row],[Fecha]],"MMMM")</f>
        <v>febrero</v>
      </c>
      <c r="C1300" t="s">
        <v>1310</v>
      </c>
      <c r="D1300" t="s">
        <v>5023</v>
      </c>
      <c r="E1300" t="s">
        <v>5033</v>
      </c>
      <c r="F1300" t="s">
        <v>5039</v>
      </c>
      <c r="G1300" s="3">
        <v>8124.14</v>
      </c>
      <c r="H1300" s="3">
        <v>1056.1400000000001</v>
      </c>
      <c r="I1300" s="3">
        <f>SUM(Tabla1[[#This Row],[Monto_Base]],H1300)</f>
        <v>9180.2800000000007</v>
      </c>
      <c r="J1300" t="s">
        <v>5044</v>
      </c>
      <c r="K1300" t="s">
        <v>5048</v>
      </c>
      <c r="L1300" t="s">
        <v>5052</v>
      </c>
      <c r="M1300" t="s">
        <v>5054</v>
      </c>
    </row>
    <row r="1301" spans="1:13" x14ac:dyDescent="0.3">
      <c r="A1301" s="1">
        <v>45411</v>
      </c>
      <c r="B1301" s="1" t="str">
        <f>TEXT(Tabla1[[#This Row],[Fecha]],"MMMM")</f>
        <v>abril</v>
      </c>
      <c r="C1301" t="s">
        <v>1311</v>
      </c>
      <c r="D1301" t="s">
        <v>5021</v>
      </c>
      <c r="E1301" t="s">
        <v>5033</v>
      </c>
      <c r="F1301" t="s">
        <v>5037</v>
      </c>
      <c r="G1301" s="3">
        <v>14865.5</v>
      </c>
      <c r="H1301" s="3">
        <v>1932.52</v>
      </c>
      <c r="I1301" s="3">
        <f>SUM(Tabla1[[#This Row],[Monto_Base]],H1301)</f>
        <v>16798.02</v>
      </c>
      <c r="J1301" t="s">
        <v>5046</v>
      </c>
      <c r="K1301" t="s">
        <v>5048</v>
      </c>
      <c r="L1301" t="s">
        <v>5053</v>
      </c>
      <c r="M1301" t="s">
        <v>5054</v>
      </c>
    </row>
    <row r="1302" spans="1:13" x14ac:dyDescent="0.3">
      <c r="A1302" s="1">
        <v>45398</v>
      </c>
      <c r="B1302" s="1" t="str">
        <f>TEXT(Tabla1[[#This Row],[Fecha]],"MMMM")</f>
        <v>abril</v>
      </c>
      <c r="C1302" t="s">
        <v>1312</v>
      </c>
      <c r="D1302" t="s">
        <v>5030</v>
      </c>
      <c r="E1302" t="s">
        <v>5032</v>
      </c>
      <c r="F1302" t="s">
        <v>5035</v>
      </c>
      <c r="G1302" s="3">
        <v>6687.09</v>
      </c>
      <c r="H1302" s="3">
        <v>0</v>
      </c>
      <c r="I1302" s="3">
        <f>SUM(Tabla1[[#This Row],[Monto_Base]],H1302)</f>
        <v>6687.09</v>
      </c>
      <c r="J1302" t="s">
        <v>5043</v>
      </c>
      <c r="K1302" t="s">
        <v>5047</v>
      </c>
      <c r="L1302" t="s">
        <v>5050</v>
      </c>
      <c r="M1302" t="s">
        <v>5055</v>
      </c>
    </row>
    <row r="1303" spans="1:13" x14ac:dyDescent="0.3">
      <c r="A1303" s="1">
        <v>45355</v>
      </c>
      <c r="B1303" s="1" t="str">
        <f>TEXT(Tabla1[[#This Row],[Fecha]],"MMMM")</f>
        <v>marzo</v>
      </c>
      <c r="C1303" t="s">
        <v>1313</v>
      </c>
      <c r="D1303" t="s">
        <v>5024</v>
      </c>
      <c r="E1303" t="s">
        <v>5033</v>
      </c>
      <c r="F1303" t="s">
        <v>5037</v>
      </c>
      <c r="G1303" s="3">
        <v>8873.75</v>
      </c>
      <c r="H1303" s="3">
        <v>1153.5899999999999</v>
      </c>
      <c r="I1303" s="3">
        <f>SUM(Tabla1[[#This Row],[Monto_Base]],H1303)</f>
        <v>10027.34</v>
      </c>
      <c r="J1303" t="s">
        <v>5045</v>
      </c>
      <c r="K1303" t="s">
        <v>5047</v>
      </c>
      <c r="L1303" t="s">
        <v>5053</v>
      </c>
      <c r="M1303" t="s">
        <v>5054</v>
      </c>
    </row>
    <row r="1304" spans="1:13" x14ac:dyDescent="0.3">
      <c r="A1304" s="1">
        <v>45454</v>
      </c>
      <c r="B1304" s="1" t="str">
        <f>TEXT(Tabla1[[#This Row],[Fecha]],"MMMM")</f>
        <v>junio</v>
      </c>
      <c r="C1304" t="s">
        <v>1314</v>
      </c>
      <c r="D1304" t="s">
        <v>5013</v>
      </c>
      <c r="E1304" t="s">
        <v>5032</v>
      </c>
      <c r="F1304" t="s">
        <v>5040</v>
      </c>
      <c r="G1304" s="3">
        <v>11257.75</v>
      </c>
      <c r="H1304" s="3">
        <v>0</v>
      </c>
      <c r="I1304" s="3">
        <f>SUM(Tabla1[[#This Row],[Monto_Base]],H1304)</f>
        <v>11257.75</v>
      </c>
      <c r="J1304" t="s">
        <v>5043</v>
      </c>
      <c r="K1304" t="s">
        <v>5047</v>
      </c>
      <c r="L1304" t="s">
        <v>5052</v>
      </c>
      <c r="M1304" t="s">
        <v>5054</v>
      </c>
    </row>
    <row r="1305" spans="1:13" x14ac:dyDescent="0.3">
      <c r="A1305" s="1">
        <v>45300</v>
      </c>
      <c r="B1305" s="1" t="str">
        <f>TEXT(Tabla1[[#This Row],[Fecha]],"MMMM")</f>
        <v>enero</v>
      </c>
      <c r="C1305" t="s">
        <v>1315</v>
      </c>
      <c r="D1305" t="s">
        <v>5025</v>
      </c>
      <c r="E1305" t="s">
        <v>5032</v>
      </c>
      <c r="F1305" t="s">
        <v>5036</v>
      </c>
      <c r="G1305" s="3">
        <v>14176.21</v>
      </c>
      <c r="H1305" s="3">
        <v>0</v>
      </c>
      <c r="I1305" s="3">
        <f>SUM(Tabla1[[#This Row],[Monto_Base]],H1305)</f>
        <v>14176.21</v>
      </c>
      <c r="J1305" t="s">
        <v>5045</v>
      </c>
      <c r="K1305" t="s">
        <v>5048</v>
      </c>
      <c r="L1305" t="s">
        <v>5050</v>
      </c>
      <c r="M1305" t="s">
        <v>5055</v>
      </c>
    </row>
    <row r="1306" spans="1:13" x14ac:dyDescent="0.3">
      <c r="A1306" s="1">
        <v>45514</v>
      </c>
      <c r="B1306" s="1" t="str">
        <f>TEXT(Tabla1[[#This Row],[Fecha]],"MMMM")</f>
        <v>agosto</v>
      </c>
      <c r="C1306" t="s">
        <v>1316</v>
      </c>
      <c r="D1306" t="s">
        <v>5015</v>
      </c>
      <c r="E1306" t="s">
        <v>5032</v>
      </c>
      <c r="F1306" t="s">
        <v>5038</v>
      </c>
      <c r="G1306" s="3">
        <v>12556.19</v>
      </c>
      <c r="H1306" s="3">
        <v>0</v>
      </c>
      <c r="I1306" s="3">
        <f>SUM(Tabla1[[#This Row],[Monto_Base]],H1306)</f>
        <v>12556.19</v>
      </c>
      <c r="J1306" t="s">
        <v>5044</v>
      </c>
      <c r="K1306" t="s">
        <v>5047</v>
      </c>
      <c r="L1306" t="s">
        <v>5053</v>
      </c>
      <c r="M1306" t="s">
        <v>5055</v>
      </c>
    </row>
    <row r="1307" spans="1:13" x14ac:dyDescent="0.3">
      <c r="A1307" s="1">
        <v>45419</v>
      </c>
      <c r="B1307" s="1" t="str">
        <f>TEXT(Tabla1[[#This Row],[Fecha]],"MMMM")</f>
        <v>mayo</v>
      </c>
      <c r="C1307" t="s">
        <v>1317</v>
      </c>
      <c r="D1307" t="s">
        <v>5022</v>
      </c>
      <c r="E1307" t="s">
        <v>5032</v>
      </c>
      <c r="F1307" t="s">
        <v>5040</v>
      </c>
      <c r="G1307" s="3">
        <v>728.27</v>
      </c>
      <c r="H1307" s="3">
        <v>0</v>
      </c>
      <c r="I1307" s="3">
        <f>SUM(Tabla1[[#This Row],[Monto_Base]],H1307)</f>
        <v>728.27</v>
      </c>
      <c r="J1307" t="s">
        <v>5046</v>
      </c>
      <c r="K1307" t="s">
        <v>5049</v>
      </c>
      <c r="L1307" t="s">
        <v>5053</v>
      </c>
      <c r="M1307" t="s">
        <v>5054</v>
      </c>
    </row>
    <row r="1308" spans="1:13" x14ac:dyDescent="0.3">
      <c r="A1308" s="1">
        <v>45399</v>
      </c>
      <c r="B1308" s="1" t="str">
        <f>TEXT(Tabla1[[#This Row],[Fecha]],"MMMM")</f>
        <v>abril</v>
      </c>
      <c r="C1308" t="s">
        <v>1318</v>
      </c>
      <c r="D1308" t="s">
        <v>5026</v>
      </c>
      <c r="E1308" t="s">
        <v>5032</v>
      </c>
      <c r="F1308" t="s">
        <v>5035</v>
      </c>
      <c r="G1308" s="3">
        <v>964.66</v>
      </c>
      <c r="H1308" s="3">
        <v>0</v>
      </c>
      <c r="I1308" s="3">
        <f>SUM(Tabla1[[#This Row],[Monto_Base]],H1308)</f>
        <v>964.66</v>
      </c>
      <c r="J1308" t="s">
        <v>5044</v>
      </c>
      <c r="K1308" t="s">
        <v>5048</v>
      </c>
      <c r="L1308" t="s">
        <v>5050</v>
      </c>
      <c r="M1308" t="s">
        <v>5054</v>
      </c>
    </row>
    <row r="1309" spans="1:13" x14ac:dyDescent="0.3">
      <c r="A1309" s="1">
        <v>45634</v>
      </c>
      <c r="B1309" s="1" t="str">
        <f>TEXT(Tabla1[[#This Row],[Fecha]],"MMMM")</f>
        <v>diciembre</v>
      </c>
      <c r="C1309" t="s">
        <v>1319</v>
      </c>
      <c r="D1309" t="s">
        <v>5028</v>
      </c>
      <c r="E1309" t="s">
        <v>5033</v>
      </c>
      <c r="F1309" t="s">
        <v>5039</v>
      </c>
      <c r="G1309" s="3">
        <v>11142.4</v>
      </c>
      <c r="H1309" s="3">
        <v>1448.51</v>
      </c>
      <c r="I1309" s="3">
        <f>SUM(Tabla1[[#This Row],[Monto_Base]],H1309)</f>
        <v>12590.91</v>
      </c>
      <c r="J1309" t="s">
        <v>5046</v>
      </c>
      <c r="K1309" t="s">
        <v>5048</v>
      </c>
      <c r="L1309" t="s">
        <v>5053</v>
      </c>
      <c r="M1309" t="s">
        <v>5054</v>
      </c>
    </row>
    <row r="1310" spans="1:13" x14ac:dyDescent="0.3">
      <c r="A1310" s="1">
        <v>45483</v>
      </c>
      <c r="B1310" s="1" t="str">
        <f>TEXT(Tabla1[[#This Row],[Fecha]],"MMMM")</f>
        <v>julio</v>
      </c>
      <c r="C1310" t="s">
        <v>1320</v>
      </c>
      <c r="D1310" t="s">
        <v>5018</v>
      </c>
      <c r="E1310" t="s">
        <v>5033</v>
      </c>
      <c r="F1310" t="s">
        <v>5038</v>
      </c>
      <c r="G1310" s="3">
        <v>6084.63</v>
      </c>
      <c r="H1310" s="3">
        <v>791</v>
      </c>
      <c r="I1310" s="3">
        <f>SUM(Tabla1[[#This Row],[Monto_Base]],H1310)</f>
        <v>6875.63</v>
      </c>
      <c r="J1310" t="s">
        <v>5044</v>
      </c>
      <c r="K1310" t="s">
        <v>5049</v>
      </c>
      <c r="L1310" t="s">
        <v>5051</v>
      </c>
      <c r="M1310" t="s">
        <v>5054</v>
      </c>
    </row>
    <row r="1311" spans="1:13" x14ac:dyDescent="0.3">
      <c r="A1311" s="1">
        <v>45365</v>
      </c>
      <c r="B1311" s="1" t="str">
        <f>TEXT(Tabla1[[#This Row],[Fecha]],"MMMM")</f>
        <v>marzo</v>
      </c>
      <c r="C1311" t="s">
        <v>1321</v>
      </c>
      <c r="D1311" t="s">
        <v>5015</v>
      </c>
      <c r="E1311" t="s">
        <v>5033</v>
      </c>
      <c r="F1311" t="s">
        <v>5041</v>
      </c>
      <c r="G1311" s="3">
        <v>561.63</v>
      </c>
      <c r="H1311" s="3">
        <v>73.010000000000005</v>
      </c>
      <c r="I1311" s="3">
        <f>SUM(Tabla1[[#This Row],[Monto_Base]],H1311)</f>
        <v>634.64</v>
      </c>
      <c r="J1311" t="s">
        <v>5043</v>
      </c>
      <c r="K1311" t="s">
        <v>5047</v>
      </c>
      <c r="L1311" t="s">
        <v>5050</v>
      </c>
      <c r="M1311" t="s">
        <v>5054</v>
      </c>
    </row>
    <row r="1312" spans="1:13" x14ac:dyDescent="0.3">
      <c r="A1312" s="1">
        <v>45339</v>
      </c>
      <c r="B1312" s="1" t="str">
        <f>TEXT(Tabla1[[#This Row],[Fecha]],"MMMM")</f>
        <v>febrero</v>
      </c>
      <c r="C1312" t="s">
        <v>1322</v>
      </c>
      <c r="D1312" t="s">
        <v>5013</v>
      </c>
      <c r="E1312" t="s">
        <v>5033</v>
      </c>
      <c r="F1312" t="s">
        <v>5040</v>
      </c>
      <c r="G1312" s="3">
        <v>13462.97</v>
      </c>
      <c r="H1312" s="3">
        <v>1750.19</v>
      </c>
      <c r="I1312" s="3">
        <f>SUM(Tabla1[[#This Row],[Monto_Base]],H1312)</f>
        <v>15213.16</v>
      </c>
      <c r="J1312" t="s">
        <v>5043</v>
      </c>
      <c r="K1312" t="s">
        <v>5047</v>
      </c>
      <c r="L1312" t="s">
        <v>5053</v>
      </c>
      <c r="M1312" t="s">
        <v>5055</v>
      </c>
    </row>
    <row r="1313" spans="1:13" x14ac:dyDescent="0.3">
      <c r="A1313" s="1">
        <v>45618</v>
      </c>
      <c r="B1313" s="1" t="str">
        <f>TEXT(Tabla1[[#This Row],[Fecha]],"MMMM")</f>
        <v>noviembre</v>
      </c>
      <c r="C1313" t="s">
        <v>1323</v>
      </c>
      <c r="D1313" t="s">
        <v>5019</v>
      </c>
      <c r="E1313" t="s">
        <v>5032</v>
      </c>
      <c r="F1313" t="s">
        <v>5039</v>
      </c>
      <c r="G1313" s="3">
        <v>12860.89</v>
      </c>
      <c r="H1313" s="3">
        <v>0</v>
      </c>
      <c r="I1313" s="3">
        <f>SUM(Tabla1[[#This Row],[Monto_Base]],H1313)</f>
        <v>12860.89</v>
      </c>
      <c r="J1313" t="s">
        <v>5045</v>
      </c>
      <c r="K1313" t="s">
        <v>5048</v>
      </c>
      <c r="L1313" t="s">
        <v>5050</v>
      </c>
      <c r="M1313" t="s">
        <v>5055</v>
      </c>
    </row>
    <row r="1314" spans="1:13" x14ac:dyDescent="0.3">
      <c r="A1314" s="1">
        <v>45634</v>
      </c>
      <c r="B1314" s="1" t="str">
        <f>TEXT(Tabla1[[#This Row],[Fecha]],"MMMM")</f>
        <v>diciembre</v>
      </c>
      <c r="C1314" t="s">
        <v>1324</v>
      </c>
      <c r="D1314" t="s">
        <v>5028</v>
      </c>
      <c r="E1314" t="s">
        <v>5032</v>
      </c>
      <c r="F1314" t="s">
        <v>5040</v>
      </c>
      <c r="G1314" s="3">
        <v>14355.74</v>
      </c>
      <c r="H1314" s="3">
        <v>0</v>
      </c>
      <c r="I1314" s="3">
        <f>SUM(Tabla1[[#This Row],[Monto_Base]],H1314)</f>
        <v>14355.74</v>
      </c>
      <c r="J1314" t="s">
        <v>5045</v>
      </c>
      <c r="K1314" t="s">
        <v>5048</v>
      </c>
      <c r="L1314" t="s">
        <v>5050</v>
      </c>
      <c r="M1314" t="s">
        <v>5054</v>
      </c>
    </row>
    <row r="1315" spans="1:13" x14ac:dyDescent="0.3">
      <c r="A1315" s="1">
        <v>45334</v>
      </c>
      <c r="B1315" s="1" t="str">
        <f>TEXT(Tabla1[[#This Row],[Fecha]],"MMMM")</f>
        <v>febrero</v>
      </c>
      <c r="C1315" t="s">
        <v>1325</v>
      </c>
      <c r="D1315" t="s">
        <v>5017</v>
      </c>
      <c r="E1315" t="s">
        <v>5033</v>
      </c>
      <c r="F1315" t="s">
        <v>5039</v>
      </c>
      <c r="G1315" s="3">
        <v>3422</v>
      </c>
      <c r="H1315" s="3">
        <v>444.86</v>
      </c>
      <c r="I1315" s="3">
        <f>SUM(Tabla1[[#This Row],[Monto_Base]],H1315)</f>
        <v>3866.86</v>
      </c>
      <c r="J1315" t="s">
        <v>5045</v>
      </c>
      <c r="K1315" t="s">
        <v>5049</v>
      </c>
      <c r="L1315" t="s">
        <v>5050</v>
      </c>
      <c r="M1315" t="s">
        <v>5055</v>
      </c>
    </row>
    <row r="1316" spans="1:13" x14ac:dyDescent="0.3">
      <c r="A1316" s="1">
        <v>45629</v>
      </c>
      <c r="B1316" s="1" t="str">
        <f>TEXT(Tabla1[[#This Row],[Fecha]],"MMMM")</f>
        <v>diciembre</v>
      </c>
      <c r="C1316" t="s">
        <v>1326</v>
      </c>
      <c r="D1316" t="s">
        <v>5017</v>
      </c>
      <c r="E1316" t="s">
        <v>5033</v>
      </c>
      <c r="F1316" t="s">
        <v>5038</v>
      </c>
      <c r="G1316" s="3">
        <v>2810.17</v>
      </c>
      <c r="H1316" s="3">
        <v>365.32</v>
      </c>
      <c r="I1316" s="3">
        <f>SUM(Tabla1[[#This Row],[Monto_Base]],H1316)</f>
        <v>3175.4900000000002</v>
      </c>
      <c r="J1316" t="s">
        <v>5044</v>
      </c>
      <c r="K1316" t="s">
        <v>5048</v>
      </c>
      <c r="L1316" t="s">
        <v>5050</v>
      </c>
      <c r="M1316" t="s">
        <v>5055</v>
      </c>
    </row>
    <row r="1317" spans="1:13" x14ac:dyDescent="0.3">
      <c r="A1317" s="1">
        <v>45588</v>
      </c>
      <c r="B1317" s="1" t="str">
        <f>TEXT(Tabla1[[#This Row],[Fecha]],"MMMM")</f>
        <v>octubre</v>
      </c>
      <c r="C1317" t="s">
        <v>1327</v>
      </c>
      <c r="D1317" t="s">
        <v>5015</v>
      </c>
      <c r="E1317" t="s">
        <v>5032</v>
      </c>
      <c r="F1317" t="s">
        <v>5040</v>
      </c>
      <c r="G1317" s="3">
        <v>9934.9699999999993</v>
      </c>
      <c r="H1317" s="3">
        <v>0</v>
      </c>
      <c r="I1317" s="3">
        <f>SUM(Tabla1[[#This Row],[Monto_Base]],H1317)</f>
        <v>9934.9699999999993</v>
      </c>
      <c r="J1317" t="s">
        <v>5045</v>
      </c>
      <c r="K1317" t="s">
        <v>5049</v>
      </c>
      <c r="L1317" t="s">
        <v>5050</v>
      </c>
      <c r="M1317" t="s">
        <v>5054</v>
      </c>
    </row>
    <row r="1318" spans="1:13" x14ac:dyDescent="0.3">
      <c r="A1318" s="1">
        <v>45413</v>
      </c>
      <c r="B1318" s="1" t="str">
        <f>TEXT(Tabla1[[#This Row],[Fecha]],"MMMM")</f>
        <v>mayo</v>
      </c>
      <c r="C1318" t="s">
        <v>1328</v>
      </c>
      <c r="D1318" t="s">
        <v>5026</v>
      </c>
      <c r="E1318" t="s">
        <v>5033</v>
      </c>
      <c r="F1318" t="s">
        <v>5039</v>
      </c>
      <c r="G1318" s="3">
        <v>9537.73</v>
      </c>
      <c r="H1318" s="3">
        <v>1239.9000000000001</v>
      </c>
      <c r="I1318" s="3">
        <f>SUM(Tabla1[[#This Row],[Monto_Base]],H1318)</f>
        <v>10777.63</v>
      </c>
      <c r="J1318" t="s">
        <v>5046</v>
      </c>
      <c r="K1318" t="s">
        <v>5048</v>
      </c>
      <c r="L1318" t="s">
        <v>5051</v>
      </c>
      <c r="M1318" t="s">
        <v>5054</v>
      </c>
    </row>
    <row r="1319" spans="1:13" x14ac:dyDescent="0.3">
      <c r="A1319" s="1">
        <v>45587</v>
      </c>
      <c r="B1319" s="1" t="str">
        <f>TEXT(Tabla1[[#This Row],[Fecha]],"MMMM")</f>
        <v>octubre</v>
      </c>
      <c r="C1319" t="s">
        <v>1329</v>
      </c>
      <c r="D1319" t="s">
        <v>5025</v>
      </c>
      <c r="E1319" t="s">
        <v>5032</v>
      </c>
      <c r="F1319" t="s">
        <v>5034</v>
      </c>
      <c r="G1319" s="3">
        <v>9449.26</v>
      </c>
      <c r="H1319" s="3">
        <v>0</v>
      </c>
      <c r="I1319" s="3">
        <f>SUM(Tabla1[[#This Row],[Monto_Base]],H1319)</f>
        <v>9449.26</v>
      </c>
      <c r="J1319" t="s">
        <v>5043</v>
      </c>
      <c r="K1319" t="s">
        <v>5048</v>
      </c>
      <c r="L1319" t="s">
        <v>5052</v>
      </c>
      <c r="M1319" t="s">
        <v>5055</v>
      </c>
    </row>
    <row r="1320" spans="1:13" x14ac:dyDescent="0.3">
      <c r="A1320" s="1">
        <v>45627</v>
      </c>
      <c r="B1320" s="1" t="str">
        <f>TEXT(Tabla1[[#This Row],[Fecha]],"MMMM")</f>
        <v>diciembre</v>
      </c>
      <c r="C1320" t="s">
        <v>1330</v>
      </c>
      <c r="D1320" t="s">
        <v>5016</v>
      </c>
      <c r="E1320" t="s">
        <v>5032</v>
      </c>
      <c r="F1320" t="s">
        <v>5036</v>
      </c>
      <c r="G1320" s="3">
        <v>11187.16</v>
      </c>
      <c r="H1320" s="3">
        <v>0</v>
      </c>
      <c r="I1320" s="3">
        <f>SUM(Tabla1[[#This Row],[Monto_Base]],H1320)</f>
        <v>11187.16</v>
      </c>
      <c r="J1320" t="s">
        <v>5042</v>
      </c>
      <c r="K1320" t="s">
        <v>5048</v>
      </c>
      <c r="L1320" t="s">
        <v>5051</v>
      </c>
      <c r="M1320" t="s">
        <v>5054</v>
      </c>
    </row>
    <row r="1321" spans="1:13" x14ac:dyDescent="0.3">
      <c r="A1321" s="1">
        <v>45634</v>
      </c>
      <c r="B1321" s="1" t="str">
        <f>TEXT(Tabla1[[#This Row],[Fecha]],"MMMM")</f>
        <v>diciembre</v>
      </c>
      <c r="C1321" t="s">
        <v>1331</v>
      </c>
      <c r="D1321" t="s">
        <v>5020</v>
      </c>
      <c r="E1321" t="s">
        <v>5032</v>
      </c>
      <c r="F1321" t="s">
        <v>5041</v>
      </c>
      <c r="G1321" s="3">
        <v>9965.56</v>
      </c>
      <c r="H1321" s="3">
        <v>0</v>
      </c>
      <c r="I1321" s="3">
        <f>SUM(Tabla1[[#This Row],[Monto_Base]],H1321)</f>
        <v>9965.56</v>
      </c>
      <c r="J1321" t="s">
        <v>5044</v>
      </c>
      <c r="K1321" t="s">
        <v>5049</v>
      </c>
      <c r="L1321" t="s">
        <v>5051</v>
      </c>
      <c r="M1321" t="s">
        <v>5054</v>
      </c>
    </row>
    <row r="1322" spans="1:13" x14ac:dyDescent="0.3">
      <c r="A1322" s="1">
        <v>45526</v>
      </c>
      <c r="B1322" s="1" t="str">
        <f>TEXT(Tabla1[[#This Row],[Fecha]],"MMMM")</f>
        <v>agosto</v>
      </c>
      <c r="C1322" t="s">
        <v>1332</v>
      </c>
      <c r="D1322" t="s">
        <v>5019</v>
      </c>
      <c r="E1322" t="s">
        <v>5033</v>
      </c>
      <c r="F1322" t="s">
        <v>5039</v>
      </c>
      <c r="G1322" s="3">
        <v>1464.02</v>
      </c>
      <c r="H1322" s="3">
        <v>190.32</v>
      </c>
      <c r="I1322" s="3">
        <f>SUM(Tabla1[[#This Row],[Monto_Base]],H1322)</f>
        <v>1654.34</v>
      </c>
      <c r="J1322" t="s">
        <v>5045</v>
      </c>
      <c r="K1322" t="s">
        <v>5047</v>
      </c>
      <c r="L1322" t="s">
        <v>5051</v>
      </c>
      <c r="M1322" t="s">
        <v>5054</v>
      </c>
    </row>
    <row r="1323" spans="1:13" x14ac:dyDescent="0.3">
      <c r="A1323" s="1">
        <v>45334</v>
      </c>
      <c r="B1323" s="1" t="str">
        <f>TEXT(Tabla1[[#This Row],[Fecha]],"MMMM")</f>
        <v>febrero</v>
      </c>
      <c r="C1323" t="s">
        <v>1333</v>
      </c>
      <c r="D1323" t="s">
        <v>5029</v>
      </c>
      <c r="E1323" t="s">
        <v>5032</v>
      </c>
      <c r="F1323" t="s">
        <v>5037</v>
      </c>
      <c r="G1323" s="3">
        <v>8321.81</v>
      </c>
      <c r="H1323" s="3">
        <v>0</v>
      </c>
      <c r="I1323" s="3">
        <f>SUM(Tabla1[[#This Row],[Monto_Base]],H1323)</f>
        <v>8321.81</v>
      </c>
      <c r="J1323" t="s">
        <v>5042</v>
      </c>
      <c r="K1323" t="s">
        <v>5047</v>
      </c>
      <c r="L1323" t="s">
        <v>5050</v>
      </c>
      <c r="M1323" t="s">
        <v>5054</v>
      </c>
    </row>
    <row r="1324" spans="1:13" x14ac:dyDescent="0.3">
      <c r="A1324" s="1">
        <v>45473</v>
      </c>
      <c r="B1324" s="1" t="str">
        <f>TEXT(Tabla1[[#This Row],[Fecha]],"MMMM")</f>
        <v>junio</v>
      </c>
      <c r="C1324" t="s">
        <v>1334</v>
      </c>
      <c r="D1324" t="s">
        <v>5017</v>
      </c>
      <c r="E1324" t="s">
        <v>5033</v>
      </c>
      <c r="F1324" t="s">
        <v>5034</v>
      </c>
      <c r="G1324" s="3">
        <v>11014.51</v>
      </c>
      <c r="H1324" s="3">
        <v>1431.89</v>
      </c>
      <c r="I1324" s="3">
        <f>SUM(Tabla1[[#This Row],[Monto_Base]],H1324)</f>
        <v>12446.4</v>
      </c>
      <c r="J1324" t="s">
        <v>5042</v>
      </c>
      <c r="K1324" t="s">
        <v>5049</v>
      </c>
      <c r="L1324" t="s">
        <v>5052</v>
      </c>
      <c r="M1324" t="s">
        <v>5054</v>
      </c>
    </row>
    <row r="1325" spans="1:13" x14ac:dyDescent="0.3">
      <c r="A1325" s="1">
        <v>45343</v>
      </c>
      <c r="B1325" s="1" t="str">
        <f>TEXT(Tabla1[[#This Row],[Fecha]],"MMMM")</f>
        <v>febrero</v>
      </c>
      <c r="C1325" t="s">
        <v>1335</v>
      </c>
      <c r="D1325" t="s">
        <v>5016</v>
      </c>
      <c r="E1325" t="s">
        <v>5033</v>
      </c>
      <c r="F1325" t="s">
        <v>5039</v>
      </c>
      <c r="G1325" s="3">
        <v>5648.36</v>
      </c>
      <c r="H1325" s="3">
        <v>734.29</v>
      </c>
      <c r="I1325" s="3">
        <f>SUM(Tabla1[[#This Row],[Monto_Base]],H1325)</f>
        <v>6382.65</v>
      </c>
      <c r="J1325" t="s">
        <v>5046</v>
      </c>
      <c r="K1325" t="s">
        <v>5049</v>
      </c>
      <c r="L1325" t="s">
        <v>5052</v>
      </c>
      <c r="M1325" t="s">
        <v>5054</v>
      </c>
    </row>
    <row r="1326" spans="1:13" x14ac:dyDescent="0.3">
      <c r="A1326" s="1">
        <v>45497</v>
      </c>
      <c r="B1326" s="1" t="str">
        <f>TEXT(Tabla1[[#This Row],[Fecha]],"MMMM")</f>
        <v>julio</v>
      </c>
      <c r="C1326" t="s">
        <v>1336</v>
      </c>
      <c r="D1326" t="s">
        <v>5024</v>
      </c>
      <c r="E1326" t="s">
        <v>5032</v>
      </c>
      <c r="F1326" t="s">
        <v>5035</v>
      </c>
      <c r="G1326" s="3">
        <v>14387.9</v>
      </c>
      <c r="H1326" s="3">
        <v>0</v>
      </c>
      <c r="I1326" s="3">
        <f>SUM(Tabla1[[#This Row],[Monto_Base]],H1326)</f>
        <v>14387.9</v>
      </c>
      <c r="J1326" t="s">
        <v>5044</v>
      </c>
      <c r="K1326" t="s">
        <v>5048</v>
      </c>
      <c r="L1326" t="s">
        <v>5050</v>
      </c>
      <c r="M1326" t="s">
        <v>5055</v>
      </c>
    </row>
    <row r="1327" spans="1:13" x14ac:dyDescent="0.3">
      <c r="A1327" s="1">
        <v>45420</v>
      </c>
      <c r="B1327" s="1" t="str">
        <f>TEXT(Tabla1[[#This Row],[Fecha]],"MMMM")</f>
        <v>mayo</v>
      </c>
      <c r="C1327" t="s">
        <v>1337</v>
      </c>
      <c r="D1327" t="s">
        <v>5020</v>
      </c>
      <c r="E1327" t="s">
        <v>5033</v>
      </c>
      <c r="F1327" t="s">
        <v>5038</v>
      </c>
      <c r="G1327" s="3">
        <v>55.29</v>
      </c>
      <c r="H1327" s="3">
        <v>7.19</v>
      </c>
      <c r="I1327" s="3">
        <f>SUM(Tabla1[[#This Row],[Monto_Base]],H1327)</f>
        <v>62.48</v>
      </c>
      <c r="J1327" t="s">
        <v>5042</v>
      </c>
      <c r="K1327" t="s">
        <v>5049</v>
      </c>
      <c r="L1327" t="s">
        <v>5051</v>
      </c>
      <c r="M1327" t="s">
        <v>5054</v>
      </c>
    </row>
    <row r="1328" spans="1:13" x14ac:dyDescent="0.3">
      <c r="A1328" s="1">
        <v>45374</v>
      </c>
      <c r="B1328" s="1" t="str">
        <f>TEXT(Tabla1[[#This Row],[Fecha]],"MMMM")</f>
        <v>marzo</v>
      </c>
      <c r="C1328" t="s">
        <v>1338</v>
      </c>
      <c r="D1328" t="s">
        <v>5012</v>
      </c>
      <c r="E1328" t="s">
        <v>5032</v>
      </c>
      <c r="F1328" t="s">
        <v>5039</v>
      </c>
      <c r="G1328" s="3">
        <v>2199.6799999999998</v>
      </c>
      <c r="H1328" s="3">
        <v>0</v>
      </c>
      <c r="I1328" s="3">
        <f>SUM(Tabla1[[#This Row],[Monto_Base]],H1328)</f>
        <v>2199.6799999999998</v>
      </c>
      <c r="J1328" t="s">
        <v>5046</v>
      </c>
      <c r="K1328" t="s">
        <v>5048</v>
      </c>
      <c r="L1328" t="s">
        <v>5052</v>
      </c>
      <c r="M1328" t="s">
        <v>5055</v>
      </c>
    </row>
    <row r="1329" spans="1:13" x14ac:dyDescent="0.3">
      <c r="A1329" s="1">
        <v>45328</v>
      </c>
      <c r="B1329" s="1" t="str">
        <f>TEXT(Tabla1[[#This Row],[Fecha]],"MMMM")</f>
        <v>febrero</v>
      </c>
      <c r="C1329" t="s">
        <v>1339</v>
      </c>
      <c r="D1329" t="s">
        <v>5014</v>
      </c>
      <c r="E1329" t="s">
        <v>5033</v>
      </c>
      <c r="F1329" t="s">
        <v>5034</v>
      </c>
      <c r="G1329" s="3">
        <v>12523.22</v>
      </c>
      <c r="H1329" s="3">
        <v>1628.02</v>
      </c>
      <c r="I1329" s="3">
        <f>SUM(Tabla1[[#This Row],[Monto_Base]],H1329)</f>
        <v>14151.24</v>
      </c>
      <c r="J1329" t="s">
        <v>5046</v>
      </c>
      <c r="K1329" t="s">
        <v>5048</v>
      </c>
      <c r="L1329" t="s">
        <v>5052</v>
      </c>
      <c r="M1329" t="s">
        <v>5055</v>
      </c>
    </row>
    <row r="1330" spans="1:13" x14ac:dyDescent="0.3">
      <c r="A1330" s="1">
        <v>45636</v>
      </c>
      <c r="B1330" s="1" t="str">
        <f>TEXT(Tabla1[[#This Row],[Fecha]],"MMMM")</f>
        <v>diciembre</v>
      </c>
      <c r="C1330" t="s">
        <v>1340</v>
      </c>
      <c r="D1330" t="s">
        <v>5031</v>
      </c>
      <c r="E1330" t="s">
        <v>5033</v>
      </c>
      <c r="F1330" t="s">
        <v>5034</v>
      </c>
      <c r="G1330" s="3">
        <v>6678.55</v>
      </c>
      <c r="H1330" s="3">
        <v>868.21</v>
      </c>
      <c r="I1330" s="3">
        <f>SUM(Tabla1[[#This Row],[Monto_Base]],H1330)</f>
        <v>7546.76</v>
      </c>
      <c r="J1330" t="s">
        <v>5044</v>
      </c>
      <c r="K1330" t="s">
        <v>5048</v>
      </c>
      <c r="L1330" t="s">
        <v>5053</v>
      </c>
      <c r="M1330" t="s">
        <v>5054</v>
      </c>
    </row>
    <row r="1331" spans="1:13" x14ac:dyDescent="0.3">
      <c r="A1331" s="1">
        <v>45516</v>
      </c>
      <c r="B1331" s="1" t="str">
        <f>TEXT(Tabla1[[#This Row],[Fecha]],"MMMM")</f>
        <v>agosto</v>
      </c>
      <c r="C1331" t="s">
        <v>1341</v>
      </c>
      <c r="D1331" t="s">
        <v>5016</v>
      </c>
      <c r="E1331" t="s">
        <v>5033</v>
      </c>
      <c r="F1331" t="s">
        <v>5041</v>
      </c>
      <c r="G1331" s="3">
        <v>3521.11</v>
      </c>
      <c r="H1331" s="3">
        <v>457.74</v>
      </c>
      <c r="I1331" s="3">
        <f>SUM(Tabla1[[#This Row],[Monto_Base]],H1331)</f>
        <v>3978.8500000000004</v>
      </c>
      <c r="J1331" t="s">
        <v>5044</v>
      </c>
      <c r="K1331" t="s">
        <v>5047</v>
      </c>
      <c r="L1331" t="s">
        <v>5050</v>
      </c>
      <c r="M1331" t="s">
        <v>5054</v>
      </c>
    </row>
    <row r="1332" spans="1:13" x14ac:dyDescent="0.3">
      <c r="A1332" s="1">
        <v>45422</v>
      </c>
      <c r="B1332" s="1" t="str">
        <f>TEXT(Tabla1[[#This Row],[Fecha]],"MMMM")</f>
        <v>mayo</v>
      </c>
      <c r="C1332" t="s">
        <v>1342</v>
      </c>
      <c r="D1332" t="s">
        <v>5015</v>
      </c>
      <c r="E1332" t="s">
        <v>5032</v>
      </c>
      <c r="F1332" t="s">
        <v>5035</v>
      </c>
      <c r="G1332" s="3">
        <v>5753.45</v>
      </c>
      <c r="H1332" s="3">
        <v>0</v>
      </c>
      <c r="I1332" s="3">
        <f>SUM(Tabla1[[#This Row],[Monto_Base]],H1332)</f>
        <v>5753.45</v>
      </c>
      <c r="J1332" t="s">
        <v>5045</v>
      </c>
      <c r="K1332" t="s">
        <v>5049</v>
      </c>
      <c r="L1332" t="s">
        <v>5050</v>
      </c>
      <c r="M1332" t="s">
        <v>5055</v>
      </c>
    </row>
    <row r="1333" spans="1:13" x14ac:dyDescent="0.3">
      <c r="A1333" s="1">
        <v>45337</v>
      </c>
      <c r="B1333" s="1" t="str">
        <f>TEXT(Tabla1[[#This Row],[Fecha]],"MMMM")</f>
        <v>febrero</v>
      </c>
      <c r="C1333" t="s">
        <v>1343</v>
      </c>
      <c r="D1333" t="s">
        <v>5018</v>
      </c>
      <c r="E1333" t="s">
        <v>5032</v>
      </c>
      <c r="F1333" t="s">
        <v>5034</v>
      </c>
      <c r="G1333" s="3">
        <v>7866.45</v>
      </c>
      <c r="H1333" s="3">
        <v>0</v>
      </c>
      <c r="I1333" s="3">
        <f>SUM(Tabla1[[#This Row],[Monto_Base]],H1333)</f>
        <v>7866.45</v>
      </c>
      <c r="J1333" t="s">
        <v>5042</v>
      </c>
      <c r="K1333" t="s">
        <v>5049</v>
      </c>
      <c r="L1333" t="s">
        <v>5051</v>
      </c>
      <c r="M1333" t="s">
        <v>5054</v>
      </c>
    </row>
    <row r="1334" spans="1:13" x14ac:dyDescent="0.3">
      <c r="A1334" s="1">
        <v>45435</v>
      </c>
      <c r="B1334" s="1" t="str">
        <f>TEXT(Tabla1[[#This Row],[Fecha]],"MMMM")</f>
        <v>mayo</v>
      </c>
      <c r="C1334" t="s">
        <v>1344</v>
      </c>
      <c r="D1334" t="s">
        <v>5019</v>
      </c>
      <c r="E1334" t="s">
        <v>5032</v>
      </c>
      <c r="F1334" t="s">
        <v>5035</v>
      </c>
      <c r="G1334" s="3">
        <v>9589</v>
      </c>
      <c r="H1334" s="3">
        <v>0</v>
      </c>
      <c r="I1334" s="3">
        <f>SUM(Tabla1[[#This Row],[Monto_Base]],H1334)</f>
        <v>9589</v>
      </c>
      <c r="J1334" t="s">
        <v>5044</v>
      </c>
      <c r="K1334" t="s">
        <v>5048</v>
      </c>
      <c r="L1334" t="s">
        <v>5051</v>
      </c>
      <c r="M1334" t="s">
        <v>5055</v>
      </c>
    </row>
    <row r="1335" spans="1:13" x14ac:dyDescent="0.3">
      <c r="A1335" s="1">
        <v>45540</v>
      </c>
      <c r="B1335" s="1" t="str">
        <f>TEXT(Tabla1[[#This Row],[Fecha]],"MMMM")</f>
        <v>septiembre</v>
      </c>
      <c r="C1335" t="s">
        <v>1345</v>
      </c>
      <c r="D1335" t="s">
        <v>5020</v>
      </c>
      <c r="E1335" t="s">
        <v>5033</v>
      </c>
      <c r="F1335" t="s">
        <v>5035</v>
      </c>
      <c r="G1335" s="3">
        <v>1561.91</v>
      </c>
      <c r="H1335" s="3">
        <v>203.05</v>
      </c>
      <c r="I1335" s="3">
        <f>SUM(Tabla1[[#This Row],[Monto_Base]],H1335)</f>
        <v>1764.96</v>
      </c>
      <c r="J1335" t="s">
        <v>5046</v>
      </c>
      <c r="K1335" t="s">
        <v>5049</v>
      </c>
      <c r="L1335" t="s">
        <v>5050</v>
      </c>
      <c r="M1335" t="s">
        <v>5054</v>
      </c>
    </row>
    <row r="1336" spans="1:13" x14ac:dyDescent="0.3">
      <c r="A1336" s="1">
        <v>45581</v>
      </c>
      <c r="B1336" s="1" t="str">
        <f>TEXT(Tabla1[[#This Row],[Fecha]],"MMMM")</f>
        <v>octubre</v>
      </c>
      <c r="C1336" t="s">
        <v>1346</v>
      </c>
      <c r="D1336" t="s">
        <v>5029</v>
      </c>
      <c r="E1336" t="s">
        <v>5033</v>
      </c>
      <c r="F1336" t="s">
        <v>5041</v>
      </c>
      <c r="G1336" s="3">
        <v>8432.0300000000007</v>
      </c>
      <c r="H1336" s="3">
        <v>1096.1600000000001</v>
      </c>
      <c r="I1336" s="3">
        <f>SUM(Tabla1[[#This Row],[Monto_Base]],H1336)</f>
        <v>9528.19</v>
      </c>
      <c r="J1336" t="s">
        <v>5043</v>
      </c>
      <c r="K1336" t="s">
        <v>5049</v>
      </c>
      <c r="L1336" t="s">
        <v>5050</v>
      </c>
      <c r="M1336" t="s">
        <v>5054</v>
      </c>
    </row>
    <row r="1337" spans="1:13" x14ac:dyDescent="0.3">
      <c r="A1337" s="1">
        <v>45414</v>
      </c>
      <c r="B1337" s="1" t="str">
        <f>TEXT(Tabla1[[#This Row],[Fecha]],"MMMM")</f>
        <v>mayo</v>
      </c>
      <c r="C1337" t="s">
        <v>1347</v>
      </c>
      <c r="D1337" t="s">
        <v>5031</v>
      </c>
      <c r="E1337" t="s">
        <v>5033</v>
      </c>
      <c r="F1337" t="s">
        <v>5036</v>
      </c>
      <c r="G1337" s="3">
        <v>1806.23</v>
      </c>
      <c r="H1337" s="3">
        <v>234.81</v>
      </c>
      <c r="I1337" s="3">
        <f>SUM(Tabla1[[#This Row],[Monto_Base]],H1337)</f>
        <v>2041.04</v>
      </c>
      <c r="J1337" t="s">
        <v>5044</v>
      </c>
      <c r="K1337" t="s">
        <v>5049</v>
      </c>
      <c r="L1337" t="s">
        <v>5050</v>
      </c>
      <c r="M1337" t="s">
        <v>5055</v>
      </c>
    </row>
    <row r="1338" spans="1:13" x14ac:dyDescent="0.3">
      <c r="A1338" s="1">
        <v>45559</v>
      </c>
      <c r="B1338" s="1" t="str">
        <f>TEXT(Tabla1[[#This Row],[Fecha]],"MMMM")</f>
        <v>septiembre</v>
      </c>
      <c r="C1338" t="s">
        <v>1348</v>
      </c>
      <c r="D1338" t="s">
        <v>5015</v>
      </c>
      <c r="E1338" t="s">
        <v>5032</v>
      </c>
      <c r="F1338" t="s">
        <v>5041</v>
      </c>
      <c r="G1338" s="3">
        <v>8621.51</v>
      </c>
      <c r="H1338" s="3">
        <v>0</v>
      </c>
      <c r="I1338" s="3">
        <f>SUM(Tabla1[[#This Row],[Monto_Base]],H1338)</f>
        <v>8621.51</v>
      </c>
      <c r="J1338" t="s">
        <v>5045</v>
      </c>
      <c r="K1338" t="s">
        <v>5048</v>
      </c>
      <c r="L1338" t="s">
        <v>5050</v>
      </c>
      <c r="M1338" t="s">
        <v>5054</v>
      </c>
    </row>
    <row r="1339" spans="1:13" x14ac:dyDescent="0.3">
      <c r="A1339" s="1">
        <v>45460</v>
      </c>
      <c r="B1339" s="1" t="str">
        <f>TEXT(Tabla1[[#This Row],[Fecha]],"MMMM")</f>
        <v>junio</v>
      </c>
      <c r="C1339" t="s">
        <v>1349</v>
      </c>
      <c r="D1339" t="s">
        <v>5031</v>
      </c>
      <c r="E1339" t="s">
        <v>5033</v>
      </c>
      <c r="F1339" t="s">
        <v>5035</v>
      </c>
      <c r="G1339" s="3">
        <v>9476.2900000000009</v>
      </c>
      <c r="H1339" s="3">
        <v>1231.92</v>
      </c>
      <c r="I1339" s="3">
        <f>SUM(Tabla1[[#This Row],[Monto_Base]],H1339)</f>
        <v>10708.210000000001</v>
      </c>
      <c r="J1339" t="s">
        <v>5045</v>
      </c>
      <c r="K1339" t="s">
        <v>5048</v>
      </c>
      <c r="L1339" t="s">
        <v>5050</v>
      </c>
      <c r="M1339" t="s">
        <v>5054</v>
      </c>
    </row>
    <row r="1340" spans="1:13" x14ac:dyDescent="0.3">
      <c r="A1340" s="1">
        <v>45419</v>
      </c>
      <c r="B1340" s="1" t="str">
        <f>TEXT(Tabla1[[#This Row],[Fecha]],"MMMM")</f>
        <v>mayo</v>
      </c>
      <c r="C1340" t="s">
        <v>1350</v>
      </c>
      <c r="D1340" t="s">
        <v>5029</v>
      </c>
      <c r="E1340" t="s">
        <v>5032</v>
      </c>
      <c r="F1340" t="s">
        <v>5040</v>
      </c>
      <c r="G1340" s="3">
        <v>5318.06</v>
      </c>
      <c r="H1340" s="3">
        <v>0</v>
      </c>
      <c r="I1340" s="3">
        <f>SUM(Tabla1[[#This Row],[Monto_Base]],H1340)</f>
        <v>5318.06</v>
      </c>
      <c r="J1340" t="s">
        <v>5044</v>
      </c>
      <c r="K1340" t="s">
        <v>5048</v>
      </c>
      <c r="L1340" t="s">
        <v>5053</v>
      </c>
      <c r="M1340" t="s">
        <v>5055</v>
      </c>
    </row>
    <row r="1341" spans="1:13" x14ac:dyDescent="0.3">
      <c r="A1341" s="1">
        <v>45572</v>
      </c>
      <c r="B1341" s="1" t="str">
        <f>TEXT(Tabla1[[#This Row],[Fecha]],"MMMM")</f>
        <v>octubre</v>
      </c>
      <c r="C1341" t="s">
        <v>1351</v>
      </c>
      <c r="D1341" t="s">
        <v>5029</v>
      </c>
      <c r="E1341" t="s">
        <v>5033</v>
      </c>
      <c r="F1341" t="s">
        <v>5034</v>
      </c>
      <c r="G1341" s="3">
        <v>8399.24</v>
      </c>
      <c r="H1341" s="3">
        <v>1091.9000000000001</v>
      </c>
      <c r="I1341" s="3">
        <f>SUM(Tabla1[[#This Row],[Monto_Base]],H1341)</f>
        <v>9491.14</v>
      </c>
      <c r="J1341" t="s">
        <v>5044</v>
      </c>
      <c r="K1341" t="s">
        <v>5049</v>
      </c>
      <c r="L1341" t="s">
        <v>5050</v>
      </c>
      <c r="M1341" t="s">
        <v>5055</v>
      </c>
    </row>
    <row r="1342" spans="1:13" x14ac:dyDescent="0.3">
      <c r="A1342" s="1">
        <v>45567</v>
      </c>
      <c r="B1342" s="1" t="str">
        <f>TEXT(Tabla1[[#This Row],[Fecha]],"MMMM")</f>
        <v>octubre</v>
      </c>
      <c r="C1342" t="s">
        <v>1352</v>
      </c>
      <c r="D1342" t="s">
        <v>5018</v>
      </c>
      <c r="E1342" t="s">
        <v>5033</v>
      </c>
      <c r="F1342" t="s">
        <v>5040</v>
      </c>
      <c r="G1342" s="3">
        <v>5309.48</v>
      </c>
      <c r="H1342" s="3">
        <v>690.23</v>
      </c>
      <c r="I1342" s="3">
        <f>SUM(Tabla1[[#This Row],[Monto_Base]],H1342)</f>
        <v>5999.7099999999991</v>
      </c>
      <c r="J1342" t="s">
        <v>5046</v>
      </c>
      <c r="K1342" t="s">
        <v>5048</v>
      </c>
      <c r="L1342" t="s">
        <v>5051</v>
      </c>
      <c r="M1342" t="s">
        <v>5054</v>
      </c>
    </row>
    <row r="1343" spans="1:13" x14ac:dyDescent="0.3">
      <c r="A1343" s="1">
        <v>45487</v>
      </c>
      <c r="B1343" s="1" t="str">
        <f>TEXT(Tabla1[[#This Row],[Fecha]],"MMMM")</f>
        <v>julio</v>
      </c>
      <c r="C1343" t="s">
        <v>1353</v>
      </c>
      <c r="D1343" t="s">
        <v>5027</v>
      </c>
      <c r="E1343" t="s">
        <v>5032</v>
      </c>
      <c r="F1343" t="s">
        <v>5041</v>
      </c>
      <c r="G1343" s="3">
        <v>9610.15</v>
      </c>
      <c r="H1343" s="3">
        <v>0</v>
      </c>
      <c r="I1343" s="3">
        <f>SUM(Tabla1[[#This Row],[Monto_Base]],H1343)</f>
        <v>9610.15</v>
      </c>
      <c r="J1343" t="s">
        <v>5046</v>
      </c>
      <c r="K1343" t="s">
        <v>5048</v>
      </c>
      <c r="L1343" t="s">
        <v>5050</v>
      </c>
      <c r="M1343" t="s">
        <v>5055</v>
      </c>
    </row>
    <row r="1344" spans="1:13" x14ac:dyDescent="0.3">
      <c r="A1344" s="1">
        <v>45457</v>
      </c>
      <c r="B1344" s="1" t="str">
        <f>TEXT(Tabla1[[#This Row],[Fecha]],"MMMM")</f>
        <v>junio</v>
      </c>
      <c r="C1344" t="s">
        <v>1354</v>
      </c>
      <c r="D1344" t="s">
        <v>5025</v>
      </c>
      <c r="E1344" t="s">
        <v>5032</v>
      </c>
      <c r="F1344" t="s">
        <v>5039</v>
      </c>
      <c r="G1344" s="3">
        <v>14391.66</v>
      </c>
      <c r="H1344" s="3">
        <v>0</v>
      </c>
      <c r="I1344" s="3">
        <f>SUM(Tabla1[[#This Row],[Monto_Base]],H1344)</f>
        <v>14391.66</v>
      </c>
      <c r="J1344" t="s">
        <v>5045</v>
      </c>
      <c r="K1344" t="s">
        <v>5047</v>
      </c>
      <c r="L1344" t="s">
        <v>5052</v>
      </c>
      <c r="M1344" t="s">
        <v>5055</v>
      </c>
    </row>
    <row r="1345" spans="1:13" x14ac:dyDescent="0.3">
      <c r="A1345" s="1">
        <v>45330</v>
      </c>
      <c r="B1345" s="1" t="str">
        <f>TEXT(Tabla1[[#This Row],[Fecha]],"MMMM")</f>
        <v>febrero</v>
      </c>
      <c r="C1345" t="s">
        <v>1355</v>
      </c>
      <c r="D1345" t="s">
        <v>5016</v>
      </c>
      <c r="E1345" t="s">
        <v>5033</v>
      </c>
      <c r="F1345" t="s">
        <v>5037</v>
      </c>
      <c r="G1345" s="3">
        <v>9296.14</v>
      </c>
      <c r="H1345" s="3">
        <v>1208.5</v>
      </c>
      <c r="I1345" s="3">
        <f>SUM(Tabla1[[#This Row],[Monto_Base]],H1345)</f>
        <v>10504.64</v>
      </c>
      <c r="J1345" t="s">
        <v>5046</v>
      </c>
      <c r="K1345" t="s">
        <v>5047</v>
      </c>
      <c r="L1345" t="s">
        <v>5053</v>
      </c>
      <c r="M1345" t="s">
        <v>5055</v>
      </c>
    </row>
    <row r="1346" spans="1:13" x14ac:dyDescent="0.3">
      <c r="A1346" s="1">
        <v>45489</v>
      </c>
      <c r="B1346" s="1" t="str">
        <f>TEXT(Tabla1[[#This Row],[Fecha]],"MMMM")</f>
        <v>julio</v>
      </c>
      <c r="C1346" t="s">
        <v>1356</v>
      </c>
      <c r="D1346" t="s">
        <v>5028</v>
      </c>
      <c r="E1346" t="s">
        <v>5032</v>
      </c>
      <c r="F1346" t="s">
        <v>5040</v>
      </c>
      <c r="G1346" s="3">
        <v>5981.51</v>
      </c>
      <c r="H1346" s="3">
        <v>0</v>
      </c>
      <c r="I1346" s="3">
        <f>SUM(Tabla1[[#This Row],[Monto_Base]],H1346)</f>
        <v>5981.51</v>
      </c>
      <c r="J1346" t="s">
        <v>5045</v>
      </c>
      <c r="K1346" t="s">
        <v>5049</v>
      </c>
      <c r="L1346" t="s">
        <v>5051</v>
      </c>
      <c r="M1346" t="s">
        <v>5054</v>
      </c>
    </row>
    <row r="1347" spans="1:13" x14ac:dyDescent="0.3">
      <c r="A1347" s="1">
        <v>45371</v>
      </c>
      <c r="B1347" s="1" t="str">
        <f>TEXT(Tabla1[[#This Row],[Fecha]],"MMMM")</f>
        <v>marzo</v>
      </c>
      <c r="C1347" t="s">
        <v>1357</v>
      </c>
      <c r="D1347" t="s">
        <v>5024</v>
      </c>
      <c r="E1347" t="s">
        <v>5032</v>
      </c>
      <c r="F1347" t="s">
        <v>5035</v>
      </c>
      <c r="G1347" s="3">
        <v>3726.26</v>
      </c>
      <c r="H1347" s="3">
        <v>0</v>
      </c>
      <c r="I1347" s="3">
        <f>SUM(Tabla1[[#This Row],[Monto_Base]],H1347)</f>
        <v>3726.26</v>
      </c>
      <c r="J1347" t="s">
        <v>5044</v>
      </c>
      <c r="K1347" t="s">
        <v>5047</v>
      </c>
      <c r="L1347" t="s">
        <v>5050</v>
      </c>
      <c r="M1347" t="s">
        <v>5054</v>
      </c>
    </row>
    <row r="1348" spans="1:13" x14ac:dyDescent="0.3">
      <c r="A1348" s="1">
        <v>45402</v>
      </c>
      <c r="B1348" s="1" t="str">
        <f>TEXT(Tabla1[[#This Row],[Fecha]],"MMMM")</f>
        <v>abril</v>
      </c>
      <c r="C1348" t="s">
        <v>1358</v>
      </c>
      <c r="D1348" t="s">
        <v>5017</v>
      </c>
      <c r="E1348" t="s">
        <v>5033</v>
      </c>
      <c r="F1348" t="s">
        <v>5041</v>
      </c>
      <c r="G1348" s="3">
        <v>9736.0300000000007</v>
      </c>
      <c r="H1348" s="3">
        <v>1265.68</v>
      </c>
      <c r="I1348" s="3">
        <f>SUM(Tabla1[[#This Row],[Monto_Base]],H1348)</f>
        <v>11001.710000000001</v>
      </c>
      <c r="J1348" t="s">
        <v>5046</v>
      </c>
      <c r="K1348" t="s">
        <v>5047</v>
      </c>
      <c r="L1348" t="s">
        <v>5051</v>
      </c>
      <c r="M1348" t="s">
        <v>5054</v>
      </c>
    </row>
    <row r="1349" spans="1:13" x14ac:dyDescent="0.3">
      <c r="A1349" s="1">
        <v>45574</v>
      </c>
      <c r="B1349" s="1" t="str">
        <f>TEXT(Tabla1[[#This Row],[Fecha]],"MMMM")</f>
        <v>octubre</v>
      </c>
      <c r="C1349" t="s">
        <v>1359</v>
      </c>
      <c r="D1349" t="s">
        <v>5031</v>
      </c>
      <c r="E1349" t="s">
        <v>5032</v>
      </c>
      <c r="F1349" t="s">
        <v>5041</v>
      </c>
      <c r="G1349" s="3">
        <v>6247.16</v>
      </c>
      <c r="H1349" s="3">
        <v>0</v>
      </c>
      <c r="I1349" s="3">
        <f>SUM(Tabla1[[#This Row],[Monto_Base]],H1349)</f>
        <v>6247.16</v>
      </c>
      <c r="J1349" t="s">
        <v>5042</v>
      </c>
      <c r="K1349" t="s">
        <v>5047</v>
      </c>
      <c r="L1349" t="s">
        <v>5050</v>
      </c>
      <c r="M1349" t="s">
        <v>5054</v>
      </c>
    </row>
    <row r="1350" spans="1:13" x14ac:dyDescent="0.3">
      <c r="A1350" s="1">
        <v>45478</v>
      </c>
      <c r="B1350" s="1" t="str">
        <f>TEXT(Tabla1[[#This Row],[Fecha]],"MMMM")</f>
        <v>julio</v>
      </c>
      <c r="C1350" t="s">
        <v>1360</v>
      </c>
      <c r="D1350" t="s">
        <v>5014</v>
      </c>
      <c r="E1350" t="s">
        <v>5032</v>
      </c>
      <c r="F1350" t="s">
        <v>5038</v>
      </c>
      <c r="G1350" s="3">
        <v>10615.85</v>
      </c>
      <c r="H1350" s="3">
        <v>0</v>
      </c>
      <c r="I1350" s="3">
        <f>SUM(Tabla1[[#This Row],[Monto_Base]],H1350)</f>
        <v>10615.85</v>
      </c>
      <c r="J1350" t="s">
        <v>5044</v>
      </c>
      <c r="K1350" t="s">
        <v>5048</v>
      </c>
      <c r="L1350" t="s">
        <v>5051</v>
      </c>
      <c r="M1350" t="s">
        <v>5055</v>
      </c>
    </row>
    <row r="1351" spans="1:13" x14ac:dyDescent="0.3">
      <c r="A1351" s="1">
        <v>45360</v>
      </c>
      <c r="B1351" s="1" t="str">
        <f>TEXT(Tabla1[[#This Row],[Fecha]],"MMMM")</f>
        <v>marzo</v>
      </c>
      <c r="C1351" t="s">
        <v>1361</v>
      </c>
      <c r="D1351" t="s">
        <v>5015</v>
      </c>
      <c r="E1351" t="s">
        <v>5032</v>
      </c>
      <c r="F1351" t="s">
        <v>5036</v>
      </c>
      <c r="G1351" s="3">
        <v>14373.46</v>
      </c>
      <c r="H1351" s="3">
        <v>0</v>
      </c>
      <c r="I1351" s="3">
        <f>SUM(Tabla1[[#This Row],[Monto_Base]],H1351)</f>
        <v>14373.46</v>
      </c>
      <c r="J1351" t="s">
        <v>5044</v>
      </c>
      <c r="K1351" t="s">
        <v>5049</v>
      </c>
      <c r="L1351" t="s">
        <v>5052</v>
      </c>
      <c r="M1351" t="s">
        <v>5054</v>
      </c>
    </row>
    <row r="1352" spans="1:13" x14ac:dyDescent="0.3">
      <c r="A1352" s="1">
        <v>45601</v>
      </c>
      <c r="B1352" s="1" t="str">
        <f>TEXT(Tabla1[[#This Row],[Fecha]],"MMMM")</f>
        <v>noviembre</v>
      </c>
      <c r="C1352" t="s">
        <v>1362</v>
      </c>
      <c r="D1352" t="s">
        <v>5023</v>
      </c>
      <c r="E1352" t="s">
        <v>5032</v>
      </c>
      <c r="F1352" t="s">
        <v>5040</v>
      </c>
      <c r="G1352" s="3">
        <v>1616.87</v>
      </c>
      <c r="H1352" s="3">
        <v>0</v>
      </c>
      <c r="I1352" s="3">
        <f>SUM(Tabla1[[#This Row],[Monto_Base]],H1352)</f>
        <v>1616.87</v>
      </c>
      <c r="J1352" t="s">
        <v>5046</v>
      </c>
      <c r="K1352" t="s">
        <v>5049</v>
      </c>
      <c r="L1352" t="s">
        <v>5051</v>
      </c>
      <c r="M1352" t="s">
        <v>5054</v>
      </c>
    </row>
    <row r="1353" spans="1:13" x14ac:dyDescent="0.3">
      <c r="A1353" s="1">
        <v>45546</v>
      </c>
      <c r="B1353" s="1" t="str">
        <f>TEXT(Tabla1[[#This Row],[Fecha]],"MMMM")</f>
        <v>septiembre</v>
      </c>
      <c r="C1353" t="s">
        <v>1363</v>
      </c>
      <c r="D1353" t="s">
        <v>5029</v>
      </c>
      <c r="E1353" t="s">
        <v>5033</v>
      </c>
      <c r="F1353" t="s">
        <v>5041</v>
      </c>
      <c r="G1353" s="3">
        <v>9301.15</v>
      </c>
      <c r="H1353" s="3">
        <v>1209.1500000000001</v>
      </c>
      <c r="I1353" s="3">
        <f>SUM(Tabla1[[#This Row],[Monto_Base]],H1353)</f>
        <v>10510.3</v>
      </c>
      <c r="J1353" t="s">
        <v>5042</v>
      </c>
      <c r="K1353" t="s">
        <v>5048</v>
      </c>
      <c r="L1353" t="s">
        <v>5053</v>
      </c>
      <c r="M1353" t="s">
        <v>5054</v>
      </c>
    </row>
    <row r="1354" spans="1:13" x14ac:dyDescent="0.3">
      <c r="A1354" s="1">
        <v>45536</v>
      </c>
      <c r="B1354" s="1" t="str">
        <f>TEXT(Tabla1[[#This Row],[Fecha]],"MMMM")</f>
        <v>septiembre</v>
      </c>
      <c r="C1354" t="s">
        <v>1364</v>
      </c>
      <c r="D1354" t="s">
        <v>5023</v>
      </c>
      <c r="E1354" t="s">
        <v>5032</v>
      </c>
      <c r="F1354" t="s">
        <v>5035</v>
      </c>
      <c r="G1354" s="3">
        <v>13442.83</v>
      </c>
      <c r="H1354" s="3">
        <v>0</v>
      </c>
      <c r="I1354" s="3">
        <f>SUM(Tabla1[[#This Row],[Monto_Base]],H1354)</f>
        <v>13442.83</v>
      </c>
      <c r="J1354" t="s">
        <v>5046</v>
      </c>
      <c r="K1354" t="s">
        <v>5047</v>
      </c>
      <c r="L1354" t="s">
        <v>5051</v>
      </c>
      <c r="M1354" t="s">
        <v>5054</v>
      </c>
    </row>
    <row r="1355" spans="1:13" x14ac:dyDescent="0.3">
      <c r="A1355" s="1">
        <v>45543</v>
      </c>
      <c r="B1355" s="1" t="str">
        <f>TEXT(Tabla1[[#This Row],[Fecha]],"MMMM")</f>
        <v>septiembre</v>
      </c>
      <c r="C1355" t="s">
        <v>1365</v>
      </c>
      <c r="D1355" t="s">
        <v>5014</v>
      </c>
      <c r="E1355" t="s">
        <v>5032</v>
      </c>
      <c r="F1355" t="s">
        <v>5035</v>
      </c>
      <c r="G1355" s="3">
        <v>10718.5</v>
      </c>
      <c r="H1355" s="3">
        <v>0</v>
      </c>
      <c r="I1355" s="3">
        <f>SUM(Tabla1[[#This Row],[Monto_Base]],H1355)</f>
        <v>10718.5</v>
      </c>
      <c r="J1355" t="s">
        <v>5043</v>
      </c>
      <c r="K1355" t="s">
        <v>5049</v>
      </c>
      <c r="L1355" t="s">
        <v>5052</v>
      </c>
      <c r="M1355" t="s">
        <v>5055</v>
      </c>
    </row>
    <row r="1356" spans="1:13" x14ac:dyDescent="0.3">
      <c r="A1356" s="1">
        <v>45583</v>
      </c>
      <c r="B1356" s="1" t="str">
        <f>TEXT(Tabla1[[#This Row],[Fecha]],"MMMM")</f>
        <v>octubre</v>
      </c>
      <c r="C1356" t="s">
        <v>1366</v>
      </c>
      <c r="D1356" t="s">
        <v>5018</v>
      </c>
      <c r="E1356" t="s">
        <v>5032</v>
      </c>
      <c r="F1356" t="s">
        <v>5038</v>
      </c>
      <c r="G1356" s="3">
        <v>4991.47</v>
      </c>
      <c r="H1356" s="3">
        <v>0</v>
      </c>
      <c r="I1356" s="3">
        <f>SUM(Tabla1[[#This Row],[Monto_Base]],H1356)</f>
        <v>4991.47</v>
      </c>
      <c r="J1356" t="s">
        <v>5042</v>
      </c>
      <c r="K1356" t="s">
        <v>5048</v>
      </c>
      <c r="L1356" t="s">
        <v>5052</v>
      </c>
      <c r="M1356" t="s">
        <v>5055</v>
      </c>
    </row>
    <row r="1357" spans="1:13" x14ac:dyDescent="0.3">
      <c r="A1357" s="1">
        <v>45328</v>
      </c>
      <c r="B1357" s="1" t="str">
        <f>TEXT(Tabla1[[#This Row],[Fecha]],"MMMM")</f>
        <v>febrero</v>
      </c>
      <c r="C1357" t="s">
        <v>1367</v>
      </c>
      <c r="D1357" t="s">
        <v>5031</v>
      </c>
      <c r="E1357" t="s">
        <v>5033</v>
      </c>
      <c r="F1357" t="s">
        <v>5040</v>
      </c>
      <c r="G1357" s="3">
        <v>8832.34</v>
      </c>
      <c r="H1357" s="3">
        <v>1148.2</v>
      </c>
      <c r="I1357" s="3">
        <f>SUM(Tabla1[[#This Row],[Monto_Base]],H1357)</f>
        <v>9980.5400000000009</v>
      </c>
      <c r="J1357" t="s">
        <v>5042</v>
      </c>
      <c r="K1357" t="s">
        <v>5047</v>
      </c>
      <c r="L1357" t="s">
        <v>5050</v>
      </c>
      <c r="M1357" t="s">
        <v>5054</v>
      </c>
    </row>
    <row r="1358" spans="1:13" x14ac:dyDescent="0.3">
      <c r="A1358" s="1">
        <v>45545</v>
      </c>
      <c r="B1358" s="1" t="str">
        <f>TEXT(Tabla1[[#This Row],[Fecha]],"MMMM")</f>
        <v>septiembre</v>
      </c>
      <c r="C1358" t="s">
        <v>1368</v>
      </c>
      <c r="D1358" t="s">
        <v>5017</v>
      </c>
      <c r="E1358" t="s">
        <v>5033</v>
      </c>
      <c r="F1358" t="s">
        <v>5039</v>
      </c>
      <c r="G1358" s="3">
        <v>490.84</v>
      </c>
      <c r="H1358" s="3">
        <v>63.81</v>
      </c>
      <c r="I1358" s="3">
        <f>SUM(Tabla1[[#This Row],[Monto_Base]],H1358)</f>
        <v>554.65</v>
      </c>
      <c r="J1358" t="s">
        <v>5045</v>
      </c>
      <c r="K1358" t="s">
        <v>5048</v>
      </c>
      <c r="L1358" t="s">
        <v>5053</v>
      </c>
      <c r="M1358" t="s">
        <v>5054</v>
      </c>
    </row>
    <row r="1359" spans="1:13" x14ac:dyDescent="0.3">
      <c r="A1359" s="1">
        <v>45534</v>
      </c>
      <c r="B1359" s="1" t="str">
        <f>TEXT(Tabla1[[#This Row],[Fecha]],"MMMM")</f>
        <v>agosto</v>
      </c>
      <c r="C1359" t="s">
        <v>1369</v>
      </c>
      <c r="D1359" t="s">
        <v>5014</v>
      </c>
      <c r="E1359" t="s">
        <v>5032</v>
      </c>
      <c r="F1359" t="s">
        <v>5037</v>
      </c>
      <c r="G1359" s="3">
        <v>5750.3</v>
      </c>
      <c r="H1359" s="3">
        <v>0</v>
      </c>
      <c r="I1359" s="3">
        <f>SUM(Tabla1[[#This Row],[Monto_Base]],H1359)</f>
        <v>5750.3</v>
      </c>
      <c r="J1359" t="s">
        <v>5046</v>
      </c>
      <c r="K1359" t="s">
        <v>5048</v>
      </c>
      <c r="L1359" t="s">
        <v>5052</v>
      </c>
      <c r="M1359" t="s">
        <v>5054</v>
      </c>
    </row>
    <row r="1360" spans="1:13" x14ac:dyDescent="0.3">
      <c r="A1360" s="1">
        <v>45547</v>
      </c>
      <c r="B1360" s="1" t="str">
        <f>TEXT(Tabla1[[#This Row],[Fecha]],"MMMM")</f>
        <v>septiembre</v>
      </c>
      <c r="C1360" t="s">
        <v>1370</v>
      </c>
      <c r="D1360" t="s">
        <v>5020</v>
      </c>
      <c r="E1360" t="s">
        <v>5033</v>
      </c>
      <c r="F1360" t="s">
        <v>5037</v>
      </c>
      <c r="G1360" s="3">
        <v>13192.01</v>
      </c>
      <c r="H1360" s="3">
        <v>1714.96</v>
      </c>
      <c r="I1360" s="3">
        <f>SUM(Tabla1[[#This Row],[Monto_Base]],H1360)</f>
        <v>14906.970000000001</v>
      </c>
      <c r="J1360" t="s">
        <v>5045</v>
      </c>
      <c r="K1360" t="s">
        <v>5047</v>
      </c>
      <c r="L1360" t="s">
        <v>5051</v>
      </c>
      <c r="M1360" t="s">
        <v>5055</v>
      </c>
    </row>
    <row r="1361" spans="1:13" x14ac:dyDescent="0.3">
      <c r="A1361" s="1">
        <v>45340</v>
      </c>
      <c r="B1361" s="1" t="str">
        <f>TEXT(Tabla1[[#This Row],[Fecha]],"MMMM")</f>
        <v>febrero</v>
      </c>
      <c r="C1361" t="s">
        <v>1371</v>
      </c>
      <c r="D1361" t="s">
        <v>5017</v>
      </c>
      <c r="E1361" t="s">
        <v>5032</v>
      </c>
      <c r="F1361" t="s">
        <v>5036</v>
      </c>
      <c r="G1361" s="3">
        <v>5128.82</v>
      </c>
      <c r="H1361" s="3">
        <v>0</v>
      </c>
      <c r="I1361" s="3">
        <f>SUM(Tabla1[[#This Row],[Monto_Base]],H1361)</f>
        <v>5128.82</v>
      </c>
      <c r="J1361" t="s">
        <v>5042</v>
      </c>
      <c r="K1361" t="s">
        <v>5048</v>
      </c>
      <c r="L1361" t="s">
        <v>5053</v>
      </c>
      <c r="M1361" t="s">
        <v>5054</v>
      </c>
    </row>
    <row r="1362" spans="1:13" x14ac:dyDescent="0.3">
      <c r="A1362" s="1">
        <v>45562</v>
      </c>
      <c r="B1362" s="1" t="str">
        <f>TEXT(Tabla1[[#This Row],[Fecha]],"MMMM")</f>
        <v>septiembre</v>
      </c>
      <c r="C1362" t="s">
        <v>1372</v>
      </c>
      <c r="D1362" t="s">
        <v>5015</v>
      </c>
      <c r="E1362" t="s">
        <v>5033</v>
      </c>
      <c r="F1362" t="s">
        <v>5039</v>
      </c>
      <c r="G1362" s="3">
        <v>75.849999999999994</v>
      </c>
      <c r="H1362" s="3">
        <v>9.86</v>
      </c>
      <c r="I1362" s="3">
        <f>SUM(Tabla1[[#This Row],[Monto_Base]],H1362)</f>
        <v>85.71</v>
      </c>
      <c r="J1362" t="s">
        <v>5045</v>
      </c>
      <c r="K1362" t="s">
        <v>5047</v>
      </c>
      <c r="L1362" t="s">
        <v>5051</v>
      </c>
      <c r="M1362" t="s">
        <v>5055</v>
      </c>
    </row>
    <row r="1363" spans="1:13" x14ac:dyDescent="0.3">
      <c r="A1363" s="1">
        <v>45388</v>
      </c>
      <c r="B1363" s="1" t="str">
        <f>TEXT(Tabla1[[#This Row],[Fecha]],"MMMM")</f>
        <v>abril</v>
      </c>
      <c r="C1363" t="s">
        <v>1373</v>
      </c>
      <c r="D1363" t="s">
        <v>5022</v>
      </c>
      <c r="E1363" t="s">
        <v>5032</v>
      </c>
      <c r="F1363" t="s">
        <v>5036</v>
      </c>
      <c r="G1363" s="3">
        <v>14337.89</v>
      </c>
      <c r="H1363" s="3">
        <v>0</v>
      </c>
      <c r="I1363" s="3">
        <f>SUM(Tabla1[[#This Row],[Monto_Base]],H1363)</f>
        <v>14337.89</v>
      </c>
      <c r="J1363" t="s">
        <v>5042</v>
      </c>
      <c r="K1363" t="s">
        <v>5048</v>
      </c>
      <c r="L1363" t="s">
        <v>5052</v>
      </c>
      <c r="M1363" t="s">
        <v>5054</v>
      </c>
    </row>
    <row r="1364" spans="1:13" x14ac:dyDescent="0.3">
      <c r="A1364" s="1">
        <v>45517</v>
      </c>
      <c r="B1364" s="1" t="str">
        <f>TEXT(Tabla1[[#This Row],[Fecha]],"MMMM")</f>
        <v>agosto</v>
      </c>
      <c r="C1364" t="s">
        <v>1374</v>
      </c>
      <c r="D1364" t="s">
        <v>5030</v>
      </c>
      <c r="E1364" t="s">
        <v>5033</v>
      </c>
      <c r="F1364" t="s">
        <v>5040</v>
      </c>
      <c r="G1364" s="3">
        <v>8631.08</v>
      </c>
      <c r="H1364" s="3">
        <v>1122.04</v>
      </c>
      <c r="I1364" s="3">
        <f>SUM(Tabla1[[#This Row],[Monto_Base]],H1364)</f>
        <v>9753.119999999999</v>
      </c>
      <c r="J1364" t="s">
        <v>5046</v>
      </c>
      <c r="K1364" t="s">
        <v>5049</v>
      </c>
      <c r="L1364" t="s">
        <v>5052</v>
      </c>
      <c r="M1364" t="s">
        <v>5055</v>
      </c>
    </row>
    <row r="1365" spans="1:13" x14ac:dyDescent="0.3">
      <c r="A1365" s="1">
        <v>45451</v>
      </c>
      <c r="B1365" s="1" t="str">
        <f>TEXT(Tabla1[[#This Row],[Fecha]],"MMMM")</f>
        <v>junio</v>
      </c>
      <c r="C1365" t="s">
        <v>1375</v>
      </c>
      <c r="D1365" t="s">
        <v>5031</v>
      </c>
      <c r="E1365" t="s">
        <v>5033</v>
      </c>
      <c r="F1365" t="s">
        <v>5036</v>
      </c>
      <c r="G1365" s="3">
        <v>12117.71</v>
      </c>
      <c r="H1365" s="3">
        <v>1575.3</v>
      </c>
      <c r="I1365" s="3">
        <f>SUM(Tabla1[[#This Row],[Monto_Base]],H1365)</f>
        <v>13693.009999999998</v>
      </c>
      <c r="J1365" t="s">
        <v>5044</v>
      </c>
      <c r="K1365" t="s">
        <v>5047</v>
      </c>
      <c r="L1365" t="s">
        <v>5051</v>
      </c>
      <c r="M1365" t="s">
        <v>5054</v>
      </c>
    </row>
    <row r="1366" spans="1:13" x14ac:dyDescent="0.3">
      <c r="A1366" s="1">
        <v>45605</v>
      </c>
      <c r="B1366" s="1" t="str">
        <f>TEXT(Tabla1[[#This Row],[Fecha]],"MMMM")</f>
        <v>noviembre</v>
      </c>
      <c r="C1366" t="s">
        <v>1376</v>
      </c>
      <c r="D1366" t="s">
        <v>5013</v>
      </c>
      <c r="E1366" t="s">
        <v>5032</v>
      </c>
      <c r="F1366" t="s">
        <v>5034</v>
      </c>
      <c r="G1366" s="3">
        <v>9072.3799999999992</v>
      </c>
      <c r="H1366" s="3">
        <v>0</v>
      </c>
      <c r="I1366" s="3">
        <f>SUM(Tabla1[[#This Row],[Monto_Base]],H1366)</f>
        <v>9072.3799999999992</v>
      </c>
      <c r="J1366" t="s">
        <v>5044</v>
      </c>
      <c r="K1366" t="s">
        <v>5048</v>
      </c>
      <c r="L1366" t="s">
        <v>5050</v>
      </c>
      <c r="M1366" t="s">
        <v>5055</v>
      </c>
    </row>
    <row r="1367" spans="1:13" x14ac:dyDescent="0.3">
      <c r="A1367" s="1">
        <v>45364</v>
      </c>
      <c r="B1367" s="1" t="str">
        <f>TEXT(Tabla1[[#This Row],[Fecha]],"MMMM")</f>
        <v>marzo</v>
      </c>
      <c r="C1367" t="s">
        <v>1377</v>
      </c>
      <c r="D1367" t="s">
        <v>5023</v>
      </c>
      <c r="E1367" t="s">
        <v>5033</v>
      </c>
      <c r="F1367" t="s">
        <v>5040</v>
      </c>
      <c r="G1367" s="3">
        <v>3731.02</v>
      </c>
      <c r="H1367" s="3">
        <v>485.03</v>
      </c>
      <c r="I1367" s="3">
        <f>SUM(Tabla1[[#This Row],[Monto_Base]],H1367)</f>
        <v>4216.05</v>
      </c>
      <c r="J1367" t="s">
        <v>5046</v>
      </c>
      <c r="K1367" t="s">
        <v>5048</v>
      </c>
      <c r="L1367" t="s">
        <v>5052</v>
      </c>
      <c r="M1367" t="s">
        <v>5055</v>
      </c>
    </row>
    <row r="1368" spans="1:13" x14ac:dyDescent="0.3">
      <c r="A1368" s="1">
        <v>45629</v>
      </c>
      <c r="B1368" s="1" t="str">
        <f>TEXT(Tabla1[[#This Row],[Fecha]],"MMMM")</f>
        <v>diciembre</v>
      </c>
      <c r="C1368" t="s">
        <v>1378</v>
      </c>
      <c r="D1368" t="s">
        <v>5015</v>
      </c>
      <c r="E1368" t="s">
        <v>5033</v>
      </c>
      <c r="F1368" t="s">
        <v>5041</v>
      </c>
      <c r="G1368" s="3">
        <v>12173.07</v>
      </c>
      <c r="H1368" s="3">
        <v>1582.5</v>
      </c>
      <c r="I1368" s="3">
        <f>SUM(Tabla1[[#This Row],[Monto_Base]],H1368)</f>
        <v>13755.57</v>
      </c>
      <c r="J1368" t="s">
        <v>5042</v>
      </c>
      <c r="K1368" t="s">
        <v>5047</v>
      </c>
      <c r="L1368" t="s">
        <v>5053</v>
      </c>
      <c r="M1368" t="s">
        <v>5055</v>
      </c>
    </row>
    <row r="1369" spans="1:13" x14ac:dyDescent="0.3">
      <c r="A1369" s="1">
        <v>45521</v>
      </c>
      <c r="B1369" s="1" t="str">
        <f>TEXT(Tabla1[[#This Row],[Fecha]],"MMMM")</f>
        <v>agosto</v>
      </c>
      <c r="C1369" t="s">
        <v>1379</v>
      </c>
      <c r="D1369" t="s">
        <v>5016</v>
      </c>
      <c r="E1369" t="s">
        <v>5033</v>
      </c>
      <c r="F1369" t="s">
        <v>5038</v>
      </c>
      <c r="G1369" s="3">
        <v>4838.7299999999996</v>
      </c>
      <c r="H1369" s="3">
        <v>629.03</v>
      </c>
      <c r="I1369" s="3">
        <f>SUM(Tabla1[[#This Row],[Monto_Base]],H1369)</f>
        <v>5467.7599999999993</v>
      </c>
      <c r="J1369" t="s">
        <v>5046</v>
      </c>
      <c r="K1369" t="s">
        <v>5048</v>
      </c>
      <c r="L1369" t="s">
        <v>5050</v>
      </c>
      <c r="M1369" t="s">
        <v>5055</v>
      </c>
    </row>
    <row r="1370" spans="1:13" x14ac:dyDescent="0.3">
      <c r="A1370" s="1">
        <v>45345</v>
      </c>
      <c r="B1370" s="1" t="str">
        <f>TEXT(Tabla1[[#This Row],[Fecha]],"MMMM")</f>
        <v>febrero</v>
      </c>
      <c r="C1370" t="s">
        <v>1380</v>
      </c>
      <c r="D1370" t="s">
        <v>5019</v>
      </c>
      <c r="E1370" t="s">
        <v>5033</v>
      </c>
      <c r="F1370" t="s">
        <v>5041</v>
      </c>
      <c r="G1370" s="3">
        <v>406.32</v>
      </c>
      <c r="H1370" s="3">
        <v>52.82</v>
      </c>
      <c r="I1370" s="3">
        <f>SUM(Tabla1[[#This Row],[Monto_Base]],H1370)</f>
        <v>459.14</v>
      </c>
      <c r="J1370" t="s">
        <v>5044</v>
      </c>
      <c r="K1370" t="s">
        <v>5049</v>
      </c>
      <c r="L1370" t="s">
        <v>5050</v>
      </c>
      <c r="M1370" t="s">
        <v>5055</v>
      </c>
    </row>
    <row r="1371" spans="1:13" x14ac:dyDescent="0.3">
      <c r="A1371" s="1">
        <v>45313</v>
      </c>
      <c r="B1371" s="1" t="str">
        <f>TEXT(Tabla1[[#This Row],[Fecha]],"MMMM")</f>
        <v>enero</v>
      </c>
      <c r="C1371" t="s">
        <v>1381</v>
      </c>
      <c r="D1371" t="s">
        <v>5025</v>
      </c>
      <c r="E1371" t="s">
        <v>5032</v>
      </c>
      <c r="F1371" t="s">
        <v>5035</v>
      </c>
      <c r="G1371" s="3">
        <v>7936.87</v>
      </c>
      <c r="H1371" s="3">
        <v>0</v>
      </c>
      <c r="I1371" s="3">
        <f>SUM(Tabla1[[#This Row],[Monto_Base]],H1371)</f>
        <v>7936.87</v>
      </c>
      <c r="J1371" t="s">
        <v>5046</v>
      </c>
      <c r="K1371" t="s">
        <v>5047</v>
      </c>
      <c r="L1371" t="s">
        <v>5051</v>
      </c>
      <c r="M1371" t="s">
        <v>5054</v>
      </c>
    </row>
    <row r="1372" spans="1:13" x14ac:dyDescent="0.3">
      <c r="A1372" s="1">
        <v>45489</v>
      </c>
      <c r="B1372" s="1" t="str">
        <f>TEXT(Tabla1[[#This Row],[Fecha]],"MMMM")</f>
        <v>julio</v>
      </c>
      <c r="C1372" t="s">
        <v>1382</v>
      </c>
      <c r="D1372" t="s">
        <v>5022</v>
      </c>
      <c r="E1372" t="s">
        <v>5033</v>
      </c>
      <c r="F1372" t="s">
        <v>5035</v>
      </c>
      <c r="G1372" s="3">
        <v>14503.18</v>
      </c>
      <c r="H1372" s="3">
        <v>1885.41</v>
      </c>
      <c r="I1372" s="3">
        <f>SUM(Tabla1[[#This Row],[Monto_Base]],H1372)</f>
        <v>16388.59</v>
      </c>
      <c r="J1372" t="s">
        <v>5046</v>
      </c>
      <c r="K1372" t="s">
        <v>5048</v>
      </c>
      <c r="L1372" t="s">
        <v>5053</v>
      </c>
      <c r="M1372" t="s">
        <v>5055</v>
      </c>
    </row>
    <row r="1373" spans="1:13" x14ac:dyDescent="0.3">
      <c r="A1373" s="1">
        <v>45342</v>
      </c>
      <c r="B1373" s="1" t="str">
        <f>TEXT(Tabla1[[#This Row],[Fecha]],"MMMM")</f>
        <v>febrero</v>
      </c>
      <c r="C1373" t="s">
        <v>1383</v>
      </c>
      <c r="D1373" t="s">
        <v>5023</v>
      </c>
      <c r="E1373" t="s">
        <v>5032</v>
      </c>
      <c r="F1373" t="s">
        <v>5035</v>
      </c>
      <c r="G1373" s="3">
        <v>13664.4</v>
      </c>
      <c r="H1373" s="3">
        <v>0</v>
      </c>
      <c r="I1373" s="3">
        <f>SUM(Tabla1[[#This Row],[Monto_Base]],H1373)</f>
        <v>13664.4</v>
      </c>
      <c r="J1373" t="s">
        <v>5043</v>
      </c>
      <c r="K1373" t="s">
        <v>5047</v>
      </c>
      <c r="L1373" t="s">
        <v>5052</v>
      </c>
      <c r="M1373" t="s">
        <v>5055</v>
      </c>
    </row>
    <row r="1374" spans="1:13" x14ac:dyDescent="0.3">
      <c r="A1374" s="1">
        <v>45605</v>
      </c>
      <c r="B1374" s="1" t="str">
        <f>TEXT(Tabla1[[#This Row],[Fecha]],"MMMM")</f>
        <v>noviembre</v>
      </c>
      <c r="C1374" t="s">
        <v>1384</v>
      </c>
      <c r="D1374" t="s">
        <v>5017</v>
      </c>
      <c r="E1374" t="s">
        <v>5032</v>
      </c>
      <c r="F1374" t="s">
        <v>5034</v>
      </c>
      <c r="G1374" s="3">
        <v>8588.6200000000008</v>
      </c>
      <c r="H1374" s="3">
        <v>0</v>
      </c>
      <c r="I1374" s="3">
        <f>SUM(Tabla1[[#This Row],[Monto_Base]],H1374)</f>
        <v>8588.6200000000008</v>
      </c>
      <c r="J1374" t="s">
        <v>5045</v>
      </c>
      <c r="K1374" t="s">
        <v>5047</v>
      </c>
      <c r="L1374" t="s">
        <v>5050</v>
      </c>
      <c r="M1374" t="s">
        <v>5054</v>
      </c>
    </row>
    <row r="1375" spans="1:13" x14ac:dyDescent="0.3">
      <c r="A1375" s="1">
        <v>45461</v>
      </c>
      <c r="B1375" s="1" t="str">
        <f>TEXT(Tabla1[[#This Row],[Fecha]],"MMMM")</f>
        <v>junio</v>
      </c>
      <c r="C1375" t="s">
        <v>1385</v>
      </c>
      <c r="D1375" t="s">
        <v>5021</v>
      </c>
      <c r="E1375" t="s">
        <v>5033</v>
      </c>
      <c r="F1375" t="s">
        <v>5034</v>
      </c>
      <c r="G1375" s="3">
        <v>9910.93</v>
      </c>
      <c r="H1375" s="3">
        <v>1288.42</v>
      </c>
      <c r="I1375" s="3">
        <f>SUM(Tabla1[[#This Row],[Monto_Base]],H1375)</f>
        <v>11199.35</v>
      </c>
      <c r="J1375" t="s">
        <v>5046</v>
      </c>
      <c r="K1375" t="s">
        <v>5048</v>
      </c>
      <c r="L1375" t="s">
        <v>5052</v>
      </c>
      <c r="M1375" t="s">
        <v>5055</v>
      </c>
    </row>
    <row r="1376" spans="1:13" x14ac:dyDescent="0.3">
      <c r="A1376" s="1">
        <v>45610</v>
      </c>
      <c r="B1376" s="1" t="str">
        <f>TEXT(Tabla1[[#This Row],[Fecha]],"MMMM")</f>
        <v>noviembre</v>
      </c>
      <c r="C1376" t="s">
        <v>1386</v>
      </c>
      <c r="D1376" t="s">
        <v>5022</v>
      </c>
      <c r="E1376" t="s">
        <v>5033</v>
      </c>
      <c r="F1376" t="s">
        <v>5039</v>
      </c>
      <c r="G1376" s="3">
        <v>9001.34</v>
      </c>
      <c r="H1376" s="3">
        <v>1170.17</v>
      </c>
      <c r="I1376" s="3">
        <f>SUM(Tabla1[[#This Row],[Monto_Base]],H1376)</f>
        <v>10171.51</v>
      </c>
      <c r="J1376" t="s">
        <v>5044</v>
      </c>
      <c r="K1376" t="s">
        <v>5048</v>
      </c>
      <c r="L1376" t="s">
        <v>5051</v>
      </c>
      <c r="M1376" t="s">
        <v>5054</v>
      </c>
    </row>
    <row r="1377" spans="1:13" x14ac:dyDescent="0.3">
      <c r="A1377" s="1">
        <v>45485</v>
      </c>
      <c r="B1377" s="1" t="str">
        <f>TEXT(Tabla1[[#This Row],[Fecha]],"MMMM")</f>
        <v>julio</v>
      </c>
      <c r="C1377" t="s">
        <v>1387</v>
      </c>
      <c r="D1377" t="s">
        <v>5019</v>
      </c>
      <c r="E1377" t="s">
        <v>5033</v>
      </c>
      <c r="F1377" t="s">
        <v>5037</v>
      </c>
      <c r="G1377" s="3">
        <v>12362.15</v>
      </c>
      <c r="H1377" s="3">
        <v>1607.08</v>
      </c>
      <c r="I1377" s="3">
        <f>SUM(Tabla1[[#This Row],[Monto_Base]],H1377)</f>
        <v>13969.23</v>
      </c>
      <c r="J1377" t="s">
        <v>5044</v>
      </c>
      <c r="K1377" t="s">
        <v>5047</v>
      </c>
      <c r="L1377" t="s">
        <v>5050</v>
      </c>
      <c r="M1377" t="s">
        <v>5055</v>
      </c>
    </row>
    <row r="1378" spans="1:13" x14ac:dyDescent="0.3">
      <c r="A1378" s="1">
        <v>45645</v>
      </c>
      <c r="B1378" s="1" t="str">
        <f>TEXT(Tabla1[[#This Row],[Fecha]],"MMMM")</f>
        <v>diciembre</v>
      </c>
      <c r="C1378" t="s">
        <v>1388</v>
      </c>
      <c r="D1378" t="s">
        <v>5027</v>
      </c>
      <c r="E1378" t="s">
        <v>5033</v>
      </c>
      <c r="F1378" t="s">
        <v>5041</v>
      </c>
      <c r="G1378" s="3">
        <v>1976.88</v>
      </c>
      <c r="H1378" s="3">
        <v>256.99</v>
      </c>
      <c r="I1378" s="3">
        <f>SUM(Tabla1[[#This Row],[Monto_Base]],H1378)</f>
        <v>2233.87</v>
      </c>
      <c r="J1378" t="s">
        <v>5046</v>
      </c>
      <c r="K1378" t="s">
        <v>5047</v>
      </c>
      <c r="L1378" t="s">
        <v>5053</v>
      </c>
      <c r="M1378" t="s">
        <v>5054</v>
      </c>
    </row>
    <row r="1379" spans="1:13" x14ac:dyDescent="0.3">
      <c r="A1379" s="1">
        <v>45377</v>
      </c>
      <c r="B1379" s="1" t="str">
        <f>TEXT(Tabla1[[#This Row],[Fecha]],"MMMM")</f>
        <v>marzo</v>
      </c>
      <c r="C1379" t="s">
        <v>1389</v>
      </c>
      <c r="D1379" t="s">
        <v>5018</v>
      </c>
      <c r="E1379" t="s">
        <v>5033</v>
      </c>
      <c r="F1379" t="s">
        <v>5039</v>
      </c>
      <c r="G1379" s="3">
        <v>8077.25</v>
      </c>
      <c r="H1379" s="3">
        <v>1050.04</v>
      </c>
      <c r="I1379" s="3">
        <f>SUM(Tabla1[[#This Row],[Monto_Base]],H1379)</f>
        <v>9127.2900000000009</v>
      </c>
      <c r="J1379" t="s">
        <v>5044</v>
      </c>
      <c r="K1379" t="s">
        <v>5049</v>
      </c>
      <c r="L1379" t="s">
        <v>5050</v>
      </c>
      <c r="M1379" t="s">
        <v>5055</v>
      </c>
    </row>
    <row r="1380" spans="1:13" x14ac:dyDescent="0.3">
      <c r="A1380" s="1">
        <v>45494</v>
      </c>
      <c r="B1380" s="1" t="str">
        <f>TEXT(Tabla1[[#This Row],[Fecha]],"MMMM")</f>
        <v>julio</v>
      </c>
      <c r="C1380" t="s">
        <v>1390</v>
      </c>
      <c r="D1380" t="s">
        <v>5029</v>
      </c>
      <c r="E1380" t="s">
        <v>5032</v>
      </c>
      <c r="F1380" t="s">
        <v>5036</v>
      </c>
      <c r="G1380" s="3">
        <v>11426.79</v>
      </c>
      <c r="H1380" s="3">
        <v>0</v>
      </c>
      <c r="I1380" s="3">
        <f>SUM(Tabla1[[#This Row],[Monto_Base]],H1380)</f>
        <v>11426.79</v>
      </c>
      <c r="J1380" t="s">
        <v>5046</v>
      </c>
      <c r="K1380" t="s">
        <v>5047</v>
      </c>
      <c r="L1380" t="s">
        <v>5050</v>
      </c>
      <c r="M1380" t="s">
        <v>5054</v>
      </c>
    </row>
    <row r="1381" spans="1:13" x14ac:dyDescent="0.3">
      <c r="A1381" s="1">
        <v>45349</v>
      </c>
      <c r="B1381" s="1" t="str">
        <f>TEXT(Tabla1[[#This Row],[Fecha]],"MMMM")</f>
        <v>febrero</v>
      </c>
      <c r="C1381" t="s">
        <v>1391</v>
      </c>
      <c r="D1381" t="s">
        <v>5023</v>
      </c>
      <c r="E1381" t="s">
        <v>5033</v>
      </c>
      <c r="F1381" t="s">
        <v>5041</v>
      </c>
      <c r="G1381" s="3">
        <v>7208.36</v>
      </c>
      <c r="H1381" s="3">
        <v>937.09</v>
      </c>
      <c r="I1381" s="3">
        <f>SUM(Tabla1[[#This Row],[Monto_Base]],H1381)</f>
        <v>8145.45</v>
      </c>
      <c r="J1381" t="s">
        <v>5046</v>
      </c>
      <c r="K1381" t="s">
        <v>5047</v>
      </c>
      <c r="L1381" t="s">
        <v>5050</v>
      </c>
      <c r="M1381" t="s">
        <v>5054</v>
      </c>
    </row>
    <row r="1382" spans="1:13" x14ac:dyDescent="0.3">
      <c r="A1382" s="1">
        <v>45516</v>
      </c>
      <c r="B1382" s="1" t="str">
        <f>TEXT(Tabla1[[#This Row],[Fecha]],"MMMM")</f>
        <v>agosto</v>
      </c>
      <c r="C1382" t="s">
        <v>1392</v>
      </c>
      <c r="D1382" t="s">
        <v>5013</v>
      </c>
      <c r="E1382" t="s">
        <v>5033</v>
      </c>
      <c r="F1382" t="s">
        <v>5037</v>
      </c>
      <c r="G1382" s="3">
        <v>9249.0499999999993</v>
      </c>
      <c r="H1382" s="3">
        <v>1202.3800000000001</v>
      </c>
      <c r="I1382" s="3">
        <f>SUM(Tabla1[[#This Row],[Monto_Base]],H1382)</f>
        <v>10451.43</v>
      </c>
      <c r="J1382" t="s">
        <v>5046</v>
      </c>
      <c r="K1382" t="s">
        <v>5048</v>
      </c>
      <c r="L1382" t="s">
        <v>5053</v>
      </c>
      <c r="M1382" t="s">
        <v>5054</v>
      </c>
    </row>
    <row r="1383" spans="1:13" x14ac:dyDescent="0.3">
      <c r="A1383" s="1">
        <v>45466</v>
      </c>
      <c r="B1383" s="1" t="str">
        <f>TEXT(Tabla1[[#This Row],[Fecha]],"MMMM")</f>
        <v>junio</v>
      </c>
      <c r="C1383" t="s">
        <v>1393</v>
      </c>
      <c r="D1383" t="s">
        <v>5015</v>
      </c>
      <c r="E1383" t="s">
        <v>5033</v>
      </c>
      <c r="F1383" t="s">
        <v>5035</v>
      </c>
      <c r="G1383" s="3">
        <v>14231.41</v>
      </c>
      <c r="H1383" s="3">
        <v>1850.08</v>
      </c>
      <c r="I1383" s="3">
        <f>SUM(Tabla1[[#This Row],[Monto_Base]],H1383)</f>
        <v>16081.49</v>
      </c>
      <c r="J1383" t="s">
        <v>5044</v>
      </c>
      <c r="K1383" t="s">
        <v>5047</v>
      </c>
      <c r="L1383" t="s">
        <v>5051</v>
      </c>
      <c r="M1383" t="s">
        <v>5055</v>
      </c>
    </row>
    <row r="1384" spans="1:13" x14ac:dyDescent="0.3">
      <c r="A1384" s="1">
        <v>45441</v>
      </c>
      <c r="B1384" s="1" t="str">
        <f>TEXT(Tabla1[[#This Row],[Fecha]],"MMMM")</f>
        <v>mayo</v>
      </c>
      <c r="C1384" t="s">
        <v>1394</v>
      </c>
      <c r="D1384" t="s">
        <v>5012</v>
      </c>
      <c r="E1384" t="s">
        <v>5032</v>
      </c>
      <c r="F1384" t="s">
        <v>5037</v>
      </c>
      <c r="G1384" s="3">
        <v>2338.81</v>
      </c>
      <c r="H1384" s="3">
        <v>0</v>
      </c>
      <c r="I1384" s="3">
        <f>SUM(Tabla1[[#This Row],[Monto_Base]],H1384)</f>
        <v>2338.81</v>
      </c>
      <c r="J1384" t="s">
        <v>5042</v>
      </c>
      <c r="K1384" t="s">
        <v>5047</v>
      </c>
      <c r="L1384" t="s">
        <v>5052</v>
      </c>
      <c r="M1384" t="s">
        <v>5054</v>
      </c>
    </row>
    <row r="1385" spans="1:13" x14ac:dyDescent="0.3">
      <c r="A1385" s="1">
        <v>45327</v>
      </c>
      <c r="B1385" s="1" t="str">
        <f>TEXT(Tabla1[[#This Row],[Fecha]],"MMMM")</f>
        <v>febrero</v>
      </c>
      <c r="C1385" t="s">
        <v>1395</v>
      </c>
      <c r="D1385" t="s">
        <v>5015</v>
      </c>
      <c r="E1385" t="s">
        <v>5032</v>
      </c>
      <c r="F1385" t="s">
        <v>5035</v>
      </c>
      <c r="G1385" s="3">
        <v>13076.49</v>
      </c>
      <c r="H1385" s="3">
        <v>0</v>
      </c>
      <c r="I1385" s="3">
        <f>SUM(Tabla1[[#This Row],[Monto_Base]],H1385)</f>
        <v>13076.49</v>
      </c>
      <c r="J1385" t="s">
        <v>5046</v>
      </c>
      <c r="K1385" t="s">
        <v>5049</v>
      </c>
      <c r="L1385" t="s">
        <v>5051</v>
      </c>
      <c r="M1385" t="s">
        <v>5054</v>
      </c>
    </row>
    <row r="1386" spans="1:13" x14ac:dyDescent="0.3">
      <c r="A1386" s="1">
        <v>45325</v>
      </c>
      <c r="B1386" s="1" t="str">
        <f>TEXT(Tabla1[[#This Row],[Fecha]],"MMMM")</f>
        <v>febrero</v>
      </c>
      <c r="C1386" t="s">
        <v>1396</v>
      </c>
      <c r="D1386" t="s">
        <v>5023</v>
      </c>
      <c r="E1386" t="s">
        <v>5032</v>
      </c>
      <c r="F1386" t="s">
        <v>5035</v>
      </c>
      <c r="G1386" s="3">
        <v>1714.92</v>
      </c>
      <c r="H1386" s="3">
        <v>0</v>
      </c>
      <c r="I1386" s="3">
        <f>SUM(Tabla1[[#This Row],[Monto_Base]],H1386)</f>
        <v>1714.92</v>
      </c>
      <c r="J1386" t="s">
        <v>5043</v>
      </c>
      <c r="K1386" t="s">
        <v>5049</v>
      </c>
      <c r="L1386" t="s">
        <v>5053</v>
      </c>
      <c r="M1386" t="s">
        <v>5054</v>
      </c>
    </row>
    <row r="1387" spans="1:13" x14ac:dyDescent="0.3">
      <c r="A1387" s="1">
        <v>45642</v>
      </c>
      <c r="B1387" s="1" t="str">
        <f>TEXT(Tabla1[[#This Row],[Fecha]],"MMMM")</f>
        <v>diciembre</v>
      </c>
      <c r="C1387" t="s">
        <v>1397</v>
      </c>
      <c r="D1387" t="s">
        <v>5020</v>
      </c>
      <c r="E1387" t="s">
        <v>5033</v>
      </c>
      <c r="F1387" t="s">
        <v>5039</v>
      </c>
      <c r="G1387" s="3">
        <v>13527.72</v>
      </c>
      <c r="H1387" s="3">
        <v>1758.6</v>
      </c>
      <c r="I1387" s="3">
        <f>SUM(Tabla1[[#This Row],[Monto_Base]],H1387)</f>
        <v>15286.32</v>
      </c>
      <c r="J1387" t="s">
        <v>5046</v>
      </c>
      <c r="K1387" t="s">
        <v>5047</v>
      </c>
      <c r="L1387" t="s">
        <v>5050</v>
      </c>
      <c r="M1387" t="s">
        <v>5054</v>
      </c>
    </row>
    <row r="1388" spans="1:13" x14ac:dyDescent="0.3">
      <c r="A1388" s="1">
        <v>45310</v>
      </c>
      <c r="B1388" s="1" t="str">
        <f>TEXT(Tabla1[[#This Row],[Fecha]],"MMMM")</f>
        <v>enero</v>
      </c>
      <c r="C1388" t="s">
        <v>1398</v>
      </c>
      <c r="D1388" t="s">
        <v>5027</v>
      </c>
      <c r="E1388" t="s">
        <v>5033</v>
      </c>
      <c r="F1388" t="s">
        <v>5034</v>
      </c>
      <c r="G1388" s="3">
        <v>11444.53</v>
      </c>
      <c r="H1388" s="3">
        <v>1487.79</v>
      </c>
      <c r="I1388" s="3">
        <f>SUM(Tabla1[[#This Row],[Monto_Base]],H1388)</f>
        <v>12932.32</v>
      </c>
      <c r="J1388" t="s">
        <v>5042</v>
      </c>
      <c r="K1388" t="s">
        <v>5049</v>
      </c>
      <c r="L1388" t="s">
        <v>5053</v>
      </c>
      <c r="M1388" t="s">
        <v>5054</v>
      </c>
    </row>
    <row r="1389" spans="1:13" x14ac:dyDescent="0.3">
      <c r="A1389" s="1">
        <v>45490</v>
      </c>
      <c r="B1389" s="1" t="str">
        <f>TEXT(Tabla1[[#This Row],[Fecha]],"MMMM")</f>
        <v>julio</v>
      </c>
      <c r="C1389" t="s">
        <v>1399</v>
      </c>
      <c r="D1389" t="s">
        <v>5014</v>
      </c>
      <c r="E1389" t="s">
        <v>5032</v>
      </c>
      <c r="F1389" t="s">
        <v>5038</v>
      </c>
      <c r="G1389" s="3">
        <v>10299.870000000001</v>
      </c>
      <c r="H1389" s="3">
        <v>0</v>
      </c>
      <c r="I1389" s="3">
        <f>SUM(Tabla1[[#This Row],[Monto_Base]],H1389)</f>
        <v>10299.870000000001</v>
      </c>
      <c r="J1389" t="s">
        <v>5043</v>
      </c>
      <c r="K1389" t="s">
        <v>5049</v>
      </c>
      <c r="L1389" t="s">
        <v>5052</v>
      </c>
      <c r="M1389" t="s">
        <v>5055</v>
      </c>
    </row>
    <row r="1390" spans="1:13" x14ac:dyDescent="0.3">
      <c r="A1390" s="1">
        <v>45370</v>
      </c>
      <c r="B1390" s="1" t="str">
        <f>TEXT(Tabla1[[#This Row],[Fecha]],"MMMM")</f>
        <v>marzo</v>
      </c>
      <c r="C1390" t="s">
        <v>1400</v>
      </c>
      <c r="D1390" t="s">
        <v>5020</v>
      </c>
      <c r="E1390" t="s">
        <v>5032</v>
      </c>
      <c r="F1390" t="s">
        <v>5041</v>
      </c>
      <c r="G1390" s="3">
        <v>13795.43</v>
      </c>
      <c r="H1390" s="3">
        <v>0</v>
      </c>
      <c r="I1390" s="3">
        <f>SUM(Tabla1[[#This Row],[Monto_Base]],H1390)</f>
        <v>13795.43</v>
      </c>
      <c r="J1390" t="s">
        <v>5043</v>
      </c>
      <c r="K1390" t="s">
        <v>5049</v>
      </c>
      <c r="L1390" t="s">
        <v>5051</v>
      </c>
      <c r="M1390" t="s">
        <v>5054</v>
      </c>
    </row>
    <row r="1391" spans="1:13" x14ac:dyDescent="0.3">
      <c r="A1391" s="1">
        <v>45374</v>
      </c>
      <c r="B1391" s="1" t="str">
        <f>TEXT(Tabla1[[#This Row],[Fecha]],"MMMM")</f>
        <v>marzo</v>
      </c>
      <c r="C1391" t="s">
        <v>1401</v>
      </c>
      <c r="D1391" t="s">
        <v>5021</v>
      </c>
      <c r="E1391" t="s">
        <v>5033</v>
      </c>
      <c r="F1391" t="s">
        <v>5037</v>
      </c>
      <c r="G1391" s="3">
        <v>14987.15</v>
      </c>
      <c r="H1391" s="3">
        <v>1948.33</v>
      </c>
      <c r="I1391" s="3">
        <f>SUM(Tabla1[[#This Row],[Monto_Base]],H1391)</f>
        <v>16935.48</v>
      </c>
      <c r="J1391" t="s">
        <v>5044</v>
      </c>
      <c r="K1391" t="s">
        <v>5049</v>
      </c>
      <c r="L1391" t="s">
        <v>5053</v>
      </c>
      <c r="M1391" t="s">
        <v>5055</v>
      </c>
    </row>
    <row r="1392" spans="1:13" x14ac:dyDescent="0.3">
      <c r="A1392" s="1">
        <v>45569</v>
      </c>
      <c r="B1392" s="1" t="str">
        <f>TEXT(Tabla1[[#This Row],[Fecha]],"MMMM")</f>
        <v>octubre</v>
      </c>
      <c r="C1392" t="s">
        <v>1402</v>
      </c>
      <c r="D1392" t="s">
        <v>5028</v>
      </c>
      <c r="E1392" t="s">
        <v>5033</v>
      </c>
      <c r="F1392" t="s">
        <v>5041</v>
      </c>
      <c r="G1392" s="3">
        <v>6185.05</v>
      </c>
      <c r="H1392" s="3">
        <v>804.06</v>
      </c>
      <c r="I1392" s="3">
        <f>SUM(Tabla1[[#This Row],[Monto_Base]],H1392)</f>
        <v>6989.1100000000006</v>
      </c>
      <c r="J1392" t="s">
        <v>5046</v>
      </c>
      <c r="K1392" t="s">
        <v>5048</v>
      </c>
      <c r="L1392" t="s">
        <v>5052</v>
      </c>
      <c r="M1392" t="s">
        <v>5055</v>
      </c>
    </row>
    <row r="1393" spans="1:13" x14ac:dyDescent="0.3">
      <c r="A1393" s="1">
        <v>45523</v>
      </c>
      <c r="B1393" s="1" t="str">
        <f>TEXT(Tabla1[[#This Row],[Fecha]],"MMMM")</f>
        <v>agosto</v>
      </c>
      <c r="C1393" t="s">
        <v>1403</v>
      </c>
      <c r="D1393" t="s">
        <v>5027</v>
      </c>
      <c r="E1393" t="s">
        <v>5032</v>
      </c>
      <c r="F1393" t="s">
        <v>5037</v>
      </c>
      <c r="G1393" s="3">
        <v>6935.69</v>
      </c>
      <c r="H1393" s="3">
        <v>0</v>
      </c>
      <c r="I1393" s="3">
        <f>SUM(Tabla1[[#This Row],[Monto_Base]],H1393)</f>
        <v>6935.69</v>
      </c>
      <c r="J1393" t="s">
        <v>5043</v>
      </c>
      <c r="K1393" t="s">
        <v>5048</v>
      </c>
      <c r="L1393" t="s">
        <v>5050</v>
      </c>
      <c r="M1393" t="s">
        <v>5055</v>
      </c>
    </row>
    <row r="1394" spans="1:13" x14ac:dyDescent="0.3">
      <c r="A1394" s="1">
        <v>45397</v>
      </c>
      <c r="B1394" s="1" t="str">
        <f>TEXT(Tabla1[[#This Row],[Fecha]],"MMMM")</f>
        <v>abril</v>
      </c>
      <c r="C1394" t="s">
        <v>1404</v>
      </c>
      <c r="D1394" t="s">
        <v>5020</v>
      </c>
      <c r="E1394" t="s">
        <v>5032</v>
      </c>
      <c r="F1394" t="s">
        <v>5039</v>
      </c>
      <c r="G1394" s="3">
        <v>10863.45</v>
      </c>
      <c r="H1394" s="3">
        <v>0</v>
      </c>
      <c r="I1394" s="3">
        <f>SUM(Tabla1[[#This Row],[Monto_Base]],H1394)</f>
        <v>10863.45</v>
      </c>
      <c r="J1394" t="s">
        <v>5046</v>
      </c>
      <c r="K1394" t="s">
        <v>5047</v>
      </c>
      <c r="L1394" t="s">
        <v>5052</v>
      </c>
      <c r="M1394" t="s">
        <v>5054</v>
      </c>
    </row>
    <row r="1395" spans="1:13" x14ac:dyDescent="0.3">
      <c r="A1395" s="1">
        <v>45401</v>
      </c>
      <c r="B1395" s="1" t="str">
        <f>TEXT(Tabla1[[#This Row],[Fecha]],"MMMM")</f>
        <v>abril</v>
      </c>
      <c r="C1395" t="s">
        <v>1405</v>
      </c>
      <c r="D1395" t="s">
        <v>5025</v>
      </c>
      <c r="E1395" t="s">
        <v>5032</v>
      </c>
      <c r="F1395" t="s">
        <v>5040</v>
      </c>
      <c r="G1395" s="3">
        <v>9677.7999999999993</v>
      </c>
      <c r="H1395" s="3">
        <v>0</v>
      </c>
      <c r="I1395" s="3">
        <f>SUM(Tabla1[[#This Row],[Monto_Base]],H1395)</f>
        <v>9677.7999999999993</v>
      </c>
      <c r="J1395" t="s">
        <v>5043</v>
      </c>
      <c r="K1395" t="s">
        <v>5047</v>
      </c>
      <c r="L1395" t="s">
        <v>5050</v>
      </c>
      <c r="M1395" t="s">
        <v>5054</v>
      </c>
    </row>
    <row r="1396" spans="1:13" x14ac:dyDescent="0.3">
      <c r="A1396" s="1">
        <v>45464</v>
      </c>
      <c r="B1396" s="1" t="str">
        <f>TEXT(Tabla1[[#This Row],[Fecha]],"MMMM")</f>
        <v>junio</v>
      </c>
      <c r="C1396" t="s">
        <v>1406</v>
      </c>
      <c r="D1396" t="s">
        <v>5029</v>
      </c>
      <c r="E1396" t="s">
        <v>5032</v>
      </c>
      <c r="F1396" t="s">
        <v>5035</v>
      </c>
      <c r="G1396" s="3">
        <v>3031.18</v>
      </c>
      <c r="H1396" s="3">
        <v>0</v>
      </c>
      <c r="I1396" s="3">
        <f>SUM(Tabla1[[#This Row],[Monto_Base]],H1396)</f>
        <v>3031.18</v>
      </c>
      <c r="J1396" t="s">
        <v>5042</v>
      </c>
      <c r="K1396" t="s">
        <v>5047</v>
      </c>
      <c r="L1396" t="s">
        <v>5050</v>
      </c>
      <c r="M1396" t="s">
        <v>5055</v>
      </c>
    </row>
    <row r="1397" spans="1:13" x14ac:dyDescent="0.3">
      <c r="A1397" s="1">
        <v>45633</v>
      </c>
      <c r="B1397" s="1" t="str">
        <f>TEXT(Tabla1[[#This Row],[Fecha]],"MMMM")</f>
        <v>diciembre</v>
      </c>
      <c r="C1397" t="s">
        <v>1407</v>
      </c>
      <c r="D1397" t="s">
        <v>5018</v>
      </c>
      <c r="E1397" t="s">
        <v>5033</v>
      </c>
      <c r="F1397" t="s">
        <v>5034</v>
      </c>
      <c r="G1397" s="3">
        <v>5820.26</v>
      </c>
      <c r="H1397" s="3">
        <v>756.63</v>
      </c>
      <c r="I1397" s="3">
        <f>SUM(Tabla1[[#This Row],[Monto_Base]],H1397)</f>
        <v>6576.89</v>
      </c>
      <c r="J1397" t="s">
        <v>5046</v>
      </c>
      <c r="K1397" t="s">
        <v>5048</v>
      </c>
      <c r="L1397" t="s">
        <v>5052</v>
      </c>
      <c r="M1397" t="s">
        <v>5055</v>
      </c>
    </row>
    <row r="1398" spans="1:13" x14ac:dyDescent="0.3">
      <c r="A1398" s="1">
        <v>45358</v>
      </c>
      <c r="B1398" s="1" t="str">
        <f>TEXT(Tabla1[[#This Row],[Fecha]],"MMMM")</f>
        <v>marzo</v>
      </c>
      <c r="C1398" t="s">
        <v>1408</v>
      </c>
      <c r="D1398" t="s">
        <v>5026</v>
      </c>
      <c r="E1398" t="s">
        <v>5032</v>
      </c>
      <c r="F1398" t="s">
        <v>5040</v>
      </c>
      <c r="G1398" s="3">
        <v>7055.27</v>
      </c>
      <c r="H1398" s="3">
        <v>0</v>
      </c>
      <c r="I1398" s="3">
        <f>SUM(Tabla1[[#This Row],[Monto_Base]],H1398)</f>
        <v>7055.27</v>
      </c>
      <c r="J1398" t="s">
        <v>5043</v>
      </c>
      <c r="K1398" t="s">
        <v>5048</v>
      </c>
      <c r="L1398" t="s">
        <v>5053</v>
      </c>
      <c r="M1398" t="s">
        <v>5054</v>
      </c>
    </row>
    <row r="1399" spans="1:13" x14ac:dyDescent="0.3">
      <c r="A1399" s="1">
        <v>45319</v>
      </c>
      <c r="B1399" s="1" t="str">
        <f>TEXT(Tabla1[[#This Row],[Fecha]],"MMMM")</f>
        <v>enero</v>
      </c>
      <c r="C1399" t="s">
        <v>1409</v>
      </c>
      <c r="D1399" t="s">
        <v>5013</v>
      </c>
      <c r="E1399" t="s">
        <v>5033</v>
      </c>
      <c r="F1399" t="s">
        <v>5035</v>
      </c>
      <c r="G1399" s="3">
        <v>13806.57</v>
      </c>
      <c r="H1399" s="3">
        <v>1794.85</v>
      </c>
      <c r="I1399" s="3">
        <f>SUM(Tabla1[[#This Row],[Monto_Base]],H1399)</f>
        <v>15601.42</v>
      </c>
      <c r="J1399" t="s">
        <v>5044</v>
      </c>
      <c r="K1399" t="s">
        <v>5047</v>
      </c>
      <c r="L1399" t="s">
        <v>5051</v>
      </c>
      <c r="M1399" t="s">
        <v>5055</v>
      </c>
    </row>
    <row r="1400" spans="1:13" x14ac:dyDescent="0.3">
      <c r="A1400" s="1">
        <v>45477</v>
      </c>
      <c r="B1400" s="1" t="str">
        <f>TEXT(Tabla1[[#This Row],[Fecha]],"MMMM")</f>
        <v>julio</v>
      </c>
      <c r="C1400" t="s">
        <v>1410</v>
      </c>
      <c r="D1400" t="s">
        <v>5026</v>
      </c>
      <c r="E1400" t="s">
        <v>5033</v>
      </c>
      <c r="F1400" t="s">
        <v>5038</v>
      </c>
      <c r="G1400" s="3">
        <v>12618.14</v>
      </c>
      <c r="H1400" s="3">
        <v>1640.36</v>
      </c>
      <c r="I1400" s="3">
        <f>SUM(Tabla1[[#This Row],[Monto_Base]],H1400)</f>
        <v>14258.5</v>
      </c>
      <c r="J1400" t="s">
        <v>5042</v>
      </c>
      <c r="K1400" t="s">
        <v>5048</v>
      </c>
      <c r="L1400" t="s">
        <v>5050</v>
      </c>
      <c r="M1400" t="s">
        <v>5055</v>
      </c>
    </row>
    <row r="1401" spans="1:13" x14ac:dyDescent="0.3">
      <c r="A1401" s="1">
        <v>45579</v>
      </c>
      <c r="B1401" s="1" t="str">
        <f>TEXT(Tabla1[[#This Row],[Fecha]],"MMMM")</f>
        <v>octubre</v>
      </c>
      <c r="C1401" t="s">
        <v>1411</v>
      </c>
      <c r="D1401" t="s">
        <v>5028</v>
      </c>
      <c r="E1401" t="s">
        <v>5032</v>
      </c>
      <c r="F1401" t="s">
        <v>5038</v>
      </c>
      <c r="G1401" s="3">
        <v>1567.42</v>
      </c>
      <c r="H1401" s="3">
        <v>0</v>
      </c>
      <c r="I1401" s="3">
        <f>SUM(Tabla1[[#This Row],[Monto_Base]],H1401)</f>
        <v>1567.42</v>
      </c>
      <c r="J1401" t="s">
        <v>5046</v>
      </c>
      <c r="K1401" t="s">
        <v>5047</v>
      </c>
      <c r="L1401" t="s">
        <v>5052</v>
      </c>
      <c r="M1401" t="s">
        <v>5055</v>
      </c>
    </row>
    <row r="1402" spans="1:13" x14ac:dyDescent="0.3">
      <c r="A1402" s="1">
        <v>45613</v>
      </c>
      <c r="B1402" s="1" t="str">
        <f>TEXT(Tabla1[[#This Row],[Fecha]],"MMMM")</f>
        <v>noviembre</v>
      </c>
      <c r="C1402" t="s">
        <v>1412</v>
      </c>
      <c r="D1402" t="s">
        <v>5023</v>
      </c>
      <c r="E1402" t="s">
        <v>5032</v>
      </c>
      <c r="F1402" t="s">
        <v>5039</v>
      </c>
      <c r="G1402" s="3">
        <v>8446.8799999999992</v>
      </c>
      <c r="H1402" s="3">
        <v>0</v>
      </c>
      <c r="I1402" s="3">
        <f>SUM(Tabla1[[#This Row],[Monto_Base]],H1402)</f>
        <v>8446.8799999999992</v>
      </c>
      <c r="J1402" t="s">
        <v>5043</v>
      </c>
      <c r="K1402" t="s">
        <v>5049</v>
      </c>
      <c r="L1402" t="s">
        <v>5051</v>
      </c>
      <c r="M1402" t="s">
        <v>5054</v>
      </c>
    </row>
    <row r="1403" spans="1:13" x14ac:dyDescent="0.3">
      <c r="A1403" s="1">
        <v>45361</v>
      </c>
      <c r="B1403" s="1" t="str">
        <f>TEXT(Tabla1[[#This Row],[Fecha]],"MMMM")</f>
        <v>marzo</v>
      </c>
      <c r="C1403" t="s">
        <v>1413</v>
      </c>
      <c r="D1403" t="s">
        <v>5026</v>
      </c>
      <c r="E1403" t="s">
        <v>5032</v>
      </c>
      <c r="F1403" t="s">
        <v>5036</v>
      </c>
      <c r="G1403" s="3">
        <v>11347.32</v>
      </c>
      <c r="H1403" s="3">
        <v>0</v>
      </c>
      <c r="I1403" s="3">
        <f>SUM(Tabla1[[#This Row],[Monto_Base]],H1403)</f>
        <v>11347.32</v>
      </c>
      <c r="J1403" t="s">
        <v>5043</v>
      </c>
      <c r="K1403" t="s">
        <v>5048</v>
      </c>
      <c r="L1403" t="s">
        <v>5050</v>
      </c>
      <c r="M1403" t="s">
        <v>5055</v>
      </c>
    </row>
    <row r="1404" spans="1:13" x14ac:dyDescent="0.3">
      <c r="A1404" s="1">
        <v>45385</v>
      </c>
      <c r="B1404" s="1" t="str">
        <f>TEXT(Tabla1[[#This Row],[Fecha]],"MMMM")</f>
        <v>abril</v>
      </c>
      <c r="C1404" t="s">
        <v>1414</v>
      </c>
      <c r="D1404" t="s">
        <v>5012</v>
      </c>
      <c r="E1404" t="s">
        <v>5032</v>
      </c>
      <c r="F1404" t="s">
        <v>5041</v>
      </c>
      <c r="G1404" s="3">
        <v>8794.1200000000008</v>
      </c>
      <c r="H1404" s="3">
        <v>0</v>
      </c>
      <c r="I1404" s="3">
        <f>SUM(Tabla1[[#This Row],[Monto_Base]],H1404)</f>
        <v>8794.1200000000008</v>
      </c>
      <c r="J1404" t="s">
        <v>5043</v>
      </c>
      <c r="K1404" t="s">
        <v>5047</v>
      </c>
      <c r="L1404" t="s">
        <v>5050</v>
      </c>
      <c r="M1404" t="s">
        <v>5055</v>
      </c>
    </row>
    <row r="1405" spans="1:13" x14ac:dyDescent="0.3">
      <c r="A1405" s="1">
        <v>45611</v>
      </c>
      <c r="B1405" s="1" t="str">
        <f>TEXT(Tabla1[[#This Row],[Fecha]],"MMMM")</f>
        <v>noviembre</v>
      </c>
      <c r="C1405" t="s">
        <v>1415</v>
      </c>
      <c r="D1405" t="s">
        <v>5030</v>
      </c>
      <c r="E1405" t="s">
        <v>5032</v>
      </c>
      <c r="F1405" t="s">
        <v>5036</v>
      </c>
      <c r="G1405" s="3">
        <v>2699.67</v>
      </c>
      <c r="H1405" s="3">
        <v>0</v>
      </c>
      <c r="I1405" s="3">
        <f>SUM(Tabla1[[#This Row],[Monto_Base]],H1405)</f>
        <v>2699.67</v>
      </c>
      <c r="J1405" t="s">
        <v>5044</v>
      </c>
      <c r="K1405" t="s">
        <v>5049</v>
      </c>
      <c r="L1405" t="s">
        <v>5050</v>
      </c>
      <c r="M1405" t="s">
        <v>5054</v>
      </c>
    </row>
    <row r="1406" spans="1:13" x14ac:dyDescent="0.3">
      <c r="A1406" s="1">
        <v>45334</v>
      </c>
      <c r="B1406" s="1" t="str">
        <f>TEXT(Tabla1[[#This Row],[Fecha]],"MMMM")</f>
        <v>febrero</v>
      </c>
      <c r="C1406" t="s">
        <v>1416</v>
      </c>
      <c r="D1406" t="s">
        <v>5017</v>
      </c>
      <c r="E1406" t="s">
        <v>5032</v>
      </c>
      <c r="F1406" t="s">
        <v>5038</v>
      </c>
      <c r="G1406" s="3">
        <v>10685.55</v>
      </c>
      <c r="H1406" s="3">
        <v>0</v>
      </c>
      <c r="I1406" s="3">
        <f>SUM(Tabla1[[#This Row],[Monto_Base]],H1406)</f>
        <v>10685.55</v>
      </c>
      <c r="J1406" t="s">
        <v>5044</v>
      </c>
      <c r="K1406" t="s">
        <v>5049</v>
      </c>
      <c r="L1406" t="s">
        <v>5050</v>
      </c>
      <c r="M1406" t="s">
        <v>5054</v>
      </c>
    </row>
    <row r="1407" spans="1:13" x14ac:dyDescent="0.3">
      <c r="A1407" s="1">
        <v>45435</v>
      </c>
      <c r="B1407" s="1" t="str">
        <f>TEXT(Tabla1[[#This Row],[Fecha]],"MMMM")</f>
        <v>mayo</v>
      </c>
      <c r="C1407" t="s">
        <v>1417</v>
      </c>
      <c r="D1407" t="s">
        <v>5028</v>
      </c>
      <c r="E1407" t="s">
        <v>5032</v>
      </c>
      <c r="F1407" t="s">
        <v>5038</v>
      </c>
      <c r="G1407" s="3">
        <v>2920.75</v>
      </c>
      <c r="H1407" s="3">
        <v>0</v>
      </c>
      <c r="I1407" s="3">
        <f>SUM(Tabla1[[#This Row],[Monto_Base]],H1407)</f>
        <v>2920.75</v>
      </c>
      <c r="J1407" t="s">
        <v>5042</v>
      </c>
      <c r="K1407" t="s">
        <v>5047</v>
      </c>
      <c r="L1407" t="s">
        <v>5050</v>
      </c>
      <c r="M1407" t="s">
        <v>5055</v>
      </c>
    </row>
    <row r="1408" spans="1:13" x14ac:dyDescent="0.3">
      <c r="A1408" s="1">
        <v>45513</v>
      </c>
      <c r="B1408" s="1" t="str">
        <f>TEXT(Tabla1[[#This Row],[Fecha]],"MMMM")</f>
        <v>agosto</v>
      </c>
      <c r="C1408" t="s">
        <v>1418</v>
      </c>
      <c r="D1408" t="s">
        <v>5012</v>
      </c>
      <c r="E1408" t="s">
        <v>5033</v>
      </c>
      <c r="F1408" t="s">
        <v>5038</v>
      </c>
      <c r="G1408" s="3">
        <v>3983.55</v>
      </c>
      <c r="H1408" s="3">
        <v>517.86</v>
      </c>
      <c r="I1408" s="3">
        <f>SUM(Tabla1[[#This Row],[Monto_Base]],H1408)</f>
        <v>4501.41</v>
      </c>
      <c r="J1408" t="s">
        <v>5044</v>
      </c>
      <c r="K1408" t="s">
        <v>5047</v>
      </c>
      <c r="L1408" t="s">
        <v>5051</v>
      </c>
      <c r="M1408" t="s">
        <v>5055</v>
      </c>
    </row>
    <row r="1409" spans="1:13" x14ac:dyDescent="0.3">
      <c r="A1409" s="1">
        <v>45611</v>
      </c>
      <c r="B1409" s="1" t="str">
        <f>TEXT(Tabla1[[#This Row],[Fecha]],"MMMM")</f>
        <v>noviembre</v>
      </c>
      <c r="C1409" t="s">
        <v>1419</v>
      </c>
      <c r="D1409" t="s">
        <v>5015</v>
      </c>
      <c r="E1409" t="s">
        <v>5033</v>
      </c>
      <c r="F1409" t="s">
        <v>5039</v>
      </c>
      <c r="G1409" s="3">
        <v>13087</v>
      </c>
      <c r="H1409" s="3">
        <v>1701.31</v>
      </c>
      <c r="I1409" s="3">
        <f>SUM(Tabla1[[#This Row],[Monto_Base]],H1409)</f>
        <v>14788.31</v>
      </c>
      <c r="J1409" t="s">
        <v>5045</v>
      </c>
      <c r="K1409" t="s">
        <v>5049</v>
      </c>
      <c r="L1409" t="s">
        <v>5053</v>
      </c>
      <c r="M1409" t="s">
        <v>5055</v>
      </c>
    </row>
    <row r="1410" spans="1:13" x14ac:dyDescent="0.3">
      <c r="A1410" s="1">
        <v>45647</v>
      </c>
      <c r="B1410" s="1" t="str">
        <f>TEXT(Tabla1[[#This Row],[Fecha]],"MMMM")</f>
        <v>diciembre</v>
      </c>
      <c r="C1410" t="s">
        <v>1420</v>
      </c>
      <c r="D1410" t="s">
        <v>5024</v>
      </c>
      <c r="E1410" t="s">
        <v>5032</v>
      </c>
      <c r="F1410" t="s">
        <v>5037</v>
      </c>
      <c r="G1410" s="3">
        <v>5856.54</v>
      </c>
      <c r="H1410" s="3">
        <v>0</v>
      </c>
      <c r="I1410" s="3">
        <f>SUM(Tabla1[[#This Row],[Monto_Base]],H1410)</f>
        <v>5856.54</v>
      </c>
      <c r="J1410" t="s">
        <v>5044</v>
      </c>
      <c r="K1410" t="s">
        <v>5049</v>
      </c>
      <c r="L1410" t="s">
        <v>5050</v>
      </c>
      <c r="M1410" t="s">
        <v>5055</v>
      </c>
    </row>
    <row r="1411" spans="1:13" x14ac:dyDescent="0.3">
      <c r="A1411" s="1">
        <v>45359</v>
      </c>
      <c r="B1411" s="1" t="str">
        <f>TEXT(Tabla1[[#This Row],[Fecha]],"MMMM")</f>
        <v>marzo</v>
      </c>
      <c r="C1411" t="s">
        <v>1421</v>
      </c>
      <c r="D1411" t="s">
        <v>5016</v>
      </c>
      <c r="E1411" t="s">
        <v>5032</v>
      </c>
      <c r="F1411" t="s">
        <v>5037</v>
      </c>
      <c r="G1411" s="3">
        <v>10623.84</v>
      </c>
      <c r="H1411" s="3">
        <v>0</v>
      </c>
      <c r="I1411" s="3">
        <f>SUM(Tabla1[[#This Row],[Monto_Base]],H1411)</f>
        <v>10623.84</v>
      </c>
      <c r="J1411" t="s">
        <v>5044</v>
      </c>
      <c r="K1411" t="s">
        <v>5049</v>
      </c>
      <c r="L1411" t="s">
        <v>5051</v>
      </c>
      <c r="M1411" t="s">
        <v>5054</v>
      </c>
    </row>
    <row r="1412" spans="1:13" x14ac:dyDescent="0.3">
      <c r="A1412" s="1">
        <v>45635</v>
      </c>
      <c r="B1412" s="1" t="str">
        <f>TEXT(Tabla1[[#This Row],[Fecha]],"MMMM")</f>
        <v>diciembre</v>
      </c>
      <c r="C1412" t="s">
        <v>1422</v>
      </c>
      <c r="D1412" t="s">
        <v>5029</v>
      </c>
      <c r="E1412" t="s">
        <v>5032</v>
      </c>
      <c r="F1412" t="s">
        <v>5036</v>
      </c>
      <c r="G1412" s="3">
        <v>13704.69</v>
      </c>
      <c r="H1412" s="3">
        <v>0</v>
      </c>
      <c r="I1412" s="3">
        <f>SUM(Tabla1[[#This Row],[Monto_Base]],H1412)</f>
        <v>13704.69</v>
      </c>
      <c r="J1412" t="s">
        <v>5045</v>
      </c>
      <c r="K1412" t="s">
        <v>5049</v>
      </c>
      <c r="L1412" t="s">
        <v>5051</v>
      </c>
      <c r="M1412" t="s">
        <v>5054</v>
      </c>
    </row>
    <row r="1413" spans="1:13" x14ac:dyDescent="0.3">
      <c r="A1413" s="1">
        <v>45483</v>
      </c>
      <c r="B1413" s="1" t="str">
        <f>TEXT(Tabla1[[#This Row],[Fecha]],"MMMM")</f>
        <v>julio</v>
      </c>
      <c r="C1413" t="s">
        <v>1423</v>
      </c>
      <c r="D1413" t="s">
        <v>5026</v>
      </c>
      <c r="E1413" t="s">
        <v>5033</v>
      </c>
      <c r="F1413" t="s">
        <v>5034</v>
      </c>
      <c r="G1413" s="3">
        <v>1162.5</v>
      </c>
      <c r="H1413" s="3">
        <v>151.12</v>
      </c>
      <c r="I1413" s="3">
        <f>SUM(Tabla1[[#This Row],[Monto_Base]],H1413)</f>
        <v>1313.62</v>
      </c>
      <c r="J1413" t="s">
        <v>5045</v>
      </c>
      <c r="K1413" t="s">
        <v>5047</v>
      </c>
      <c r="L1413" t="s">
        <v>5052</v>
      </c>
      <c r="M1413" t="s">
        <v>5054</v>
      </c>
    </row>
    <row r="1414" spans="1:13" x14ac:dyDescent="0.3">
      <c r="A1414" s="1">
        <v>45608</v>
      </c>
      <c r="B1414" s="1" t="str">
        <f>TEXT(Tabla1[[#This Row],[Fecha]],"MMMM")</f>
        <v>noviembre</v>
      </c>
      <c r="C1414" t="s">
        <v>1424</v>
      </c>
      <c r="D1414" t="s">
        <v>5012</v>
      </c>
      <c r="E1414" t="s">
        <v>5033</v>
      </c>
      <c r="F1414" t="s">
        <v>5040</v>
      </c>
      <c r="G1414" s="3">
        <v>13058.89</v>
      </c>
      <c r="H1414" s="3">
        <v>1697.66</v>
      </c>
      <c r="I1414" s="3">
        <f>SUM(Tabla1[[#This Row],[Monto_Base]],H1414)</f>
        <v>14756.55</v>
      </c>
      <c r="J1414" t="s">
        <v>5045</v>
      </c>
      <c r="K1414" t="s">
        <v>5047</v>
      </c>
      <c r="L1414" t="s">
        <v>5050</v>
      </c>
      <c r="M1414" t="s">
        <v>5055</v>
      </c>
    </row>
    <row r="1415" spans="1:13" x14ac:dyDescent="0.3">
      <c r="A1415" s="1">
        <v>45394</v>
      </c>
      <c r="B1415" s="1" t="str">
        <f>TEXT(Tabla1[[#This Row],[Fecha]],"MMMM")</f>
        <v>abril</v>
      </c>
      <c r="C1415" t="s">
        <v>1425</v>
      </c>
      <c r="D1415" t="s">
        <v>5031</v>
      </c>
      <c r="E1415" t="s">
        <v>5033</v>
      </c>
      <c r="F1415" t="s">
        <v>5035</v>
      </c>
      <c r="G1415" s="3">
        <v>10577.01</v>
      </c>
      <c r="H1415" s="3">
        <v>1375.01</v>
      </c>
      <c r="I1415" s="3">
        <f>SUM(Tabla1[[#This Row],[Monto_Base]],H1415)</f>
        <v>11952.02</v>
      </c>
      <c r="J1415" t="s">
        <v>5045</v>
      </c>
      <c r="K1415" t="s">
        <v>5047</v>
      </c>
      <c r="L1415" t="s">
        <v>5053</v>
      </c>
      <c r="M1415" t="s">
        <v>5054</v>
      </c>
    </row>
    <row r="1416" spans="1:13" x14ac:dyDescent="0.3">
      <c r="A1416" s="1">
        <v>45332</v>
      </c>
      <c r="B1416" s="1" t="str">
        <f>TEXT(Tabla1[[#This Row],[Fecha]],"MMMM")</f>
        <v>febrero</v>
      </c>
      <c r="C1416" t="s">
        <v>1426</v>
      </c>
      <c r="D1416" t="s">
        <v>5027</v>
      </c>
      <c r="E1416" t="s">
        <v>5033</v>
      </c>
      <c r="F1416" t="s">
        <v>5034</v>
      </c>
      <c r="G1416" s="3">
        <v>797.48</v>
      </c>
      <c r="H1416" s="3">
        <v>103.67</v>
      </c>
      <c r="I1416" s="3">
        <f>SUM(Tabla1[[#This Row],[Monto_Base]],H1416)</f>
        <v>901.15</v>
      </c>
      <c r="J1416" t="s">
        <v>5043</v>
      </c>
      <c r="K1416" t="s">
        <v>5048</v>
      </c>
      <c r="L1416" t="s">
        <v>5052</v>
      </c>
      <c r="M1416" t="s">
        <v>5055</v>
      </c>
    </row>
    <row r="1417" spans="1:13" x14ac:dyDescent="0.3">
      <c r="A1417" s="1">
        <v>45638</v>
      </c>
      <c r="B1417" s="1" t="str">
        <f>TEXT(Tabla1[[#This Row],[Fecha]],"MMMM")</f>
        <v>diciembre</v>
      </c>
      <c r="C1417" t="s">
        <v>1427</v>
      </c>
      <c r="D1417" t="s">
        <v>5018</v>
      </c>
      <c r="E1417" t="s">
        <v>5033</v>
      </c>
      <c r="F1417" t="s">
        <v>5041</v>
      </c>
      <c r="G1417" s="3">
        <v>4356.55</v>
      </c>
      <c r="H1417" s="3">
        <v>566.35</v>
      </c>
      <c r="I1417" s="3">
        <f>SUM(Tabla1[[#This Row],[Monto_Base]],H1417)</f>
        <v>4922.9000000000005</v>
      </c>
      <c r="J1417" t="s">
        <v>5042</v>
      </c>
      <c r="K1417" t="s">
        <v>5047</v>
      </c>
      <c r="L1417" t="s">
        <v>5050</v>
      </c>
      <c r="M1417" t="s">
        <v>5054</v>
      </c>
    </row>
    <row r="1418" spans="1:13" x14ac:dyDescent="0.3">
      <c r="A1418" s="1">
        <v>45569</v>
      </c>
      <c r="B1418" s="1" t="str">
        <f>TEXT(Tabla1[[#This Row],[Fecha]],"MMMM")</f>
        <v>octubre</v>
      </c>
      <c r="C1418" t="s">
        <v>1428</v>
      </c>
      <c r="D1418" t="s">
        <v>5013</v>
      </c>
      <c r="E1418" t="s">
        <v>5033</v>
      </c>
      <c r="F1418" t="s">
        <v>5034</v>
      </c>
      <c r="G1418" s="3">
        <v>3985.76</v>
      </c>
      <c r="H1418" s="3">
        <v>518.15</v>
      </c>
      <c r="I1418" s="3">
        <f>SUM(Tabla1[[#This Row],[Monto_Base]],H1418)</f>
        <v>4503.91</v>
      </c>
      <c r="J1418" t="s">
        <v>5042</v>
      </c>
      <c r="K1418" t="s">
        <v>5047</v>
      </c>
      <c r="L1418" t="s">
        <v>5053</v>
      </c>
      <c r="M1418" t="s">
        <v>5054</v>
      </c>
    </row>
    <row r="1419" spans="1:13" x14ac:dyDescent="0.3">
      <c r="A1419" s="1">
        <v>45617</v>
      </c>
      <c r="B1419" s="1" t="str">
        <f>TEXT(Tabla1[[#This Row],[Fecha]],"MMMM")</f>
        <v>noviembre</v>
      </c>
      <c r="C1419" t="s">
        <v>1429</v>
      </c>
      <c r="D1419" t="s">
        <v>5026</v>
      </c>
      <c r="E1419" t="s">
        <v>5032</v>
      </c>
      <c r="F1419" t="s">
        <v>5034</v>
      </c>
      <c r="G1419" s="3">
        <v>2478.23</v>
      </c>
      <c r="H1419" s="3">
        <v>0</v>
      </c>
      <c r="I1419" s="3">
        <f>SUM(Tabla1[[#This Row],[Monto_Base]],H1419)</f>
        <v>2478.23</v>
      </c>
      <c r="J1419" t="s">
        <v>5042</v>
      </c>
      <c r="K1419" t="s">
        <v>5048</v>
      </c>
      <c r="L1419" t="s">
        <v>5050</v>
      </c>
      <c r="M1419" t="s">
        <v>5055</v>
      </c>
    </row>
    <row r="1420" spans="1:13" x14ac:dyDescent="0.3">
      <c r="A1420" s="1">
        <v>45563</v>
      </c>
      <c r="B1420" s="1" t="str">
        <f>TEXT(Tabla1[[#This Row],[Fecha]],"MMMM")</f>
        <v>septiembre</v>
      </c>
      <c r="C1420" t="s">
        <v>1430</v>
      </c>
      <c r="D1420" t="s">
        <v>5027</v>
      </c>
      <c r="E1420" t="s">
        <v>5032</v>
      </c>
      <c r="F1420" t="s">
        <v>5040</v>
      </c>
      <c r="G1420" s="3">
        <v>11044.88</v>
      </c>
      <c r="H1420" s="3">
        <v>0</v>
      </c>
      <c r="I1420" s="3">
        <f>SUM(Tabla1[[#This Row],[Monto_Base]],H1420)</f>
        <v>11044.88</v>
      </c>
      <c r="J1420" t="s">
        <v>5045</v>
      </c>
      <c r="K1420" t="s">
        <v>5049</v>
      </c>
      <c r="L1420" t="s">
        <v>5051</v>
      </c>
      <c r="M1420" t="s">
        <v>5055</v>
      </c>
    </row>
    <row r="1421" spans="1:13" x14ac:dyDescent="0.3">
      <c r="A1421" s="1">
        <v>45322</v>
      </c>
      <c r="B1421" s="1" t="str">
        <f>TEXT(Tabla1[[#This Row],[Fecha]],"MMMM")</f>
        <v>enero</v>
      </c>
      <c r="C1421" t="s">
        <v>1431</v>
      </c>
      <c r="D1421" t="s">
        <v>5013</v>
      </c>
      <c r="E1421" t="s">
        <v>5033</v>
      </c>
      <c r="F1421" t="s">
        <v>5036</v>
      </c>
      <c r="G1421" s="3">
        <v>7434.15</v>
      </c>
      <c r="H1421" s="3">
        <v>966.44</v>
      </c>
      <c r="I1421" s="3">
        <f>SUM(Tabla1[[#This Row],[Monto_Base]],H1421)</f>
        <v>8400.59</v>
      </c>
      <c r="J1421" t="s">
        <v>5042</v>
      </c>
      <c r="K1421" t="s">
        <v>5048</v>
      </c>
      <c r="L1421" t="s">
        <v>5053</v>
      </c>
      <c r="M1421" t="s">
        <v>5055</v>
      </c>
    </row>
    <row r="1422" spans="1:13" x14ac:dyDescent="0.3">
      <c r="A1422" s="1">
        <v>45602</v>
      </c>
      <c r="B1422" s="1" t="str">
        <f>TEXT(Tabla1[[#This Row],[Fecha]],"MMMM")</f>
        <v>noviembre</v>
      </c>
      <c r="C1422" t="s">
        <v>1432</v>
      </c>
      <c r="D1422" t="s">
        <v>5013</v>
      </c>
      <c r="E1422" t="s">
        <v>5032</v>
      </c>
      <c r="F1422" t="s">
        <v>5040</v>
      </c>
      <c r="G1422" s="3">
        <v>10486.24</v>
      </c>
      <c r="H1422" s="3">
        <v>0</v>
      </c>
      <c r="I1422" s="3">
        <f>SUM(Tabla1[[#This Row],[Monto_Base]],H1422)</f>
        <v>10486.24</v>
      </c>
      <c r="J1422" t="s">
        <v>5045</v>
      </c>
      <c r="K1422" t="s">
        <v>5049</v>
      </c>
      <c r="L1422" t="s">
        <v>5051</v>
      </c>
      <c r="M1422" t="s">
        <v>5055</v>
      </c>
    </row>
    <row r="1423" spans="1:13" x14ac:dyDescent="0.3">
      <c r="A1423" s="1">
        <v>45542</v>
      </c>
      <c r="B1423" s="1" t="str">
        <f>TEXT(Tabla1[[#This Row],[Fecha]],"MMMM")</f>
        <v>septiembre</v>
      </c>
      <c r="C1423" t="s">
        <v>1433</v>
      </c>
      <c r="D1423" t="s">
        <v>5020</v>
      </c>
      <c r="E1423" t="s">
        <v>5032</v>
      </c>
      <c r="F1423" t="s">
        <v>5040</v>
      </c>
      <c r="G1423" s="3">
        <v>7520.44</v>
      </c>
      <c r="H1423" s="3">
        <v>0</v>
      </c>
      <c r="I1423" s="3">
        <f>SUM(Tabla1[[#This Row],[Monto_Base]],H1423)</f>
        <v>7520.44</v>
      </c>
      <c r="J1423" t="s">
        <v>5044</v>
      </c>
      <c r="K1423" t="s">
        <v>5049</v>
      </c>
      <c r="L1423" t="s">
        <v>5052</v>
      </c>
      <c r="M1423" t="s">
        <v>5054</v>
      </c>
    </row>
    <row r="1424" spans="1:13" x14ac:dyDescent="0.3">
      <c r="A1424" s="1">
        <v>45528</v>
      </c>
      <c r="B1424" s="1" t="str">
        <f>TEXT(Tabla1[[#This Row],[Fecha]],"MMMM")</f>
        <v>agosto</v>
      </c>
      <c r="C1424" t="s">
        <v>1434</v>
      </c>
      <c r="D1424" t="s">
        <v>5012</v>
      </c>
      <c r="E1424" t="s">
        <v>5032</v>
      </c>
      <c r="F1424" t="s">
        <v>5037</v>
      </c>
      <c r="G1424" s="3">
        <v>7000.93</v>
      </c>
      <c r="H1424" s="3">
        <v>0</v>
      </c>
      <c r="I1424" s="3">
        <f>SUM(Tabla1[[#This Row],[Monto_Base]],H1424)</f>
        <v>7000.93</v>
      </c>
      <c r="J1424" t="s">
        <v>5044</v>
      </c>
      <c r="K1424" t="s">
        <v>5048</v>
      </c>
      <c r="L1424" t="s">
        <v>5050</v>
      </c>
      <c r="M1424" t="s">
        <v>5055</v>
      </c>
    </row>
    <row r="1425" spans="1:13" x14ac:dyDescent="0.3">
      <c r="A1425" s="1">
        <v>45304</v>
      </c>
      <c r="B1425" s="1" t="str">
        <f>TEXT(Tabla1[[#This Row],[Fecha]],"MMMM")</f>
        <v>enero</v>
      </c>
      <c r="C1425" t="s">
        <v>1435</v>
      </c>
      <c r="D1425" t="s">
        <v>5028</v>
      </c>
      <c r="E1425" t="s">
        <v>5033</v>
      </c>
      <c r="F1425" t="s">
        <v>5037</v>
      </c>
      <c r="G1425" s="3">
        <v>6322.98</v>
      </c>
      <c r="H1425" s="3">
        <v>821.99</v>
      </c>
      <c r="I1425" s="3">
        <f>SUM(Tabla1[[#This Row],[Monto_Base]],H1425)</f>
        <v>7144.9699999999993</v>
      </c>
      <c r="J1425" t="s">
        <v>5046</v>
      </c>
      <c r="K1425" t="s">
        <v>5048</v>
      </c>
      <c r="L1425" t="s">
        <v>5050</v>
      </c>
      <c r="M1425" t="s">
        <v>5054</v>
      </c>
    </row>
    <row r="1426" spans="1:13" x14ac:dyDescent="0.3">
      <c r="A1426" s="1">
        <v>45630</v>
      </c>
      <c r="B1426" s="1" t="str">
        <f>TEXT(Tabla1[[#This Row],[Fecha]],"MMMM")</f>
        <v>diciembre</v>
      </c>
      <c r="C1426" t="s">
        <v>1436</v>
      </c>
      <c r="D1426" t="s">
        <v>5020</v>
      </c>
      <c r="E1426" t="s">
        <v>5033</v>
      </c>
      <c r="F1426" t="s">
        <v>5037</v>
      </c>
      <c r="G1426" s="3">
        <v>11881.06</v>
      </c>
      <c r="H1426" s="3">
        <v>1544.54</v>
      </c>
      <c r="I1426" s="3">
        <f>SUM(Tabla1[[#This Row],[Monto_Base]],H1426)</f>
        <v>13425.599999999999</v>
      </c>
      <c r="J1426" t="s">
        <v>5046</v>
      </c>
      <c r="K1426" t="s">
        <v>5047</v>
      </c>
      <c r="L1426" t="s">
        <v>5052</v>
      </c>
      <c r="M1426" t="s">
        <v>5054</v>
      </c>
    </row>
    <row r="1427" spans="1:13" x14ac:dyDescent="0.3">
      <c r="A1427" s="1">
        <v>45464</v>
      </c>
      <c r="B1427" s="1" t="str">
        <f>TEXT(Tabla1[[#This Row],[Fecha]],"MMMM")</f>
        <v>junio</v>
      </c>
      <c r="C1427" t="s">
        <v>1437</v>
      </c>
      <c r="D1427" t="s">
        <v>5012</v>
      </c>
      <c r="E1427" t="s">
        <v>5032</v>
      </c>
      <c r="F1427" t="s">
        <v>5041</v>
      </c>
      <c r="G1427" s="3">
        <v>2291</v>
      </c>
      <c r="H1427" s="3">
        <v>0</v>
      </c>
      <c r="I1427" s="3">
        <f>SUM(Tabla1[[#This Row],[Monto_Base]],H1427)</f>
        <v>2291</v>
      </c>
      <c r="J1427" t="s">
        <v>5046</v>
      </c>
      <c r="K1427" t="s">
        <v>5047</v>
      </c>
      <c r="L1427" t="s">
        <v>5050</v>
      </c>
      <c r="M1427" t="s">
        <v>5055</v>
      </c>
    </row>
    <row r="1428" spans="1:13" x14ac:dyDescent="0.3">
      <c r="A1428" s="1">
        <v>45602</v>
      </c>
      <c r="B1428" s="1" t="str">
        <f>TEXT(Tabla1[[#This Row],[Fecha]],"MMMM")</f>
        <v>noviembre</v>
      </c>
      <c r="C1428" t="s">
        <v>1438</v>
      </c>
      <c r="D1428" t="s">
        <v>5021</v>
      </c>
      <c r="E1428" t="s">
        <v>5032</v>
      </c>
      <c r="F1428" t="s">
        <v>5034</v>
      </c>
      <c r="G1428" s="3">
        <v>2889.69</v>
      </c>
      <c r="H1428" s="3">
        <v>0</v>
      </c>
      <c r="I1428" s="3">
        <f>SUM(Tabla1[[#This Row],[Monto_Base]],H1428)</f>
        <v>2889.69</v>
      </c>
      <c r="J1428" t="s">
        <v>5043</v>
      </c>
      <c r="K1428" t="s">
        <v>5048</v>
      </c>
      <c r="L1428" t="s">
        <v>5050</v>
      </c>
      <c r="M1428" t="s">
        <v>5054</v>
      </c>
    </row>
    <row r="1429" spans="1:13" x14ac:dyDescent="0.3">
      <c r="A1429" s="1">
        <v>45457</v>
      </c>
      <c r="B1429" s="1" t="str">
        <f>TEXT(Tabla1[[#This Row],[Fecha]],"MMMM")</f>
        <v>junio</v>
      </c>
      <c r="C1429" t="s">
        <v>1439</v>
      </c>
      <c r="D1429" t="s">
        <v>5022</v>
      </c>
      <c r="E1429" t="s">
        <v>5032</v>
      </c>
      <c r="F1429" t="s">
        <v>5036</v>
      </c>
      <c r="G1429" s="3">
        <v>1050.25</v>
      </c>
      <c r="H1429" s="3">
        <v>0</v>
      </c>
      <c r="I1429" s="3">
        <f>SUM(Tabla1[[#This Row],[Monto_Base]],H1429)</f>
        <v>1050.25</v>
      </c>
      <c r="J1429" t="s">
        <v>5043</v>
      </c>
      <c r="K1429" t="s">
        <v>5049</v>
      </c>
      <c r="L1429" t="s">
        <v>5051</v>
      </c>
      <c r="M1429" t="s">
        <v>5054</v>
      </c>
    </row>
    <row r="1430" spans="1:13" x14ac:dyDescent="0.3">
      <c r="A1430" s="1">
        <v>45298</v>
      </c>
      <c r="B1430" s="1" t="str">
        <f>TEXT(Tabla1[[#This Row],[Fecha]],"MMMM")</f>
        <v>enero</v>
      </c>
      <c r="C1430" t="s">
        <v>1440</v>
      </c>
      <c r="D1430" t="s">
        <v>5023</v>
      </c>
      <c r="E1430" t="s">
        <v>5032</v>
      </c>
      <c r="F1430" t="s">
        <v>5034</v>
      </c>
      <c r="G1430" s="3">
        <v>6274.36</v>
      </c>
      <c r="H1430" s="3">
        <v>0</v>
      </c>
      <c r="I1430" s="3">
        <f>SUM(Tabla1[[#This Row],[Monto_Base]],H1430)</f>
        <v>6274.36</v>
      </c>
      <c r="J1430" t="s">
        <v>5044</v>
      </c>
      <c r="K1430" t="s">
        <v>5049</v>
      </c>
      <c r="L1430" t="s">
        <v>5052</v>
      </c>
      <c r="M1430" t="s">
        <v>5055</v>
      </c>
    </row>
    <row r="1431" spans="1:13" x14ac:dyDescent="0.3">
      <c r="A1431" s="1">
        <v>45563</v>
      </c>
      <c r="B1431" s="1" t="str">
        <f>TEXT(Tabla1[[#This Row],[Fecha]],"MMMM")</f>
        <v>septiembre</v>
      </c>
      <c r="C1431" t="s">
        <v>1441</v>
      </c>
      <c r="D1431" t="s">
        <v>5014</v>
      </c>
      <c r="E1431" t="s">
        <v>5032</v>
      </c>
      <c r="F1431" t="s">
        <v>5036</v>
      </c>
      <c r="G1431" s="3">
        <v>9006.7800000000007</v>
      </c>
      <c r="H1431" s="3">
        <v>0</v>
      </c>
      <c r="I1431" s="3">
        <f>SUM(Tabla1[[#This Row],[Monto_Base]],H1431)</f>
        <v>9006.7800000000007</v>
      </c>
      <c r="J1431" t="s">
        <v>5044</v>
      </c>
      <c r="K1431" t="s">
        <v>5048</v>
      </c>
      <c r="L1431" t="s">
        <v>5051</v>
      </c>
      <c r="M1431" t="s">
        <v>5054</v>
      </c>
    </row>
    <row r="1432" spans="1:13" x14ac:dyDescent="0.3">
      <c r="A1432" s="1">
        <v>45481</v>
      </c>
      <c r="B1432" s="1" t="str">
        <f>TEXT(Tabla1[[#This Row],[Fecha]],"MMMM")</f>
        <v>julio</v>
      </c>
      <c r="C1432" t="s">
        <v>1442</v>
      </c>
      <c r="D1432" t="s">
        <v>5014</v>
      </c>
      <c r="E1432" t="s">
        <v>5032</v>
      </c>
      <c r="F1432" t="s">
        <v>5036</v>
      </c>
      <c r="G1432" s="3">
        <v>314.76</v>
      </c>
      <c r="H1432" s="3">
        <v>0</v>
      </c>
      <c r="I1432" s="3">
        <f>SUM(Tabla1[[#This Row],[Monto_Base]],H1432)</f>
        <v>314.76</v>
      </c>
      <c r="J1432" t="s">
        <v>5043</v>
      </c>
      <c r="K1432" t="s">
        <v>5047</v>
      </c>
      <c r="L1432" t="s">
        <v>5052</v>
      </c>
      <c r="M1432" t="s">
        <v>5055</v>
      </c>
    </row>
    <row r="1433" spans="1:13" x14ac:dyDescent="0.3">
      <c r="A1433" s="1">
        <v>45587</v>
      </c>
      <c r="B1433" s="1" t="str">
        <f>TEXT(Tabla1[[#This Row],[Fecha]],"MMMM")</f>
        <v>octubre</v>
      </c>
      <c r="C1433" t="s">
        <v>1443</v>
      </c>
      <c r="D1433" t="s">
        <v>5015</v>
      </c>
      <c r="E1433" t="s">
        <v>5032</v>
      </c>
      <c r="F1433" t="s">
        <v>5038</v>
      </c>
      <c r="G1433" s="3">
        <v>8347.19</v>
      </c>
      <c r="H1433" s="3">
        <v>0</v>
      </c>
      <c r="I1433" s="3">
        <f>SUM(Tabla1[[#This Row],[Monto_Base]],H1433)</f>
        <v>8347.19</v>
      </c>
      <c r="J1433" t="s">
        <v>5044</v>
      </c>
      <c r="K1433" t="s">
        <v>5049</v>
      </c>
      <c r="L1433" t="s">
        <v>5052</v>
      </c>
      <c r="M1433" t="s">
        <v>5054</v>
      </c>
    </row>
    <row r="1434" spans="1:13" x14ac:dyDescent="0.3">
      <c r="A1434" s="1">
        <v>45419</v>
      </c>
      <c r="B1434" s="1" t="str">
        <f>TEXT(Tabla1[[#This Row],[Fecha]],"MMMM")</f>
        <v>mayo</v>
      </c>
      <c r="C1434" t="s">
        <v>1444</v>
      </c>
      <c r="D1434" t="s">
        <v>5014</v>
      </c>
      <c r="E1434" t="s">
        <v>5033</v>
      </c>
      <c r="F1434" t="s">
        <v>5034</v>
      </c>
      <c r="G1434" s="3">
        <v>12209.16</v>
      </c>
      <c r="H1434" s="3">
        <v>1587.19</v>
      </c>
      <c r="I1434" s="3">
        <f>SUM(Tabla1[[#This Row],[Monto_Base]],H1434)</f>
        <v>13796.35</v>
      </c>
      <c r="J1434" t="s">
        <v>5043</v>
      </c>
      <c r="K1434" t="s">
        <v>5049</v>
      </c>
      <c r="L1434" t="s">
        <v>5050</v>
      </c>
      <c r="M1434" t="s">
        <v>5054</v>
      </c>
    </row>
    <row r="1435" spans="1:13" x14ac:dyDescent="0.3">
      <c r="A1435" s="1">
        <v>45611</v>
      </c>
      <c r="B1435" s="1" t="str">
        <f>TEXT(Tabla1[[#This Row],[Fecha]],"MMMM")</f>
        <v>noviembre</v>
      </c>
      <c r="C1435" t="s">
        <v>1445</v>
      </c>
      <c r="D1435" t="s">
        <v>5016</v>
      </c>
      <c r="E1435" t="s">
        <v>5033</v>
      </c>
      <c r="F1435" t="s">
        <v>5037</v>
      </c>
      <c r="G1435" s="3">
        <v>11265.38</v>
      </c>
      <c r="H1435" s="3">
        <v>1464.5</v>
      </c>
      <c r="I1435" s="3">
        <f>SUM(Tabla1[[#This Row],[Monto_Base]],H1435)</f>
        <v>12729.88</v>
      </c>
      <c r="J1435" t="s">
        <v>5044</v>
      </c>
      <c r="K1435" t="s">
        <v>5047</v>
      </c>
      <c r="L1435" t="s">
        <v>5050</v>
      </c>
      <c r="M1435" t="s">
        <v>5055</v>
      </c>
    </row>
    <row r="1436" spans="1:13" x14ac:dyDescent="0.3">
      <c r="A1436" s="1">
        <v>45433</v>
      </c>
      <c r="B1436" s="1" t="str">
        <f>TEXT(Tabla1[[#This Row],[Fecha]],"MMMM")</f>
        <v>mayo</v>
      </c>
      <c r="C1436" t="s">
        <v>1446</v>
      </c>
      <c r="D1436" t="s">
        <v>5030</v>
      </c>
      <c r="E1436" t="s">
        <v>5032</v>
      </c>
      <c r="F1436" t="s">
        <v>5037</v>
      </c>
      <c r="G1436" s="3">
        <v>11672.63</v>
      </c>
      <c r="H1436" s="3">
        <v>0</v>
      </c>
      <c r="I1436" s="3">
        <f>SUM(Tabla1[[#This Row],[Monto_Base]],H1436)</f>
        <v>11672.63</v>
      </c>
      <c r="J1436" t="s">
        <v>5046</v>
      </c>
      <c r="K1436" t="s">
        <v>5048</v>
      </c>
      <c r="L1436" t="s">
        <v>5053</v>
      </c>
      <c r="M1436" t="s">
        <v>5055</v>
      </c>
    </row>
    <row r="1437" spans="1:13" x14ac:dyDescent="0.3">
      <c r="A1437" s="1">
        <v>45609</v>
      </c>
      <c r="B1437" s="1" t="str">
        <f>TEXT(Tabla1[[#This Row],[Fecha]],"MMMM")</f>
        <v>noviembre</v>
      </c>
      <c r="C1437" t="s">
        <v>1447</v>
      </c>
      <c r="D1437" t="s">
        <v>5017</v>
      </c>
      <c r="E1437" t="s">
        <v>5033</v>
      </c>
      <c r="F1437" t="s">
        <v>5040</v>
      </c>
      <c r="G1437" s="3">
        <v>5374.72</v>
      </c>
      <c r="H1437" s="3">
        <v>698.71</v>
      </c>
      <c r="I1437" s="3">
        <f>SUM(Tabla1[[#This Row],[Monto_Base]],H1437)</f>
        <v>6073.43</v>
      </c>
      <c r="J1437" t="s">
        <v>5043</v>
      </c>
      <c r="K1437" t="s">
        <v>5049</v>
      </c>
      <c r="L1437" t="s">
        <v>5052</v>
      </c>
      <c r="M1437" t="s">
        <v>5055</v>
      </c>
    </row>
    <row r="1438" spans="1:13" x14ac:dyDescent="0.3">
      <c r="A1438" s="1">
        <v>45622</v>
      </c>
      <c r="B1438" s="1" t="str">
        <f>TEXT(Tabla1[[#This Row],[Fecha]],"MMMM")</f>
        <v>noviembre</v>
      </c>
      <c r="C1438" t="s">
        <v>1448</v>
      </c>
      <c r="D1438" t="s">
        <v>5025</v>
      </c>
      <c r="E1438" t="s">
        <v>5032</v>
      </c>
      <c r="F1438" t="s">
        <v>5034</v>
      </c>
      <c r="G1438" s="3">
        <v>12370.84</v>
      </c>
      <c r="H1438" s="3">
        <v>0</v>
      </c>
      <c r="I1438" s="3">
        <f>SUM(Tabla1[[#This Row],[Monto_Base]],H1438)</f>
        <v>12370.84</v>
      </c>
      <c r="J1438" t="s">
        <v>5046</v>
      </c>
      <c r="K1438" t="s">
        <v>5049</v>
      </c>
      <c r="L1438" t="s">
        <v>5053</v>
      </c>
      <c r="M1438" t="s">
        <v>5055</v>
      </c>
    </row>
    <row r="1439" spans="1:13" x14ac:dyDescent="0.3">
      <c r="A1439" s="1">
        <v>45508</v>
      </c>
      <c r="B1439" s="1" t="str">
        <f>TEXT(Tabla1[[#This Row],[Fecha]],"MMMM")</f>
        <v>agosto</v>
      </c>
      <c r="C1439" t="s">
        <v>1449</v>
      </c>
      <c r="D1439" t="s">
        <v>5017</v>
      </c>
      <c r="E1439" t="s">
        <v>5032</v>
      </c>
      <c r="F1439" t="s">
        <v>5034</v>
      </c>
      <c r="G1439" s="3">
        <v>11871.1</v>
      </c>
      <c r="H1439" s="3">
        <v>0</v>
      </c>
      <c r="I1439" s="3">
        <f>SUM(Tabla1[[#This Row],[Monto_Base]],H1439)</f>
        <v>11871.1</v>
      </c>
      <c r="J1439" t="s">
        <v>5045</v>
      </c>
      <c r="K1439" t="s">
        <v>5048</v>
      </c>
      <c r="L1439" t="s">
        <v>5051</v>
      </c>
      <c r="M1439" t="s">
        <v>5054</v>
      </c>
    </row>
    <row r="1440" spans="1:13" x14ac:dyDescent="0.3">
      <c r="A1440" s="1">
        <v>45507</v>
      </c>
      <c r="B1440" s="1" t="str">
        <f>TEXT(Tabla1[[#This Row],[Fecha]],"MMMM")</f>
        <v>agosto</v>
      </c>
      <c r="C1440" t="s">
        <v>1450</v>
      </c>
      <c r="D1440" t="s">
        <v>5021</v>
      </c>
      <c r="E1440" t="s">
        <v>5033</v>
      </c>
      <c r="F1440" t="s">
        <v>5035</v>
      </c>
      <c r="G1440" s="3">
        <v>9791.94</v>
      </c>
      <c r="H1440" s="3">
        <v>1272.95</v>
      </c>
      <c r="I1440" s="3">
        <f>SUM(Tabla1[[#This Row],[Monto_Base]],H1440)</f>
        <v>11064.890000000001</v>
      </c>
      <c r="J1440" t="s">
        <v>5045</v>
      </c>
      <c r="K1440" t="s">
        <v>5048</v>
      </c>
      <c r="L1440" t="s">
        <v>5050</v>
      </c>
      <c r="M1440" t="s">
        <v>5054</v>
      </c>
    </row>
    <row r="1441" spans="1:13" x14ac:dyDescent="0.3">
      <c r="A1441" s="1">
        <v>45347</v>
      </c>
      <c r="B1441" s="1" t="str">
        <f>TEXT(Tabla1[[#This Row],[Fecha]],"MMMM")</f>
        <v>febrero</v>
      </c>
      <c r="C1441" t="s">
        <v>1451</v>
      </c>
      <c r="D1441" t="s">
        <v>5019</v>
      </c>
      <c r="E1441" t="s">
        <v>5033</v>
      </c>
      <c r="F1441" t="s">
        <v>5041</v>
      </c>
      <c r="G1441" s="3">
        <v>11389</v>
      </c>
      <c r="H1441" s="3">
        <v>1480.57</v>
      </c>
      <c r="I1441" s="3">
        <f>SUM(Tabla1[[#This Row],[Monto_Base]],H1441)</f>
        <v>12869.57</v>
      </c>
      <c r="J1441" t="s">
        <v>5044</v>
      </c>
      <c r="K1441" t="s">
        <v>5048</v>
      </c>
      <c r="L1441" t="s">
        <v>5051</v>
      </c>
      <c r="M1441" t="s">
        <v>5054</v>
      </c>
    </row>
    <row r="1442" spans="1:13" x14ac:dyDescent="0.3">
      <c r="A1442" s="1">
        <v>45300</v>
      </c>
      <c r="B1442" s="1" t="str">
        <f>TEXT(Tabla1[[#This Row],[Fecha]],"MMMM")</f>
        <v>enero</v>
      </c>
      <c r="C1442" t="s">
        <v>1452</v>
      </c>
      <c r="D1442" t="s">
        <v>5029</v>
      </c>
      <c r="E1442" t="s">
        <v>5033</v>
      </c>
      <c r="F1442" t="s">
        <v>5039</v>
      </c>
      <c r="G1442" s="3">
        <v>4875.92</v>
      </c>
      <c r="H1442" s="3">
        <v>633.87</v>
      </c>
      <c r="I1442" s="3">
        <f>SUM(Tabla1[[#This Row],[Monto_Base]],H1442)</f>
        <v>5509.79</v>
      </c>
      <c r="J1442" t="s">
        <v>5045</v>
      </c>
      <c r="K1442" t="s">
        <v>5047</v>
      </c>
      <c r="L1442" t="s">
        <v>5051</v>
      </c>
      <c r="M1442" t="s">
        <v>5055</v>
      </c>
    </row>
    <row r="1443" spans="1:13" x14ac:dyDescent="0.3">
      <c r="A1443" s="1">
        <v>45613</v>
      </c>
      <c r="B1443" s="1" t="str">
        <f>TEXT(Tabla1[[#This Row],[Fecha]],"MMMM")</f>
        <v>noviembre</v>
      </c>
      <c r="C1443" t="s">
        <v>1453</v>
      </c>
      <c r="D1443" t="s">
        <v>5028</v>
      </c>
      <c r="E1443" t="s">
        <v>5032</v>
      </c>
      <c r="F1443" t="s">
        <v>5037</v>
      </c>
      <c r="G1443" s="3">
        <v>8274.4</v>
      </c>
      <c r="H1443" s="3">
        <v>0</v>
      </c>
      <c r="I1443" s="3">
        <f>SUM(Tabla1[[#This Row],[Monto_Base]],H1443)</f>
        <v>8274.4</v>
      </c>
      <c r="J1443" t="s">
        <v>5043</v>
      </c>
      <c r="K1443" t="s">
        <v>5049</v>
      </c>
      <c r="L1443" t="s">
        <v>5051</v>
      </c>
      <c r="M1443" t="s">
        <v>5055</v>
      </c>
    </row>
    <row r="1444" spans="1:13" x14ac:dyDescent="0.3">
      <c r="A1444" s="1">
        <v>45583</v>
      </c>
      <c r="B1444" s="1" t="str">
        <f>TEXT(Tabla1[[#This Row],[Fecha]],"MMMM")</f>
        <v>octubre</v>
      </c>
      <c r="C1444" t="s">
        <v>1454</v>
      </c>
      <c r="D1444" t="s">
        <v>5015</v>
      </c>
      <c r="E1444" t="s">
        <v>5033</v>
      </c>
      <c r="F1444" t="s">
        <v>5038</v>
      </c>
      <c r="G1444" s="3">
        <v>4894.01</v>
      </c>
      <c r="H1444" s="3">
        <v>636.22</v>
      </c>
      <c r="I1444" s="3">
        <f>SUM(Tabla1[[#This Row],[Monto_Base]],H1444)</f>
        <v>5530.2300000000005</v>
      </c>
      <c r="J1444" t="s">
        <v>5045</v>
      </c>
      <c r="K1444" t="s">
        <v>5049</v>
      </c>
      <c r="L1444" t="s">
        <v>5053</v>
      </c>
      <c r="M1444" t="s">
        <v>5054</v>
      </c>
    </row>
    <row r="1445" spans="1:13" x14ac:dyDescent="0.3">
      <c r="A1445" s="1">
        <v>45559</v>
      </c>
      <c r="B1445" s="1" t="str">
        <f>TEXT(Tabla1[[#This Row],[Fecha]],"MMMM")</f>
        <v>septiembre</v>
      </c>
      <c r="C1445" t="s">
        <v>1455</v>
      </c>
      <c r="D1445" t="s">
        <v>5030</v>
      </c>
      <c r="E1445" t="s">
        <v>5033</v>
      </c>
      <c r="F1445" t="s">
        <v>5039</v>
      </c>
      <c r="G1445" s="3">
        <v>2315.9699999999998</v>
      </c>
      <c r="H1445" s="3">
        <v>301.08</v>
      </c>
      <c r="I1445" s="3">
        <f>SUM(Tabla1[[#This Row],[Monto_Base]],H1445)</f>
        <v>2617.0499999999997</v>
      </c>
      <c r="J1445" t="s">
        <v>5046</v>
      </c>
      <c r="K1445" t="s">
        <v>5049</v>
      </c>
      <c r="L1445" t="s">
        <v>5052</v>
      </c>
      <c r="M1445" t="s">
        <v>5054</v>
      </c>
    </row>
    <row r="1446" spans="1:13" x14ac:dyDescent="0.3">
      <c r="A1446" s="1">
        <v>45327</v>
      </c>
      <c r="B1446" s="1" t="str">
        <f>TEXT(Tabla1[[#This Row],[Fecha]],"MMMM")</f>
        <v>febrero</v>
      </c>
      <c r="C1446" t="s">
        <v>1456</v>
      </c>
      <c r="D1446" t="s">
        <v>5020</v>
      </c>
      <c r="E1446" t="s">
        <v>5032</v>
      </c>
      <c r="F1446" t="s">
        <v>5036</v>
      </c>
      <c r="G1446" s="3">
        <v>6218.99</v>
      </c>
      <c r="H1446" s="3">
        <v>0</v>
      </c>
      <c r="I1446" s="3">
        <f>SUM(Tabla1[[#This Row],[Monto_Base]],H1446)</f>
        <v>6218.99</v>
      </c>
      <c r="J1446" t="s">
        <v>5043</v>
      </c>
      <c r="K1446" t="s">
        <v>5048</v>
      </c>
      <c r="L1446" t="s">
        <v>5053</v>
      </c>
      <c r="M1446" t="s">
        <v>5055</v>
      </c>
    </row>
    <row r="1447" spans="1:13" x14ac:dyDescent="0.3">
      <c r="A1447" s="1">
        <v>45351</v>
      </c>
      <c r="B1447" s="1" t="str">
        <f>TEXT(Tabla1[[#This Row],[Fecha]],"MMMM")</f>
        <v>febrero</v>
      </c>
      <c r="C1447" t="s">
        <v>1457</v>
      </c>
      <c r="D1447" t="s">
        <v>5028</v>
      </c>
      <c r="E1447" t="s">
        <v>5033</v>
      </c>
      <c r="F1447" t="s">
        <v>5034</v>
      </c>
      <c r="G1447" s="3">
        <v>6755.05</v>
      </c>
      <c r="H1447" s="3">
        <v>878.16</v>
      </c>
      <c r="I1447" s="3">
        <f>SUM(Tabla1[[#This Row],[Monto_Base]],H1447)</f>
        <v>7633.21</v>
      </c>
      <c r="J1447" t="s">
        <v>5044</v>
      </c>
      <c r="K1447" t="s">
        <v>5047</v>
      </c>
      <c r="L1447" t="s">
        <v>5052</v>
      </c>
      <c r="M1447" t="s">
        <v>5054</v>
      </c>
    </row>
    <row r="1448" spans="1:13" x14ac:dyDescent="0.3">
      <c r="A1448" s="1">
        <v>45404</v>
      </c>
      <c r="B1448" s="1" t="str">
        <f>TEXT(Tabla1[[#This Row],[Fecha]],"MMMM")</f>
        <v>abril</v>
      </c>
      <c r="C1448" t="s">
        <v>1458</v>
      </c>
      <c r="D1448" t="s">
        <v>5012</v>
      </c>
      <c r="E1448" t="s">
        <v>5033</v>
      </c>
      <c r="F1448" t="s">
        <v>5041</v>
      </c>
      <c r="G1448" s="3">
        <v>683.8</v>
      </c>
      <c r="H1448" s="3">
        <v>88.89</v>
      </c>
      <c r="I1448" s="3">
        <f>SUM(Tabla1[[#This Row],[Monto_Base]],H1448)</f>
        <v>772.68999999999994</v>
      </c>
      <c r="J1448" t="s">
        <v>5046</v>
      </c>
      <c r="K1448" t="s">
        <v>5047</v>
      </c>
      <c r="L1448" t="s">
        <v>5052</v>
      </c>
      <c r="M1448" t="s">
        <v>5055</v>
      </c>
    </row>
    <row r="1449" spans="1:13" x14ac:dyDescent="0.3">
      <c r="A1449" s="1">
        <v>45440</v>
      </c>
      <c r="B1449" s="1" t="str">
        <f>TEXT(Tabla1[[#This Row],[Fecha]],"MMMM")</f>
        <v>mayo</v>
      </c>
      <c r="C1449" t="s">
        <v>1459</v>
      </c>
      <c r="D1449" t="s">
        <v>5019</v>
      </c>
      <c r="E1449" t="s">
        <v>5032</v>
      </c>
      <c r="F1449" t="s">
        <v>5035</v>
      </c>
      <c r="G1449" s="3">
        <v>7678.19</v>
      </c>
      <c r="H1449" s="3">
        <v>0</v>
      </c>
      <c r="I1449" s="3">
        <f>SUM(Tabla1[[#This Row],[Monto_Base]],H1449)</f>
        <v>7678.19</v>
      </c>
      <c r="J1449" t="s">
        <v>5043</v>
      </c>
      <c r="K1449" t="s">
        <v>5047</v>
      </c>
      <c r="L1449" t="s">
        <v>5050</v>
      </c>
      <c r="M1449" t="s">
        <v>5054</v>
      </c>
    </row>
    <row r="1450" spans="1:13" x14ac:dyDescent="0.3">
      <c r="A1450" s="1">
        <v>45543</v>
      </c>
      <c r="B1450" s="1" t="str">
        <f>TEXT(Tabla1[[#This Row],[Fecha]],"MMMM")</f>
        <v>septiembre</v>
      </c>
      <c r="C1450" t="s">
        <v>1460</v>
      </c>
      <c r="D1450" t="s">
        <v>5017</v>
      </c>
      <c r="E1450" t="s">
        <v>5033</v>
      </c>
      <c r="F1450" t="s">
        <v>5034</v>
      </c>
      <c r="G1450" s="3">
        <v>3481.11</v>
      </c>
      <c r="H1450" s="3">
        <v>452.54</v>
      </c>
      <c r="I1450" s="3">
        <f>SUM(Tabla1[[#This Row],[Monto_Base]],H1450)</f>
        <v>3933.65</v>
      </c>
      <c r="J1450" t="s">
        <v>5045</v>
      </c>
      <c r="K1450" t="s">
        <v>5048</v>
      </c>
      <c r="L1450" t="s">
        <v>5053</v>
      </c>
      <c r="M1450" t="s">
        <v>5055</v>
      </c>
    </row>
    <row r="1451" spans="1:13" x14ac:dyDescent="0.3">
      <c r="A1451" s="1">
        <v>45613</v>
      </c>
      <c r="B1451" s="1" t="str">
        <f>TEXT(Tabla1[[#This Row],[Fecha]],"MMMM")</f>
        <v>noviembre</v>
      </c>
      <c r="C1451" t="s">
        <v>1461</v>
      </c>
      <c r="D1451" t="s">
        <v>5027</v>
      </c>
      <c r="E1451" t="s">
        <v>5033</v>
      </c>
      <c r="F1451" t="s">
        <v>5039</v>
      </c>
      <c r="G1451" s="3">
        <v>8066.64</v>
      </c>
      <c r="H1451" s="3">
        <v>1048.6600000000001</v>
      </c>
      <c r="I1451" s="3">
        <f>SUM(Tabla1[[#This Row],[Monto_Base]],H1451)</f>
        <v>9115.3000000000011</v>
      </c>
      <c r="J1451" t="s">
        <v>5042</v>
      </c>
      <c r="K1451" t="s">
        <v>5048</v>
      </c>
      <c r="L1451" t="s">
        <v>5051</v>
      </c>
      <c r="M1451" t="s">
        <v>5055</v>
      </c>
    </row>
    <row r="1452" spans="1:13" x14ac:dyDescent="0.3">
      <c r="A1452" s="1">
        <v>45459</v>
      </c>
      <c r="B1452" s="1" t="str">
        <f>TEXT(Tabla1[[#This Row],[Fecha]],"MMMM")</f>
        <v>junio</v>
      </c>
      <c r="C1452" t="s">
        <v>1462</v>
      </c>
      <c r="D1452" t="s">
        <v>5028</v>
      </c>
      <c r="E1452" t="s">
        <v>5033</v>
      </c>
      <c r="F1452" t="s">
        <v>5038</v>
      </c>
      <c r="G1452" s="3">
        <v>5050.5600000000004</v>
      </c>
      <c r="H1452" s="3">
        <v>656.57</v>
      </c>
      <c r="I1452" s="3">
        <f>SUM(Tabla1[[#This Row],[Monto_Base]],H1452)</f>
        <v>5707.13</v>
      </c>
      <c r="J1452" t="s">
        <v>5044</v>
      </c>
      <c r="K1452" t="s">
        <v>5048</v>
      </c>
      <c r="L1452" t="s">
        <v>5053</v>
      </c>
      <c r="M1452" t="s">
        <v>5055</v>
      </c>
    </row>
    <row r="1453" spans="1:13" x14ac:dyDescent="0.3">
      <c r="A1453" s="1">
        <v>45349</v>
      </c>
      <c r="B1453" s="1" t="str">
        <f>TEXT(Tabla1[[#This Row],[Fecha]],"MMMM")</f>
        <v>febrero</v>
      </c>
      <c r="C1453" t="s">
        <v>1463</v>
      </c>
      <c r="D1453" t="s">
        <v>5022</v>
      </c>
      <c r="E1453" t="s">
        <v>5032</v>
      </c>
      <c r="F1453" t="s">
        <v>5037</v>
      </c>
      <c r="G1453" s="3">
        <v>3108.62</v>
      </c>
      <c r="H1453" s="3">
        <v>0</v>
      </c>
      <c r="I1453" s="3">
        <f>SUM(Tabla1[[#This Row],[Monto_Base]],H1453)</f>
        <v>3108.62</v>
      </c>
      <c r="J1453" t="s">
        <v>5045</v>
      </c>
      <c r="K1453" t="s">
        <v>5048</v>
      </c>
      <c r="L1453" t="s">
        <v>5053</v>
      </c>
      <c r="M1453" t="s">
        <v>5054</v>
      </c>
    </row>
    <row r="1454" spans="1:13" x14ac:dyDescent="0.3">
      <c r="A1454" s="1">
        <v>45447</v>
      </c>
      <c r="B1454" s="1" t="str">
        <f>TEXT(Tabla1[[#This Row],[Fecha]],"MMMM")</f>
        <v>junio</v>
      </c>
      <c r="C1454" t="s">
        <v>1464</v>
      </c>
      <c r="D1454" t="s">
        <v>5031</v>
      </c>
      <c r="E1454" t="s">
        <v>5032</v>
      </c>
      <c r="F1454" t="s">
        <v>5034</v>
      </c>
      <c r="G1454" s="3">
        <v>13305.45</v>
      </c>
      <c r="H1454" s="3">
        <v>0</v>
      </c>
      <c r="I1454" s="3">
        <f>SUM(Tabla1[[#This Row],[Monto_Base]],H1454)</f>
        <v>13305.45</v>
      </c>
      <c r="J1454" t="s">
        <v>5044</v>
      </c>
      <c r="K1454" t="s">
        <v>5048</v>
      </c>
      <c r="L1454" t="s">
        <v>5053</v>
      </c>
      <c r="M1454" t="s">
        <v>5054</v>
      </c>
    </row>
    <row r="1455" spans="1:13" x14ac:dyDescent="0.3">
      <c r="A1455" s="1">
        <v>45384</v>
      </c>
      <c r="B1455" s="1" t="str">
        <f>TEXT(Tabla1[[#This Row],[Fecha]],"MMMM")</f>
        <v>abril</v>
      </c>
      <c r="C1455" t="s">
        <v>1465</v>
      </c>
      <c r="D1455" t="s">
        <v>5024</v>
      </c>
      <c r="E1455" t="s">
        <v>5033</v>
      </c>
      <c r="F1455" t="s">
        <v>5038</v>
      </c>
      <c r="G1455" s="3">
        <v>234.79</v>
      </c>
      <c r="H1455" s="3">
        <v>30.52</v>
      </c>
      <c r="I1455" s="3">
        <f>SUM(Tabla1[[#This Row],[Monto_Base]],H1455)</f>
        <v>265.31</v>
      </c>
      <c r="J1455" t="s">
        <v>5044</v>
      </c>
      <c r="K1455" t="s">
        <v>5047</v>
      </c>
      <c r="L1455" t="s">
        <v>5050</v>
      </c>
      <c r="M1455" t="s">
        <v>5055</v>
      </c>
    </row>
    <row r="1456" spans="1:13" x14ac:dyDescent="0.3">
      <c r="A1456" s="1">
        <v>45537</v>
      </c>
      <c r="B1456" s="1" t="str">
        <f>TEXT(Tabla1[[#This Row],[Fecha]],"MMMM")</f>
        <v>septiembre</v>
      </c>
      <c r="C1456" t="s">
        <v>1466</v>
      </c>
      <c r="D1456" t="s">
        <v>5025</v>
      </c>
      <c r="E1456" t="s">
        <v>5032</v>
      </c>
      <c r="F1456" t="s">
        <v>5039</v>
      </c>
      <c r="G1456" s="3">
        <v>13816.24</v>
      </c>
      <c r="H1456" s="3">
        <v>0</v>
      </c>
      <c r="I1456" s="3">
        <f>SUM(Tabla1[[#This Row],[Monto_Base]],H1456)</f>
        <v>13816.24</v>
      </c>
      <c r="J1456" t="s">
        <v>5042</v>
      </c>
      <c r="K1456" t="s">
        <v>5049</v>
      </c>
      <c r="L1456" t="s">
        <v>5051</v>
      </c>
      <c r="M1456" t="s">
        <v>5054</v>
      </c>
    </row>
    <row r="1457" spans="1:13" x14ac:dyDescent="0.3">
      <c r="A1457" s="1">
        <v>45609</v>
      </c>
      <c r="B1457" s="1" t="str">
        <f>TEXT(Tabla1[[#This Row],[Fecha]],"MMMM")</f>
        <v>noviembre</v>
      </c>
      <c r="C1457" t="s">
        <v>1467</v>
      </c>
      <c r="D1457" t="s">
        <v>5031</v>
      </c>
      <c r="E1457" t="s">
        <v>5033</v>
      </c>
      <c r="F1457" t="s">
        <v>5035</v>
      </c>
      <c r="G1457" s="3">
        <v>12797.59</v>
      </c>
      <c r="H1457" s="3">
        <v>1663.69</v>
      </c>
      <c r="I1457" s="3">
        <f>SUM(Tabla1[[#This Row],[Monto_Base]],H1457)</f>
        <v>14461.28</v>
      </c>
      <c r="J1457" t="s">
        <v>5045</v>
      </c>
      <c r="K1457" t="s">
        <v>5047</v>
      </c>
      <c r="L1457" t="s">
        <v>5051</v>
      </c>
      <c r="M1457" t="s">
        <v>5054</v>
      </c>
    </row>
    <row r="1458" spans="1:13" x14ac:dyDescent="0.3">
      <c r="A1458" s="1">
        <v>45480</v>
      </c>
      <c r="B1458" s="1" t="str">
        <f>TEXT(Tabla1[[#This Row],[Fecha]],"MMMM")</f>
        <v>julio</v>
      </c>
      <c r="C1458" t="s">
        <v>1468</v>
      </c>
      <c r="D1458" t="s">
        <v>5025</v>
      </c>
      <c r="E1458" t="s">
        <v>5032</v>
      </c>
      <c r="F1458" t="s">
        <v>5039</v>
      </c>
      <c r="G1458" s="3">
        <v>1503.63</v>
      </c>
      <c r="H1458" s="3">
        <v>0</v>
      </c>
      <c r="I1458" s="3">
        <f>SUM(Tabla1[[#This Row],[Monto_Base]],H1458)</f>
        <v>1503.63</v>
      </c>
      <c r="J1458" t="s">
        <v>5046</v>
      </c>
      <c r="K1458" t="s">
        <v>5049</v>
      </c>
      <c r="L1458" t="s">
        <v>5052</v>
      </c>
      <c r="M1458" t="s">
        <v>5055</v>
      </c>
    </row>
    <row r="1459" spans="1:13" x14ac:dyDescent="0.3">
      <c r="A1459" s="1">
        <v>45444</v>
      </c>
      <c r="B1459" s="1" t="str">
        <f>TEXT(Tabla1[[#This Row],[Fecha]],"MMMM")</f>
        <v>junio</v>
      </c>
      <c r="C1459" t="s">
        <v>1469</v>
      </c>
      <c r="D1459" t="s">
        <v>5030</v>
      </c>
      <c r="E1459" t="s">
        <v>5032</v>
      </c>
      <c r="F1459" t="s">
        <v>5037</v>
      </c>
      <c r="G1459" s="3">
        <v>9821.7099999999991</v>
      </c>
      <c r="H1459" s="3">
        <v>0</v>
      </c>
      <c r="I1459" s="3">
        <f>SUM(Tabla1[[#This Row],[Monto_Base]],H1459)</f>
        <v>9821.7099999999991</v>
      </c>
      <c r="J1459" t="s">
        <v>5045</v>
      </c>
      <c r="K1459" t="s">
        <v>5047</v>
      </c>
      <c r="L1459" t="s">
        <v>5051</v>
      </c>
      <c r="M1459" t="s">
        <v>5054</v>
      </c>
    </row>
    <row r="1460" spans="1:13" x14ac:dyDescent="0.3">
      <c r="A1460" s="1">
        <v>45641</v>
      </c>
      <c r="B1460" s="1" t="str">
        <f>TEXT(Tabla1[[#This Row],[Fecha]],"MMMM")</f>
        <v>diciembre</v>
      </c>
      <c r="C1460" t="s">
        <v>1470</v>
      </c>
      <c r="D1460" t="s">
        <v>5025</v>
      </c>
      <c r="E1460" t="s">
        <v>5033</v>
      </c>
      <c r="F1460" t="s">
        <v>5036</v>
      </c>
      <c r="G1460" s="3">
        <v>13795.13</v>
      </c>
      <c r="H1460" s="3">
        <v>1793.37</v>
      </c>
      <c r="I1460" s="3">
        <f>SUM(Tabla1[[#This Row],[Monto_Base]],H1460)</f>
        <v>15588.5</v>
      </c>
      <c r="J1460" t="s">
        <v>5045</v>
      </c>
      <c r="K1460" t="s">
        <v>5048</v>
      </c>
      <c r="L1460" t="s">
        <v>5052</v>
      </c>
      <c r="M1460" t="s">
        <v>5054</v>
      </c>
    </row>
    <row r="1461" spans="1:13" x14ac:dyDescent="0.3">
      <c r="A1461" s="1">
        <v>45588</v>
      </c>
      <c r="B1461" s="1" t="str">
        <f>TEXT(Tabla1[[#This Row],[Fecha]],"MMMM")</f>
        <v>octubre</v>
      </c>
      <c r="C1461" t="s">
        <v>1471</v>
      </c>
      <c r="D1461" t="s">
        <v>5013</v>
      </c>
      <c r="E1461" t="s">
        <v>5033</v>
      </c>
      <c r="F1461" t="s">
        <v>5041</v>
      </c>
      <c r="G1461" s="3">
        <v>13053.39</v>
      </c>
      <c r="H1461" s="3">
        <v>1696.94</v>
      </c>
      <c r="I1461" s="3">
        <f>SUM(Tabla1[[#This Row],[Monto_Base]],H1461)</f>
        <v>14750.33</v>
      </c>
      <c r="J1461" t="s">
        <v>5042</v>
      </c>
      <c r="K1461" t="s">
        <v>5048</v>
      </c>
      <c r="L1461" t="s">
        <v>5051</v>
      </c>
      <c r="M1461" t="s">
        <v>5054</v>
      </c>
    </row>
    <row r="1462" spans="1:13" x14ac:dyDescent="0.3">
      <c r="A1462" s="1">
        <v>45639</v>
      </c>
      <c r="B1462" s="1" t="str">
        <f>TEXT(Tabla1[[#This Row],[Fecha]],"MMMM")</f>
        <v>diciembre</v>
      </c>
      <c r="C1462" t="s">
        <v>1472</v>
      </c>
      <c r="D1462" t="s">
        <v>5030</v>
      </c>
      <c r="E1462" t="s">
        <v>5033</v>
      </c>
      <c r="F1462" t="s">
        <v>5034</v>
      </c>
      <c r="G1462" s="3">
        <v>1024.1099999999999</v>
      </c>
      <c r="H1462" s="3">
        <v>133.13</v>
      </c>
      <c r="I1462" s="3">
        <f>SUM(Tabla1[[#This Row],[Monto_Base]],H1462)</f>
        <v>1157.2399999999998</v>
      </c>
      <c r="J1462" t="s">
        <v>5043</v>
      </c>
      <c r="K1462" t="s">
        <v>5047</v>
      </c>
      <c r="L1462" t="s">
        <v>5053</v>
      </c>
      <c r="M1462" t="s">
        <v>5055</v>
      </c>
    </row>
    <row r="1463" spans="1:13" x14ac:dyDescent="0.3">
      <c r="A1463" s="1">
        <v>45587</v>
      </c>
      <c r="B1463" s="1" t="str">
        <f>TEXT(Tabla1[[#This Row],[Fecha]],"MMMM")</f>
        <v>octubre</v>
      </c>
      <c r="C1463" t="s">
        <v>1473</v>
      </c>
      <c r="D1463" t="s">
        <v>5025</v>
      </c>
      <c r="E1463" t="s">
        <v>5032</v>
      </c>
      <c r="F1463" t="s">
        <v>5039</v>
      </c>
      <c r="G1463" s="3">
        <v>14594.96</v>
      </c>
      <c r="H1463" s="3">
        <v>0</v>
      </c>
      <c r="I1463" s="3">
        <f>SUM(Tabla1[[#This Row],[Monto_Base]],H1463)</f>
        <v>14594.96</v>
      </c>
      <c r="J1463" t="s">
        <v>5045</v>
      </c>
      <c r="K1463" t="s">
        <v>5049</v>
      </c>
      <c r="L1463" t="s">
        <v>5053</v>
      </c>
      <c r="M1463" t="s">
        <v>5055</v>
      </c>
    </row>
    <row r="1464" spans="1:13" x14ac:dyDescent="0.3">
      <c r="A1464" s="1">
        <v>45431</v>
      </c>
      <c r="B1464" s="1" t="str">
        <f>TEXT(Tabla1[[#This Row],[Fecha]],"MMMM")</f>
        <v>mayo</v>
      </c>
      <c r="C1464" t="s">
        <v>1474</v>
      </c>
      <c r="D1464" t="s">
        <v>5025</v>
      </c>
      <c r="E1464" t="s">
        <v>5033</v>
      </c>
      <c r="F1464" t="s">
        <v>5038</v>
      </c>
      <c r="G1464" s="3">
        <v>414.97</v>
      </c>
      <c r="H1464" s="3">
        <v>53.95</v>
      </c>
      <c r="I1464" s="3">
        <f>SUM(Tabla1[[#This Row],[Monto_Base]],H1464)</f>
        <v>468.92</v>
      </c>
      <c r="J1464" t="s">
        <v>5046</v>
      </c>
      <c r="K1464" t="s">
        <v>5047</v>
      </c>
      <c r="L1464" t="s">
        <v>5050</v>
      </c>
      <c r="M1464" t="s">
        <v>5054</v>
      </c>
    </row>
    <row r="1465" spans="1:13" x14ac:dyDescent="0.3">
      <c r="A1465" s="1">
        <v>45316</v>
      </c>
      <c r="B1465" s="1" t="str">
        <f>TEXT(Tabla1[[#This Row],[Fecha]],"MMMM")</f>
        <v>enero</v>
      </c>
      <c r="C1465" t="s">
        <v>1475</v>
      </c>
      <c r="D1465" t="s">
        <v>5031</v>
      </c>
      <c r="E1465" t="s">
        <v>5032</v>
      </c>
      <c r="F1465" t="s">
        <v>5041</v>
      </c>
      <c r="G1465" s="3">
        <v>11889.86</v>
      </c>
      <c r="H1465" s="3">
        <v>0</v>
      </c>
      <c r="I1465" s="3">
        <f>SUM(Tabla1[[#This Row],[Monto_Base]],H1465)</f>
        <v>11889.86</v>
      </c>
      <c r="J1465" t="s">
        <v>5044</v>
      </c>
      <c r="K1465" t="s">
        <v>5048</v>
      </c>
      <c r="L1465" t="s">
        <v>5053</v>
      </c>
      <c r="M1465" t="s">
        <v>5055</v>
      </c>
    </row>
    <row r="1466" spans="1:13" x14ac:dyDescent="0.3">
      <c r="A1466" s="1">
        <v>45482</v>
      </c>
      <c r="B1466" s="1" t="str">
        <f>TEXT(Tabla1[[#This Row],[Fecha]],"MMMM")</f>
        <v>julio</v>
      </c>
      <c r="C1466" t="s">
        <v>1476</v>
      </c>
      <c r="D1466" t="s">
        <v>5025</v>
      </c>
      <c r="E1466" t="s">
        <v>5033</v>
      </c>
      <c r="F1466" t="s">
        <v>5040</v>
      </c>
      <c r="G1466" s="3">
        <v>9896.09</v>
      </c>
      <c r="H1466" s="3">
        <v>1286.49</v>
      </c>
      <c r="I1466" s="3">
        <f>SUM(Tabla1[[#This Row],[Monto_Base]],H1466)</f>
        <v>11182.58</v>
      </c>
      <c r="J1466" t="s">
        <v>5042</v>
      </c>
      <c r="K1466" t="s">
        <v>5049</v>
      </c>
      <c r="L1466" t="s">
        <v>5052</v>
      </c>
      <c r="M1466" t="s">
        <v>5055</v>
      </c>
    </row>
    <row r="1467" spans="1:13" x14ac:dyDescent="0.3">
      <c r="A1467" s="1">
        <v>45469</v>
      </c>
      <c r="B1467" s="1" t="str">
        <f>TEXT(Tabla1[[#This Row],[Fecha]],"MMMM")</f>
        <v>junio</v>
      </c>
      <c r="C1467" t="s">
        <v>1477</v>
      </c>
      <c r="D1467" t="s">
        <v>5019</v>
      </c>
      <c r="E1467" t="s">
        <v>5033</v>
      </c>
      <c r="F1467" t="s">
        <v>5037</v>
      </c>
      <c r="G1467" s="3">
        <v>5613.04</v>
      </c>
      <c r="H1467" s="3">
        <v>729.7</v>
      </c>
      <c r="I1467" s="3">
        <f>SUM(Tabla1[[#This Row],[Monto_Base]],H1467)</f>
        <v>6342.74</v>
      </c>
      <c r="J1467" t="s">
        <v>5044</v>
      </c>
      <c r="K1467" t="s">
        <v>5047</v>
      </c>
      <c r="L1467" t="s">
        <v>5050</v>
      </c>
      <c r="M1467" t="s">
        <v>5055</v>
      </c>
    </row>
    <row r="1468" spans="1:13" x14ac:dyDescent="0.3">
      <c r="A1468" s="1">
        <v>45462</v>
      </c>
      <c r="B1468" s="1" t="str">
        <f>TEXT(Tabla1[[#This Row],[Fecha]],"MMMM")</f>
        <v>junio</v>
      </c>
      <c r="C1468" t="s">
        <v>1478</v>
      </c>
      <c r="D1468" t="s">
        <v>5019</v>
      </c>
      <c r="E1468" t="s">
        <v>5033</v>
      </c>
      <c r="F1468" t="s">
        <v>5038</v>
      </c>
      <c r="G1468" s="3">
        <v>13277.35</v>
      </c>
      <c r="H1468" s="3">
        <v>1726.06</v>
      </c>
      <c r="I1468" s="3">
        <f>SUM(Tabla1[[#This Row],[Monto_Base]],H1468)</f>
        <v>15003.41</v>
      </c>
      <c r="J1468" t="s">
        <v>5044</v>
      </c>
      <c r="K1468" t="s">
        <v>5049</v>
      </c>
      <c r="L1468" t="s">
        <v>5050</v>
      </c>
      <c r="M1468" t="s">
        <v>5055</v>
      </c>
    </row>
    <row r="1469" spans="1:13" x14ac:dyDescent="0.3">
      <c r="A1469" s="1">
        <v>45568</v>
      </c>
      <c r="B1469" s="1" t="str">
        <f>TEXT(Tabla1[[#This Row],[Fecha]],"MMMM")</f>
        <v>octubre</v>
      </c>
      <c r="C1469" t="s">
        <v>1479</v>
      </c>
      <c r="D1469" t="s">
        <v>5012</v>
      </c>
      <c r="E1469" t="s">
        <v>5032</v>
      </c>
      <c r="F1469" t="s">
        <v>5039</v>
      </c>
      <c r="G1469" s="3">
        <v>9001.9500000000007</v>
      </c>
      <c r="H1469" s="3">
        <v>0</v>
      </c>
      <c r="I1469" s="3">
        <f>SUM(Tabla1[[#This Row],[Monto_Base]],H1469)</f>
        <v>9001.9500000000007</v>
      </c>
      <c r="J1469" t="s">
        <v>5046</v>
      </c>
      <c r="K1469" t="s">
        <v>5049</v>
      </c>
      <c r="L1469" t="s">
        <v>5052</v>
      </c>
      <c r="M1469" t="s">
        <v>5054</v>
      </c>
    </row>
    <row r="1470" spans="1:13" x14ac:dyDescent="0.3">
      <c r="A1470" s="1">
        <v>45570</v>
      </c>
      <c r="B1470" s="1" t="str">
        <f>TEXT(Tabla1[[#This Row],[Fecha]],"MMMM")</f>
        <v>octubre</v>
      </c>
      <c r="C1470" t="s">
        <v>1480</v>
      </c>
      <c r="D1470" t="s">
        <v>5030</v>
      </c>
      <c r="E1470" t="s">
        <v>5032</v>
      </c>
      <c r="F1470" t="s">
        <v>5036</v>
      </c>
      <c r="G1470" s="3">
        <v>14858.03</v>
      </c>
      <c r="H1470" s="3">
        <v>0</v>
      </c>
      <c r="I1470" s="3">
        <f>SUM(Tabla1[[#This Row],[Monto_Base]],H1470)</f>
        <v>14858.03</v>
      </c>
      <c r="J1470" t="s">
        <v>5045</v>
      </c>
      <c r="K1470" t="s">
        <v>5049</v>
      </c>
      <c r="L1470" t="s">
        <v>5053</v>
      </c>
      <c r="M1470" t="s">
        <v>5054</v>
      </c>
    </row>
    <row r="1471" spans="1:13" x14ac:dyDescent="0.3">
      <c r="A1471" s="1">
        <v>45463</v>
      </c>
      <c r="B1471" s="1" t="str">
        <f>TEXT(Tabla1[[#This Row],[Fecha]],"MMMM")</f>
        <v>junio</v>
      </c>
      <c r="C1471" t="s">
        <v>1481</v>
      </c>
      <c r="D1471" t="s">
        <v>5016</v>
      </c>
      <c r="E1471" t="s">
        <v>5033</v>
      </c>
      <c r="F1471" t="s">
        <v>5034</v>
      </c>
      <c r="G1471" s="3">
        <v>10275.959999999999</v>
      </c>
      <c r="H1471" s="3">
        <v>1335.87</v>
      </c>
      <c r="I1471" s="3">
        <f>SUM(Tabla1[[#This Row],[Monto_Base]],H1471)</f>
        <v>11611.829999999998</v>
      </c>
      <c r="J1471" t="s">
        <v>5043</v>
      </c>
      <c r="K1471" t="s">
        <v>5047</v>
      </c>
      <c r="L1471" t="s">
        <v>5051</v>
      </c>
      <c r="M1471" t="s">
        <v>5055</v>
      </c>
    </row>
    <row r="1472" spans="1:13" x14ac:dyDescent="0.3">
      <c r="A1472" s="1">
        <v>45500</v>
      </c>
      <c r="B1472" s="1" t="str">
        <f>TEXT(Tabla1[[#This Row],[Fecha]],"MMMM")</f>
        <v>julio</v>
      </c>
      <c r="C1472" t="s">
        <v>1482</v>
      </c>
      <c r="D1472" t="s">
        <v>5016</v>
      </c>
      <c r="E1472" t="s">
        <v>5032</v>
      </c>
      <c r="F1472" t="s">
        <v>5034</v>
      </c>
      <c r="G1472" s="3">
        <v>8676.44</v>
      </c>
      <c r="H1472" s="3">
        <v>0</v>
      </c>
      <c r="I1472" s="3">
        <f>SUM(Tabla1[[#This Row],[Monto_Base]],H1472)</f>
        <v>8676.44</v>
      </c>
      <c r="J1472" t="s">
        <v>5045</v>
      </c>
      <c r="K1472" t="s">
        <v>5047</v>
      </c>
      <c r="L1472" t="s">
        <v>5050</v>
      </c>
      <c r="M1472" t="s">
        <v>5054</v>
      </c>
    </row>
    <row r="1473" spans="1:13" x14ac:dyDescent="0.3">
      <c r="A1473" s="1">
        <v>45328</v>
      </c>
      <c r="B1473" s="1" t="str">
        <f>TEXT(Tabla1[[#This Row],[Fecha]],"MMMM")</f>
        <v>febrero</v>
      </c>
      <c r="C1473" t="s">
        <v>1483</v>
      </c>
      <c r="D1473" t="s">
        <v>5012</v>
      </c>
      <c r="E1473" t="s">
        <v>5033</v>
      </c>
      <c r="F1473" t="s">
        <v>5041</v>
      </c>
      <c r="G1473" s="3">
        <v>2208.12</v>
      </c>
      <c r="H1473" s="3">
        <v>287.06</v>
      </c>
      <c r="I1473" s="3">
        <f>SUM(Tabla1[[#This Row],[Monto_Base]],H1473)</f>
        <v>2495.1799999999998</v>
      </c>
      <c r="J1473" t="s">
        <v>5044</v>
      </c>
      <c r="K1473" t="s">
        <v>5047</v>
      </c>
      <c r="L1473" t="s">
        <v>5050</v>
      </c>
      <c r="M1473" t="s">
        <v>5055</v>
      </c>
    </row>
    <row r="1474" spans="1:13" x14ac:dyDescent="0.3">
      <c r="A1474" s="1">
        <v>45307</v>
      </c>
      <c r="B1474" s="1" t="str">
        <f>TEXT(Tabla1[[#This Row],[Fecha]],"MMMM")</f>
        <v>enero</v>
      </c>
      <c r="C1474" t="s">
        <v>1484</v>
      </c>
      <c r="D1474" t="s">
        <v>5023</v>
      </c>
      <c r="E1474" t="s">
        <v>5033</v>
      </c>
      <c r="F1474" t="s">
        <v>5034</v>
      </c>
      <c r="G1474" s="3">
        <v>401.41</v>
      </c>
      <c r="H1474" s="3">
        <v>52.18</v>
      </c>
      <c r="I1474" s="3">
        <f>SUM(Tabla1[[#This Row],[Monto_Base]],H1474)</f>
        <v>453.59000000000003</v>
      </c>
      <c r="J1474" t="s">
        <v>5044</v>
      </c>
      <c r="K1474" t="s">
        <v>5047</v>
      </c>
      <c r="L1474" t="s">
        <v>5052</v>
      </c>
      <c r="M1474" t="s">
        <v>5054</v>
      </c>
    </row>
    <row r="1475" spans="1:13" x14ac:dyDescent="0.3">
      <c r="A1475" s="1">
        <v>45508</v>
      </c>
      <c r="B1475" s="1" t="str">
        <f>TEXT(Tabla1[[#This Row],[Fecha]],"MMMM")</f>
        <v>agosto</v>
      </c>
      <c r="C1475" t="s">
        <v>1485</v>
      </c>
      <c r="D1475" t="s">
        <v>5013</v>
      </c>
      <c r="E1475" t="s">
        <v>5032</v>
      </c>
      <c r="F1475" t="s">
        <v>5041</v>
      </c>
      <c r="G1475" s="3">
        <v>14267.64</v>
      </c>
      <c r="H1475" s="3">
        <v>0</v>
      </c>
      <c r="I1475" s="3">
        <f>SUM(Tabla1[[#This Row],[Monto_Base]],H1475)</f>
        <v>14267.64</v>
      </c>
      <c r="J1475" t="s">
        <v>5044</v>
      </c>
      <c r="K1475" t="s">
        <v>5049</v>
      </c>
      <c r="L1475" t="s">
        <v>5050</v>
      </c>
      <c r="M1475" t="s">
        <v>5054</v>
      </c>
    </row>
    <row r="1476" spans="1:13" x14ac:dyDescent="0.3">
      <c r="A1476" s="1">
        <v>45511</v>
      </c>
      <c r="B1476" s="1" t="str">
        <f>TEXT(Tabla1[[#This Row],[Fecha]],"MMMM")</f>
        <v>agosto</v>
      </c>
      <c r="C1476" t="s">
        <v>1486</v>
      </c>
      <c r="D1476" t="s">
        <v>5020</v>
      </c>
      <c r="E1476" t="s">
        <v>5032</v>
      </c>
      <c r="F1476" t="s">
        <v>5040</v>
      </c>
      <c r="G1476" s="3">
        <v>3166.3</v>
      </c>
      <c r="H1476" s="3">
        <v>0</v>
      </c>
      <c r="I1476" s="3">
        <f>SUM(Tabla1[[#This Row],[Monto_Base]],H1476)</f>
        <v>3166.3</v>
      </c>
      <c r="J1476" t="s">
        <v>5042</v>
      </c>
      <c r="K1476" t="s">
        <v>5049</v>
      </c>
      <c r="L1476" t="s">
        <v>5050</v>
      </c>
      <c r="M1476" t="s">
        <v>5054</v>
      </c>
    </row>
    <row r="1477" spans="1:13" x14ac:dyDescent="0.3">
      <c r="A1477" s="1">
        <v>45422</v>
      </c>
      <c r="B1477" s="1" t="str">
        <f>TEXT(Tabla1[[#This Row],[Fecha]],"MMMM")</f>
        <v>mayo</v>
      </c>
      <c r="C1477" t="s">
        <v>1487</v>
      </c>
      <c r="D1477" t="s">
        <v>5022</v>
      </c>
      <c r="E1477" t="s">
        <v>5032</v>
      </c>
      <c r="F1477" t="s">
        <v>5040</v>
      </c>
      <c r="G1477" s="3">
        <v>5304.88</v>
      </c>
      <c r="H1477" s="3">
        <v>0</v>
      </c>
      <c r="I1477" s="3">
        <f>SUM(Tabla1[[#This Row],[Monto_Base]],H1477)</f>
        <v>5304.88</v>
      </c>
      <c r="J1477" t="s">
        <v>5043</v>
      </c>
      <c r="K1477" t="s">
        <v>5048</v>
      </c>
      <c r="L1477" t="s">
        <v>5053</v>
      </c>
      <c r="M1477" t="s">
        <v>5055</v>
      </c>
    </row>
    <row r="1478" spans="1:13" x14ac:dyDescent="0.3">
      <c r="A1478" s="1">
        <v>45541</v>
      </c>
      <c r="B1478" s="1" t="str">
        <f>TEXT(Tabla1[[#This Row],[Fecha]],"MMMM")</f>
        <v>septiembre</v>
      </c>
      <c r="C1478" t="s">
        <v>1488</v>
      </c>
      <c r="D1478" t="s">
        <v>5025</v>
      </c>
      <c r="E1478" t="s">
        <v>5033</v>
      </c>
      <c r="F1478" t="s">
        <v>5037</v>
      </c>
      <c r="G1478" s="3">
        <v>628.14</v>
      </c>
      <c r="H1478" s="3">
        <v>81.66</v>
      </c>
      <c r="I1478" s="3">
        <f>SUM(Tabla1[[#This Row],[Monto_Base]],H1478)</f>
        <v>709.8</v>
      </c>
      <c r="J1478" t="s">
        <v>5045</v>
      </c>
      <c r="K1478" t="s">
        <v>5048</v>
      </c>
      <c r="L1478" t="s">
        <v>5051</v>
      </c>
      <c r="M1478" t="s">
        <v>5054</v>
      </c>
    </row>
    <row r="1479" spans="1:13" x14ac:dyDescent="0.3">
      <c r="A1479" s="1">
        <v>45464</v>
      </c>
      <c r="B1479" s="1" t="str">
        <f>TEXT(Tabla1[[#This Row],[Fecha]],"MMMM")</f>
        <v>junio</v>
      </c>
      <c r="C1479" t="s">
        <v>1489</v>
      </c>
      <c r="D1479" t="s">
        <v>5017</v>
      </c>
      <c r="E1479" t="s">
        <v>5033</v>
      </c>
      <c r="F1479" t="s">
        <v>5041</v>
      </c>
      <c r="G1479" s="3">
        <v>5728.77</v>
      </c>
      <c r="H1479" s="3">
        <v>744.74</v>
      </c>
      <c r="I1479" s="3">
        <f>SUM(Tabla1[[#This Row],[Monto_Base]],H1479)</f>
        <v>6473.51</v>
      </c>
      <c r="J1479" t="s">
        <v>5046</v>
      </c>
      <c r="K1479" t="s">
        <v>5049</v>
      </c>
      <c r="L1479" t="s">
        <v>5050</v>
      </c>
      <c r="M1479" t="s">
        <v>5054</v>
      </c>
    </row>
    <row r="1480" spans="1:13" x14ac:dyDescent="0.3">
      <c r="A1480" s="1">
        <v>45340</v>
      </c>
      <c r="B1480" s="1" t="str">
        <f>TEXT(Tabla1[[#This Row],[Fecha]],"MMMM")</f>
        <v>febrero</v>
      </c>
      <c r="C1480" t="s">
        <v>1490</v>
      </c>
      <c r="D1480" t="s">
        <v>5029</v>
      </c>
      <c r="E1480" t="s">
        <v>5032</v>
      </c>
      <c r="F1480" t="s">
        <v>5034</v>
      </c>
      <c r="G1480" s="3">
        <v>9225.07</v>
      </c>
      <c r="H1480" s="3">
        <v>0</v>
      </c>
      <c r="I1480" s="3">
        <f>SUM(Tabla1[[#This Row],[Monto_Base]],H1480)</f>
        <v>9225.07</v>
      </c>
      <c r="J1480" t="s">
        <v>5045</v>
      </c>
      <c r="K1480" t="s">
        <v>5049</v>
      </c>
      <c r="L1480" t="s">
        <v>5052</v>
      </c>
      <c r="M1480" t="s">
        <v>5054</v>
      </c>
    </row>
    <row r="1481" spans="1:13" x14ac:dyDescent="0.3">
      <c r="A1481" s="1">
        <v>45581</v>
      </c>
      <c r="B1481" s="1" t="str">
        <f>TEXT(Tabla1[[#This Row],[Fecha]],"MMMM")</f>
        <v>octubre</v>
      </c>
      <c r="C1481" t="s">
        <v>1491</v>
      </c>
      <c r="D1481" t="s">
        <v>5030</v>
      </c>
      <c r="E1481" t="s">
        <v>5033</v>
      </c>
      <c r="F1481" t="s">
        <v>5041</v>
      </c>
      <c r="G1481" s="3">
        <v>4157.38</v>
      </c>
      <c r="H1481" s="3">
        <v>540.46</v>
      </c>
      <c r="I1481" s="3">
        <f>SUM(Tabla1[[#This Row],[Monto_Base]],H1481)</f>
        <v>4697.84</v>
      </c>
      <c r="J1481" t="s">
        <v>5043</v>
      </c>
      <c r="K1481" t="s">
        <v>5049</v>
      </c>
      <c r="L1481" t="s">
        <v>5053</v>
      </c>
      <c r="M1481" t="s">
        <v>5055</v>
      </c>
    </row>
    <row r="1482" spans="1:13" x14ac:dyDescent="0.3">
      <c r="A1482" s="1">
        <v>45442</v>
      </c>
      <c r="B1482" s="1" t="str">
        <f>TEXT(Tabla1[[#This Row],[Fecha]],"MMMM")</f>
        <v>mayo</v>
      </c>
      <c r="C1482" t="s">
        <v>1492</v>
      </c>
      <c r="D1482" t="s">
        <v>5023</v>
      </c>
      <c r="E1482" t="s">
        <v>5032</v>
      </c>
      <c r="F1482" t="s">
        <v>5039</v>
      </c>
      <c r="G1482" s="3">
        <v>13538.81</v>
      </c>
      <c r="H1482" s="3">
        <v>0</v>
      </c>
      <c r="I1482" s="3">
        <f>SUM(Tabla1[[#This Row],[Monto_Base]],H1482)</f>
        <v>13538.81</v>
      </c>
      <c r="J1482" t="s">
        <v>5046</v>
      </c>
      <c r="K1482" t="s">
        <v>5047</v>
      </c>
      <c r="L1482" t="s">
        <v>5051</v>
      </c>
      <c r="M1482" t="s">
        <v>5055</v>
      </c>
    </row>
    <row r="1483" spans="1:13" x14ac:dyDescent="0.3">
      <c r="A1483" s="1">
        <v>45540</v>
      </c>
      <c r="B1483" s="1" t="str">
        <f>TEXT(Tabla1[[#This Row],[Fecha]],"MMMM")</f>
        <v>septiembre</v>
      </c>
      <c r="C1483" t="s">
        <v>1493</v>
      </c>
      <c r="D1483" t="s">
        <v>5030</v>
      </c>
      <c r="E1483" t="s">
        <v>5033</v>
      </c>
      <c r="F1483" t="s">
        <v>5036</v>
      </c>
      <c r="G1483" s="3">
        <v>3026.89</v>
      </c>
      <c r="H1483" s="3">
        <v>393.5</v>
      </c>
      <c r="I1483" s="3">
        <f>SUM(Tabla1[[#This Row],[Monto_Base]],H1483)</f>
        <v>3420.39</v>
      </c>
      <c r="J1483" t="s">
        <v>5046</v>
      </c>
      <c r="K1483" t="s">
        <v>5047</v>
      </c>
      <c r="L1483" t="s">
        <v>5050</v>
      </c>
      <c r="M1483" t="s">
        <v>5054</v>
      </c>
    </row>
    <row r="1484" spans="1:13" x14ac:dyDescent="0.3">
      <c r="A1484" s="1">
        <v>45641</v>
      </c>
      <c r="B1484" s="1" t="str">
        <f>TEXT(Tabla1[[#This Row],[Fecha]],"MMMM")</f>
        <v>diciembre</v>
      </c>
      <c r="C1484" t="s">
        <v>1494</v>
      </c>
      <c r="D1484" t="s">
        <v>5022</v>
      </c>
      <c r="E1484" t="s">
        <v>5032</v>
      </c>
      <c r="F1484" t="s">
        <v>5039</v>
      </c>
      <c r="G1484" s="3">
        <v>3390.17</v>
      </c>
      <c r="H1484" s="3">
        <v>0</v>
      </c>
      <c r="I1484" s="3">
        <f>SUM(Tabla1[[#This Row],[Monto_Base]],H1484)</f>
        <v>3390.17</v>
      </c>
      <c r="J1484" t="s">
        <v>5042</v>
      </c>
      <c r="K1484" t="s">
        <v>5048</v>
      </c>
      <c r="L1484" t="s">
        <v>5052</v>
      </c>
      <c r="M1484" t="s">
        <v>5055</v>
      </c>
    </row>
    <row r="1485" spans="1:13" x14ac:dyDescent="0.3">
      <c r="A1485" s="1">
        <v>45601</v>
      </c>
      <c r="B1485" s="1" t="str">
        <f>TEXT(Tabla1[[#This Row],[Fecha]],"MMMM")</f>
        <v>noviembre</v>
      </c>
      <c r="C1485" t="s">
        <v>1495</v>
      </c>
      <c r="D1485" t="s">
        <v>5013</v>
      </c>
      <c r="E1485" t="s">
        <v>5033</v>
      </c>
      <c r="F1485" t="s">
        <v>5039</v>
      </c>
      <c r="G1485" s="3">
        <v>2023.39</v>
      </c>
      <c r="H1485" s="3">
        <v>263.04000000000002</v>
      </c>
      <c r="I1485" s="3">
        <f>SUM(Tabla1[[#This Row],[Monto_Base]],H1485)</f>
        <v>2286.4300000000003</v>
      </c>
      <c r="J1485" t="s">
        <v>5042</v>
      </c>
      <c r="K1485" t="s">
        <v>5047</v>
      </c>
      <c r="L1485" t="s">
        <v>5050</v>
      </c>
      <c r="M1485" t="s">
        <v>5055</v>
      </c>
    </row>
    <row r="1486" spans="1:13" x14ac:dyDescent="0.3">
      <c r="A1486" s="1">
        <v>45346</v>
      </c>
      <c r="B1486" s="1" t="str">
        <f>TEXT(Tabla1[[#This Row],[Fecha]],"MMMM")</f>
        <v>febrero</v>
      </c>
      <c r="C1486" t="s">
        <v>1496</v>
      </c>
      <c r="D1486" t="s">
        <v>5019</v>
      </c>
      <c r="E1486" t="s">
        <v>5033</v>
      </c>
      <c r="F1486" t="s">
        <v>5040</v>
      </c>
      <c r="G1486" s="3">
        <v>9540.74</v>
      </c>
      <c r="H1486" s="3">
        <v>1240.3</v>
      </c>
      <c r="I1486" s="3">
        <f>SUM(Tabla1[[#This Row],[Monto_Base]],H1486)</f>
        <v>10781.039999999999</v>
      </c>
      <c r="J1486" t="s">
        <v>5043</v>
      </c>
      <c r="K1486" t="s">
        <v>5048</v>
      </c>
      <c r="L1486" t="s">
        <v>5053</v>
      </c>
      <c r="M1486" t="s">
        <v>5055</v>
      </c>
    </row>
    <row r="1487" spans="1:13" x14ac:dyDescent="0.3">
      <c r="A1487" s="1">
        <v>45426</v>
      </c>
      <c r="B1487" s="1" t="str">
        <f>TEXT(Tabla1[[#This Row],[Fecha]],"MMMM")</f>
        <v>mayo</v>
      </c>
      <c r="C1487" t="s">
        <v>1497</v>
      </c>
      <c r="D1487" t="s">
        <v>5016</v>
      </c>
      <c r="E1487" t="s">
        <v>5032</v>
      </c>
      <c r="F1487" t="s">
        <v>5036</v>
      </c>
      <c r="G1487" s="3">
        <v>1024.3699999999999</v>
      </c>
      <c r="H1487" s="3">
        <v>0</v>
      </c>
      <c r="I1487" s="3">
        <f>SUM(Tabla1[[#This Row],[Monto_Base]],H1487)</f>
        <v>1024.3699999999999</v>
      </c>
      <c r="J1487" t="s">
        <v>5044</v>
      </c>
      <c r="K1487" t="s">
        <v>5048</v>
      </c>
      <c r="L1487" t="s">
        <v>5050</v>
      </c>
      <c r="M1487" t="s">
        <v>5054</v>
      </c>
    </row>
    <row r="1488" spans="1:13" x14ac:dyDescent="0.3">
      <c r="A1488" s="1">
        <v>45387</v>
      </c>
      <c r="B1488" s="1" t="str">
        <f>TEXT(Tabla1[[#This Row],[Fecha]],"MMMM")</f>
        <v>abril</v>
      </c>
      <c r="C1488" t="s">
        <v>1498</v>
      </c>
      <c r="D1488" t="s">
        <v>5013</v>
      </c>
      <c r="E1488" t="s">
        <v>5033</v>
      </c>
      <c r="F1488" t="s">
        <v>5039</v>
      </c>
      <c r="G1488" s="3">
        <v>1341.34</v>
      </c>
      <c r="H1488" s="3">
        <v>174.37</v>
      </c>
      <c r="I1488" s="3">
        <f>SUM(Tabla1[[#This Row],[Monto_Base]],H1488)</f>
        <v>1515.71</v>
      </c>
      <c r="J1488" t="s">
        <v>5046</v>
      </c>
      <c r="K1488" t="s">
        <v>5048</v>
      </c>
      <c r="L1488" t="s">
        <v>5051</v>
      </c>
      <c r="M1488" t="s">
        <v>5055</v>
      </c>
    </row>
    <row r="1489" spans="1:13" x14ac:dyDescent="0.3">
      <c r="A1489" s="1">
        <v>45312</v>
      </c>
      <c r="B1489" s="1" t="str">
        <f>TEXT(Tabla1[[#This Row],[Fecha]],"MMMM")</f>
        <v>enero</v>
      </c>
      <c r="C1489" t="s">
        <v>1499</v>
      </c>
      <c r="D1489" t="s">
        <v>5030</v>
      </c>
      <c r="E1489" t="s">
        <v>5033</v>
      </c>
      <c r="F1489" t="s">
        <v>5037</v>
      </c>
      <c r="G1489" s="3">
        <v>1781.95</v>
      </c>
      <c r="H1489" s="3">
        <v>231.65</v>
      </c>
      <c r="I1489" s="3">
        <f>SUM(Tabla1[[#This Row],[Monto_Base]],H1489)</f>
        <v>2013.6000000000001</v>
      </c>
      <c r="J1489" t="s">
        <v>5046</v>
      </c>
      <c r="K1489" t="s">
        <v>5047</v>
      </c>
      <c r="L1489" t="s">
        <v>5052</v>
      </c>
      <c r="M1489" t="s">
        <v>5055</v>
      </c>
    </row>
    <row r="1490" spans="1:13" x14ac:dyDescent="0.3">
      <c r="A1490" s="1">
        <v>45298</v>
      </c>
      <c r="B1490" s="1" t="str">
        <f>TEXT(Tabla1[[#This Row],[Fecha]],"MMMM")</f>
        <v>enero</v>
      </c>
      <c r="C1490" t="s">
        <v>1500</v>
      </c>
      <c r="D1490" t="s">
        <v>5027</v>
      </c>
      <c r="E1490" t="s">
        <v>5033</v>
      </c>
      <c r="F1490" t="s">
        <v>5040</v>
      </c>
      <c r="G1490" s="3">
        <v>946.91</v>
      </c>
      <c r="H1490" s="3">
        <v>123.1</v>
      </c>
      <c r="I1490" s="3">
        <f>SUM(Tabla1[[#This Row],[Monto_Base]],H1490)</f>
        <v>1070.01</v>
      </c>
      <c r="J1490" t="s">
        <v>5045</v>
      </c>
      <c r="K1490" t="s">
        <v>5049</v>
      </c>
      <c r="L1490" t="s">
        <v>5051</v>
      </c>
      <c r="M1490" t="s">
        <v>5054</v>
      </c>
    </row>
    <row r="1491" spans="1:13" x14ac:dyDescent="0.3">
      <c r="A1491" s="1">
        <v>45401</v>
      </c>
      <c r="B1491" s="1" t="str">
        <f>TEXT(Tabla1[[#This Row],[Fecha]],"MMMM")</f>
        <v>abril</v>
      </c>
      <c r="C1491" t="s">
        <v>1501</v>
      </c>
      <c r="D1491" t="s">
        <v>5028</v>
      </c>
      <c r="E1491" t="s">
        <v>5032</v>
      </c>
      <c r="F1491" t="s">
        <v>5034</v>
      </c>
      <c r="G1491" s="3">
        <v>12915.76</v>
      </c>
      <c r="H1491" s="3">
        <v>0</v>
      </c>
      <c r="I1491" s="3">
        <f>SUM(Tabla1[[#This Row],[Monto_Base]],H1491)</f>
        <v>12915.76</v>
      </c>
      <c r="J1491" t="s">
        <v>5046</v>
      </c>
      <c r="K1491" t="s">
        <v>5049</v>
      </c>
      <c r="L1491" t="s">
        <v>5050</v>
      </c>
      <c r="M1491" t="s">
        <v>5055</v>
      </c>
    </row>
    <row r="1492" spans="1:13" x14ac:dyDescent="0.3">
      <c r="A1492" s="1">
        <v>45616</v>
      </c>
      <c r="B1492" s="1" t="str">
        <f>TEXT(Tabla1[[#This Row],[Fecha]],"MMMM")</f>
        <v>noviembre</v>
      </c>
      <c r="C1492" t="s">
        <v>1502</v>
      </c>
      <c r="D1492" t="s">
        <v>5024</v>
      </c>
      <c r="E1492" t="s">
        <v>5033</v>
      </c>
      <c r="F1492" t="s">
        <v>5039</v>
      </c>
      <c r="G1492" s="3">
        <v>5848.47</v>
      </c>
      <c r="H1492" s="3">
        <v>760.3</v>
      </c>
      <c r="I1492" s="3">
        <f>SUM(Tabla1[[#This Row],[Monto_Base]],H1492)</f>
        <v>6608.77</v>
      </c>
      <c r="J1492" t="s">
        <v>5042</v>
      </c>
      <c r="K1492" t="s">
        <v>5047</v>
      </c>
      <c r="L1492" t="s">
        <v>5052</v>
      </c>
      <c r="M1492" t="s">
        <v>5054</v>
      </c>
    </row>
    <row r="1493" spans="1:13" x14ac:dyDescent="0.3">
      <c r="A1493" s="1">
        <v>45418</v>
      </c>
      <c r="B1493" s="1" t="str">
        <f>TEXT(Tabla1[[#This Row],[Fecha]],"MMMM")</f>
        <v>mayo</v>
      </c>
      <c r="C1493" t="s">
        <v>1503</v>
      </c>
      <c r="D1493" t="s">
        <v>5013</v>
      </c>
      <c r="E1493" t="s">
        <v>5032</v>
      </c>
      <c r="F1493" t="s">
        <v>5036</v>
      </c>
      <c r="G1493" s="3">
        <v>8514.0499999999993</v>
      </c>
      <c r="H1493" s="3">
        <v>0</v>
      </c>
      <c r="I1493" s="3">
        <f>SUM(Tabla1[[#This Row],[Monto_Base]],H1493)</f>
        <v>8514.0499999999993</v>
      </c>
      <c r="J1493" t="s">
        <v>5043</v>
      </c>
      <c r="K1493" t="s">
        <v>5049</v>
      </c>
      <c r="L1493" t="s">
        <v>5051</v>
      </c>
      <c r="M1493" t="s">
        <v>5054</v>
      </c>
    </row>
    <row r="1494" spans="1:13" x14ac:dyDescent="0.3">
      <c r="A1494" s="1">
        <v>45456</v>
      </c>
      <c r="B1494" s="1" t="str">
        <f>TEXT(Tabla1[[#This Row],[Fecha]],"MMMM")</f>
        <v>junio</v>
      </c>
      <c r="C1494" t="s">
        <v>1504</v>
      </c>
      <c r="D1494" t="s">
        <v>5019</v>
      </c>
      <c r="E1494" t="s">
        <v>5033</v>
      </c>
      <c r="F1494" t="s">
        <v>5037</v>
      </c>
      <c r="G1494" s="3">
        <v>691.49</v>
      </c>
      <c r="H1494" s="3">
        <v>89.89</v>
      </c>
      <c r="I1494" s="3">
        <f>SUM(Tabla1[[#This Row],[Monto_Base]],H1494)</f>
        <v>781.38</v>
      </c>
      <c r="J1494" t="s">
        <v>5043</v>
      </c>
      <c r="K1494" t="s">
        <v>5047</v>
      </c>
      <c r="L1494" t="s">
        <v>5052</v>
      </c>
      <c r="M1494" t="s">
        <v>5055</v>
      </c>
    </row>
    <row r="1495" spans="1:13" x14ac:dyDescent="0.3">
      <c r="A1495" s="1">
        <v>45552</v>
      </c>
      <c r="B1495" s="1" t="str">
        <f>TEXT(Tabla1[[#This Row],[Fecha]],"MMMM")</f>
        <v>septiembre</v>
      </c>
      <c r="C1495" t="s">
        <v>1505</v>
      </c>
      <c r="D1495" t="s">
        <v>5025</v>
      </c>
      <c r="E1495" t="s">
        <v>5033</v>
      </c>
      <c r="F1495" t="s">
        <v>5039</v>
      </c>
      <c r="G1495" s="3">
        <v>7216.52</v>
      </c>
      <c r="H1495" s="3">
        <v>938.15</v>
      </c>
      <c r="I1495" s="3">
        <f>SUM(Tabla1[[#This Row],[Monto_Base]],H1495)</f>
        <v>8154.67</v>
      </c>
      <c r="J1495" t="s">
        <v>5043</v>
      </c>
      <c r="K1495" t="s">
        <v>5049</v>
      </c>
      <c r="L1495" t="s">
        <v>5052</v>
      </c>
      <c r="M1495" t="s">
        <v>5054</v>
      </c>
    </row>
    <row r="1496" spans="1:13" x14ac:dyDescent="0.3">
      <c r="A1496" s="1">
        <v>45505</v>
      </c>
      <c r="B1496" s="1" t="str">
        <f>TEXT(Tabla1[[#This Row],[Fecha]],"MMMM")</f>
        <v>agosto</v>
      </c>
      <c r="C1496" t="s">
        <v>1506</v>
      </c>
      <c r="D1496" t="s">
        <v>5025</v>
      </c>
      <c r="E1496" t="s">
        <v>5033</v>
      </c>
      <c r="F1496" t="s">
        <v>5037</v>
      </c>
      <c r="G1496" s="3">
        <v>9017.34</v>
      </c>
      <c r="H1496" s="3">
        <v>1172.25</v>
      </c>
      <c r="I1496" s="3">
        <f>SUM(Tabla1[[#This Row],[Monto_Base]],H1496)</f>
        <v>10189.59</v>
      </c>
      <c r="J1496" t="s">
        <v>5045</v>
      </c>
      <c r="K1496" t="s">
        <v>5049</v>
      </c>
      <c r="L1496" t="s">
        <v>5053</v>
      </c>
      <c r="M1496" t="s">
        <v>5054</v>
      </c>
    </row>
    <row r="1497" spans="1:13" x14ac:dyDescent="0.3">
      <c r="A1497" s="1">
        <v>45624</v>
      </c>
      <c r="B1497" s="1" t="str">
        <f>TEXT(Tabla1[[#This Row],[Fecha]],"MMMM")</f>
        <v>noviembre</v>
      </c>
      <c r="C1497" t="s">
        <v>1507</v>
      </c>
      <c r="D1497" t="s">
        <v>5015</v>
      </c>
      <c r="E1497" t="s">
        <v>5032</v>
      </c>
      <c r="F1497" t="s">
        <v>5037</v>
      </c>
      <c r="G1497" s="3">
        <v>4248.46</v>
      </c>
      <c r="H1497" s="3">
        <v>0</v>
      </c>
      <c r="I1497" s="3">
        <f>SUM(Tabla1[[#This Row],[Monto_Base]],H1497)</f>
        <v>4248.46</v>
      </c>
      <c r="J1497" t="s">
        <v>5044</v>
      </c>
      <c r="K1497" t="s">
        <v>5048</v>
      </c>
      <c r="L1497" t="s">
        <v>5051</v>
      </c>
      <c r="M1497" t="s">
        <v>5055</v>
      </c>
    </row>
    <row r="1498" spans="1:13" x14ac:dyDescent="0.3">
      <c r="A1498" s="1">
        <v>45644</v>
      </c>
      <c r="B1498" s="1" t="str">
        <f>TEXT(Tabla1[[#This Row],[Fecha]],"MMMM")</f>
        <v>diciembre</v>
      </c>
      <c r="C1498" t="s">
        <v>1508</v>
      </c>
      <c r="D1498" t="s">
        <v>5016</v>
      </c>
      <c r="E1498" t="s">
        <v>5032</v>
      </c>
      <c r="F1498" t="s">
        <v>5037</v>
      </c>
      <c r="G1498" s="3">
        <v>11373.39</v>
      </c>
      <c r="H1498" s="3">
        <v>0</v>
      </c>
      <c r="I1498" s="3">
        <f>SUM(Tabla1[[#This Row],[Monto_Base]],H1498)</f>
        <v>11373.39</v>
      </c>
      <c r="J1498" t="s">
        <v>5042</v>
      </c>
      <c r="K1498" t="s">
        <v>5049</v>
      </c>
      <c r="L1498" t="s">
        <v>5052</v>
      </c>
      <c r="M1498" t="s">
        <v>5055</v>
      </c>
    </row>
    <row r="1499" spans="1:13" x14ac:dyDescent="0.3">
      <c r="A1499" s="1">
        <v>45607</v>
      </c>
      <c r="B1499" s="1" t="str">
        <f>TEXT(Tabla1[[#This Row],[Fecha]],"MMMM")</f>
        <v>noviembre</v>
      </c>
      <c r="C1499" t="s">
        <v>1509</v>
      </c>
      <c r="D1499" t="s">
        <v>5030</v>
      </c>
      <c r="E1499" t="s">
        <v>5032</v>
      </c>
      <c r="F1499" t="s">
        <v>5040</v>
      </c>
      <c r="G1499" s="3">
        <v>8014.45</v>
      </c>
      <c r="H1499" s="3">
        <v>0</v>
      </c>
      <c r="I1499" s="3">
        <f>SUM(Tabla1[[#This Row],[Monto_Base]],H1499)</f>
        <v>8014.45</v>
      </c>
      <c r="J1499" t="s">
        <v>5045</v>
      </c>
      <c r="K1499" t="s">
        <v>5048</v>
      </c>
      <c r="L1499" t="s">
        <v>5051</v>
      </c>
      <c r="M1499" t="s">
        <v>5055</v>
      </c>
    </row>
    <row r="1500" spans="1:13" x14ac:dyDescent="0.3">
      <c r="A1500" s="1">
        <v>45457</v>
      </c>
      <c r="B1500" s="1" t="str">
        <f>TEXT(Tabla1[[#This Row],[Fecha]],"MMMM")</f>
        <v>junio</v>
      </c>
      <c r="C1500" t="s">
        <v>1510</v>
      </c>
      <c r="D1500" t="s">
        <v>5014</v>
      </c>
      <c r="E1500" t="s">
        <v>5033</v>
      </c>
      <c r="F1500" t="s">
        <v>5040</v>
      </c>
      <c r="G1500" s="3">
        <v>13905.96</v>
      </c>
      <c r="H1500" s="3">
        <v>1807.77</v>
      </c>
      <c r="I1500" s="3">
        <f>SUM(Tabla1[[#This Row],[Monto_Base]],H1500)</f>
        <v>15713.73</v>
      </c>
      <c r="J1500" t="s">
        <v>5046</v>
      </c>
      <c r="K1500" t="s">
        <v>5049</v>
      </c>
      <c r="L1500" t="s">
        <v>5052</v>
      </c>
      <c r="M1500" t="s">
        <v>5055</v>
      </c>
    </row>
    <row r="1501" spans="1:13" x14ac:dyDescent="0.3">
      <c r="A1501" s="1">
        <v>45598</v>
      </c>
      <c r="B1501" s="1" t="str">
        <f>TEXT(Tabla1[[#This Row],[Fecha]],"MMMM")</f>
        <v>noviembre</v>
      </c>
      <c r="C1501" t="s">
        <v>1511</v>
      </c>
      <c r="D1501" t="s">
        <v>5024</v>
      </c>
      <c r="E1501" t="s">
        <v>5032</v>
      </c>
      <c r="F1501" t="s">
        <v>5037</v>
      </c>
      <c r="G1501" s="3">
        <v>4213.91</v>
      </c>
      <c r="H1501" s="3">
        <v>0</v>
      </c>
      <c r="I1501" s="3">
        <f>SUM(Tabla1[[#This Row],[Monto_Base]],H1501)</f>
        <v>4213.91</v>
      </c>
      <c r="J1501" t="s">
        <v>5043</v>
      </c>
      <c r="K1501" t="s">
        <v>5049</v>
      </c>
      <c r="L1501" t="s">
        <v>5052</v>
      </c>
      <c r="M1501" t="s">
        <v>5054</v>
      </c>
    </row>
    <row r="1502" spans="1:13" x14ac:dyDescent="0.3">
      <c r="A1502" s="1">
        <v>45528</v>
      </c>
      <c r="B1502" s="1" t="str">
        <f>TEXT(Tabla1[[#This Row],[Fecha]],"MMMM")</f>
        <v>agosto</v>
      </c>
      <c r="C1502" t="s">
        <v>1512</v>
      </c>
      <c r="D1502" t="s">
        <v>5024</v>
      </c>
      <c r="E1502" t="s">
        <v>5032</v>
      </c>
      <c r="F1502" t="s">
        <v>5040</v>
      </c>
      <c r="G1502" s="3">
        <v>3106.74</v>
      </c>
      <c r="H1502" s="3">
        <v>0</v>
      </c>
      <c r="I1502" s="3">
        <f>SUM(Tabla1[[#This Row],[Monto_Base]],H1502)</f>
        <v>3106.74</v>
      </c>
      <c r="J1502" t="s">
        <v>5042</v>
      </c>
      <c r="K1502" t="s">
        <v>5049</v>
      </c>
      <c r="L1502" t="s">
        <v>5052</v>
      </c>
      <c r="M1502" t="s">
        <v>5054</v>
      </c>
    </row>
    <row r="1503" spans="1:13" x14ac:dyDescent="0.3">
      <c r="A1503" s="1">
        <v>45623</v>
      </c>
      <c r="B1503" s="1" t="str">
        <f>TEXT(Tabla1[[#This Row],[Fecha]],"MMMM")</f>
        <v>noviembre</v>
      </c>
      <c r="C1503" t="s">
        <v>1513</v>
      </c>
      <c r="D1503" t="s">
        <v>5024</v>
      </c>
      <c r="E1503" t="s">
        <v>5033</v>
      </c>
      <c r="F1503" t="s">
        <v>5040</v>
      </c>
      <c r="G1503" s="3">
        <v>2787.01</v>
      </c>
      <c r="H1503" s="3">
        <v>362.31</v>
      </c>
      <c r="I1503" s="3">
        <f>SUM(Tabla1[[#This Row],[Monto_Base]],H1503)</f>
        <v>3149.32</v>
      </c>
      <c r="J1503" t="s">
        <v>5043</v>
      </c>
      <c r="K1503" t="s">
        <v>5048</v>
      </c>
      <c r="L1503" t="s">
        <v>5052</v>
      </c>
      <c r="M1503" t="s">
        <v>5055</v>
      </c>
    </row>
    <row r="1504" spans="1:13" x14ac:dyDescent="0.3">
      <c r="A1504" s="1">
        <v>45602</v>
      </c>
      <c r="B1504" s="1" t="str">
        <f>TEXT(Tabla1[[#This Row],[Fecha]],"MMMM")</f>
        <v>noviembre</v>
      </c>
      <c r="C1504" t="s">
        <v>1514</v>
      </c>
      <c r="D1504" t="s">
        <v>5029</v>
      </c>
      <c r="E1504" t="s">
        <v>5032</v>
      </c>
      <c r="F1504" t="s">
        <v>5040</v>
      </c>
      <c r="G1504" s="3">
        <v>2237.7800000000002</v>
      </c>
      <c r="H1504" s="3">
        <v>0</v>
      </c>
      <c r="I1504" s="3">
        <f>SUM(Tabla1[[#This Row],[Monto_Base]],H1504)</f>
        <v>2237.7800000000002</v>
      </c>
      <c r="J1504" t="s">
        <v>5045</v>
      </c>
      <c r="K1504" t="s">
        <v>5048</v>
      </c>
      <c r="L1504" t="s">
        <v>5053</v>
      </c>
      <c r="M1504" t="s">
        <v>5055</v>
      </c>
    </row>
    <row r="1505" spans="1:13" x14ac:dyDescent="0.3">
      <c r="A1505" s="1">
        <v>45422</v>
      </c>
      <c r="B1505" s="1" t="str">
        <f>TEXT(Tabla1[[#This Row],[Fecha]],"MMMM")</f>
        <v>mayo</v>
      </c>
      <c r="C1505" t="s">
        <v>1515</v>
      </c>
      <c r="D1505" t="s">
        <v>5022</v>
      </c>
      <c r="E1505" t="s">
        <v>5033</v>
      </c>
      <c r="F1505" t="s">
        <v>5034</v>
      </c>
      <c r="G1505" s="3">
        <v>12189.27</v>
      </c>
      <c r="H1505" s="3">
        <v>1584.61</v>
      </c>
      <c r="I1505" s="3">
        <f>SUM(Tabla1[[#This Row],[Monto_Base]],H1505)</f>
        <v>13773.880000000001</v>
      </c>
      <c r="J1505" t="s">
        <v>5043</v>
      </c>
      <c r="K1505" t="s">
        <v>5048</v>
      </c>
      <c r="L1505" t="s">
        <v>5051</v>
      </c>
      <c r="M1505" t="s">
        <v>5055</v>
      </c>
    </row>
    <row r="1506" spans="1:13" x14ac:dyDescent="0.3">
      <c r="A1506" s="1">
        <v>45542</v>
      </c>
      <c r="B1506" s="1" t="str">
        <f>TEXT(Tabla1[[#This Row],[Fecha]],"MMMM")</f>
        <v>septiembre</v>
      </c>
      <c r="C1506" t="s">
        <v>1516</v>
      </c>
      <c r="D1506" t="s">
        <v>5021</v>
      </c>
      <c r="E1506" t="s">
        <v>5033</v>
      </c>
      <c r="F1506" t="s">
        <v>5037</v>
      </c>
      <c r="G1506" s="3">
        <v>9440.2900000000009</v>
      </c>
      <c r="H1506" s="3">
        <v>1227.24</v>
      </c>
      <c r="I1506" s="3">
        <f>SUM(Tabla1[[#This Row],[Monto_Base]],H1506)</f>
        <v>10667.53</v>
      </c>
      <c r="J1506" t="s">
        <v>5042</v>
      </c>
      <c r="K1506" t="s">
        <v>5047</v>
      </c>
      <c r="L1506" t="s">
        <v>5050</v>
      </c>
      <c r="M1506" t="s">
        <v>5055</v>
      </c>
    </row>
    <row r="1507" spans="1:13" x14ac:dyDescent="0.3">
      <c r="A1507" s="1">
        <v>45477</v>
      </c>
      <c r="B1507" s="1" t="str">
        <f>TEXT(Tabla1[[#This Row],[Fecha]],"MMMM")</f>
        <v>julio</v>
      </c>
      <c r="C1507" t="s">
        <v>1517</v>
      </c>
      <c r="D1507" t="s">
        <v>5020</v>
      </c>
      <c r="E1507" t="s">
        <v>5033</v>
      </c>
      <c r="F1507" t="s">
        <v>5039</v>
      </c>
      <c r="G1507" s="3">
        <v>2757.52</v>
      </c>
      <c r="H1507" s="3">
        <v>358.48</v>
      </c>
      <c r="I1507" s="3">
        <f>SUM(Tabla1[[#This Row],[Monto_Base]],H1507)</f>
        <v>3116</v>
      </c>
      <c r="J1507" t="s">
        <v>5045</v>
      </c>
      <c r="K1507" t="s">
        <v>5047</v>
      </c>
      <c r="L1507" t="s">
        <v>5053</v>
      </c>
      <c r="M1507" t="s">
        <v>5055</v>
      </c>
    </row>
    <row r="1508" spans="1:13" x14ac:dyDescent="0.3">
      <c r="A1508" s="1">
        <v>45643</v>
      </c>
      <c r="B1508" s="1" t="str">
        <f>TEXT(Tabla1[[#This Row],[Fecha]],"MMMM")</f>
        <v>diciembre</v>
      </c>
      <c r="C1508" t="s">
        <v>1518</v>
      </c>
      <c r="D1508" t="s">
        <v>5023</v>
      </c>
      <c r="E1508" t="s">
        <v>5032</v>
      </c>
      <c r="F1508" t="s">
        <v>5039</v>
      </c>
      <c r="G1508" s="3">
        <v>11768.87</v>
      </c>
      <c r="H1508" s="3">
        <v>0</v>
      </c>
      <c r="I1508" s="3">
        <f>SUM(Tabla1[[#This Row],[Monto_Base]],H1508)</f>
        <v>11768.87</v>
      </c>
      <c r="J1508" t="s">
        <v>5043</v>
      </c>
      <c r="K1508" t="s">
        <v>5047</v>
      </c>
      <c r="L1508" t="s">
        <v>5053</v>
      </c>
      <c r="M1508" t="s">
        <v>5054</v>
      </c>
    </row>
    <row r="1509" spans="1:13" x14ac:dyDescent="0.3">
      <c r="A1509" s="1">
        <v>45415</v>
      </c>
      <c r="B1509" s="1" t="str">
        <f>TEXT(Tabla1[[#This Row],[Fecha]],"MMMM")</f>
        <v>mayo</v>
      </c>
      <c r="C1509" t="s">
        <v>1519</v>
      </c>
      <c r="D1509" t="s">
        <v>5013</v>
      </c>
      <c r="E1509" t="s">
        <v>5032</v>
      </c>
      <c r="F1509" t="s">
        <v>5038</v>
      </c>
      <c r="G1509" s="3">
        <v>4298.6099999999997</v>
      </c>
      <c r="H1509" s="3">
        <v>0</v>
      </c>
      <c r="I1509" s="3">
        <f>SUM(Tabla1[[#This Row],[Monto_Base]],H1509)</f>
        <v>4298.6099999999997</v>
      </c>
      <c r="J1509" t="s">
        <v>5046</v>
      </c>
      <c r="K1509" t="s">
        <v>5047</v>
      </c>
      <c r="L1509" t="s">
        <v>5051</v>
      </c>
      <c r="M1509" t="s">
        <v>5055</v>
      </c>
    </row>
    <row r="1510" spans="1:13" x14ac:dyDescent="0.3">
      <c r="A1510" s="1">
        <v>45379</v>
      </c>
      <c r="B1510" s="1" t="str">
        <f>TEXT(Tabla1[[#This Row],[Fecha]],"MMMM")</f>
        <v>marzo</v>
      </c>
      <c r="C1510" t="s">
        <v>1520</v>
      </c>
      <c r="D1510" t="s">
        <v>5026</v>
      </c>
      <c r="E1510" t="s">
        <v>5033</v>
      </c>
      <c r="F1510" t="s">
        <v>5040</v>
      </c>
      <c r="G1510" s="3">
        <v>11447.15</v>
      </c>
      <c r="H1510" s="3">
        <v>1488.13</v>
      </c>
      <c r="I1510" s="3">
        <f>SUM(Tabla1[[#This Row],[Monto_Base]],H1510)</f>
        <v>12935.279999999999</v>
      </c>
      <c r="J1510" t="s">
        <v>5043</v>
      </c>
      <c r="K1510" t="s">
        <v>5047</v>
      </c>
      <c r="L1510" t="s">
        <v>5053</v>
      </c>
      <c r="M1510" t="s">
        <v>5054</v>
      </c>
    </row>
    <row r="1511" spans="1:13" x14ac:dyDescent="0.3">
      <c r="A1511" s="1">
        <v>45418</v>
      </c>
      <c r="B1511" s="1" t="str">
        <f>TEXT(Tabla1[[#This Row],[Fecha]],"MMMM")</f>
        <v>mayo</v>
      </c>
      <c r="C1511" t="s">
        <v>1521</v>
      </c>
      <c r="D1511" t="s">
        <v>5031</v>
      </c>
      <c r="E1511" t="s">
        <v>5032</v>
      </c>
      <c r="F1511" t="s">
        <v>5041</v>
      </c>
      <c r="G1511" s="3">
        <v>1912.22</v>
      </c>
      <c r="H1511" s="3">
        <v>0</v>
      </c>
      <c r="I1511" s="3">
        <f>SUM(Tabla1[[#This Row],[Monto_Base]],H1511)</f>
        <v>1912.22</v>
      </c>
      <c r="J1511" t="s">
        <v>5043</v>
      </c>
      <c r="K1511" t="s">
        <v>5047</v>
      </c>
      <c r="L1511" t="s">
        <v>5052</v>
      </c>
      <c r="M1511" t="s">
        <v>5055</v>
      </c>
    </row>
    <row r="1512" spans="1:13" x14ac:dyDescent="0.3">
      <c r="A1512" s="1">
        <v>45414</v>
      </c>
      <c r="B1512" s="1" t="str">
        <f>TEXT(Tabla1[[#This Row],[Fecha]],"MMMM")</f>
        <v>mayo</v>
      </c>
      <c r="C1512" t="s">
        <v>1522</v>
      </c>
      <c r="D1512" t="s">
        <v>5026</v>
      </c>
      <c r="E1512" t="s">
        <v>5033</v>
      </c>
      <c r="F1512" t="s">
        <v>5038</v>
      </c>
      <c r="G1512" s="3">
        <v>1655.43</v>
      </c>
      <c r="H1512" s="3">
        <v>215.21</v>
      </c>
      <c r="I1512" s="3">
        <f>SUM(Tabla1[[#This Row],[Monto_Base]],H1512)</f>
        <v>1870.64</v>
      </c>
      <c r="J1512" t="s">
        <v>5044</v>
      </c>
      <c r="K1512" t="s">
        <v>5048</v>
      </c>
      <c r="L1512" t="s">
        <v>5050</v>
      </c>
      <c r="M1512" t="s">
        <v>5055</v>
      </c>
    </row>
    <row r="1513" spans="1:13" x14ac:dyDescent="0.3">
      <c r="A1513" s="1">
        <v>45519</v>
      </c>
      <c r="B1513" s="1" t="str">
        <f>TEXT(Tabla1[[#This Row],[Fecha]],"MMMM")</f>
        <v>agosto</v>
      </c>
      <c r="C1513" t="s">
        <v>1523</v>
      </c>
      <c r="D1513" t="s">
        <v>5017</v>
      </c>
      <c r="E1513" t="s">
        <v>5033</v>
      </c>
      <c r="F1513" t="s">
        <v>5036</v>
      </c>
      <c r="G1513" s="3">
        <v>6157.59</v>
      </c>
      <c r="H1513" s="3">
        <v>800.49</v>
      </c>
      <c r="I1513" s="3">
        <f>SUM(Tabla1[[#This Row],[Monto_Base]],H1513)</f>
        <v>6958.08</v>
      </c>
      <c r="J1513" t="s">
        <v>5043</v>
      </c>
      <c r="K1513" t="s">
        <v>5047</v>
      </c>
      <c r="L1513" t="s">
        <v>5050</v>
      </c>
      <c r="M1513" t="s">
        <v>5055</v>
      </c>
    </row>
    <row r="1514" spans="1:13" x14ac:dyDescent="0.3">
      <c r="A1514" s="1">
        <v>45543</v>
      </c>
      <c r="B1514" s="1" t="str">
        <f>TEXT(Tabla1[[#This Row],[Fecha]],"MMMM")</f>
        <v>septiembre</v>
      </c>
      <c r="C1514" t="s">
        <v>1524</v>
      </c>
      <c r="D1514" t="s">
        <v>5023</v>
      </c>
      <c r="E1514" t="s">
        <v>5032</v>
      </c>
      <c r="F1514" t="s">
        <v>5034</v>
      </c>
      <c r="G1514" s="3">
        <v>13233</v>
      </c>
      <c r="H1514" s="3">
        <v>0</v>
      </c>
      <c r="I1514" s="3">
        <f>SUM(Tabla1[[#This Row],[Monto_Base]],H1514)</f>
        <v>13233</v>
      </c>
      <c r="J1514" t="s">
        <v>5043</v>
      </c>
      <c r="K1514" t="s">
        <v>5049</v>
      </c>
      <c r="L1514" t="s">
        <v>5051</v>
      </c>
      <c r="M1514" t="s">
        <v>5055</v>
      </c>
    </row>
    <row r="1515" spans="1:13" x14ac:dyDescent="0.3">
      <c r="A1515" s="1">
        <v>45482</v>
      </c>
      <c r="B1515" s="1" t="str">
        <f>TEXT(Tabla1[[#This Row],[Fecha]],"MMMM")</f>
        <v>julio</v>
      </c>
      <c r="C1515" t="s">
        <v>1525</v>
      </c>
      <c r="D1515" t="s">
        <v>5018</v>
      </c>
      <c r="E1515" t="s">
        <v>5032</v>
      </c>
      <c r="F1515" t="s">
        <v>5041</v>
      </c>
      <c r="G1515" s="3">
        <v>9117.98</v>
      </c>
      <c r="H1515" s="3">
        <v>0</v>
      </c>
      <c r="I1515" s="3">
        <f>SUM(Tabla1[[#This Row],[Monto_Base]],H1515)</f>
        <v>9117.98</v>
      </c>
      <c r="J1515" t="s">
        <v>5046</v>
      </c>
      <c r="K1515" t="s">
        <v>5049</v>
      </c>
      <c r="L1515" t="s">
        <v>5053</v>
      </c>
      <c r="M1515" t="s">
        <v>5055</v>
      </c>
    </row>
    <row r="1516" spans="1:13" x14ac:dyDescent="0.3">
      <c r="A1516" s="1">
        <v>45499</v>
      </c>
      <c r="B1516" s="1" t="str">
        <f>TEXT(Tabla1[[#This Row],[Fecha]],"MMMM")</f>
        <v>julio</v>
      </c>
      <c r="C1516" t="s">
        <v>1526</v>
      </c>
      <c r="D1516" t="s">
        <v>5027</v>
      </c>
      <c r="E1516" t="s">
        <v>5033</v>
      </c>
      <c r="F1516" t="s">
        <v>5034</v>
      </c>
      <c r="G1516" s="3">
        <v>4747.47</v>
      </c>
      <c r="H1516" s="3">
        <v>617.16999999999996</v>
      </c>
      <c r="I1516" s="3">
        <f>SUM(Tabla1[[#This Row],[Monto_Base]],H1516)</f>
        <v>5364.64</v>
      </c>
      <c r="J1516" t="s">
        <v>5044</v>
      </c>
      <c r="K1516" t="s">
        <v>5047</v>
      </c>
      <c r="L1516" t="s">
        <v>5051</v>
      </c>
      <c r="M1516" t="s">
        <v>5054</v>
      </c>
    </row>
    <row r="1517" spans="1:13" x14ac:dyDescent="0.3">
      <c r="A1517" s="1">
        <v>45580</v>
      </c>
      <c r="B1517" s="1" t="str">
        <f>TEXT(Tabla1[[#This Row],[Fecha]],"MMMM")</f>
        <v>octubre</v>
      </c>
      <c r="C1517" t="s">
        <v>1527</v>
      </c>
      <c r="D1517" t="s">
        <v>5014</v>
      </c>
      <c r="E1517" t="s">
        <v>5032</v>
      </c>
      <c r="F1517" t="s">
        <v>5035</v>
      </c>
      <c r="G1517" s="3">
        <v>10313.06</v>
      </c>
      <c r="H1517" s="3">
        <v>0</v>
      </c>
      <c r="I1517" s="3">
        <f>SUM(Tabla1[[#This Row],[Monto_Base]],H1517)</f>
        <v>10313.06</v>
      </c>
      <c r="J1517" t="s">
        <v>5046</v>
      </c>
      <c r="K1517" t="s">
        <v>5049</v>
      </c>
      <c r="L1517" t="s">
        <v>5053</v>
      </c>
      <c r="M1517" t="s">
        <v>5055</v>
      </c>
    </row>
    <row r="1518" spans="1:13" x14ac:dyDescent="0.3">
      <c r="A1518" s="1">
        <v>45543</v>
      </c>
      <c r="B1518" s="1" t="str">
        <f>TEXT(Tabla1[[#This Row],[Fecha]],"MMMM")</f>
        <v>septiembre</v>
      </c>
      <c r="C1518" t="s">
        <v>1528</v>
      </c>
      <c r="D1518" t="s">
        <v>5027</v>
      </c>
      <c r="E1518" t="s">
        <v>5032</v>
      </c>
      <c r="F1518" t="s">
        <v>5040</v>
      </c>
      <c r="G1518" s="3">
        <v>5745.52</v>
      </c>
      <c r="H1518" s="3">
        <v>0</v>
      </c>
      <c r="I1518" s="3">
        <f>SUM(Tabla1[[#This Row],[Monto_Base]],H1518)</f>
        <v>5745.52</v>
      </c>
      <c r="J1518" t="s">
        <v>5043</v>
      </c>
      <c r="K1518" t="s">
        <v>5049</v>
      </c>
      <c r="L1518" t="s">
        <v>5050</v>
      </c>
      <c r="M1518" t="s">
        <v>5055</v>
      </c>
    </row>
    <row r="1519" spans="1:13" x14ac:dyDescent="0.3">
      <c r="A1519" s="1">
        <v>45479</v>
      </c>
      <c r="B1519" s="1" t="str">
        <f>TEXT(Tabla1[[#This Row],[Fecha]],"MMMM")</f>
        <v>julio</v>
      </c>
      <c r="C1519" t="s">
        <v>1529</v>
      </c>
      <c r="D1519" t="s">
        <v>5027</v>
      </c>
      <c r="E1519" t="s">
        <v>5032</v>
      </c>
      <c r="F1519" t="s">
        <v>5040</v>
      </c>
      <c r="G1519" s="3">
        <v>3466.92</v>
      </c>
      <c r="H1519" s="3">
        <v>0</v>
      </c>
      <c r="I1519" s="3">
        <f>SUM(Tabla1[[#This Row],[Monto_Base]],H1519)</f>
        <v>3466.92</v>
      </c>
      <c r="J1519" t="s">
        <v>5044</v>
      </c>
      <c r="K1519" t="s">
        <v>5048</v>
      </c>
      <c r="L1519" t="s">
        <v>5052</v>
      </c>
      <c r="M1519" t="s">
        <v>5054</v>
      </c>
    </row>
    <row r="1520" spans="1:13" x14ac:dyDescent="0.3">
      <c r="A1520" s="1">
        <v>45478</v>
      </c>
      <c r="B1520" s="1" t="str">
        <f>TEXT(Tabla1[[#This Row],[Fecha]],"MMMM")</f>
        <v>julio</v>
      </c>
      <c r="C1520" t="s">
        <v>1530</v>
      </c>
      <c r="D1520" t="s">
        <v>5031</v>
      </c>
      <c r="E1520" t="s">
        <v>5033</v>
      </c>
      <c r="F1520" t="s">
        <v>5035</v>
      </c>
      <c r="G1520" s="3">
        <v>14688.46</v>
      </c>
      <c r="H1520" s="3">
        <v>1909.5</v>
      </c>
      <c r="I1520" s="3">
        <f>SUM(Tabla1[[#This Row],[Monto_Base]],H1520)</f>
        <v>16597.96</v>
      </c>
      <c r="J1520" t="s">
        <v>5045</v>
      </c>
      <c r="K1520" t="s">
        <v>5047</v>
      </c>
      <c r="L1520" t="s">
        <v>5053</v>
      </c>
      <c r="M1520" t="s">
        <v>5054</v>
      </c>
    </row>
    <row r="1521" spans="1:13" x14ac:dyDescent="0.3">
      <c r="A1521" s="1">
        <v>45422</v>
      </c>
      <c r="B1521" s="1" t="str">
        <f>TEXT(Tabla1[[#This Row],[Fecha]],"MMMM")</f>
        <v>mayo</v>
      </c>
      <c r="C1521" t="s">
        <v>1531</v>
      </c>
      <c r="D1521" t="s">
        <v>5031</v>
      </c>
      <c r="E1521" t="s">
        <v>5033</v>
      </c>
      <c r="F1521" t="s">
        <v>5038</v>
      </c>
      <c r="G1521" s="3">
        <v>1234.8699999999999</v>
      </c>
      <c r="H1521" s="3">
        <v>160.53</v>
      </c>
      <c r="I1521" s="3">
        <f>SUM(Tabla1[[#This Row],[Monto_Base]],H1521)</f>
        <v>1395.3999999999999</v>
      </c>
      <c r="J1521" t="s">
        <v>5043</v>
      </c>
      <c r="K1521" t="s">
        <v>5047</v>
      </c>
      <c r="L1521" t="s">
        <v>5051</v>
      </c>
      <c r="M1521" t="s">
        <v>5054</v>
      </c>
    </row>
    <row r="1522" spans="1:13" x14ac:dyDescent="0.3">
      <c r="A1522" s="1">
        <v>45377</v>
      </c>
      <c r="B1522" s="1" t="str">
        <f>TEXT(Tabla1[[#This Row],[Fecha]],"MMMM")</f>
        <v>marzo</v>
      </c>
      <c r="C1522" t="s">
        <v>1532</v>
      </c>
      <c r="D1522" t="s">
        <v>5029</v>
      </c>
      <c r="E1522" t="s">
        <v>5033</v>
      </c>
      <c r="F1522" t="s">
        <v>5034</v>
      </c>
      <c r="G1522" s="3">
        <v>6171.49</v>
      </c>
      <c r="H1522" s="3">
        <v>802.29</v>
      </c>
      <c r="I1522" s="3">
        <f>SUM(Tabla1[[#This Row],[Monto_Base]],H1522)</f>
        <v>6973.78</v>
      </c>
      <c r="J1522" t="s">
        <v>5042</v>
      </c>
      <c r="K1522" t="s">
        <v>5047</v>
      </c>
      <c r="L1522" t="s">
        <v>5052</v>
      </c>
      <c r="M1522" t="s">
        <v>5054</v>
      </c>
    </row>
    <row r="1523" spans="1:13" x14ac:dyDescent="0.3">
      <c r="A1523" s="1">
        <v>45508</v>
      </c>
      <c r="B1523" s="1" t="str">
        <f>TEXT(Tabla1[[#This Row],[Fecha]],"MMMM")</f>
        <v>agosto</v>
      </c>
      <c r="C1523" t="s">
        <v>1533</v>
      </c>
      <c r="D1523" t="s">
        <v>5031</v>
      </c>
      <c r="E1523" t="s">
        <v>5033</v>
      </c>
      <c r="F1523" t="s">
        <v>5038</v>
      </c>
      <c r="G1523" s="3">
        <v>8241.68</v>
      </c>
      <c r="H1523" s="3">
        <v>1071.42</v>
      </c>
      <c r="I1523" s="3">
        <f>SUM(Tabla1[[#This Row],[Monto_Base]],H1523)</f>
        <v>9313.1</v>
      </c>
      <c r="J1523" t="s">
        <v>5046</v>
      </c>
      <c r="K1523" t="s">
        <v>5047</v>
      </c>
      <c r="L1523" t="s">
        <v>5053</v>
      </c>
      <c r="M1523" t="s">
        <v>5054</v>
      </c>
    </row>
    <row r="1524" spans="1:13" x14ac:dyDescent="0.3">
      <c r="A1524" s="1">
        <v>45383</v>
      </c>
      <c r="B1524" s="1" t="str">
        <f>TEXT(Tabla1[[#This Row],[Fecha]],"MMMM")</f>
        <v>abril</v>
      </c>
      <c r="C1524" t="s">
        <v>1534</v>
      </c>
      <c r="D1524" t="s">
        <v>5013</v>
      </c>
      <c r="E1524" t="s">
        <v>5033</v>
      </c>
      <c r="F1524" t="s">
        <v>5038</v>
      </c>
      <c r="G1524" s="3">
        <v>12268.48</v>
      </c>
      <c r="H1524" s="3">
        <v>1594.9</v>
      </c>
      <c r="I1524" s="3">
        <f>SUM(Tabla1[[#This Row],[Monto_Base]],H1524)</f>
        <v>13863.38</v>
      </c>
      <c r="J1524" t="s">
        <v>5042</v>
      </c>
      <c r="K1524" t="s">
        <v>5047</v>
      </c>
      <c r="L1524" t="s">
        <v>5050</v>
      </c>
      <c r="M1524" t="s">
        <v>5055</v>
      </c>
    </row>
    <row r="1525" spans="1:13" x14ac:dyDescent="0.3">
      <c r="A1525" s="1">
        <v>45458</v>
      </c>
      <c r="B1525" s="1" t="str">
        <f>TEXT(Tabla1[[#This Row],[Fecha]],"MMMM")</f>
        <v>junio</v>
      </c>
      <c r="C1525" t="s">
        <v>1535</v>
      </c>
      <c r="D1525" t="s">
        <v>5026</v>
      </c>
      <c r="E1525" t="s">
        <v>5033</v>
      </c>
      <c r="F1525" t="s">
        <v>5034</v>
      </c>
      <c r="G1525" s="3">
        <v>11814.28</v>
      </c>
      <c r="H1525" s="3">
        <v>1535.86</v>
      </c>
      <c r="I1525" s="3">
        <f>SUM(Tabla1[[#This Row],[Monto_Base]],H1525)</f>
        <v>13350.140000000001</v>
      </c>
      <c r="J1525" t="s">
        <v>5046</v>
      </c>
      <c r="K1525" t="s">
        <v>5048</v>
      </c>
      <c r="L1525" t="s">
        <v>5053</v>
      </c>
      <c r="M1525" t="s">
        <v>5054</v>
      </c>
    </row>
    <row r="1526" spans="1:13" x14ac:dyDescent="0.3">
      <c r="A1526" s="1">
        <v>45359</v>
      </c>
      <c r="B1526" s="1" t="str">
        <f>TEXT(Tabla1[[#This Row],[Fecha]],"MMMM")</f>
        <v>marzo</v>
      </c>
      <c r="C1526" t="s">
        <v>1536</v>
      </c>
      <c r="D1526" t="s">
        <v>5028</v>
      </c>
      <c r="E1526" t="s">
        <v>5033</v>
      </c>
      <c r="F1526" t="s">
        <v>5035</v>
      </c>
      <c r="G1526" s="3">
        <v>7062.55</v>
      </c>
      <c r="H1526" s="3">
        <v>918.13</v>
      </c>
      <c r="I1526" s="3">
        <f>SUM(Tabla1[[#This Row],[Monto_Base]],H1526)</f>
        <v>7980.68</v>
      </c>
      <c r="J1526" t="s">
        <v>5046</v>
      </c>
      <c r="K1526" t="s">
        <v>5049</v>
      </c>
      <c r="L1526" t="s">
        <v>5051</v>
      </c>
      <c r="M1526" t="s">
        <v>5055</v>
      </c>
    </row>
    <row r="1527" spans="1:13" x14ac:dyDescent="0.3">
      <c r="A1527" s="1">
        <v>45657</v>
      </c>
      <c r="B1527" s="1" t="str">
        <f>TEXT(Tabla1[[#This Row],[Fecha]],"MMMM")</f>
        <v>diciembre</v>
      </c>
      <c r="C1527" t="s">
        <v>1537</v>
      </c>
      <c r="D1527" t="s">
        <v>5024</v>
      </c>
      <c r="E1527" t="s">
        <v>5032</v>
      </c>
      <c r="F1527" t="s">
        <v>5039</v>
      </c>
      <c r="G1527" s="3">
        <v>10667.63</v>
      </c>
      <c r="H1527" s="3">
        <v>0</v>
      </c>
      <c r="I1527" s="3">
        <f>SUM(Tabla1[[#This Row],[Monto_Base]],H1527)</f>
        <v>10667.63</v>
      </c>
      <c r="J1527" t="s">
        <v>5046</v>
      </c>
      <c r="K1527" t="s">
        <v>5047</v>
      </c>
      <c r="L1527" t="s">
        <v>5053</v>
      </c>
      <c r="M1527" t="s">
        <v>5054</v>
      </c>
    </row>
    <row r="1528" spans="1:13" x14ac:dyDescent="0.3">
      <c r="A1528" s="1">
        <v>45542</v>
      </c>
      <c r="B1528" s="1" t="str">
        <f>TEXT(Tabla1[[#This Row],[Fecha]],"MMMM")</f>
        <v>septiembre</v>
      </c>
      <c r="C1528" t="s">
        <v>1538</v>
      </c>
      <c r="D1528" t="s">
        <v>5028</v>
      </c>
      <c r="E1528" t="s">
        <v>5033</v>
      </c>
      <c r="F1528" t="s">
        <v>5038</v>
      </c>
      <c r="G1528" s="3">
        <v>6938.55</v>
      </c>
      <c r="H1528" s="3">
        <v>902.01</v>
      </c>
      <c r="I1528" s="3">
        <f>SUM(Tabla1[[#This Row],[Monto_Base]],H1528)</f>
        <v>7840.56</v>
      </c>
      <c r="J1528" t="s">
        <v>5043</v>
      </c>
      <c r="K1528" t="s">
        <v>5049</v>
      </c>
      <c r="L1528" t="s">
        <v>5050</v>
      </c>
      <c r="M1528" t="s">
        <v>5055</v>
      </c>
    </row>
    <row r="1529" spans="1:13" x14ac:dyDescent="0.3">
      <c r="A1529" s="1">
        <v>45500</v>
      </c>
      <c r="B1529" s="1" t="str">
        <f>TEXT(Tabla1[[#This Row],[Fecha]],"MMMM")</f>
        <v>julio</v>
      </c>
      <c r="C1529" t="s">
        <v>1539</v>
      </c>
      <c r="D1529" t="s">
        <v>5014</v>
      </c>
      <c r="E1529" t="s">
        <v>5032</v>
      </c>
      <c r="F1529" t="s">
        <v>5038</v>
      </c>
      <c r="G1529" s="3">
        <v>7875.88</v>
      </c>
      <c r="H1529" s="3">
        <v>0</v>
      </c>
      <c r="I1529" s="3">
        <f>SUM(Tabla1[[#This Row],[Monto_Base]],H1529)</f>
        <v>7875.88</v>
      </c>
      <c r="J1529" t="s">
        <v>5046</v>
      </c>
      <c r="K1529" t="s">
        <v>5049</v>
      </c>
      <c r="L1529" t="s">
        <v>5050</v>
      </c>
      <c r="M1529" t="s">
        <v>5054</v>
      </c>
    </row>
    <row r="1530" spans="1:13" x14ac:dyDescent="0.3">
      <c r="A1530" s="1">
        <v>45351</v>
      </c>
      <c r="B1530" s="1" t="str">
        <f>TEXT(Tabla1[[#This Row],[Fecha]],"MMMM")</f>
        <v>febrero</v>
      </c>
      <c r="C1530" t="s">
        <v>1540</v>
      </c>
      <c r="D1530" t="s">
        <v>5017</v>
      </c>
      <c r="E1530" t="s">
        <v>5033</v>
      </c>
      <c r="F1530" t="s">
        <v>5040</v>
      </c>
      <c r="G1530" s="3">
        <v>12637.09</v>
      </c>
      <c r="H1530" s="3">
        <v>1642.82</v>
      </c>
      <c r="I1530" s="3">
        <f>SUM(Tabla1[[#This Row],[Monto_Base]],H1530)</f>
        <v>14279.91</v>
      </c>
      <c r="J1530" t="s">
        <v>5042</v>
      </c>
      <c r="K1530" t="s">
        <v>5048</v>
      </c>
      <c r="L1530" t="s">
        <v>5050</v>
      </c>
      <c r="M1530" t="s">
        <v>5055</v>
      </c>
    </row>
    <row r="1531" spans="1:13" x14ac:dyDescent="0.3">
      <c r="A1531" s="1">
        <v>45300</v>
      </c>
      <c r="B1531" s="1" t="str">
        <f>TEXT(Tabla1[[#This Row],[Fecha]],"MMMM")</f>
        <v>enero</v>
      </c>
      <c r="C1531" t="s">
        <v>1541</v>
      </c>
      <c r="D1531" t="s">
        <v>5020</v>
      </c>
      <c r="E1531" t="s">
        <v>5033</v>
      </c>
      <c r="F1531" t="s">
        <v>5040</v>
      </c>
      <c r="G1531" s="3">
        <v>7333.96</v>
      </c>
      <c r="H1531" s="3">
        <v>953.41</v>
      </c>
      <c r="I1531" s="3">
        <f>SUM(Tabla1[[#This Row],[Monto_Base]],H1531)</f>
        <v>8287.3700000000008</v>
      </c>
      <c r="J1531" t="s">
        <v>5046</v>
      </c>
      <c r="K1531" t="s">
        <v>5048</v>
      </c>
      <c r="L1531" t="s">
        <v>5052</v>
      </c>
      <c r="M1531" t="s">
        <v>5055</v>
      </c>
    </row>
    <row r="1532" spans="1:13" x14ac:dyDescent="0.3">
      <c r="A1532" s="1">
        <v>45408</v>
      </c>
      <c r="B1532" s="1" t="str">
        <f>TEXT(Tabla1[[#This Row],[Fecha]],"MMMM")</f>
        <v>abril</v>
      </c>
      <c r="C1532" t="s">
        <v>1542</v>
      </c>
      <c r="D1532" t="s">
        <v>5021</v>
      </c>
      <c r="E1532" t="s">
        <v>5032</v>
      </c>
      <c r="F1532" t="s">
        <v>5034</v>
      </c>
      <c r="G1532" s="3">
        <v>2177.61</v>
      </c>
      <c r="H1532" s="3">
        <v>0</v>
      </c>
      <c r="I1532" s="3">
        <f>SUM(Tabla1[[#This Row],[Monto_Base]],H1532)</f>
        <v>2177.61</v>
      </c>
      <c r="J1532" t="s">
        <v>5043</v>
      </c>
      <c r="K1532" t="s">
        <v>5048</v>
      </c>
      <c r="L1532" t="s">
        <v>5050</v>
      </c>
      <c r="M1532" t="s">
        <v>5055</v>
      </c>
    </row>
    <row r="1533" spans="1:13" x14ac:dyDescent="0.3">
      <c r="A1533" s="1">
        <v>45504</v>
      </c>
      <c r="B1533" s="1" t="str">
        <f>TEXT(Tabla1[[#This Row],[Fecha]],"MMMM")</f>
        <v>julio</v>
      </c>
      <c r="C1533" t="s">
        <v>1543</v>
      </c>
      <c r="D1533" t="s">
        <v>5025</v>
      </c>
      <c r="E1533" t="s">
        <v>5032</v>
      </c>
      <c r="F1533" t="s">
        <v>5034</v>
      </c>
      <c r="G1533" s="3">
        <v>6976.32</v>
      </c>
      <c r="H1533" s="3">
        <v>0</v>
      </c>
      <c r="I1533" s="3">
        <f>SUM(Tabla1[[#This Row],[Monto_Base]],H1533)</f>
        <v>6976.32</v>
      </c>
      <c r="J1533" t="s">
        <v>5045</v>
      </c>
      <c r="K1533" t="s">
        <v>5047</v>
      </c>
      <c r="L1533" t="s">
        <v>5052</v>
      </c>
      <c r="M1533" t="s">
        <v>5054</v>
      </c>
    </row>
    <row r="1534" spans="1:13" x14ac:dyDescent="0.3">
      <c r="A1534" s="1">
        <v>45489</v>
      </c>
      <c r="B1534" s="1" t="str">
        <f>TEXT(Tabla1[[#This Row],[Fecha]],"MMMM")</f>
        <v>julio</v>
      </c>
      <c r="C1534" t="s">
        <v>1544</v>
      </c>
      <c r="D1534" t="s">
        <v>5020</v>
      </c>
      <c r="E1534" t="s">
        <v>5033</v>
      </c>
      <c r="F1534" t="s">
        <v>5040</v>
      </c>
      <c r="G1534" s="3">
        <v>7003.09</v>
      </c>
      <c r="H1534" s="3">
        <v>910.4</v>
      </c>
      <c r="I1534" s="3">
        <f>SUM(Tabla1[[#This Row],[Monto_Base]],H1534)</f>
        <v>7913.49</v>
      </c>
      <c r="J1534" t="s">
        <v>5043</v>
      </c>
      <c r="K1534" t="s">
        <v>5047</v>
      </c>
      <c r="L1534" t="s">
        <v>5051</v>
      </c>
      <c r="M1534" t="s">
        <v>5055</v>
      </c>
    </row>
    <row r="1535" spans="1:13" x14ac:dyDescent="0.3">
      <c r="A1535" s="1">
        <v>45391</v>
      </c>
      <c r="B1535" s="1" t="str">
        <f>TEXT(Tabla1[[#This Row],[Fecha]],"MMMM")</f>
        <v>abril</v>
      </c>
      <c r="C1535" t="s">
        <v>1545</v>
      </c>
      <c r="D1535" t="s">
        <v>5022</v>
      </c>
      <c r="E1535" t="s">
        <v>5032</v>
      </c>
      <c r="F1535" t="s">
        <v>5036</v>
      </c>
      <c r="G1535" s="3">
        <v>5319.61</v>
      </c>
      <c r="H1535" s="3">
        <v>0</v>
      </c>
      <c r="I1535" s="3">
        <f>SUM(Tabla1[[#This Row],[Monto_Base]],H1535)</f>
        <v>5319.61</v>
      </c>
      <c r="J1535" t="s">
        <v>5044</v>
      </c>
      <c r="K1535" t="s">
        <v>5049</v>
      </c>
      <c r="L1535" t="s">
        <v>5052</v>
      </c>
      <c r="M1535" t="s">
        <v>5054</v>
      </c>
    </row>
    <row r="1536" spans="1:13" x14ac:dyDescent="0.3">
      <c r="A1536" s="1">
        <v>45403</v>
      </c>
      <c r="B1536" s="1" t="str">
        <f>TEXT(Tabla1[[#This Row],[Fecha]],"MMMM")</f>
        <v>abril</v>
      </c>
      <c r="C1536" t="s">
        <v>1546</v>
      </c>
      <c r="D1536" t="s">
        <v>5026</v>
      </c>
      <c r="E1536" t="s">
        <v>5032</v>
      </c>
      <c r="F1536" t="s">
        <v>5035</v>
      </c>
      <c r="G1536" s="3">
        <v>419.02</v>
      </c>
      <c r="H1536" s="3">
        <v>0</v>
      </c>
      <c r="I1536" s="3">
        <f>SUM(Tabla1[[#This Row],[Monto_Base]],H1536)</f>
        <v>419.02</v>
      </c>
      <c r="J1536" t="s">
        <v>5042</v>
      </c>
      <c r="K1536" t="s">
        <v>5048</v>
      </c>
      <c r="L1536" t="s">
        <v>5053</v>
      </c>
      <c r="M1536" t="s">
        <v>5055</v>
      </c>
    </row>
    <row r="1537" spans="1:13" x14ac:dyDescent="0.3">
      <c r="A1537" s="1">
        <v>45437</v>
      </c>
      <c r="B1537" s="1" t="str">
        <f>TEXT(Tabla1[[#This Row],[Fecha]],"MMMM")</f>
        <v>mayo</v>
      </c>
      <c r="C1537" t="s">
        <v>1547</v>
      </c>
      <c r="D1537" t="s">
        <v>5020</v>
      </c>
      <c r="E1537" t="s">
        <v>5032</v>
      </c>
      <c r="F1537" t="s">
        <v>5040</v>
      </c>
      <c r="G1537" s="3">
        <v>9345.5</v>
      </c>
      <c r="H1537" s="3">
        <v>0</v>
      </c>
      <c r="I1537" s="3">
        <f>SUM(Tabla1[[#This Row],[Monto_Base]],H1537)</f>
        <v>9345.5</v>
      </c>
      <c r="J1537" t="s">
        <v>5044</v>
      </c>
      <c r="K1537" t="s">
        <v>5047</v>
      </c>
      <c r="L1537" t="s">
        <v>5053</v>
      </c>
      <c r="M1537" t="s">
        <v>5055</v>
      </c>
    </row>
    <row r="1538" spans="1:13" x14ac:dyDescent="0.3">
      <c r="A1538" s="1">
        <v>45370</v>
      </c>
      <c r="B1538" s="1" t="str">
        <f>TEXT(Tabla1[[#This Row],[Fecha]],"MMMM")</f>
        <v>marzo</v>
      </c>
      <c r="C1538" t="s">
        <v>1548</v>
      </c>
      <c r="D1538" t="s">
        <v>5019</v>
      </c>
      <c r="E1538" t="s">
        <v>5033</v>
      </c>
      <c r="F1538" t="s">
        <v>5036</v>
      </c>
      <c r="G1538" s="3">
        <v>14979.74</v>
      </c>
      <c r="H1538" s="3">
        <v>1947.37</v>
      </c>
      <c r="I1538" s="3">
        <f>SUM(Tabla1[[#This Row],[Monto_Base]],H1538)</f>
        <v>16927.11</v>
      </c>
      <c r="J1538" t="s">
        <v>5043</v>
      </c>
      <c r="K1538" t="s">
        <v>5048</v>
      </c>
      <c r="L1538" t="s">
        <v>5050</v>
      </c>
      <c r="M1538" t="s">
        <v>5055</v>
      </c>
    </row>
    <row r="1539" spans="1:13" x14ac:dyDescent="0.3">
      <c r="A1539" s="1">
        <v>45433</v>
      </c>
      <c r="B1539" s="1" t="str">
        <f>TEXT(Tabla1[[#This Row],[Fecha]],"MMMM")</f>
        <v>mayo</v>
      </c>
      <c r="C1539" t="s">
        <v>1549</v>
      </c>
      <c r="D1539" t="s">
        <v>5026</v>
      </c>
      <c r="E1539" t="s">
        <v>5033</v>
      </c>
      <c r="F1539" t="s">
        <v>5036</v>
      </c>
      <c r="G1539" s="3">
        <v>9272.27</v>
      </c>
      <c r="H1539" s="3">
        <v>1205.4000000000001</v>
      </c>
      <c r="I1539" s="3">
        <f>SUM(Tabla1[[#This Row],[Monto_Base]],H1539)</f>
        <v>10477.67</v>
      </c>
      <c r="J1539" t="s">
        <v>5043</v>
      </c>
      <c r="K1539" t="s">
        <v>5047</v>
      </c>
      <c r="L1539" t="s">
        <v>5053</v>
      </c>
      <c r="M1539" t="s">
        <v>5054</v>
      </c>
    </row>
    <row r="1540" spans="1:13" x14ac:dyDescent="0.3">
      <c r="A1540" s="1">
        <v>45391</v>
      </c>
      <c r="B1540" s="1" t="str">
        <f>TEXT(Tabla1[[#This Row],[Fecha]],"MMMM")</f>
        <v>abril</v>
      </c>
      <c r="C1540" t="s">
        <v>1550</v>
      </c>
      <c r="D1540" t="s">
        <v>5022</v>
      </c>
      <c r="E1540" t="s">
        <v>5033</v>
      </c>
      <c r="F1540" t="s">
        <v>5034</v>
      </c>
      <c r="G1540" s="3">
        <v>6304.72</v>
      </c>
      <c r="H1540" s="3">
        <v>819.61</v>
      </c>
      <c r="I1540" s="3">
        <f>SUM(Tabla1[[#This Row],[Monto_Base]],H1540)</f>
        <v>7124.33</v>
      </c>
      <c r="J1540" t="s">
        <v>5043</v>
      </c>
      <c r="K1540" t="s">
        <v>5047</v>
      </c>
      <c r="L1540" t="s">
        <v>5050</v>
      </c>
      <c r="M1540" t="s">
        <v>5055</v>
      </c>
    </row>
    <row r="1541" spans="1:13" x14ac:dyDescent="0.3">
      <c r="A1541" s="1">
        <v>45427</v>
      </c>
      <c r="B1541" s="1" t="str">
        <f>TEXT(Tabla1[[#This Row],[Fecha]],"MMMM")</f>
        <v>mayo</v>
      </c>
      <c r="C1541" t="s">
        <v>1551</v>
      </c>
      <c r="D1541" t="s">
        <v>5012</v>
      </c>
      <c r="E1541" t="s">
        <v>5033</v>
      </c>
      <c r="F1541" t="s">
        <v>5039</v>
      </c>
      <c r="G1541" s="3">
        <v>12889.67</v>
      </c>
      <c r="H1541" s="3">
        <v>1675.66</v>
      </c>
      <c r="I1541" s="3">
        <f>SUM(Tabla1[[#This Row],[Monto_Base]],H1541)</f>
        <v>14565.33</v>
      </c>
      <c r="J1541" t="s">
        <v>5043</v>
      </c>
      <c r="K1541" t="s">
        <v>5047</v>
      </c>
      <c r="L1541" t="s">
        <v>5052</v>
      </c>
      <c r="M1541" t="s">
        <v>5055</v>
      </c>
    </row>
    <row r="1542" spans="1:13" x14ac:dyDescent="0.3">
      <c r="A1542" s="1">
        <v>45467</v>
      </c>
      <c r="B1542" s="1" t="str">
        <f>TEXT(Tabla1[[#This Row],[Fecha]],"MMMM")</f>
        <v>junio</v>
      </c>
      <c r="C1542" t="s">
        <v>1552</v>
      </c>
      <c r="D1542" t="s">
        <v>5018</v>
      </c>
      <c r="E1542" t="s">
        <v>5033</v>
      </c>
      <c r="F1542" t="s">
        <v>5036</v>
      </c>
      <c r="G1542" s="3">
        <v>10057.790000000001</v>
      </c>
      <c r="H1542" s="3">
        <v>1307.51</v>
      </c>
      <c r="I1542" s="3">
        <f>SUM(Tabla1[[#This Row],[Monto_Base]],H1542)</f>
        <v>11365.300000000001</v>
      </c>
      <c r="J1542" t="s">
        <v>5042</v>
      </c>
      <c r="K1542" t="s">
        <v>5049</v>
      </c>
      <c r="L1542" t="s">
        <v>5051</v>
      </c>
      <c r="M1542" t="s">
        <v>5055</v>
      </c>
    </row>
    <row r="1543" spans="1:13" x14ac:dyDescent="0.3">
      <c r="A1543" s="1">
        <v>45633</v>
      </c>
      <c r="B1543" s="1" t="str">
        <f>TEXT(Tabla1[[#This Row],[Fecha]],"MMMM")</f>
        <v>diciembre</v>
      </c>
      <c r="C1543" t="s">
        <v>1553</v>
      </c>
      <c r="D1543" t="s">
        <v>5014</v>
      </c>
      <c r="E1543" t="s">
        <v>5032</v>
      </c>
      <c r="F1543" t="s">
        <v>5040</v>
      </c>
      <c r="G1543" s="3">
        <v>7924.3</v>
      </c>
      <c r="H1543" s="3">
        <v>0</v>
      </c>
      <c r="I1543" s="3">
        <f>SUM(Tabla1[[#This Row],[Monto_Base]],H1543)</f>
        <v>7924.3</v>
      </c>
      <c r="J1543" t="s">
        <v>5042</v>
      </c>
      <c r="K1543" t="s">
        <v>5049</v>
      </c>
      <c r="L1543" t="s">
        <v>5051</v>
      </c>
      <c r="M1543" t="s">
        <v>5054</v>
      </c>
    </row>
    <row r="1544" spans="1:13" x14ac:dyDescent="0.3">
      <c r="A1544" s="1">
        <v>45552</v>
      </c>
      <c r="B1544" s="1" t="str">
        <f>TEXT(Tabla1[[#This Row],[Fecha]],"MMMM")</f>
        <v>septiembre</v>
      </c>
      <c r="C1544" t="s">
        <v>1554</v>
      </c>
      <c r="D1544" t="s">
        <v>5012</v>
      </c>
      <c r="E1544" t="s">
        <v>5032</v>
      </c>
      <c r="F1544" t="s">
        <v>5041</v>
      </c>
      <c r="G1544" s="3">
        <v>4119.22</v>
      </c>
      <c r="H1544" s="3">
        <v>0</v>
      </c>
      <c r="I1544" s="3">
        <f>SUM(Tabla1[[#This Row],[Monto_Base]],H1544)</f>
        <v>4119.22</v>
      </c>
      <c r="J1544" t="s">
        <v>5044</v>
      </c>
      <c r="K1544" t="s">
        <v>5048</v>
      </c>
      <c r="L1544" t="s">
        <v>5050</v>
      </c>
      <c r="M1544" t="s">
        <v>5054</v>
      </c>
    </row>
    <row r="1545" spans="1:13" x14ac:dyDescent="0.3">
      <c r="A1545" s="1">
        <v>45404</v>
      </c>
      <c r="B1545" s="1" t="str">
        <f>TEXT(Tabla1[[#This Row],[Fecha]],"MMMM")</f>
        <v>abril</v>
      </c>
      <c r="C1545" t="s">
        <v>1555</v>
      </c>
      <c r="D1545" t="s">
        <v>5029</v>
      </c>
      <c r="E1545" t="s">
        <v>5033</v>
      </c>
      <c r="F1545" t="s">
        <v>5039</v>
      </c>
      <c r="G1545" s="3">
        <v>8347.4599999999991</v>
      </c>
      <c r="H1545" s="3">
        <v>1085.17</v>
      </c>
      <c r="I1545" s="3">
        <f>SUM(Tabla1[[#This Row],[Monto_Base]],H1545)</f>
        <v>9432.6299999999992</v>
      </c>
      <c r="J1545" t="s">
        <v>5046</v>
      </c>
      <c r="K1545" t="s">
        <v>5048</v>
      </c>
      <c r="L1545" t="s">
        <v>5052</v>
      </c>
      <c r="M1545" t="s">
        <v>5054</v>
      </c>
    </row>
    <row r="1546" spans="1:13" x14ac:dyDescent="0.3">
      <c r="A1546" s="1">
        <v>45445</v>
      </c>
      <c r="B1546" s="1" t="str">
        <f>TEXT(Tabla1[[#This Row],[Fecha]],"MMMM")</f>
        <v>junio</v>
      </c>
      <c r="C1546" t="s">
        <v>1556</v>
      </c>
      <c r="D1546" t="s">
        <v>5019</v>
      </c>
      <c r="E1546" t="s">
        <v>5032</v>
      </c>
      <c r="F1546" t="s">
        <v>5037</v>
      </c>
      <c r="G1546" s="3">
        <v>8520.26</v>
      </c>
      <c r="H1546" s="3">
        <v>0</v>
      </c>
      <c r="I1546" s="3">
        <f>SUM(Tabla1[[#This Row],[Monto_Base]],H1546)</f>
        <v>8520.26</v>
      </c>
      <c r="J1546" t="s">
        <v>5045</v>
      </c>
      <c r="K1546" t="s">
        <v>5047</v>
      </c>
      <c r="L1546" t="s">
        <v>5052</v>
      </c>
      <c r="M1546" t="s">
        <v>5055</v>
      </c>
    </row>
    <row r="1547" spans="1:13" x14ac:dyDescent="0.3">
      <c r="A1547" s="1">
        <v>45513</v>
      </c>
      <c r="B1547" s="1" t="str">
        <f>TEXT(Tabla1[[#This Row],[Fecha]],"MMMM")</f>
        <v>agosto</v>
      </c>
      <c r="C1547" t="s">
        <v>1557</v>
      </c>
      <c r="D1547" t="s">
        <v>5015</v>
      </c>
      <c r="E1547" t="s">
        <v>5033</v>
      </c>
      <c r="F1547" t="s">
        <v>5037</v>
      </c>
      <c r="G1547" s="3">
        <v>6118.57</v>
      </c>
      <c r="H1547" s="3">
        <v>795.41</v>
      </c>
      <c r="I1547" s="3">
        <f>SUM(Tabla1[[#This Row],[Monto_Base]],H1547)</f>
        <v>6913.98</v>
      </c>
      <c r="J1547" t="s">
        <v>5046</v>
      </c>
      <c r="K1547" t="s">
        <v>5048</v>
      </c>
      <c r="L1547" t="s">
        <v>5050</v>
      </c>
      <c r="M1547" t="s">
        <v>5054</v>
      </c>
    </row>
    <row r="1548" spans="1:13" x14ac:dyDescent="0.3">
      <c r="A1548" s="1">
        <v>45543</v>
      </c>
      <c r="B1548" s="1" t="str">
        <f>TEXT(Tabla1[[#This Row],[Fecha]],"MMMM")</f>
        <v>septiembre</v>
      </c>
      <c r="C1548" t="s">
        <v>1558</v>
      </c>
      <c r="D1548" t="s">
        <v>5020</v>
      </c>
      <c r="E1548" t="s">
        <v>5033</v>
      </c>
      <c r="F1548" t="s">
        <v>5038</v>
      </c>
      <c r="G1548" s="3">
        <v>3573.45</v>
      </c>
      <c r="H1548" s="3">
        <v>464.55</v>
      </c>
      <c r="I1548" s="3">
        <f>SUM(Tabla1[[#This Row],[Monto_Base]],H1548)</f>
        <v>4038</v>
      </c>
      <c r="J1548" t="s">
        <v>5043</v>
      </c>
      <c r="K1548" t="s">
        <v>5049</v>
      </c>
      <c r="L1548" t="s">
        <v>5052</v>
      </c>
      <c r="M1548" t="s">
        <v>5055</v>
      </c>
    </row>
    <row r="1549" spans="1:13" x14ac:dyDescent="0.3">
      <c r="A1549" s="1">
        <v>45376</v>
      </c>
      <c r="B1549" s="1" t="str">
        <f>TEXT(Tabla1[[#This Row],[Fecha]],"MMMM")</f>
        <v>marzo</v>
      </c>
      <c r="C1549" t="s">
        <v>1559</v>
      </c>
      <c r="D1549" t="s">
        <v>5024</v>
      </c>
      <c r="E1549" t="s">
        <v>5032</v>
      </c>
      <c r="F1549" t="s">
        <v>5034</v>
      </c>
      <c r="G1549" s="3">
        <v>9178.06</v>
      </c>
      <c r="H1549" s="3">
        <v>0</v>
      </c>
      <c r="I1549" s="3">
        <f>SUM(Tabla1[[#This Row],[Monto_Base]],H1549)</f>
        <v>9178.06</v>
      </c>
      <c r="J1549" t="s">
        <v>5044</v>
      </c>
      <c r="K1549" t="s">
        <v>5047</v>
      </c>
      <c r="L1549" t="s">
        <v>5051</v>
      </c>
      <c r="M1549" t="s">
        <v>5055</v>
      </c>
    </row>
    <row r="1550" spans="1:13" x14ac:dyDescent="0.3">
      <c r="A1550" s="1">
        <v>45296</v>
      </c>
      <c r="B1550" s="1" t="str">
        <f>TEXT(Tabla1[[#This Row],[Fecha]],"MMMM")</f>
        <v>enero</v>
      </c>
      <c r="C1550" t="s">
        <v>1560</v>
      </c>
      <c r="D1550" t="s">
        <v>5013</v>
      </c>
      <c r="E1550" t="s">
        <v>5033</v>
      </c>
      <c r="F1550" t="s">
        <v>5036</v>
      </c>
      <c r="G1550" s="3">
        <v>11953.1</v>
      </c>
      <c r="H1550" s="3">
        <v>1553.9</v>
      </c>
      <c r="I1550" s="3">
        <f>SUM(Tabla1[[#This Row],[Monto_Base]],H1550)</f>
        <v>13507</v>
      </c>
      <c r="J1550" t="s">
        <v>5046</v>
      </c>
      <c r="K1550" t="s">
        <v>5049</v>
      </c>
      <c r="L1550" t="s">
        <v>5050</v>
      </c>
      <c r="M1550" t="s">
        <v>5055</v>
      </c>
    </row>
    <row r="1551" spans="1:13" x14ac:dyDescent="0.3">
      <c r="A1551" s="1">
        <v>45308</v>
      </c>
      <c r="B1551" s="1" t="str">
        <f>TEXT(Tabla1[[#This Row],[Fecha]],"MMMM")</f>
        <v>enero</v>
      </c>
      <c r="C1551" t="s">
        <v>1561</v>
      </c>
      <c r="D1551" t="s">
        <v>5026</v>
      </c>
      <c r="E1551" t="s">
        <v>5033</v>
      </c>
      <c r="F1551" t="s">
        <v>5035</v>
      </c>
      <c r="G1551" s="3">
        <v>7094.56</v>
      </c>
      <c r="H1551" s="3">
        <v>922.29</v>
      </c>
      <c r="I1551" s="3">
        <f>SUM(Tabla1[[#This Row],[Monto_Base]],H1551)</f>
        <v>8016.85</v>
      </c>
      <c r="J1551" t="s">
        <v>5046</v>
      </c>
      <c r="K1551" t="s">
        <v>5048</v>
      </c>
      <c r="L1551" t="s">
        <v>5051</v>
      </c>
      <c r="M1551" t="s">
        <v>5055</v>
      </c>
    </row>
    <row r="1552" spans="1:13" x14ac:dyDescent="0.3">
      <c r="A1552" s="1">
        <v>45311</v>
      </c>
      <c r="B1552" s="1" t="str">
        <f>TEXT(Tabla1[[#This Row],[Fecha]],"MMMM")</f>
        <v>enero</v>
      </c>
      <c r="C1552" t="s">
        <v>1562</v>
      </c>
      <c r="D1552" t="s">
        <v>5012</v>
      </c>
      <c r="E1552" t="s">
        <v>5033</v>
      </c>
      <c r="F1552" t="s">
        <v>5038</v>
      </c>
      <c r="G1552" s="3">
        <v>4985.62</v>
      </c>
      <c r="H1552" s="3">
        <v>648.13</v>
      </c>
      <c r="I1552" s="3">
        <f>SUM(Tabla1[[#This Row],[Monto_Base]],H1552)</f>
        <v>5633.75</v>
      </c>
      <c r="J1552" t="s">
        <v>5042</v>
      </c>
      <c r="K1552" t="s">
        <v>5047</v>
      </c>
      <c r="L1552" t="s">
        <v>5053</v>
      </c>
      <c r="M1552" t="s">
        <v>5054</v>
      </c>
    </row>
    <row r="1553" spans="1:13" x14ac:dyDescent="0.3">
      <c r="A1553" s="1">
        <v>45595</v>
      </c>
      <c r="B1553" s="1" t="str">
        <f>TEXT(Tabla1[[#This Row],[Fecha]],"MMMM")</f>
        <v>octubre</v>
      </c>
      <c r="C1553" t="s">
        <v>1563</v>
      </c>
      <c r="D1553" t="s">
        <v>5026</v>
      </c>
      <c r="E1553" t="s">
        <v>5032</v>
      </c>
      <c r="F1553" t="s">
        <v>5041</v>
      </c>
      <c r="G1553" s="3">
        <v>1657.7</v>
      </c>
      <c r="H1553" s="3">
        <v>0</v>
      </c>
      <c r="I1553" s="3">
        <f>SUM(Tabla1[[#This Row],[Monto_Base]],H1553)</f>
        <v>1657.7</v>
      </c>
      <c r="J1553" t="s">
        <v>5044</v>
      </c>
      <c r="K1553" t="s">
        <v>5049</v>
      </c>
      <c r="L1553" t="s">
        <v>5053</v>
      </c>
      <c r="M1553" t="s">
        <v>5055</v>
      </c>
    </row>
    <row r="1554" spans="1:13" x14ac:dyDescent="0.3">
      <c r="A1554" s="1">
        <v>45650</v>
      </c>
      <c r="B1554" s="1" t="str">
        <f>TEXT(Tabla1[[#This Row],[Fecha]],"MMMM")</f>
        <v>diciembre</v>
      </c>
      <c r="C1554" t="s">
        <v>1564</v>
      </c>
      <c r="D1554" t="s">
        <v>5013</v>
      </c>
      <c r="E1554" t="s">
        <v>5032</v>
      </c>
      <c r="F1554" t="s">
        <v>5038</v>
      </c>
      <c r="G1554" s="3">
        <v>2403.04</v>
      </c>
      <c r="H1554" s="3">
        <v>0</v>
      </c>
      <c r="I1554" s="3">
        <f>SUM(Tabla1[[#This Row],[Monto_Base]],H1554)</f>
        <v>2403.04</v>
      </c>
      <c r="J1554" t="s">
        <v>5042</v>
      </c>
      <c r="K1554" t="s">
        <v>5047</v>
      </c>
      <c r="L1554" t="s">
        <v>5050</v>
      </c>
      <c r="M1554" t="s">
        <v>5054</v>
      </c>
    </row>
    <row r="1555" spans="1:13" x14ac:dyDescent="0.3">
      <c r="A1555" s="1">
        <v>45647</v>
      </c>
      <c r="B1555" s="1" t="str">
        <f>TEXT(Tabla1[[#This Row],[Fecha]],"MMMM")</f>
        <v>diciembre</v>
      </c>
      <c r="C1555" t="s">
        <v>1565</v>
      </c>
      <c r="D1555" t="s">
        <v>5022</v>
      </c>
      <c r="E1555" t="s">
        <v>5032</v>
      </c>
      <c r="F1555" t="s">
        <v>5040</v>
      </c>
      <c r="G1555" s="3">
        <v>9991.8799999999992</v>
      </c>
      <c r="H1555" s="3">
        <v>0</v>
      </c>
      <c r="I1555" s="3">
        <f>SUM(Tabla1[[#This Row],[Monto_Base]],H1555)</f>
        <v>9991.8799999999992</v>
      </c>
      <c r="J1555" t="s">
        <v>5043</v>
      </c>
      <c r="K1555" t="s">
        <v>5048</v>
      </c>
      <c r="L1555" t="s">
        <v>5051</v>
      </c>
      <c r="M1555" t="s">
        <v>5055</v>
      </c>
    </row>
    <row r="1556" spans="1:13" x14ac:dyDescent="0.3">
      <c r="A1556" s="1">
        <v>45450</v>
      </c>
      <c r="B1556" s="1" t="str">
        <f>TEXT(Tabla1[[#This Row],[Fecha]],"MMMM")</f>
        <v>junio</v>
      </c>
      <c r="C1556" t="s">
        <v>1566</v>
      </c>
      <c r="D1556" t="s">
        <v>5019</v>
      </c>
      <c r="E1556" t="s">
        <v>5032</v>
      </c>
      <c r="F1556" t="s">
        <v>5034</v>
      </c>
      <c r="G1556" s="3">
        <v>11924.15</v>
      </c>
      <c r="H1556" s="3">
        <v>0</v>
      </c>
      <c r="I1556" s="3">
        <f>SUM(Tabla1[[#This Row],[Monto_Base]],H1556)</f>
        <v>11924.15</v>
      </c>
      <c r="J1556" t="s">
        <v>5044</v>
      </c>
      <c r="K1556" t="s">
        <v>5047</v>
      </c>
      <c r="L1556" t="s">
        <v>5052</v>
      </c>
      <c r="M1556" t="s">
        <v>5055</v>
      </c>
    </row>
    <row r="1557" spans="1:13" x14ac:dyDescent="0.3">
      <c r="A1557" s="1">
        <v>45352</v>
      </c>
      <c r="B1557" s="1" t="str">
        <f>TEXT(Tabla1[[#This Row],[Fecha]],"MMMM")</f>
        <v>marzo</v>
      </c>
      <c r="C1557" t="s">
        <v>1567</v>
      </c>
      <c r="D1557" t="s">
        <v>5026</v>
      </c>
      <c r="E1557" t="s">
        <v>5033</v>
      </c>
      <c r="F1557" t="s">
        <v>5036</v>
      </c>
      <c r="G1557" s="3">
        <v>928.28</v>
      </c>
      <c r="H1557" s="3">
        <v>120.68</v>
      </c>
      <c r="I1557" s="3">
        <f>SUM(Tabla1[[#This Row],[Monto_Base]],H1557)</f>
        <v>1048.96</v>
      </c>
      <c r="J1557" t="s">
        <v>5046</v>
      </c>
      <c r="K1557" t="s">
        <v>5047</v>
      </c>
      <c r="L1557" t="s">
        <v>5050</v>
      </c>
      <c r="M1557" t="s">
        <v>5054</v>
      </c>
    </row>
    <row r="1558" spans="1:13" x14ac:dyDescent="0.3">
      <c r="A1558" s="1">
        <v>45588</v>
      </c>
      <c r="B1558" s="1" t="str">
        <f>TEXT(Tabla1[[#This Row],[Fecha]],"MMMM")</f>
        <v>octubre</v>
      </c>
      <c r="C1558" t="s">
        <v>1568</v>
      </c>
      <c r="D1558" t="s">
        <v>5013</v>
      </c>
      <c r="E1558" t="s">
        <v>5032</v>
      </c>
      <c r="F1558" t="s">
        <v>5040</v>
      </c>
      <c r="G1558" s="3">
        <v>10331.5</v>
      </c>
      <c r="H1558" s="3">
        <v>0</v>
      </c>
      <c r="I1558" s="3">
        <f>SUM(Tabla1[[#This Row],[Monto_Base]],H1558)</f>
        <v>10331.5</v>
      </c>
      <c r="J1558" t="s">
        <v>5046</v>
      </c>
      <c r="K1558" t="s">
        <v>5049</v>
      </c>
      <c r="L1558" t="s">
        <v>5050</v>
      </c>
      <c r="M1558" t="s">
        <v>5055</v>
      </c>
    </row>
    <row r="1559" spans="1:13" x14ac:dyDescent="0.3">
      <c r="A1559" s="1">
        <v>45627</v>
      </c>
      <c r="B1559" s="1" t="str">
        <f>TEXT(Tabla1[[#This Row],[Fecha]],"MMMM")</f>
        <v>diciembre</v>
      </c>
      <c r="C1559" t="s">
        <v>1569</v>
      </c>
      <c r="D1559" t="s">
        <v>5030</v>
      </c>
      <c r="E1559" t="s">
        <v>5032</v>
      </c>
      <c r="F1559" t="s">
        <v>5034</v>
      </c>
      <c r="G1559" s="3">
        <v>13439.07</v>
      </c>
      <c r="H1559" s="3">
        <v>0</v>
      </c>
      <c r="I1559" s="3">
        <f>SUM(Tabla1[[#This Row],[Monto_Base]],H1559)</f>
        <v>13439.07</v>
      </c>
      <c r="J1559" t="s">
        <v>5045</v>
      </c>
      <c r="K1559" t="s">
        <v>5048</v>
      </c>
      <c r="L1559" t="s">
        <v>5052</v>
      </c>
      <c r="M1559" t="s">
        <v>5055</v>
      </c>
    </row>
    <row r="1560" spans="1:13" x14ac:dyDescent="0.3">
      <c r="A1560" s="1">
        <v>45421</v>
      </c>
      <c r="B1560" s="1" t="str">
        <f>TEXT(Tabla1[[#This Row],[Fecha]],"MMMM")</f>
        <v>mayo</v>
      </c>
      <c r="C1560" t="s">
        <v>1570</v>
      </c>
      <c r="D1560" t="s">
        <v>5015</v>
      </c>
      <c r="E1560" t="s">
        <v>5033</v>
      </c>
      <c r="F1560" t="s">
        <v>5035</v>
      </c>
      <c r="G1560" s="3">
        <v>519.12</v>
      </c>
      <c r="H1560" s="3">
        <v>67.489999999999995</v>
      </c>
      <c r="I1560" s="3">
        <f>SUM(Tabla1[[#This Row],[Monto_Base]],H1560)</f>
        <v>586.61</v>
      </c>
      <c r="J1560" t="s">
        <v>5043</v>
      </c>
      <c r="K1560" t="s">
        <v>5047</v>
      </c>
      <c r="L1560" t="s">
        <v>5050</v>
      </c>
      <c r="M1560" t="s">
        <v>5055</v>
      </c>
    </row>
    <row r="1561" spans="1:13" x14ac:dyDescent="0.3">
      <c r="A1561" s="1">
        <v>45654</v>
      </c>
      <c r="B1561" s="1" t="str">
        <f>TEXT(Tabla1[[#This Row],[Fecha]],"MMMM")</f>
        <v>diciembre</v>
      </c>
      <c r="C1561" t="s">
        <v>1571</v>
      </c>
      <c r="D1561" t="s">
        <v>5020</v>
      </c>
      <c r="E1561" t="s">
        <v>5032</v>
      </c>
      <c r="F1561" t="s">
        <v>5039</v>
      </c>
      <c r="G1561" s="3">
        <v>12245.93</v>
      </c>
      <c r="H1561" s="3">
        <v>0</v>
      </c>
      <c r="I1561" s="3">
        <f>SUM(Tabla1[[#This Row],[Monto_Base]],H1561)</f>
        <v>12245.93</v>
      </c>
      <c r="J1561" t="s">
        <v>5043</v>
      </c>
      <c r="K1561" t="s">
        <v>5049</v>
      </c>
      <c r="L1561" t="s">
        <v>5051</v>
      </c>
      <c r="M1561" t="s">
        <v>5054</v>
      </c>
    </row>
    <row r="1562" spans="1:13" x14ac:dyDescent="0.3">
      <c r="A1562" s="1">
        <v>45463</v>
      </c>
      <c r="B1562" s="1" t="str">
        <f>TEXT(Tabla1[[#This Row],[Fecha]],"MMMM")</f>
        <v>junio</v>
      </c>
      <c r="C1562" t="s">
        <v>1572</v>
      </c>
      <c r="D1562" t="s">
        <v>5026</v>
      </c>
      <c r="E1562" t="s">
        <v>5032</v>
      </c>
      <c r="F1562" t="s">
        <v>5037</v>
      </c>
      <c r="G1562" s="3">
        <v>1443.58</v>
      </c>
      <c r="H1562" s="3">
        <v>0</v>
      </c>
      <c r="I1562" s="3">
        <f>SUM(Tabla1[[#This Row],[Monto_Base]],H1562)</f>
        <v>1443.58</v>
      </c>
      <c r="J1562" t="s">
        <v>5046</v>
      </c>
      <c r="K1562" t="s">
        <v>5047</v>
      </c>
      <c r="L1562" t="s">
        <v>5052</v>
      </c>
      <c r="M1562" t="s">
        <v>5054</v>
      </c>
    </row>
    <row r="1563" spans="1:13" x14ac:dyDescent="0.3">
      <c r="A1563" s="1">
        <v>45296</v>
      </c>
      <c r="B1563" s="1" t="str">
        <f>TEXT(Tabla1[[#This Row],[Fecha]],"MMMM")</f>
        <v>enero</v>
      </c>
      <c r="C1563" t="s">
        <v>1573</v>
      </c>
      <c r="D1563" t="s">
        <v>5029</v>
      </c>
      <c r="E1563" t="s">
        <v>5033</v>
      </c>
      <c r="F1563" t="s">
        <v>5039</v>
      </c>
      <c r="G1563" s="3">
        <v>6297.16</v>
      </c>
      <c r="H1563" s="3">
        <v>818.63</v>
      </c>
      <c r="I1563" s="3">
        <f>SUM(Tabla1[[#This Row],[Monto_Base]],H1563)</f>
        <v>7115.79</v>
      </c>
      <c r="J1563" t="s">
        <v>5044</v>
      </c>
      <c r="K1563" t="s">
        <v>5049</v>
      </c>
      <c r="L1563" t="s">
        <v>5051</v>
      </c>
      <c r="M1563" t="s">
        <v>5055</v>
      </c>
    </row>
    <row r="1564" spans="1:13" x14ac:dyDescent="0.3">
      <c r="A1564" s="1">
        <v>45548</v>
      </c>
      <c r="B1564" s="1" t="str">
        <f>TEXT(Tabla1[[#This Row],[Fecha]],"MMMM")</f>
        <v>septiembre</v>
      </c>
      <c r="C1564" t="s">
        <v>1574</v>
      </c>
      <c r="D1564" t="s">
        <v>5022</v>
      </c>
      <c r="E1564" t="s">
        <v>5033</v>
      </c>
      <c r="F1564" t="s">
        <v>5041</v>
      </c>
      <c r="G1564" s="3">
        <v>11584.94</v>
      </c>
      <c r="H1564" s="3">
        <v>1506.04</v>
      </c>
      <c r="I1564" s="3">
        <f>SUM(Tabla1[[#This Row],[Monto_Base]],H1564)</f>
        <v>13090.98</v>
      </c>
      <c r="J1564" t="s">
        <v>5046</v>
      </c>
      <c r="K1564" t="s">
        <v>5047</v>
      </c>
      <c r="L1564" t="s">
        <v>5052</v>
      </c>
      <c r="M1564" t="s">
        <v>5055</v>
      </c>
    </row>
    <row r="1565" spans="1:13" x14ac:dyDescent="0.3">
      <c r="A1565" s="1">
        <v>45312</v>
      </c>
      <c r="B1565" s="1" t="str">
        <f>TEXT(Tabla1[[#This Row],[Fecha]],"MMMM")</f>
        <v>enero</v>
      </c>
      <c r="C1565" t="s">
        <v>1575</v>
      </c>
      <c r="D1565" t="s">
        <v>5016</v>
      </c>
      <c r="E1565" t="s">
        <v>5032</v>
      </c>
      <c r="F1565" t="s">
        <v>5034</v>
      </c>
      <c r="G1565" s="3">
        <v>6552.32</v>
      </c>
      <c r="H1565" s="3">
        <v>0</v>
      </c>
      <c r="I1565" s="3">
        <f>SUM(Tabla1[[#This Row],[Monto_Base]],H1565)</f>
        <v>6552.32</v>
      </c>
      <c r="J1565" t="s">
        <v>5043</v>
      </c>
      <c r="K1565" t="s">
        <v>5049</v>
      </c>
      <c r="L1565" t="s">
        <v>5051</v>
      </c>
      <c r="M1565" t="s">
        <v>5055</v>
      </c>
    </row>
    <row r="1566" spans="1:13" x14ac:dyDescent="0.3">
      <c r="A1566" s="1">
        <v>45613</v>
      </c>
      <c r="B1566" s="1" t="str">
        <f>TEXT(Tabla1[[#This Row],[Fecha]],"MMMM")</f>
        <v>noviembre</v>
      </c>
      <c r="C1566" t="s">
        <v>1576</v>
      </c>
      <c r="D1566" t="s">
        <v>5021</v>
      </c>
      <c r="E1566" t="s">
        <v>5032</v>
      </c>
      <c r="F1566" t="s">
        <v>5035</v>
      </c>
      <c r="G1566" s="3">
        <v>6139.68</v>
      </c>
      <c r="H1566" s="3">
        <v>0</v>
      </c>
      <c r="I1566" s="3">
        <f>SUM(Tabla1[[#This Row],[Monto_Base]],H1566)</f>
        <v>6139.68</v>
      </c>
      <c r="J1566" t="s">
        <v>5045</v>
      </c>
      <c r="K1566" t="s">
        <v>5048</v>
      </c>
      <c r="L1566" t="s">
        <v>5050</v>
      </c>
      <c r="M1566" t="s">
        <v>5055</v>
      </c>
    </row>
    <row r="1567" spans="1:13" x14ac:dyDescent="0.3">
      <c r="A1567" s="1">
        <v>45625</v>
      </c>
      <c r="B1567" s="1" t="str">
        <f>TEXT(Tabla1[[#This Row],[Fecha]],"MMMM")</f>
        <v>noviembre</v>
      </c>
      <c r="C1567" t="s">
        <v>1577</v>
      </c>
      <c r="D1567" t="s">
        <v>5015</v>
      </c>
      <c r="E1567" t="s">
        <v>5033</v>
      </c>
      <c r="F1567" t="s">
        <v>5041</v>
      </c>
      <c r="G1567" s="3">
        <v>4007.27</v>
      </c>
      <c r="H1567" s="3">
        <v>520.95000000000005</v>
      </c>
      <c r="I1567" s="3">
        <f>SUM(Tabla1[[#This Row],[Monto_Base]],H1567)</f>
        <v>4528.22</v>
      </c>
      <c r="J1567" t="s">
        <v>5045</v>
      </c>
      <c r="K1567" t="s">
        <v>5047</v>
      </c>
      <c r="L1567" t="s">
        <v>5051</v>
      </c>
      <c r="M1567" t="s">
        <v>5055</v>
      </c>
    </row>
    <row r="1568" spans="1:13" x14ac:dyDescent="0.3">
      <c r="A1568" s="1">
        <v>45522</v>
      </c>
      <c r="B1568" s="1" t="str">
        <f>TEXT(Tabla1[[#This Row],[Fecha]],"MMMM")</f>
        <v>agosto</v>
      </c>
      <c r="C1568" t="s">
        <v>1578</v>
      </c>
      <c r="D1568" t="s">
        <v>5022</v>
      </c>
      <c r="E1568" t="s">
        <v>5033</v>
      </c>
      <c r="F1568" t="s">
        <v>5035</v>
      </c>
      <c r="G1568" s="3">
        <v>3365.92</v>
      </c>
      <c r="H1568" s="3">
        <v>437.57</v>
      </c>
      <c r="I1568" s="3">
        <f>SUM(Tabla1[[#This Row],[Monto_Base]],H1568)</f>
        <v>3803.4900000000002</v>
      </c>
      <c r="J1568" t="s">
        <v>5046</v>
      </c>
      <c r="K1568" t="s">
        <v>5048</v>
      </c>
      <c r="L1568" t="s">
        <v>5053</v>
      </c>
      <c r="M1568" t="s">
        <v>5055</v>
      </c>
    </row>
    <row r="1569" spans="1:13" x14ac:dyDescent="0.3">
      <c r="A1569" s="1">
        <v>45619</v>
      </c>
      <c r="B1569" s="1" t="str">
        <f>TEXT(Tabla1[[#This Row],[Fecha]],"MMMM")</f>
        <v>noviembre</v>
      </c>
      <c r="C1569" t="s">
        <v>1579</v>
      </c>
      <c r="D1569" t="s">
        <v>5013</v>
      </c>
      <c r="E1569" t="s">
        <v>5032</v>
      </c>
      <c r="F1569" t="s">
        <v>5037</v>
      </c>
      <c r="G1569" s="3">
        <v>294.33</v>
      </c>
      <c r="H1569" s="3">
        <v>0</v>
      </c>
      <c r="I1569" s="3">
        <f>SUM(Tabla1[[#This Row],[Monto_Base]],H1569)</f>
        <v>294.33</v>
      </c>
      <c r="J1569" t="s">
        <v>5044</v>
      </c>
      <c r="K1569" t="s">
        <v>5049</v>
      </c>
      <c r="L1569" t="s">
        <v>5053</v>
      </c>
      <c r="M1569" t="s">
        <v>5055</v>
      </c>
    </row>
    <row r="1570" spans="1:13" x14ac:dyDescent="0.3">
      <c r="A1570" s="1">
        <v>45491</v>
      </c>
      <c r="B1570" s="1" t="str">
        <f>TEXT(Tabla1[[#This Row],[Fecha]],"MMMM")</f>
        <v>julio</v>
      </c>
      <c r="C1570" t="s">
        <v>1580</v>
      </c>
      <c r="D1570" t="s">
        <v>5023</v>
      </c>
      <c r="E1570" t="s">
        <v>5032</v>
      </c>
      <c r="F1570" t="s">
        <v>5036</v>
      </c>
      <c r="G1570" s="3">
        <v>12835.75</v>
      </c>
      <c r="H1570" s="3">
        <v>0</v>
      </c>
      <c r="I1570" s="3">
        <f>SUM(Tabla1[[#This Row],[Monto_Base]],H1570)</f>
        <v>12835.75</v>
      </c>
      <c r="J1570" t="s">
        <v>5042</v>
      </c>
      <c r="K1570" t="s">
        <v>5049</v>
      </c>
      <c r="L1570" t="s">
        <v>5051</v>
      </c>
      <c r="M1570" t="s">
        <v>5054</v>
      </c>
    </row>
    <row r="1571" spans="1:13" x14ac:dyDescent="0.3">
      <c r="A1571" s="1">
        <v>45417</v>
      </c>
      <c r="B1571" s="1" t="str">
        <f>TEXT(Tabla1[[#This Row],[Fecha]],"MMMM")</f>
        <v>mayo</v>
      </c>
      <c r="C1571" t="s">
        <v>1581</v>
      </c>
      <c r="D1571" t="s">
        <v>5012</v>
      </c>
      <c r="E1571" t="s">
        <v>5032</v>
      </c>
      <c r="F1571" t="s">
        <v>5036</v>
      </c>
      <c r="G1571" s="3">
        <v>4965.18</v>
      </c>
      <c r="H1571" s="3">
        <v>0</v>
      </c>
      <c r="I1571" s="3">
        <f>SUM(Tabla1[[#This Row],[Monto_Base]],H1571)</f>
        <v>4965.18</v>
      </c>
      <c r="J1571" t="s">
        <v>5043</v>
      </c>
      <c r="K1571" t="s">
        <v>5047</v>
      </c>
      <c r="L1571" t="s">
        <v>5053</v>
      </c>
      <c r="M1571" t="s">
        <v>5054</v>
      </c>
    </row>
    <row r="1572" spans="1:13" x14ac:dyDescent="0.3">
      <c r="A1572" s="1">
        <v>45510</v>
      </c>
      <c r="B1572" s="1" t="str">
        <f>TEXT(Tabla1[[#This Row],[Fecha]],"MMMM")</f>
        <v>agosto</v>
      </c>
      <c r="C1572" t="s">
        <v>1582</v>
      </c>
      <c r="D1572" t="s">
        <v>5028</v>
      </c>
      <c r="E1572" t="s">
        <v>5032</v>
      </c>
      <c r="F1572" t="s">
        <v>5038</v>
      </c>
      <c r="G1572" s="3">
        <v>6262.86</v>
      </c>
      <c r="H1572" s="3">
        <v>0</v>
      </c>
      <c r="I1572" s="3">
        <f>SUM(Tabla1[[#This Row],[Monto_Base]],H1572)</f>
        <v>6262.86</v>
      </c>
      <c r="J1572" t="s">
        <v>5046</v>
      </c>
      <c r="K1572" t="s">
        <v>5049</v>
      </c>
      <c r="L1572" t="s">
        <v>5052</v>
      </c>
      <c r="M1572" t="s">
        <v>5055</v>
      </c>
    </row>
    <row r="1573" spans="1:13" x14ac:dyDescent="0.3">
      <c r="A1573" s="1">
        <v>45371</v>
      </c>
      <c r="B1573" s="1" t="str">
        <f>TEXT(Tabla1[[#This Row],[Fecha]],"MMMM")</f>
        <v>marzo</v>
      </c>
      <c r="C1573" t="s">
        <v>1583</v>
      </c>
      <c r="D1573" t="s">
        <v>5021</v>
      </c>
      <c r="E1573" t="s">
        <v>5032</v>
      </c>
      <c r="F1573" t="s">
        <v>5036</v>
      </c>
      <c r="G1573" s="3">
        <v>1189.58</v>
      </c>
      <c r="H1573" s="3">
        <v>0</v>
      </c>
      <c r="I1573" s="3">
        <f>SUM(Tabla1[[#This Row],[Monto_Base]],H1573)</f>
        <v>1189.58</v>
      </c>
      <c r="J1573" t="s">
        <v>5045</v>
      </c>
      <c r="K1573" t="s">
        <v>5047</v>
      </c>
      <c r="L1573" t="s">
        <v>5052</v>
      </c>
      <c r="M1573" t="s">
        <v>5054</v>
      </c>
    </row>
    <row r="1574" spans="1:13" x14ac:dyDescent="0.3">
      <c r="A1574" s="1">
        <v>45548</v>
      </c>
      <c r="B1574" s="1" t="str">
        <f>TEXT(Tabla1[[#This Row],[Fecha]],"MMMM")</f>
        <v>septiembre</v>
      </c>
      <c r="C1574" t="s">
        <v>1584</v>
      </c>
      <c r="D1574" t="s">
        <v>5028</v>
      </c>
      <c r="E1574" t="s">
        <v>5033</v>
      </c>
      <c r="F1574" t="s">
        <v>5041</v>
      </c>
      <c r="G1574" s="3">
        <v>5096.07</v>
      </c>
      <c r="H1574" s="3">
        <v>662.49</v>
      </c>
      <c r="I1574" s="3">
        <f>SUM(Tabla1[[#This Row],[Monto_Base]],H1574)</f>
        <v>5758.5599999999995</v>
      </c>
      <c r="J1574" t="s">
        <v>5042</v>
      </c>
      <c r="K1574" t="s">
        <v>5048</v>
      </c>
      <c r="L1574" t="s">
        <v>5053</v>
      </c>
      <c r="M1574" t="s">
        <v>5055</v>
      </c>
    </row>
    <row r="1575" spans="1:13" x14ac:dyDescent="0.3">
      <c r="A1575" s="1">
        <v>45490</v>
      </c>
      <c r="B1575" s="1" t="str">
        <f>TEXT(Tabla1[[#This Row],[Fecha]],"MMMM")</f>
        <v>julio</v>
      </c>
      <c r="C1575" t="s">
        <v>1585</v>
      </c>
      <c r="D1575" t="s">
        <v>5030</v>
      </c>
      <c r="E1575" t="s">
        <v>5032</v>
      </c>
      <c r="F1575" t="s">
        <v>5036</v>
      </c>
      <c r="G1575" s="3">
        <v>5330.94</v>
      </c>
      <c r="H1575" s="3">
        <v>0</v>
      </c>
      <c r="I1575" s="3">
        <f>SUM(Tabla1[[#This Row],[Monto_Base]],H1575)</f>
        <v>5330.94</v>
      </c>
      <c r="J1575" t="s">
        <v>5046</v>
      </c>
      <c r="K1575" t="s">
        <v>5049</v>
      </c>
      <c r="L1575" t="s">
        <v>5051</v>
      </c>
      <c r="M1575" t="s">
        <v>5054</v>
      </c>
    </row>
    <row r="1576" spans="1:13" x14ac:dyDescent="0.3">
      <c r="A1576" s="1">
        <v>45559</v>
      </c>
      <c r="B1576" s="1" t="str">
        <f>TEXT(Tabla1[[#This Row],[Fecha]],"MMMM")</f>
        <v>septiembre</v>
      </c>
      <c r="C1576" t="s">
        <v>1586</v>
      </c>
      <c r="D1576" t="s">
        <v>5013</v>
      </c>
      <c r="E1576" t="s">
        <v>5033</v>
      </c>
      <c r="F1576" t="s">
        <v>5039</v>
      </c>
      <c r="G1576" s="3">
        <v>5164.41</v>
      </c>
      <c r="H1576" s="3">
        <v>671.37</v>
      </c>
      <c r="I1576" s="3">
        <f>SUM(Tabla1[[#This Row],[Monto_Base]],H1576)</f>
        <v>5835.78</v>
      </c>
      <c r="J1576" t="s">
        <v>5042</v>
      </c>
      <c r="K1576" t="s">
        <v>5047</v>
      </c>
      <c r="L1576" t="s">
        <v>5050</v>
      </c>
      <c r="M1576" t="s">
        <v>5055</v>
      </c>
    </row>
    <row r="1577" spans="1:13" x14ac:dyDescent="0.3">
      <c r="A1577" s="1">
        <v>45554</v>
      </c>
      <c r="B1577" s="1" t="str">
        <f>TEXT(Tabla1[[#This Row],[Fecha]],"MMMM")</f>
        <v>septiembre</v>
      </c>
      <c r="C1577" t="s">
        <v>1587</v>
      </c>
      <c r="D1577" t="s">
        <v>5015</v>
      </c>
      <c r="E1577" t="s">
        <v>5032</v>
      </c>
      <c r="F1577" t="s">
        <v>5037</v>
      </c>
      <c r="G1577" s="3">
        <v>1598.36</v>
      </c>
      <c r="H1577" s="3">
        <v>0</v>
      </c>
      <c r="I1577" s="3">
        <f>SUM(Tabla1[[#This Row],[Monto_Base]],H1577)</f>
        <v>1598.36</v>
      </c>
      <c r="J1577" t="s">
        <v>5043</v>
      </c>
      <c r="K1577" t="s">
        <v>5047</v>
      </c>
      <c r="L1577" t="s">
        <v>5052</v>
      </c>
      <c r="M1577" t="s">
        <v>5054</v>
      </c>
    </row>
    <row r="1578" spans="1:13" x14ac:dyDescent="0.3">
      <c r="A1578" s="1">
        <v>45545</v>
      </c>
      <c r="B1578" s="1" t="str">
        <f>TEXT(Tabla1[[#This Row],[Fecha]],"MMMM")</f>
        <v>septiembre</v>
      </c>
      <c r="C1578" t="s">
        <v>1588</v>
      </c>
      <c r="D1578" t="s">
        <v>5014</v>
      </c>
      <c r="E1578" t="s">
        <v>5033</v>
      </c>
      <c r="F1578" t="s">
        <v>5034</v>
      </c>
      <c r="G1578" s="3">
        <v>12525.94</v>
      </c>
      <c r="H1578" s="3">
        <v>1628.37</v>
      </c>
      <c r="I1578" s="3">
        <f>SUM(Tabla1[[#This Row],[Monto_Base]],H1578)</f>
        <v>14154.310000000001</v>
      </c>
      <c r="J1578" t="s">
        <v>5042</v>
      </c>
      <c r="K1578" t="s">
        <v>5048</v>
      </c>
      <c r="L1578" t="s">
        <v>5050</v>
      </c>
      <c r="M1578" t="s">
        <v>5055</v>
      </c>
    </row>
    <row r="1579" spans="1:13" x14ac:dyDescent="0.3">
      <c r="A1579" s="1">
        <v>45293</v>
      </c>
      <c r="B1579" s="1" t="str">
        <f>TEXT(Tabla1[[#This Row],[Fecha]],"MMMM")</f>
        <v>enero</v>
      </c>
      <c r="C1579" t="s">
        <v>1589</v>
      </c>
      <c r="D1579" t="s">
        <v>5024</v>
      </c>
      <c r="E1579" t="s">
        <v>5033</v>
      </c>
      <c r="F1579" t="s">
        <v>5035</v>
      </c>
      <c r="G1579" s="3">
        <v>6821</v>
      </c>
      <c r="H1579" s="3">
        <v>886.73</v>
      </c>
      <c r="I1579" s="3">
        <f>SUM(Tabla1[[#This Row],[Monto_Base]],H1579)</f>
        <v>7707.73</v>
      </c>
      <c r="J1579" t="s">
        <v>5042</v>
      </c>
      <c r="K1579" t="s">
        <v>5048</v>
      </c>
      <c r="L1579" t="s">
        <v>5053</v>
      </c>
      <c r="M1579" t="s">
        <v>5055</v>
      </c>
    </row>
    <row r="1580" spans="1:13" x14ac:dyDescent="0.3">
      <c r="A1580" s="1">
        <v>45335</v>
      </c>
      <c r="B1580" s="1" t="str">
        <f>TEXT(Tabla1[[#This Row],[Fecha]],"MMMM")</f>
        <v>febrero</v>
      </c>
      <c r="C1580" t="s">
        <v>1590</v>
      </c>
      <c r="D1580" t="s">
        <v>5019</v>
      </c>
      <c r="E1580" t="s">
        <v>5033</v>
      </c>
      <c r="F1580" t="s">
        <v>5040</v>
      </c>
      <c r="G1580" s="3">
        <v>12937</v>
      </c>
      <c r="H1580" s="3">
        <v>1681.81</v>
      </c>
      <c r="I1580" s="3">
        <f>SUM(Tabla1[[#This Row],[Monto_Base]],H1580)</f>
        <v>14618.81</v>
      </c>
      <c r="J1580" t="s">
        <v>5046</v>
      </c>
      <c r="K1580" t="s">
        <v>5047</v>
      </c>
      <c r="L1580" t="s">
        <v>5053</v>
      </c>
      <c r="M1580" t="s">
        <v>5054</v>
      </c>
    </row>
    <row r="1581" spans="1:13" x14ac:dyDescent="0.3">
      <c r="A1581" s="1">
        <v>45308</v>
      </c>
      <c r="B1581" s="1" t="str">
        <f>TEXT(Tabla1[[#This Row],[Fecha]],"MMMM")</f>
        <v>enero</v>
      </c>
      <c r="C1581" t="s">
        <v>1591</v>
      </c>
      <c r="D1581" t="s">
        <v>5025</v>
      </c>
      <c r="E1581" t="s">
        <v>5032</v>
      </c>
      <c r="F1581" t="s">
        <v>5036</v>
      </c>
      <c r="G1581" s="3">
        <v>9392.9500000000007</v>
      </c>
      <c r="H1581" s="3">
        <v>0</v>
      </c>
      <c r="I1581" s="3">
        <f>SUM(Tabla1[[#This Row],[Monto_Base]],H1581)</f>
        <v>9392.9500000000007</v>
      </c>
      <c r="J1581" t="s">
        <v>5044</v>
      </c>
      <c r="K1581" t="s">
        <v>5047</v>
      </c>
      <c r="L1581" t="s">
        <v>5051</v>
      </c>
      <c r="M1581" t="s">
        <v>5055</v>
      </c>
    </row>
    <row r="1582" spans="1:13" x14ac:dyDescent="0.3">
      <c r="A1582" s="1">
        <v>45632</v>
      </c>
      <c r="B1582" s="1" t="str">
        <f>TEXT(Tabla1[[#This Row],[Fecha]],"MMMM")</f>
        <v>diciembre</v>
      </c>
      <c r="C1582" t="s">
        <v>1592</v>
      </c>
      <c r="D1582" t="s">
        <v>5022</v>
      </c>
      <c r="E1582" t="s">
        <v>5033</v>
      </c>
      <c r="F1582" t="s">
        <v>5035</v>
      </c>
      <c r="G1582" s="3">
        <v>14088.78</v>
      </c>
      <c r="H1582" s="3">
        <v>1831.54</v>
      </c>
      <c r="I1582" s="3">
        <f>SUM(Tabla1[[#This Row],[Monto_Base]],H1582)</f>
        <v>15920.32</v>
      </c>
      <c r="J1582" t="s">
        <v>5046</v>
      </c>
      <c r="K1582" t="s">
        <v>5049</v>
      </c>
      <c r="L1582" t="s">
        <v>5051</v>
      </c>
      <c r="M1582" t="s">
        <v>5055</v>
      </c>
    </row>
    <row r="1583" spans="1:13" x14ac:dyDescent="0.3">
      <c r="A1583" s="1">
        <v>45563</v>
      </c>
      <c r="B1583" s="1" t="str">
        <f>TEXT(Tabla1[[#This Row],[Fecha]],"MMMM")</f>
        <v>septiembre</v>
      </c>
      <c r="C1583" t="s">
        <v>1593</v>
      </c>
      <c r="D1583" t="s">
        <v>5021</v>
      </c>
      <c r="E1583" t="s">
        <v>5032</v>
      </c>
      <c r="F1583" t="s">
        <v>5037</v>
      </c>
      <c r="G1583" s="3">
        <v>14720.59</v>
      </c>
      <c r="H1583" s="3">
        <v>0</v>
      </c>
      <c r="I1583" s="3">
        <f>SUM(Tabla1[[#This Row],[Monto_Base]],H1583)</f>
        <v>14720.59</v>
      </c>
      <c r="J1583" t="s">
        <v>5044</v>
      </c>
      <c r="K1583" t="s">
        <v>5047</v>
      </c>
      <c r="L1583" t="s">
        <v>5050</v>
      </c>
      <c r="M1583" t="s">
        <v>5055</v>
      </c>
    </row>
    <row r="1584" spans="1:13" x14ac:dyDescent="0.3">
      <c r="A1584" s="1">
        <v>45459</v>
      </c>
      <c r="B1584" s="1" t="str">
        <f>TEXT(Tabla1[[#This Row],[Fecha]],"MMMM")</f>
        <v>junio</v>
      </c>
      <c r="C1584" t="s">
        <v>1594</v>
      </c>
      <c r="D1584" t="s">
        <v>5019</v>
      </c>
      <c r="E1584" t="s">
        <v>5033</v>
      </c>
      <c r="F1584" t="s">
        <v>5035</v>
      </c>
      <c r="G1584" s="3">
        <v>14719.75</v>
      </c>
      <c r="H1584" s="3">
        <v>1913.57</v>
      </c>
      <c r="I1584" s="3">
        <f>SUM(Tabla1[[#This Row],[Monto_Base]],H1584)</f>
        <v>16633.32</v>
      </c>
      <c r="J1584" t="s">
        <v>5046</v>
      </c>
      <c r="K1584" t="s">
        <v>5049</v>
      </c>
      <c r="L1584" t="s">
        <v>5053</v>
      </c>
      <c r="M1584" t="s">
        <v>5054</v>
      </c>
    </row>
    <row r="1585" spans="1:13" x14ac:dyDescent="0.3">
      <c r="A1585" s="1">
        <v>45462</v>
      </c>
      <c r="B1585" s="1" t="str">
        <f>TEXT(Tabla1[[#This Row],[Fecha]],"MMMM")</f>
        <v>junio</v>
      </c>
      <c r="C1585" t="s">
        <v>1595</v>
      </c>
      <c r="D1585" t="s">
        <v>5015</v>
      </c>
      <c r="E1585" t="s">
        <v>5033</v>
      </c>
      <c r="F1585" t="s">
        <v>5036</v>
      </c>
      <c r="G1585" s="3">
        <v>14620.85</v>
      </c>
      <c r="H1585" s="3">
        <v>1900.71</v>
      </c>
      <c r="I1585" s="3">
        <f>SUM(Tabla1[[#This Row],[Monto_Base]],H1585)</f>
        <v>16521.560000000001</v>
      </c>
      <c r="J1585" t="s">
        <v>5044</v>
      </c>
      <c r="K1585" t="s">
        <v>5047</v>
      </c>
      <c r="L1585" t="s">
        <v>5052</v>
      </c>
      <c r="M1585" t="s">
        <v>5054</v>
      </c>
    </row>
    <row r="1586" spans="1:13" x14ac:dyDescent="0.3">
      <c r="A1586" s="1">
        <v>45573</v>
      </c>
      <c r="B1586" s="1" t="str">
        <f>TEXT(Tabla1[[#This Row],[Fecha]],"MMMM")</f>
        <v>octubre</v>
      </c>
      <c r="C1586" t="s">
        <v>1596</v>
      </c>
      <c r="D1586" t="s">
        <v>5017</v>
      </c>
      <c r="E1586" t="s">
        <v>5033</v>
      </c>
      <c r="F1586" t="s">
        <v>5038</v>
      </c>
      <c r="G1586" s="3">
        <v>4706.75</v>
      </c>
      <c r="H1586" s="3">
        <v>611.88</v>
      </c>
      <c r="I1586" s="3">
        <f>SUM(Tabla1[[#This Row],[Monto_Base]],H1586)</f>
        <v>5318.63</v>
      </c>
      <c r="J1586" t="s">
        <v>5042</v>
      </c>
      <c r="K1586" t="s">
        <v>5047</v>
      </c>
      <c r="L1586" t="s">
        <v>5051</v>
      </c>
      <c r="M1586" t="s">
        <v>5055</v>
      </c>
    </row>
    <row r="1587" spans="1:13" x14ac:dyDescent="0.3">
      <c r="A1587" s="1">
        <v>45507</v>
      </c>
      <c r="B1587" s="1" t="str">
        <f>TEXT(Tabla1[[#This Row],[Fecha]],"MMMM")</f>
        <v>agosto</v>
      </c>
      <c r="C1587" t="s">
        <v>1597</v>
      </c>
      <c r="D1587" t="s">
        <v>5027</v>
      </c>
      <c r="E1587" t="s">
        <v>5033</v>
      </c>
      <c r="F1587" t="s">
        <v>5038</v>
      </c>
      <c r="G1587" s="3">
        <v>13786.63</v>
      </c>
      <c r="H1587" s="3">
        <v>1792.26</v>
      </c>
      <c r="I1587" s="3">
        <f>SUM(Tabla1[[#This Row],[Monto_Base]],H1587)</f>
        <v>15578.89</v>
      </c>
      <c r="J1587" t="s">
        <v>5045</v>
      </c>
      <c r="K1587" t="s">
        <v>5049</v>
      </c>
      <c r="L1587" t="s">
        <v>5051</v>
      </c>
      <c r="M1587" t="s">
        <v>5055</v>
      </c>
    </row>
    <row r="1588" spans="1:13" x14ac:dyDescent="0.3">
      <c r="A1588" s="1">
        <v>45593</v>
      </c>
      <c r="B1588" s="1" t="str">
        <f>TEXT(Tabla1[[#This Row],[Fecha]],"MMMM")</f>
        <v>octubre</v>
      </c>
      <c r="C1588" t="s">
        <v>1598</v>
      </c>
      <c r="D1588" t="s">
        <v>5026</v>
      </c>
      <c r="E1588" t="s">
        <v>5033</v>
      </c>
      <c r="F1588" t="s">
        <v>5036</v>
      </c>
      <c r="G1588" s="3">
        <v>14237.31</v>
      </c>
      <c r="H1588" s="3">
        <v>1850.85</v>
      </c>
      <c r="I1588" s="3">
        <f>SUM(Tabla1[[#This Row],[Monto_Base]],H1588)</f>
        <v>16088.16</v>
      </c>
      <c r="J1588" t="s">
        <v>5045</v>
      </c>
      <c r="K1588" t="s">
        <v>5047</v>
      </c>
      <c r="L1588" t="s">
        <v>5050</v>
      </c>
      <c r="M1588" t="s">
        <v>5054</v>
      </c>
    </row>
    <row r="1589" spans="1:13" x14ac:dyDescent="0.3">
      <c r="A1589" s="1">
        <v>45594</v>
      </c>
      <c r="B1589" s="1" t="str">
        <f>TEXT(Tabla1[[#This Row],[Fecha]],"MMMM")</f>
        <v>octubre</v>
      </c>
      <c r="C1589" t="s">
        <v>1599</v>
      </c>
      <c r="D1589" t="s">
        <v>5020</v>
      </c>
      <c r="E1589" t="s">
        <v>5032</v>
      </c>
      <c r="F1589" t="s">
        <v>5036</v>
      </c>
      <c r="G1589" s="3">
        <v>4001.02</v>
      </c>
      <c r="H1589" s="3">
        <v>0</v>
      </c>
      <c r="I1589" s="3">
        <f>SUM(Tabla1[[#This Row],[Monto_Base]],H1589)</f>
        <v>4001.02</v>
      </c>
      <c r="J1589" t="s">
        <v>5042</v>
      </c>
      <c r="K1589" t="s">
        <v>5047</v>
      </c>
      <c r="L1589" t="s">
        <v>5053</v>
      </c>
      <c r="M1589" t="s">
        <v>5055</v>
      </c>
    </row>
    <row r="1590" spans="1:13" x14ac:dyDescent="0.3">
      <c r="A1590" s="1">
        <v>45654</v>
      </c>
      <c r="B1590" s="1" t="str">
        <f>TEXT(Tabla1[[#This Row],[Fecha]],"MMMM")</f>
        <v>diciembre</v>
      </c>
      <c r="C1590" t="s">
        <v>1600</v>
      </c>
      <c r="D1590" t="s">
        <v>5026</v>
      </c>
      <c r="E1590" t="s">
        <v>5033</v>
      </c>
      <c r="F1590" t="s">
        <v>5035</v>
      </c>
      <c r="G1590" s="3">
        <v>7081.22</v>
      </c>
      <c r="H1590" s="3">
        <v>920.56</v>
      </c>
      <c r="I1590" s="3">
        <f>SUM(Tabla1[[#This Row],[Monto_Base]],H1590)</f>
        <v>8001.7800000000007</v>
      </c>
      <c r="J1590" t="s">
        <v>5046</v>
      </c>
      <c r="K1590" t="s">
        <v>5047</v>
      </c>
      <c r="L1590" t="s">
        <v>5052</v>
      </c>
      <c r="M1590" t="s">
        <v>5055</v>
      </c>
    </row>
    <row r="1591" spans="1:13" x14ac:dyDescent="0.3">
      <c r="A1591" s="1">
        <v>45413</v>
      </c>
      <c r="B1591" s="1" t="str">
        <f>TEXT(Tabla1[[#This Row],[Fecha]],"MMMM")</f>
        <v>mayo</v>
      </c>
      <c r="C1591" t="s">
        <v>1601</v>
      </c>
      <c r="D1591" t="s">
        <v>5023</v>
      </c>
      <c r="E1591" t="s">
        <v>5032</v>
      </c>
      <c r="F1591" t="s">
        <v>5034</v>
      </c>
      <c r="G1591" s="3">
        <v>7415.16</v>
      </c>
      <c r="H1591" s="3">
        <v>0</v>
      </c>
      <c r="I1591" s="3">
        <f>SUM(Tabla1[[#This Row],[Monto_Base]],H1591)</f>
        <v>7415.16</v>
      </c>
      <c r="J1591" t="s">
        <v>5045</v>
      </c>
      <c r="K1591" t="s">
        <v>5048</v>
      </c>
      <c r="L1591" t="s">
        <v>5052</v>
      </c>
      <c r="M1591" t="s">
        <v>5055</v>
      </c>
    </row>
    <row r="1592" spans="1:13" x14ac:dyDescent="0.3">
      <c r="A1592" s="1">
        <v>45594</v>
      </c>
      <c r="B1592" s="1" t="str">
        <f>TEXT(Tabla1[[#This Row],[Fecha]],"MMMM")</f>
        <v>octubre</v>
      </c>
      <c r="C1592" t="s">
        <v>1602</v>
      </c>
      <c r="D1592" t="s">
        <v>5023</v>
      </c>
      <c r="E1592" t="s">
        <v>5032</v>
      </c>
      <c r="F1592" t="s">
        <v>5040</v>
      </c>
      <c r="G1592" s="3">
        <v>2086.35</v>
      </c>
      <c r="H1592" s="3">
        <v>0</v>
      </c>
      <c r="I1592" s="3">
        <f>SUM(Tabla1[[#This Row],[Monto_Base]],H1592)</f>
        <v>2086.35</v>
      </c>
      <c r="J1592" t="s">
        <v>5043</v>
      </c>
      <c r="K1592" t="s">
        <v>5049</v>
      </c>
      <c r="L1592" t="s">
        <v>5051</v>
      </c>
      <c r="M1592" t="s">
        <v>5055</v>
      </c>
    </row>
    <row r="1593" spans="1:13" x14ac:dyDescent="0.3">
      <c r="A1593" s="1">
        <v>45601</v>
      </c>
      <c r="B1593" s="1" t="str">
        <f>TEXT(Tabla1[[#This Row],[Fecha]],"MMMM")</f>
        <v>noviembre</v>
      </c>
      <c r="C1593" t="s">
        <v>1603</v>
      </c>
      <c r="D1593" t="s">
        <v>5031</v>
      </c>
      <c r="E1593" t="s">
        <v>5033</v>
      </c>
      <c r="F1593" t="s">
        <v>5037</v>
      </c>
      <c r="G1593" s="3">
        <v>3862.24</v>
      </c>
      <c r="H1593" s="3">
        <v>502.09</v>
      </c>
      <c r="I1593" s="3">
        <f>SUM(Tabla1[[#This Row],[Monto_Base]],H1593)</f>
        <v>4364.33</v>
      </c>
      <c r="J1593" t="s">
        <v>5043</v>
      </c>
      <c r="K1593" t="s">
        <v>5047</v>
      </c>
      <c r="L1593" t="s">
        <v>5053</v>
      </c>
      <c r="M1593" t="s">
        <v>5055</v>
      </c>
    </row>
    <row r="1594" spans="1:13" x14ac:dyDescent="0.3">
      <c r="A1594" s="1">
        <v>45589</v>
      </c>
      <c r="B1594" s="1" t="str">
        <f>TEXT(Tabla1[[#This Row],[Fecha]],"MMMM")</f>
        <v>octubre</v>
      </c>
      <c r="C1594" t="s">
        <v>1604</v>
      </c>
      <c r="D1594" t="s">
        <v>5021</v>
      </c>
      <c r="E1594" t="s">
        <v>5033</v>
      </c>
      <c r="F1594" t="s">
        <v>5039</v>
      </c>
      <c r="G1594" s="3">
        <v>12225.97</v>
      </c>
      <c r="H1594" s="3">
        <v>1589.38</v>
      </c>
      <c r="I1594" s="3">
        <f>SUM(Tabla1[[#This Row],[Monto_Base]],H1594)</f>
        <v>13815.349999999999</v>
      </c>
      <c r="J1594" t="s">
        <v>5045</v>
      </c>
      <c r="K1594" t="s">
        <v>5049</v>
      </c>
      <c r="L1594" t="s">
        <v>5052</v>
      </c>
      <c r="M1594" t="s">
        <v>5054</v>
      </c>
    </row>
    <row r="1595" spans="1:13" x14ac:dyDescent="0.3">
      <c r="A1595" s="1">
        <v>45642</v>
      </c>
      <c r="B1595" s="1" t="str">
        <f>TEXT(Tabla1[[#This Row],[Fecha]],"MMMM")</f>
        <v>diciembre</v>
      </c>
      <c r="C1595" t="s">
        <v>1605</v>
      </c>
      <c r="D1595" t="s">
        <v>5017</v>
      </c>
      <c r="E1595" t="s">
        <v>5033</v>
      </c>
      <c r="F1595" t="s">
        <v>5035</v>
      </c>
      <c r="G1595" s="3">
        <v>10982.22</v>
      </c>
      <c r="H1595" s="3">
        <v>1427.69</v>
      </c>
      <c r="I1595" s="3">
        <f>SUM(Tabla1[[#This Row],[Monto_Base]],H1595)</f>
        <v>12409.91</v>
      </c>
      <c r="J1595" t="s">
        <v>5043</v>
      </c>
      <c r="K1595" t="s">
        <v>5047</v>
      </c>
      <c r="L1595" t="s">
        <v>5052</v>
      </c>
      <c r="M1595" t="s">
        <v>5055</v>
      </c>
    </row>
    <row r="1596" spans="1:13" x14ac:dyDescent="0.3">
      <c r="A1596" s="1">
        <v>45648</v>
      </c>
      <c r="B1596" s="1" t="str">
        <f>TEXT(Tabla1[[#This Row],[Fecha]],"MMMM")</f>
        <v>diciembre</v>
      </c>
      <c r="C1596" t="s">
        <v>1606</v>
      </c>
      <c r="D1596" t="s">
        <v>5031</v>
      </c>
      <c r="E1596" t="s">
        <v>5033</v>
      </c>
      <c r="F1596" t="s">
        <v>5034</v>
      </c>
      <c r="G1596" s="3">
        <v>10772.69</v>
      </c>
      <c r="H1596" s="3">
        <v>1400.45</v>
      </c>
      <c r="I1596" s="3">
        <f>SUM(Tabla1[[#This Row],[Monto_Base]],H1596)</f>
        <v>12173.140000000001</v>
      </c>
      <c r="J1596" t="s">
        <v>5045</v>
      </c>
      <c r="K1596" t="s">
        <v>5048</v>
      </c>
      <c r="L1596" t="s">
        <v>5053</v>
      </c>
      <c r="M1596" t="s">
        <v>5055</v>
      </c>
    </row>
    <row r="1597" spans="1:13" x14ac:dyDescent="0.3">
      <c r="A1597" s="1">
        <v>45355</v>
      </c>
      <c r="B1597" s="1" t="str">
        <f>TEXT(Tabla1[[#This Row],[Fecha]],"MMMM")</f>
        <v>marzo</v>
      </c>
      <c r="C1597" t="s">
        <v>1607</v>
      </c>
      <c r="D1597" t="s">
        <v>5018</v>
      </c>
      <c r="E1597" t="s">
        <v>5033</v>
      </c>
      <c r="F1597" t="s">
        <v>5039</v>
      </c>
      <c r="G1597" s="3">
        <v>10878.5</v>
      </c>
      <c r="H1597" s="3">
        <v>1414.21</v>
      </c>
      <c r="I1597" s="3">
        <f>SUM(Tabla1[[#This Row],[Monto_Base]],H1597)</f>
        <v>12292.71</v>
      </c>
      <c r="J1597" t="s">
        <v>5044</v>
      </c>
      <c r="K1597" t="s">
        <v>5048</v>
      </c>
      <c r="L1597" t="s">
        <v>5050</v>
      </c>
      <c r="M1597" t="s">
        <v>5055</v>
      </c>
    </row>
    <row r="1598" spans="1:13" x14ac:dyDescent="0.3">
      <c r="A1598" s="1">
        <v>45472</v>
      </c>
      <c r="B1598" s="1" t="str">
        <f>TEXT(Tabla1[[#This Row],[Fecha]],"MMMM")</f>
        <v>junio</v>
      </c>
      <c r="C1598" t="s">
        <v>1608</v>
      </c>
      <c r="D1598" t="s">
        <v>5025</v>
      </c>
      <c r="E1598" t="s">
        <v>5033</v>
      </c>
      <c r="F1598" t="s">
        <v>5039</v>
      </c>
      <c r="G1598" s="3">
        <v>3141.38</v>
      </c>
      <c r="H1598" s="3">
        <v>408.38</v>
      </c>
      <c r="I1598" s="3">
        <f>SUM(Tabla1[[#This Row],[Monto_Base]],H1598)</f>
        <v>3549.76</v>
      </c>
      <c r="J1598" t="s">
        <v>5046</v>
      </c>
      <c r="K1598" t="s">
        <v>5049</v>
      </c>
      <c r="L1598" t="s">
        <v>5052</v>
      </c>
      <c r="M1598" t="s">
        <v>5055</v>
      </c>
    </row>
    <row r="1599" spans="1:13" x14ac:dyDescent="0.3">
      <c r="A1599" s="1">
        <v>45513</v>
      </c>
      <c r="B1599" s="1" t="str">
        <f>TEXT(Tabla1[[#This Row],[Fecha]],"MMMM")</f>
        <v>agosto</v>
      </c>
      <c r="C1599" t="s">
        <v>1609</v>
      </c>
      <c r="D1599" t="s">
        <v>5029</v>
      </c>
      <c r="E1599" t="s">
        <v>5032</v>
      </c>
      <c r="F1599" t="s">
        <v>5035</v>
      </c>
      <c r="G1599" s="3">
        <v>3819.06</v>
      </c>
      <c r="H1599" s="3">
        <v>0</v>
      </c>
      <c r="I1599" s="3">
        <f>SUM(Tabla1[[#This Row],[Monto_Base]],H1599)</f>
        <v>3819.06</v>
      </c>
      <c r="J1599" t="s">
        <v>5043</v>
      </c>
      <c r="K1599" t="s">
        <v>5047</v>
      </c>
      <c r="L1599" t="s">
        <v>5053</v>
      </c>
      <c r="M1599" t="s">
        <v>5054</v>
      </c>
    </row>
    <row r="1600" spans="1:13" x14ac:dyDescent="0.3">
      <c r="A1600" s="1">
        <v>45439</v>
      </c>
      <c r="B1600" s="1" t="str">
        <f>TEXT(Tabla1[[#This Row],[Fecha]],"MMMM")</f>
        <v>mayo</v>
      </c>
      <c r="C1600" t="s">
        <v>1610</v>
      </c>
      <c r="D1600" t="s">
        <v>5016</v>
      </c>
      <c r="E1600" t="s">
        <v>5032</v>
      </c>
      <c r="F1600" t="s">
        <v>5034</v>
      </c>
      <c r="G1600" s="3">
        <v>6230.39</v>
      </c>
      <c r="H1600" s="3">
        <v>0</v>
      </c>
      <c r="I1600" s="3">
        <f>SUM(Tabla1[[#This Row],[Monto_Base]],H1600)</f>
        <v>6230.39</v>
      </c>
      <c r="J1600" t="s">
        <v>5046</v>
      </c>
      <c r="K1600" t="s">
        <v>5048</v>
      </c>
      <c r="L1600" t="s">
        <v>5051</v>
      </c>
      <c r="M1600" t="s">
        <v>5054</v>
      </c>
    </row>
    <row r="1601" spans="1:13" x14ac:dyDescent="0.3">
      <c r="A1601" s="1">
        <v>45470</v>
      </c>
      <c r="B1601" s="1" t="str">
        <f>TEXT(Tabla1[[#This Row],[Fecha]],"MMMM")</f>
        <v>junio</v>
      </c>
      <c r="C1601" t="s">
        <v>1611</v>
      </c>
      <c r="D1601" t="s">
        <v>5022</v>
      </c>
      <c r="E1601" t="s">
        <v>5032</v>
      </c>
      <c r="F1601" t="s">
        <v>5036</v>
      </c>
      <c r="G1601" s="3">
        <v>8817.94</v>
      </c>
      <c r="H1601" s="3">
        <v>0</v>
      </c>
      <c r="I1601" s="3">
        <f>SUM(Tabla1[[#This Row],[Monto_Base]],H1601)</f>
        <v>8817.94</v>
      </c>
      <c r="J1601" t="s">
        <v>5044</v>
      </c>
      <c r="K1601" t="s">
        <v>5049</v>
      </c>
      <c r="L1601" t="s">
        <v>5052</v>
      </c>
      <c r="M1601" t="s">
        <v>5055</v>
      </c>
    </row>
    <row r="1602" spans="1:13" x14ac:dyDescent="0.3">
      <c r="A1602" s="1">
        <v>45537</v>
      </c>
      <c r="B1602" s="1" t="str">
        <f>TEXT(Tabla1[[#This Row],[Fecha]],"MMMM")</f>
        <v>septiembre</v>
      </c>
      <c r="C1602" t="s">
        <v>1612</v>
      </c>
      <c r="D1602" t="s">
        <v>5021</v>
      </c>
      <c r="E1602" t="s">
        <v>5032</v>
      </c>
      <c r="F1602" t="s">
        <v>5037</v>
      </c>
      <c r="G1602" s="3">
        <v>4081.11</v>
      </c>
      <c r="H1602" s="3">
        <v>0</v>
      </c>
      <c r="I1602" s="3">
        <f>SUM(Tabla1[[#This Row],[Monto_Base]],H1602)</f>
        <v>4081.11</v>
      </c>
      <c r="J1602" t="s">
        <v>5046</v>
      </c>
      <c r="K1602" t="s">
        <v>5048</v>
      </c>
      <c r="L1602" t="s">
        <v>5052</v>
      </c>
      <c r="M1602" t="s">
        <v>5054</v>
      </c>
    </row>
    <row r="1603" spans="1:13" x14ac:dyDescent="0.3">
      <c r="A1603" s="1">
        <v>45574</v>
      </c>
      <c r="B1603" s="1" t="str">
        <f>TEXT(Tabla1[[#This Row],[Fecha]],"MMMM")</f>
        <v>octubre</v>
      </c>
      <c r="C1603" t="s">
        <v>1613</v>
      </c>
      <c r="D1603" t="s">
        <v>5018</v>
      </c>
      <c r="E1603" t="s">
        <v>5032</v>
      </c>
      <c r="F1603" t="s">
        <v>5034</v>
      </c>
      <c r="G1603" s="3">
        <v>14798.07</v>
      </c>
      <c r="H1603" s="3">
        <v>0</v>
      </c>
      <c r="I1603" s="3">
        <f>SUM(Tabla1[[#This Row],[Monto_Base]],H1603)</f>
        <v>14798.07</v>
      </c>
      <c r="J1603" t="s">
        <v>5042</v>
      </c>
      <c r="K1603" t="s">
        <v>5049</v>
      </c>
      <c r="L1603" t="s">
        <v>5052</v>
      </c>
      <c r="M1603" t="s">
        <v>5054</v>
      </c>
    </row>
    <row r="1604" spans="1:13" x14ac:dyDescent="0.3">
      <c r="A1604" s="1">
        <v>45629</v>
      </c>
      <c r="B1604" s="1" t="str">
        <f>TEXT(Tabla1[[#This Row],[Fecha]],"MMMM")</f>
        <v>diciembre</v>
      </c>
      <c r="C1604" t="s">
        <v>1614</v>
      </c>
      <c r="D1604" t="s">
        <v>5020</v>
      </c>
      <c r="E1604" t="s">
        <v>5032</v>
      </c>
      <c r="F1604" t="s">
        <v>5036</v>
      </c>
      <c r="G1604" s="3">
        <v>4113.59</v>
      </c>
      <c r="H1604" s="3">
        <v>0</v>
      </c>
      <c r="I1604" s="3">
        <f>SUM(Tabla1[[#This Row],[Monto_Base]],H1604)</f>
        <v>4113.59</v>
      </c>
      <c r="J1604" t="s">
        <v>5042</v>
      </c>
      <c r="K1604" t="s">
        <v>5048</v>
      </c>
      <c r="L1604" t="s">
        <v>5050</v>
      </c>
      <c r="M1604" t="s">
        <v>5054</v>
      </c>
    </row>
    <row r="1605" spans="1:13" x14ac:dyDescent="0.3">
      <c r="A1605" s="1">
        <v>45421</v>
      </c>
      <c r="B1605" s="1" t="str">
        <f>TEXT(Tabla1[[#This Row],[Fecha]],"MMMM")</f>
        <v>mayo</v>
      </c>
      <c r="C1605" t="s">
        <v>1615</v>
      </c>
      <c r="D1605" t="s">
        <v>5031</v>
      </c>
      <c r="E1605" t="s">
        <v>5033</v>
      </c>
      <c r="F1605" t="s">
        <v>5034</v>
      </c>
      <c r="G1605" s="3">
        <v>13486.7</v>
      </c>
      <c r="H1605" s="3">
        <v>1753.27</v>
      </c>
      <c r="I1605" s="3">
        <f>SUM(Tabla1[[#This Row],[Monto_Base]],H1605)</f>
        <v>15239.970000000001</v>
      </c>
      <c r="J1605" t="s">
        <v>5046</v>
      </c>
      <c r="K1605" t="s">
        <v>5049</v>
      </c>
      <c r="L1605" t="s">
        <v>5052</v>
      </c>
      <c r="M1605" t="s">
        <v>5055</v>
      </c>
    </row>
    <row r="1606" spans="1:13" x14ac:dyDescent="0.3">
      <c r="A1606" s="1">
        <v>45575</v>
      </c>
      <c r="B1606" s="1" t="str">
        <f>TEXT(Tabla1[[#This Row],[Fecha]],"MMMM")</f>
        <v>octubre</v>
      </c>
      <c r="C1606" t="s">
        <v>1616</v>
      </c>
      <c r="D1606" t="s">
        <v>5026</v>
      </c>
      <c r="E1606" t="s">
        <v>5033</v>
      </c>
      <c r="F1606" t="s">
        <v>5040</v>
      </c>
      <c r="G1606" s="3">
        <v>11538.97</v>
      </c>
      <c r="H1606" s="3">
        <v>1500.07</v>
      </c>
      <c r="I1606" s="3">
        <f>SUM(Tabla1[[#This Row],[Monto_Base]],H1606)</f>
        <v>13039.039999999999</v>
      </c>
      <c r="J1606" t="s">
        <v>5043</v>
      </c>
      <c r="K1606" t="s">
        <v>5049</v>
      </c>
      <c r="L1606" t="s">
        <v>5051</v>
      </c>
      <c r="M1606" t="s">
        <v>5054</v>
      </c>
    </row>
    <row r="1607" spans="1:13" x14ac:dyDescent="0.3">
      <c r="A1607" s="1">
        <v>45509</v>
      </c>
      <c r="B1607" s="1" t="str">
        <f>TEXT(Tabla1[[#This Row],[Fecha]],"MMMM")</f>
        <v>agosto</v>
      </c>
      <c r="C1607" t="s">
        <v>1617</v>
      </c>
      <c r="D1607" t="s">
        <v>5024</v>
      </c>
      <c r="E1607" t="s">
        <v>5033</v>
      </c>
      <c r="F1607" t="s">
        <v>5036</v>
      </c>
      <c r="G1607" s="3">
        <v>11002.65</v>
      </c>
      <c r="H1607" s="3">
        <v>1430.34</v>
      </c>
      <c r="I1607" s="3">
        <f>SUM(Tabla1[[#This Row],[Monto_Base]],H1607)</f>
        <v>12432.99</v>
      </c>
      <c r="J1607" t="s">
        <v>5044</v>
      </c>
      <c r="K1607" t="s">
        <v>5049</v>
      </c>
      <c r="L1607" t="s">
        <v>5051</v>
      </c>
      <c r="M1607" t="s">
        <v>5054</v>
      </c>
    </row>
    <row r="1608" spans="1:13" x14ac:dyDescent="0.3">
      <c r="A1608" s="1">
        <v>45611</v>
      </c>
      <c r="B1608" s="1" t="str">
        <f>TEXT(Tabla1[[#This Row],[Fecha]],"MMMM")</f>
        <v>noviembre</v>
      </c>
      <c r="C1608" t="s">
        <v>1618</v>
      </c>
      <c r="D1608" t="s">
        <v>5014</v>
      </c>
      <c r="E1608" t="s">
        <v>5032</v>
      </c>
      <c r="F1608" t="s">
        <v>5036</v>
      </c>
      <c r="G1608" s="3">
        <v>5729.83</v>
      </c>
      <c r="H1608" s="3">
        <v>0</v>
      </c>
      <c r="I1608" s="3">
        <f>SUM(Tabla1[[#This Row],[Monto_Base]],H1608)</f>
        <v>5729.83</v>
      </c>
      <c r="J1608" t="s">
        <v>5046</v>
      </c>
      <c r="K1608" t="s">
        <v>5047</v>
      </c>
      <c r="L1608" t="s">
        <v>5051</v>
      </c>
      <c r="M1608" t="s">
        <v>5054</v>
      </c>
    </row>
    <row r="1609" spans="1:13" x14ac:dyDescent="0.3">
      <c r="A1609" s="1">
        <v>45544</v>
      </c>
      <c r="B1609" s="1" t="str">
        <f>TEXT(Tabla1[[#This Row],[Fecha]],"MMMM")</f>
        <v>septiembre</v>
      </c>
      <c r="C1609" t="s">
        <v>1619</v>
      </c>
      <c r="D1609" t="s">
        <v>5020</v>
      </c>
      <c r="E1609" t="s">
        <v>5032</v>
      </c>
      <c r="F1609" t="s">
        <v>5034</v>
      </c>
      <c r="G1609" s="3">
        <v>8010.67</v>
      </c>
      <c r="H1609" s="3">
        <v>0</v>
      </c>
      <c r="I1609" s="3">
        <f>SUM(Tabla1[[#This Row],[Monto_Base]],H1609)</f>
        <v>8010.67</v>
      </c>
      <c r="J1609" t="s">
        <v>5046</v>
      </c>
      <c r="K1609" t="s">
        <v>5048</v>
      </c>
      <c r="L1609" t="s">
        <v>5053</v>
      </c>
      <c r="M1609" t="s">
        <v>5054</v>
      </c>
    </row>
    <row r="1610" spans="1:13" x14ac:dyDescent="0.3">
      <c r="A1610" s="1">
        <v>45314</v>
      </c>
      <c r="B1610" s="1" t="str">
        <f>TEXT(Tabla1[[#This Row],[Fecha]],"MMMM")</f>
        <v>enero</v>
      </c>
      <c r="C1610" t="s">
        <v>1620</v>
      </c>
      <c r="D1610" t="s">
        <v>5031</v>
      </c>
      <c r="E1610" t="s">
        <v>5033</v>
      </c>
      <c r="F1610" t="s">
        <v>5034</v>
      </c>
      <c r="G1610" s="3">
        <v>6190.49</v>
      </c>
      <c r="H1610" s="3">
        <v>804.76</v>
      </c>
      <c r="I1610" s="3">
        <f>SUM(Tabla1[[#This Row],[Monto_Base]],H1610)</f>
        <v>6995.25</v>
      </c>
      <c r="J1610" t="s">
        <v>5046</v>
      </c>
      <c r="K1610" t="s">
        <v>5048</v>
      </c>
      <c r="L1610" t="s">
        <v>5050</v>
      </c>
      <c r="M1610" t="s">
        <v>5054</v>
      </c>
    </row>
    <row r="1611" spans="1:13" x14ac:dyDescent="0.3">
      <c r="A1611" s="1">
        <v>45401</v>
      </c>
      <c r="B1611" s="1" t="str">
        <f>TEXT(Tabla1[[#This Row],[Fecha]],"MMMM")</f>
        <v>abril</v>
      </c>
      <c r="C1611" t="s">
        <v>1621</v>
      </c>
      <c r="D1611" t="s">
        <v>5023</v>
      </c>
      <c r="E1611" t="s">
        <v>5032</v>
      </c>
      <c r="F1611" t="s">
        <v>5039</v>
      </c>
      <c r="G1611" s="3">
        <v>3349.95</v>
      </c>
      <c r="H1611" s="3">
        <v>0</v>
      </c>
      <c r="I1611" s="3">
        <f>SUM(Tabla1[[#This Row],[Monto_Base]],H1611)</f>
        <v>3349.95</v>
      </c>
      <c r="J1611" t="s">
        <v>5046</v>
      </c>
      <c r="K1611" t="s">
        <v>5048</v>
      </c>
      <c r="L1611" t="s">
        <v>5053</v>
      </c>
      <c r="M1611" t="s">
        <v>5054</v>
      </c>
    </row>
    <row r="1612" spans="1:13" x14ac:dyDescent="0.3">
      <c r="A1612" s="1">
        <v>45621</v>
      </c>
      <c r="B1612" s="1" t="str">
        <f>TEXT(Tabla1[[#This Row],[Fecha]],"MMMM")</f>
        <v>noviembre</v>
      </c>
      <c r="C1612" t="s">
        <v>1622</v>
      </c>
      <c r="D1612" t="s">
        <v>5022</v>
      </c>
      <c r="E1612" t="s">
        <v>5032</v>
      </c>
      <c r="F1612" t="s">
        <v>5036</v>
      </c>
      <c r="G1612" s="3">
        <v>14870.17</v>
      </c>
      <c r="H1612" s="3">
        <v>0</v>
      </c>
      <c r="I1612" s="3">
        <f>SUM(Tabla1[[#This Row],[Monto_Base]],H1612)</f>
        <v>14870.17</v>
      </c>
      <c r="J1612" t="s">
        <v>5042</v>
      </c>
      <c r="K1612" t="s">
        <v>5048</v>
      </c>
      <c r="L1612" t="s">
        <v>5052</v>
      </c>
      <c r="M1612" t="s">
        <v>5054</v>
      </c>
    </row>
    <row r="1613" spans="1:13" x14ac:dyDescent="0.3">
      <c r="A1613" s="1">
        <v>45598</v>
      </c>
      <c r="B1613" s="1" t="str">
        <f>TEXT(Tabla1[[#This Row],[Fecha]],"MMMM")</f>
        <v>noviembre</v>
      </c>
      <c r="C1613" t="s">
        <v>1623</v>
      </c>
      <c r="D1613" t="s">
        <v>5024</v>
      </c>
      <c r="E1613" t="s">
        <v>5033</v>
      </c>
      <c r="F1613" t="s">
        <v>5036</v>
      </c>
      <c r="G1613" s="3">
        <v>12090.97</v>
      </c>
      <c r="H1613" s="3">
        <v>1571.83</v>
      </c>
      <c r="I1613" s="3">
        <f>SUM(Tabla1[[#This Row],[Monto_Base]],H1613)</f>
        <v>13662.8</v>
      </c>
      <c r="J1613" t="s">
        <v>5042</v>
      </c>
      <c r="K1613" t="s">
        <v>5049</v>
      </c>
      <c r="L1613" t="s">
        <v>5052</v>
      </c>
      <c r="M1613" t="s">
        <v>5054</v>
      </c>
    </row>
    <row r="1614" spans="1:13" x14ac:dyDescent="0.3">
      <c r="A1614" s="1">
        <v>45542</v>
      </c>
      <c r="B1614" s="1" t="str">
        <f>TEXT(Tabla1[[#This Row],[Fecha]],"MMMM")</f>
        <v>septiembre</v>
      </c>
      <c r="C1614" t="s">
        <v>1624</v>
      </c>
      <c r="D1614" t="s">
        <v>5029</v>
      </c>
      <c r="E1614" t="s">
        <v>5033</v>
      </c>
      <c r="F1614" t="s">
        <v>5035</v>
      </c>
      <c r="G1614" s="3">
        <v>13897.11</v>
      </c>
      <c r="H1614" s="3">
        <v>1806.62</v>
      </c>
      <c r="I1614" s="3">
        <f>SUM(Tabla1[[#This Row],[Monto_Base]],H1614)</f>
        <v>15703.73</v>
      </c>
      <c r="J1614" t="s">
        <v>5046</v>
      </c>
      <c r="K1614" t="s">
        <v>5048</v>
      </c>
      <c r="L1614" t="s">
        <v>5051</v>
      </c>
      <c r="M1614" t="s">
        <v>5054</v>
      </c>
    </row>
    <row r="1615" spans="1:13" x14ac:dyDescent="0.3">
      <c r="A1615" s="1">
        <v>45648</v>
      </c>
      <c r="B1615" s="1" t="str">
        <f>TEXT(Tabla1[[#This Row],[Fecha]],"MMMM")</f>
        <v>diciembre</v>
      </c>
      <c r="C1615" t="s">
        <v>1625</v>
      </c>
      <c r="D1615" t="s">
        <v>5023</v>
      </c>
      <c r="E1615" t="s">
        <v>5033</v>
      </c>
      <c r="F1615" t="s">
        <v>5038</v>
      </c>
      <c r="G1615" s="3">
        <v>51.39</v>
      </c>
      <c r="H1615" s="3">
        <v>6.68</v>
      </c>
      <c r="I1615" s="3">
        <f>SUM(Tabla1[[#This Row],[Monto_Base]],H1615)</f>
        <v>58.07</v>
      </c>
      <c r="J1615" t="s">
        <v>5044</v>
      </c>
      <c r="K1615" t="s">
        <v>5048</v>
      </c>
      <c r="L1615" t="s">
        <v>5050</v>
      </c>
      <c r="M1615" t="s">
        <v>5054</v>
      </c>
    </row>
    <row r="1616" spans="1:13" x14ac:dyDescent="0.3">
      <c r="A1616" s="1">
        <v>45372</v>
      </c>
      <c r="B1616" s="1" t="str">
        <f>TEXT(Tabla1[[#This Row],[Fecha]],"MMMM")</f>
        <v>marzo</v>
      </c>
      <c r="C1616" t="s">
        <v>1626</v>
      </c>
      <c r="D1616" t="s">
        <v>5013</v>
      </c>
      <c r="E1616" t="s">
        <v>5033</v>
      </c>
      <c r="F1616" t="s">
        <v>5038</v>
      </c>
      <c r="G1616" s="3">
        <v>2928.54</v>
      </c>
      <c r="H1616" s="3">
        <v>380.71</v>
      </c>
      <c r="I1616" s="3">
        <f>SUM(Tabla1[[#This Row],[Monto_Base]],H1616)</f>
        <v>3309.25</v>
      </c>
      <c r="J1616" t="s">
        <v>5046</v>
      </c>
      <c r="K1616" t="s">
        <v>5049</v>
      </c>
      <c r="L1616" t="s">
        <v>5053</v>
      </c>
      <c r="M1616" t="s">
        <v>5054</v>
      </c>
    </row>
    <row r="1617" spans="1:13" x14ac:dyDescent="0.3">
      <c r="A1617" s="1">
        <v>45323</v>
      </c>
      <c r="B1617" s="1" t="str">
        <f>TEXT(Tabla1[[#This Row],[Fecha]],"MMMM")</f>
        <v>febrero</v>
      </c>
      <c r="C1617" t="s">
        <v>1627</v>
      </c>
      <c r="D1617" t="s">
        <v>5017</v>
      </c>
      <c r="E1617" t="s">
        <v>5033</v>
      </c>
      <c r="F1617" t="s">
        <v>5039</v>
      </c>
      <c r="G1617" s="3">
        <v>4460.25</v>
      </c>
      <c r="H1617" s="3">
        <v>579.83000000000004</v>
      </c>
      <c r="I1617" s="3">
        <f>SUM(Tabla1[[#This Row],[Monto_Base]],H1617)</f>
        <v>5040.08</v>
      </c>
      <c r="J1617" t="s">
        <v>5043</v>
      </c>
      <c r="K1617" t="s">
        <v>5047</v>
      </c>
      <c r="L1617" t="s">
        <v>5052</v>
      </c>
      <c r="M1617" t="s">
        <v>5054</v>
      </c>
    </row>
    <row r="1618" spans="1:13" x14ac:dyDescent="0.3">
      <c r="A1618" s="1">
        <v>45513</v>
      </c>
      <c r="B1618" s="1" t="str">
        <f>TEXT(Tabla1[[#This Row],[Fecha]],"MMMM")</f>
        <v>agosto</v>
      </c>
      <c r="C1618" t="s">
        <v>1628</v>
      </c>
      <c r="D1618" t="s">
        <v>5017</v>
      </c>
      <c r="E1618" t="s">
        <v>5032</v>
      </c>
      <c r="F1618" t="s">
        <v>5038</v>
      </c>
      <c r="G1618" s="3">
        <v>12529.46</v>
      </c>
      <c r="H1618" s="3">
        <v>0</v>
      </c>
      <c r="I1618" s="3">
        <f>SUM(Tabla1[[#This Row],[Monto_Base]],H1618)</f>
        <v>12529.46</v>
      </c>
      <c r="J1618" t="s">
        <v>5046</v>
      </c>
      <c r="K1618" t="s">
        <v>5049</v>
      </c>
      <c r="L1618" t="s">
        <v>5053</v>
      </c>
      <c r="M1618" t="s">
        <v>5054</v>
      </c>
    </row>
    <row r="1619" spans="1:13" x14ac:dyDescent="0.3">
      <c r="A1619" s="1">
        <v>45564</v>
      </c>
      <c r="B1619" s="1" t="str">
        <f>TEXT(Tabla1[[#This Row],[Fecha]],"MMMM")</f>
        <v>septiembre</v>
      </c>
      <c r="C1619" t="s">
        <v>1629</v>
      </c>
      <c r="D1619" t="s">
        <v>5019</v>
      </c>
      <c r="E1619" t="s">
        <v>5033</v>
      </c>
      <c r="F1619" t="s">
        <v>5039</v>
      </c>
      <c r="G1619" s="3">
        <v>5649.31</v>
      </c>
      <c r="H1619" s="3">
        <v>734.41</v>
      </c>
      <c r="I1619" s="3">
        <f>SUM(Tabla1[[#This Row],[Monto_Base]],H1619)</f>
        <v>6383.72</v>
      </c>
      <c r="J1619" t="s">
        <v>5046</v>
      </c>
      <c r="K1619" t="s">
        <v>5049</v>
      </c>
      <c r="L1619" t="s">
        <v>5050</v>
      </c>
      <c r="M1619" t="s">
        <v>5054</v>
      </c>
    </row>
    <row r="1620" spans="1:13" x14ac:dyDescent="0.3">
      <c r="A1620" s="1">
        <v>45347</v>
      </c>
      <c r="B1620" s="1" t="str">
        <f>TEXT(Tabla1[[#This Row],[Fecha]],"MMMM")</f>
        <v>febrero</v>
      </c>
      <c r="C1620" t="s">
        <v>1630</v>
      </c>
      <c r="D1620" t="s">
        <v>5026</v>
      </c>
      <c r="E1620" t="s">
        <v>5033</v>
      </c>
      <c r="F1620" t="s">
        <v>5036</v>
      </c>
      <c r="G1620" s="3">
        <v>2348.41</v>
      </c>
      <c r="H1620" s="3">
        <v>305.29000000000002</v>
      </c>
      <c r="I1620" s="3">
        <f>SUM(Tabla1[[#This Row],[Monto_Base]],H1620)</f>
        <v>2653.7</v>
      </c>
      <c r="J1620" t="s">
        <v>5043</v>
      </c>
      <c r="K1620" t="s">
        <v>5047</v>
      </c>
      <c r="L1620" t="s">
        <v>5052</v>
      </c>
      <c r="M1620" t="s">
        <v>5055</v>
      </c>
    </row>
    <row r="1621" spans="1:13" x14ac:dyDescent="0.3">
      <c r="A1621" s="1">
        <v>45509</v>
      </c>
      <c r="B1621" s="1" t="str">
        <f>TEXT(Tabla1[[#This Row],[Fecha]],"MMMM")</f>
        <v>agosto</v>
      </c>
      <c r="C1621" t="s">
        <v>1631</v>
      </c>
      <c r="D1621" t="s">
        <v>5025</v>
      </c>
      <c r="E1621" t="s">
        <v>5033</v>
      </c>
      <c r="F1621" t="s">
        <v>5034</v>
      </c>
      <c r="G1621" s="3">
        <v>14306.59</v>
      </c>
      <c r="H1621" s="3">
        <v>1859.86</v>
      </c>
      <c r="I1621" s="3">
        <f>SUM(Tabla1[[#This Row],[Monto_Base]],H1621)</f>
        <v>16166.45</v>
      </c>
      <c r="J1621" t="s">
        <v>5046</v>
      </c>
      <c r="K1621" t="s">
        <v>5049</v>
      </c>
      <c r="L1621" t="s">
        <v>5050</v>
      </c>
      <c r="M1621" t="s">
        <v>5055</v>
      </c>
    </row>
    <row r="1622" spans="1:13" x14ac:dyDescent="0.3">
      <c r="A1622" s="1">
        <v>45443</v>
      </c>
      <c r="B1622" s="1" t="str">
        <f>TEXT(Tabla1[[#This Row],[Fecha]],"MMMM")</f>
        <v>mayo</v>
      </c>
      <c r="C1622" t="s">
        <v>1632</v>
      </c>
      <c r="D1622" t="s">
        <v>5029</v>
      </c>
      <c r="E1622" t="s">
        <v>5033</v>
      </c>
      <c r="F1622" t="s">
        <v>5035</v>
      </c>
      <c r="G1622" s="3">
        <v>2984.23</v>
      </c>
      <c r="H1622" s="3">
        <v>387.95</v>
      </c>
      <c r="I1622" s="3">
        <f>SUM(Tabla1[[#This Row],[Monto_Base]],H1622)</f>
        <v>3372.18</v>
      </c>
      <c r="J1622" t="s">
        <v>5043</v>
      </c>
      <c r="K1622" t="s">
        <v>5049</v>
      </c>
      <c r="L1622" t="s">
        <v>5050</v>
      </c>
      <c r="M1622" t="s">
        <v>5054</v>
      </c>
    </row>
    <row r="1623" spans="1:13" x14ac:dyDescent="0.3">
      <c r="A1623" s="1">
        <v>45565</v>
      </c>
      <c r="B1623" s="1" t="str">
        <f>TEXT(Tabla1[[#This Row],[Fecha]],"MMMM")</f>
        <v>septiembre</v>
      </c>
      <c r="C1623" t="s">
        <v>1633</v>
      </c>
      <c r="D1623" t="s">
        <v>5026</v>
      </c>
      <c r="E1623" t="s">
        <v>5033</v>
      </c>
      <c r="F1623" t="s">
        <v>5034</v>
      </c>
      <c r="G1623" s="3">
        <v>11068.2</v>
      </c>
      <c r="H1623" s="3">
        <v>1438.87</v>
      </c>
      <c r="I1623" s="3">
        <f>SUM(Tabla1[[#This Row],[Monto_Base]],H1623)</f>
        <v>12507.07</v>
      </c>
      <c r="J1623" t="s">
        <v>5045</v>
      </c>
      <c r="K1623" t="s">
        <v>5049</v>
      </c>
      <c r="L1623" t="s">
        <v>5050</v>
      </c>
      <c r="M1623" t="s">
        <v>5055</v>
      </c>
    </row>
    <row r="1624" spans="1:13" x14ac:dyDescent="0.3">
      <c r="A1624" s="1">
        <v>45415</v>
      </c>
      <c r="B1624" s="1" t="str">
        <f>TEXT(Tabla1[[#This Row],[Fecha]],"MMMM")</f>
        <v>mayo</v>
      </c>
      <c r="C1624" t="s">
        <v>1634</v>
      </c>
      <c r="D1624" t="s">
        <v>5012</v>
      </c>
      <c r="E1624" t="s">
        <v>5033</v>
      </c>
      <c r="F1624" t="s">
        <v>5034</v>
      </c>
      <c r="G1624" s="3">
        <v>11994.2</v>
      </c>
      <c r="H1624" s="3">
        <v>1559.25</v>
      </c>
      <c r="I1624" s="3">
        <f>SUM(Tabla1[[#This Row],[Monto_Base]],H1624)</f>
        <v>13553.45</v>
      </c>
      <c r="J1624" t="s">
        <v>5045</v>
      </c>
      <c r="K1624" t="s">
        <v>5049</v>
      </c>
      <c r="L1624" t="s">
        <v>5053</v>
      </c>
      <c r="M1624" t="s">
        <v>5054</v>
      </c>
    </row>
    <row r="1625" spans="1:13" x14ac:dyDescent="0.3">
      <c r="A1625" s="1">
        <v>45573</v>
      </c>
      <c r="B1625" s="1" t="str">
        <f>TEXT(Tabla1[[#This Row],[Fecha]],"MMMM")</f>
        <v>octubre</v>
      </c>
      <c r="C1625" t="s">
        <v>1635</v>
      </c>
      <c r="D1625" t="s">
        <v>5015</v>
      </c>
      <c r="E1625" t="s">
        <v>5033</v>
      </c>
      <c r="F1625" t="s">
        <v>5038</v>
      </c>
      <c r="G1625" s="3">
        <v>3954.05</v>
      </c>
      <c r="H1625" s="3">
        <v>514.03</v>
      </c>
      <c r="I1625" s="3">
        <f>SUM(Tabla1[[#This Row],[Monto_Base]],H1625)</f>
        <v>4468.08</v>
      </c>
      <c r="J1625" t="s">
        <v>5046</v>
      </c>
      <c r="K1625" t="s">
        <v>5047</v>
      </c>
      <c r="L1625" t="s">
        <v>5053</v>
      </c>
      <c r="M1625" t="s">
        <v>5055</v>
      </c>
    </row>
    <row r="1626" spans="1:13" x14ac:dyDescent="0.3">
      <c r="A1626" s="1">
        <v>45337</v>
      </c>
      <c r="B1626" s="1" t="str">
        <f>TEXT(Tabla1[[#This Row],[Fecha]],"MMMM")</f>
        <v>febrero</v>
      </c>
      <c r="C1626" t="s">
        <v>1636</v>
      </c>
      <c r="D1626" t="s">
        <v>5024</v>
      </c>
      <c r="E1626" t="s">
        <v>5033</v>
      </c>
      <c r="F1626" t="s">
        <v>5034</v>
      </c>
      <c r="G1626" s="3">
        <v>10496.69</v>
      </c>
      <c r="H1626" s="3">
        <v>1364.57</v>
      </c>
      <c r="I1626" s="3">
        <f>SUM(Tabla1[[#This Row],[Monto_Base]],H1626)</f>
        <v>11861.26</v>
      </c>
      <c r="J1626" t="s">
        <v>5042</v>
      </c>
      <c r="K1626" t="s">
        <v>5047</v>
      </c>
      <c r="L1626" t="s">
        <v>5050</v>
      </c>
      <c r="M1626" t="s">
        <v>5054</v>
      </c>
    </row>
    <row r="1627" spans="1:13" x14ac:dyDescent="0.3">
      <c r="A1627" s="1">
        <v>45640</v>
      </c>
      <c r="B1627" s="1" t="str">
        <f>TEXT(Tabla1[[#This Row],[Fecha]],"MMMM")</f>
        <v>diciembre</v>
      </c>
      <c r="C1627" t="s">
        <v>1637</v>
      </c>
      <c r="D1627" t="s">
        <v>5016</v>
      </c>
      <c r="E1627" t="s">
        <v>5033</v>
      </c>
      <c r="F1627" t="s">
        <v>5040</v>
      </c>
      <c r="G1627" s="3">
        <v>6940.44</v>
      </c>
      <c r="H1627" s="3">
        <v>902.26</v>
      </c>
      <c r="I1627" s="3">
        <f>SUM(Tabla1[[#This Row],[Monto_Base]],H1627)</f>
        <v>7842.7</v>
      </c>
      <c r="J1627" t="s">
        <v>5044</v>
      </c>
      <c r="K1627" t="s">
        <v>5048</v>
      </c>
      <c r="L1627" t="s">
        <v>5053</v>
      </c>
      <c r="M1627" t="s">
        <v>5054</v>
      </c>
    </row>
    <row r="1628" spans="1:13" x14ac:dyDescent="0.3">
      <c r="A1628" s="1">
        <v>45376</v>
      </c>
      <c r="B1628" s="1" t="str">
        <f>TEXT(Tabla1[[#This Row],[Fecha]],"MMMM")</f>
        <v>marzo</v>
      </c>
      <c r="C1628" t="s">
        <v>1638</v>
      </c>
      <c r="D1628" t="s">
        <v>5012</v>
      </c>
      <c r="E1628" t="s">
        <v>5033</v>
      </c>
      <c r="F1628" t="s">
        <v>5035</v>
      </c>
      <c r="G1628" s="3">
        <v>1300.33</v>
      </c>
      <c r="H1628" s="3">
        <v>169.04</v>
      </c>
      <c r="I1628" s="3">
        <f>SUM(Tabla1[[#This Row],[Monto_Base]],H1628)</f>
        <v>1469.37</v>
      </c>
      <c r="J1628" t="s">
        <v>5042</v>
      </c>
      <c r="K1628" t="s">
        <v>5047</v>
      </c>
      <c r="L1628" t="s">
        <v>5053</v>
      </c>
      <c r="M1628" t="s">
        <v>5054</v>
      </c>
    </row>
    <row r="1629" spans="1:13" x14ac:dyDescent="0.3">
      <c r="A1629" s="1">
        <v>45614</v>
      </c>
      <c r="B1629" s="1" t="str">
        <f>TEXT(Tabla1[[#This Row],[Fecha]],"MMMM")</f>
        <v>noviembre</v>
      </c>
      <c r="C1629" t="s">
        <v>1639</v>
      </c>
      <c r="D1629" t="s">
        <v>5030</v>
      </c>
      <c r="E1629" t="s">
        <v>5032</v>
      </c>
      <c r="F1629" t="s">
        <v>5040</v>
      </c>
      <c r="G1629" s="3">
        <v>905.85</v>
      </c>
      <c r="H1629" s="3">
        <v>0</v>
      </c>
      <c r="I1629" s="3">
        <f>SUM(Tabla1[[#This Row],[Monto_Base]],H1629)</f>
        <v>905.85</v>
      </c>
      <c r="J1629" t="s">
        <v>5042</v>
      </c>
      <c r="K1629" t="s">
        <v>5047</v>
      </c>
      <c r="L1629" t="s">
        <v>5052</v>
      </c>
      <c r="M1629" t="s">
        <v>5055</v>
      </c>
    </row>
    <row r="1630" spans="1:13" x14ac:dyDescent="0.3">
      <c r="A1630" s="1">
        <v>45425</v>
      </c>
      <c r="B1630" s="1" t="str">
        <f>TEXT(Tabla1[[#This Row],[Fecha]],"MMMM")</f>
        <v>mayo</v>
      </c>
      <c r="C1630" t="s">
        <v>1640</v>
      </c>
      <c r="D1630" t="s">
        <v>5019</v>
      </c>
      <c r="E1630" t="s">
        <v>5033</v>
      </c>
      <c r="F1630" t="s">
        <v>5038</v>
      </c>
      <c r="G1630" s="3">
        <v>11300.31</v>
      </c>
      <c r="H1630" s="3">
        <v>1469.04</v>
      </c>
      <c r="I1630" s="3">
        <f>SUM(Tabla1[[#This Row],[Monto_Base]],H1630)</f>
        <v>12769.349999999999</v>
      </c>
      <c r="J1630" t="s">
        <v>5046</v>
      </c>
      <c r="K1630" t="s">
        <v>5047</v>
      </c>
      <c r="L1630" t="s">
        <v>5052</v>
      </c>
      <c r="M1630" t="s">
        <v>5055</v>
      </c>
    </row>
    <row r="1631" spans="1:13" x14ac:dyDescent="0.3">
      <c r="A1631" s="1">
        <v>45439</v>
      </c>
      <c r="B1631" s="1" t="str">
        <f>TEXT(Tabla1[[#This Row],[Fecha]],"MMMM")</f>
        <v>mayo</v>
      </c>
      <c r="C1631" t="s">
        <v>1641</v>
      </c>
      <c r="D1631" t="s">
        <v>5025</v>
      </c>
      <c r="E1631" t="s">
        <v>5033</v>
      </c>
      <c r="F1631" t="s">
        <v>5039</v>
      </c>
      <c r="G1631" s="3">
        <v>2677.09</v>
      </c>
      <c r="H1631" s="3">
        <v>348.02</v>
      </c>
      <c r="I1631" s="3">
        <f>SUM(Tabla1[[#This Row],[Monto_Base]],H1631)</f>
        <v>3025.11</v>
      </c>
      <c r="J1631" t="s">
        <v>5042</v>
      </c>
      <c r="K1631" t="s">
        <v>5049</v>
      </c>
      <c r="L1631" t="s">
        <v>5053</v>
      </c>
      <c r="M1631" t="s">
        <v>5055</v>
      </c>
    </row>
    <row r="1632" spans="1:13" x14ac:dyDescent="0.3">
      <c r="A1632" s="1">
        <v>45314</v>
      </c>
      <c r="B1632" s="1" t="str">
        <f>TEXT(Tabla1[[#This Row],[Fecha]],"MMMM")</f>
        <v>enero</v>
      </c>
      <c r="C1632" t="s">
        <v>1642</v>
      </c>
      <c r="D1632" t="s">
        <v>5025</v>
      </c>
      <c r="E1632" t="s">
        <v>5033</v>
      </c>
      <c r="F1632" t="s">
        <v>5037</v>
      </c>
      <c r="G1632" s="3">
        <v>7036.33</v>
      </c>
      <c r="H1632" s="3">
        <v>914.72</v>
      </c>
      <c r="I1632" s="3">
        <f>SUM(Tabla1[[#This Row],[Monto_Base]],H1632)</f>
        <v>7951.05</v>
      </c>
      <c r="J1632" t="s">
        <v>5042</v>
      </c>
      <c r="K1632" t="s">
        <v>5047</v>
      </c>
      <c r="L1632" t="s">
        <v>5053</v>
      </c>
      <c r="M1632" t="s">
        <v>5055</v>
      </c>
    </row>
    <row r="1633" spans="1:13" x14ac:dyDescent="0.3">
      <c r="A1633" s="1">
        <v>45556</v>
      </c>
      <c r="B1633" s="1" t="str">
        <f>TEXT(Tabla1[[#This Row],[Fecha]],"MMMM")</f>
        <v>septiembre</v>
      </c>
      <c r="C1633" t="s">
        <v>1643</v>
      </c>
      <c r="D1633" t="s">
        <v>5027</v>
      </c>
      <c r="E1633" t="s">
        <v>5032</v>
      </c>
      <c r="F1633" t="s">
        <v>5040</v>
      </c>
      <c r="G1633" s="3">
        <v>1375.89</v>
      </c>
      <c r="H1633" s="3">
        <v>0</v>
      </c>
      <c r="I1633" s="3">
        <f>SUM(Tabla1[[#This Row],[Monto_Base]],H1633)</f>
        <v>1375.89</v>
      </c>
      <c r="J1633" t="s">
        <v>5044</v>
      </c>
      <c r="K1633" t="s">
        <v>5049</v>
      </c>
      <c r="L1633" t="s">
        <v>5052</v>
      </c>
      <c r="M1633" t="s">
        <v>5055</v>
      </c>
    </row>
    <row r="1634" spans="1:13" x14ac:dyDescent="0.3">
      <c r="A1634" s="1">
        <v>45429</v>
      </c>
      <c r="B1634" s="1" t="str">
        <f>TEXT(Tabla1[[#This Row],[Fecha]],"MMMM")</f>
        <v>mayo</v>
      </c>
      <c r="C1634" t="s">
        <v>1644</v>
      </c>
      <c r="D1634" t="s">
        <v>5014</v>
      </c>
      <c r="E1634" t="s">
        <v>5033</v>
      </c>
      <c r="F1634" t="s">
        <v>5034</v>
      </c>
      <c r="G1634" s="3">
        <v>6223.94</v>
      </c>
      <c r="H1634" s="3">
        <v>809.11</v>
      </c>
      <c r="I1634" s="3">
        <f>SUM(Tabla1[[#This Row],[Monto_Base]],H1634)</f>
        <v>7033.0499999999993</v>
      </c>
      <c r="J1634" t="s">
        <v>5042</v>
      </c>
      <c r="K1634" t="s">
        <v>5047</v>
      </c>
      <c r="L1634" t="s">
        <v>5051</v>
      </c>
      <c r="M1634" t="s">
        <v>5055</v>
      </c>
    </row>
    <row r="1635" spans="1:13" x14ac:dyDescent="0.3">
      <c r="A1635" s="1">
        <v>45484</v>
      </c>
      <c r="B1635" s="1" t="str">
        <f>TEXT(Tabla1[[#This Row],[Fecha]],"MMMM")</f>
        <v>julio</v>
      </c>
      <c r="C1635" t="s">
        <v>1645</v>
      </c>
      <c r="D1635" t="s">
        <v>5015</v>
      </c>
      <c r="E1635" t="s">
        <v>5032</v>
      </c>
      <c r="F1635" t="s">
        <v>5039</v>
      </c>
      <c r="G1635" s="3">
        <v>11787.84</v>
      </c>
      <c r="H1635" s="3">
        <v>0</v>
      </c>
      <c r="I1635" s="3">
        <f>SUM(Tabla1[[#This Row],[Monto_Base]],H1635)</f>
        <v>11787.84</v>
      </c>
      <c r="J1635" t="s">
        <v>5045</v>
      </c>
      <c r="K1635" t="s">
        <v>5049</v>
      </c>
      <c r="L1635" t="s">
        <v>5053</v>
      </c>
      <c r="M1635" t="s">
        <v>5055</v>
      </c>
    </row>
    <row r="1636" spans="1:13" x14ac:dyDescent="0.3">
      <c r="A1636" s="1">
        <v>45606</v>
      </c>
      <c r="B1636" s="1" t="str">
        <f>TEXT(Tabla1[[#This Row],[Fecha]],"MMMM")</f>
        <v>noviembre</v>
      </c>
      <c r="C1636" t="s">
        <v>1646</v>
      </c>
      <c r="D1636" t="s">
        <v>5027</v>
      </c>
      <c r="E1636" t="s">
        <v>5033</v>
      </c>
      <c r="F1636" t="s">
        <v>5034</v>
      </c>
      <c r="G1636" s="3">
        <v>6182.24</v>
      </c>
      <c r="H1636" s="3">
        <v>803.69</v>
      </c>
      <c r="I1636" s="3">
        <f>SUM(Tabla1[[#This Row],[Monto_Base]],H1636)</f>
        <v>6985.93</v>
      </c>
      <c r="J1636" t="s">
        <v>5042</v>
      </c>
      <c r="K1636" t="s">
        <v>5048</v>
      </c>
      <c r="L1636" t="s">
        <v>5051</v>
      </c>
      <c r="M1636" t="s">
        <v>5054</v>
      </c>
    </row>
    <row r="1637" spans="1:13" x14ac:dyDescent="0.3">
      <c r="A1637" s="1">
        <v>45316</v>
      </c>
      <c r="B1637" s="1" t="str">
        <f>TEXT(Tabla1[[#This Row],[Fecha]],"MMMM")</f>
        <v>enero</v>
      </c>
      <c r="C1637" t="s">
        <v>1647</v>
      </c>
      <c r="D1637" t="s">
        <v>5026</v>
      </c>
      <c r="E1637" t="s">
        <v>5033</v>
      </c>
      <c r="F1637" t="s">
        <v>5035</v>
      </c>
      <c r="G1637" s="3">
        <v>4053.77</v>
      </c>
      <c r="H1637" s="3">
        <v>526.99</v>
      </c>
      <c r="I1637" s="3">
        <f>SUM(Tabla1[[#This Row],[Monto_Base]],H1637)</f>
        <v>4580.76</v>
      </c>
      <c r="J1637" t="s">
        <v>5045</v>
      </c>
      <c r="K1637" t="s">
        <v>5048</v>
      </c>
      <c r="L1637" t="s">
        <v>5051</v>
      </c>
      <c r="M1637" t="s">
        <v>5054</v>
      </c>
    </row>
    <row r="1638" spans="1:13" x14ac:dyDescent="0.3">
      <c r="A1638" s="1">
        <v>45534</v>
      </c>
      <c r="B1638" s="1" t="str">
        <f>TEXT(Tabla1[[#This Row],[Fecha]],"MMMM")</f>
        <v>agosto</v>
      </c>
      <c r="C1638" t="s">
        <v>1648</v>
      </c>
      <c r="D1638" t="s">
        <v>5021</v>
      </c>
      <c r="E1638" t="s">
        <v>5032</v>
      </c>
      <c r="F1638" t="s">
        <v>5039</v>
      </c>
      <c r="G1638" s="3">
        <v>8234.7900000000009</v>
      </c>
      <c r="H1638" s="3">
        <v>0</v>
      </c>
      <c r="I1638" s="3">
        <f>SUM(Tabla1[[#This Row],[Monto_Base]],H1638)</f>
        <v>8234.7900000000009</v>
      </c>
      <c r="J1638" t="s">
        <v>5043</v>
      </c>
      <c r="K1638" t="s">
        <v>5047</v>
      </c>
      <c r="L1638" t="s">
        <v>5052</v>
      </c>
      <c r="M1638" t="s">
        <v>5055</v>
      </c>
    </row>
    <row r="1639" spans="1:13" x14ac:dyDescent="0.3">
      <c r="A1639" s="1">
        <v>45371</v>
      </c>
      <c r="B1639" s="1" t="str">
        <f>TEXT(Tabla1[[#This Row],[Fecha]],"MMMM")</f>
        <v>marzo</v>
      </c>
      <c r="C1639" t="s">
        <v>1649</v>
      </c>
      <c r="D1639" t="s">
        <v>5023</v>
      </c>
      <c r="E1639" t="s">
        <v>5033</v>
      </c>
      <c r="F1639" t="s">
        <v>5037</v>
      </c>
      <c r="G1639" s="3">
        <v>4053.6</v>
      </c>
      <c r="H1639" s="3">
        <v>526.97</v>
      </c>
      <c r="I1639" s="3">
        <f>SUM(Tabla1[[#This Row],[Monto_Base]],H1639)</f>
        <v>4580.57</v>
      </c>
      <c r="J1639" t="s">
        <v>5045</v>
      </c>
      <c r="K1639" t="s">
        <v>5047</v>
      </c>
      <c r="L1639" t="s">
        <v>5050</v>
      </c>
      <c r="M1639" t="s">
        <v>5055</v>
      </c>
    </row>
    <row r="1640" spans="1:13" x14ac:dyDescent="0.3">
      <c r="A1640" s="1">
        <v>45302</v>
      </c>
      <c r="B1640" s="1" t="str">
        <f>TEXT(Tabla1[[#This Row],[Fecha]],"MMMM")</f>
        <v>enero</v>
      </c>
      <c r="C1640" t="s">
        <v>1650</v>
      </c>
      <c r="D1640" t="s">
        <v>5023</v>
      </c>
      <c r="E1640" t="s">
        <v>5032</v>
      </c>
      <c r="F1640" t="s">
        <v>5037</v>
      </c>
      <c r="G1640" s="3">
        <v>4498.92</v>
      </c>
      <c r="H1640" s="3">
        <v>0</v>
      </c>
      <c r="I1640" s="3">
        <f>SUM(Tabla1[[#This Row],[Monto_Base]],H1640)</f>
        <v>4498.92</v>
      </c>
      <c r="J1640" t="s">
        <v>5046</v>
      </c>
      <c r="K1640" t="s">
        <v>5048</v>
      </c>
      <c r="L1640" t="s">
        <v>5052</v>
      </c>
      <c r="M1640" t="s">
        <v>5055</v>
      </c>
    </row>
    <row r="1641" spans="1:13" x14ac:dyDescent="0.3">
      <c r="A1641" s="1">
        <v>45420</v>
      </c>
      <c r="B1641" s="1" t="str">
        <f>TEXT(Tabla1[[#This Row],[Fecha]],"MMMM")</f>
        <v>mayo</v>
      </c>
      <c r="C1641" t="s">
        <v>1651</v>
      </c>
      <c r="D1641" t="s">
        <v>5024</v>
      </c>
      <c r="E1641" t="s">
        <v>5033</v>
      </c>
      <c r="F1641" t="s">
        <v>5038</v>
      </c>
      <c r="G1641" s="3">
        <v>14413.57</v>
      </c>
      <c r="H1641" s="3">
        <v>1873.76</v>
      </c>
      <c r="I1641" s="3">
        <f>SUM(Tabla1[[#This Row],[Monto_Base]],H1641)</f>
        <v>16287.33</v>
      </c>
      <c r="J1641" t="s">
        <v>5045</v>
      </c>
      <c r="K1641" t="s">
        <v>5048</v>
      </c>
      <c r="L1641" t="s">
        <v>5053</v>
      </c>
      <c r="M1641" t="s">
        <v>5055</v>
      </c>
    </row>
    <row r="1642" spans="1:13" x14ac:dyDescent="0.3">
      <c r="A1642" s="1">
        <v>45483</v>
      </c>
      <c r="B1642" s="1" t="str">
        <f>TEXT(Tabla1[[#This Row],[Fecha]],"MMMM")</f>
        <v>julio</v>
      </c>
      <c r="C1642" t="s">
        <v>1652</v>
      </c>
      <c r="D1642" t="s">
        <v>5019</v>
      </c>
      <c r="E1642" t="s">
        <v>5033</v>
      </c>
      <c r="F1642" t="s">
        <v>5040</v>
      </c>
      <c r="G1642" s="3">
        <v>14194.82</v>
      </c>
      <c r="H1642" s="3">
        <v>1845.33</v>
      </c>
      <c r="I1642" s="3">
        <f>SUM(Tabla1[[#This Row],[Monto_Base]],H1642)</f>
        <v>16040.15</v>
      </c>
      <c r="J1642" t="s">
        <v>5044</v>
      </c>
      <c r="K1642" t="s">
        <v>5047</v>
      </c>
      <c r="L1642" t="s">
        <v>5052</v>
      </c>
      <c r="M1642" t="s">
        <v>5055</v>
      </c>
    </row>
    <row r="1643" spans="1:13" x14ac:dyDescent="0.3">
      <c r="A1643" s="1">
        <v>45303</v>
      </c>
      <c r="B1643" s="1" t="str">
        <f>TEXT(Tabla1[[#This Row],[Fecha]],"MMMM")</f>
        <v>enero</v>
      </c>
      <c r="C1643" t="s">
        <v>1653</v>
      </c>
      <c r="D1643" t="s">
        <v>5015</v>
      </c>
      <c r="E1643" t="s">
        <v>5032</v>
      </c>
      <c r="F1643" t="s">
        <v>5039</v>
      </c>
      <c r="G1643" s="3">
        <v>4442.8</v>
      </c>
      <c r="H1643" s="3">
        <v>0</v>
      </c>
      <c r="I1643" s="3">
        <f>SUM(Tabla1[[#This Row],[Monto_Base]],H1643)</f>
        <v>4442.8</v>
      </c>
      <c r="J1643" t="s">
        <v>5045</v>
      </c>
      <c r="K1643" t="s">
        <v>5048</v>
      </c>
      <c r="L1643" t="s">
        <v>5050</v>
      </c>
      <c r="M1643" t="s">
        <v>5055</v>
      </c>
    </row>
    <row r="1644" spans="1:13" x14ac:dyDescent="0.3">
      <c r="A1644" s="1">
        <v>45347</v>
      </c>
      <c r="B1644" s="1" t="str">
        <f>TEXT(Tabla1[[#This Row],[Fecha]],"MMMM")</f>
        <v>febrero</v>
      </c>
      <c r="C1644" t="s">
        <v>1654</v>
      </c>
      <c r="D1644" t="s">
        <v>5029</v>
      </c>
      <c r="E1644" t="s">
        <v>5032</v>
      </c>
      <c r="F1644" t="s">
        <v>5035</v>
      </c>
      <c r="G1644" s="3">
        <v>11591.95</v>
      </c>
      <c r="H1644" s="3">
        <v>0</v>
      </c>
      <c r="I1644" s="3">
        <f>SUM(Tabla1[[#This Row],[Monto_Base]],H1644)</f>
        <v>11591.95</v>
      </c>
      <c r="J1644" t="s">
        <v>5044</v>
      </c>
      <c r="K1644" t="s">
        <v>5047</v>
      </c>
      <c r="L1644" t="s">
        <v>5052</v>
      </c>
      <c r="M1644" t="s">
        <v>5055</v>
      </c>
    </row>
    <row r="1645" spans="1:13" x14ac:dyDescent="0.3">
      <c r="A1645" s="1">
        <v>45466</v>
      </c>
      <c r="B1645" s="1" t="str">
        <f>TEXT(Tabla1[[#This Row],[Fecha]],"MMMM")</f>
        <v>junio</v>
      </c>
      <c r="C1645" t="s">
        <v>1655</v>
      </c>
      <c r="D1645" t="s">
        <v>5028</v>
      </c>
      <c r="E1645" t="s">
        <v>5032</v>
      </c>
      <c r="F1645" t="s">
        <v>5035</v>
      </c>
      <c r="G1645" s="3">
        <v>10121.48</v>
      </c>
      <c r="H1645" s="3">
        <v>0</v>
      </c>
      <c r="I1645" s="3">
        <f>SUM(Tabla1[[#This Row],[Monto_Base]],H1645)</f>
        <v>10121.48</v>
      </c>
      <c r="J1645" t="s">
        <v>5045</v>
      </c>
      <c r="K1645" t="s">
        <v>5048</v>
      </c>
      <c r="L1645" t="s">
        <v>5053</v>
      </c>
      <c r="M1645" t="s">
        <v>5055</v>
      </c>
    </row>
    <row r="1646" spans="1:13" x14ac:dyDescent="0.3">
      <c r="A1646" s="1">
        <v>45473</v>
      </c>
      <c r="B1646" s="1" t="str">
        <f>TEXT(Tabla1[[#This Row],[Fecha]],"MMMM")</f>
        <v>junio</v>
      </c>
      <c r="C1646" t="s">
        <v>1656</v>
      </c>
      <c r="D1646" t="s">
        <v>5017</v>
      </c>
      <c r="E1646" t="s">
        <v>5033</v>
      </c>
      <c r="F1646" t="s">
        <v>5034</v>
      </c>
      <c r="G1646" s="3">
        <v>14547.49</v>
      </c>
      <c r="H1646" s="3">
        <v>1891.17</v>
      </c>
      <c r="I1646" s="3">
        <f>SUM(Tabla1[[#This Row],[Monto_Base]],H1646)</f>
        <v>16438.66</v>
      </c>
      <c r="J1646" t="s">
        <v>5046</v>
      </c>
      <c r="K1646" t="s">
        <v>5049</v>
      </c>
      <c r="L1646" t="s">
        <v>5051</v>
      </c>
      <c r="M1646" t="s">
        <v>5055</v>
      </c>
    </row>
    <row r="1647" spans="1:13" x14ac:dyDescent="0.3">
      <c r="A1647" s="1">
        <v>45338</v>
      </c>
      <c r="B1647" s="1" t="str">
        <f>TEXT(Tabla1[[#This Row],[Fecha]],"MMMM")</f>
        <v>febrero</v>
      </c>
      <c r="C1647" t="s">
        <v>1657</v>
      </c>
      <c r="D1647" t="s">
        <v>5027</v>
      </c>
      <c r="E1647" t="s">
        <v>5033</v>
      </c>
      <c r="F1647" t="s">
        <v>5039</v>
      </c>
      <c r="G1647" s="3">
        <v>12098.92</v>
      </c>
      <c r="H1647" s="3">
        <v>1572.86</v>
      </c>
      <c r="I1647" s="3">
        <f>SUM(Tabla1[[#This Row],[Monto_Base]],H1647)</f>
        <v>13671.78</v>
      </c>
      <c r="J1647" t="s">
        <v>5045</v>
      </c>
      <c r="K1647" t="s">
        <v>5049</v>
      </c>
      <c r="L1647" t="s">
        <v>5050</v>
      </c>
      <c r="M1647" t="s">
        <v>5055</v>
      </c>
    </row>
    <row r="1648" spans="1:13" x14ac:dyDescent="0.3">
      <c r="A1648" s="1">
        <v>45338</v>
      </c>
      <c r="B1648" s="1" t="str">
        <f>TEXT(Tabla1[[#This Row],[Fecha]],"MMMM")</f>
        <v>febrero</v>
      </c>
      <c r="C1648" t="s">
        <v>1658</v>
      </c>
      <c r="D1648" t="s">
        <v>5023</v>
      </c>
      <c r="E1648" t="s">
        <v>5033</v>
      </c>
      <c r="F1648" t="s">
        <v>5034</v>
      </c>
      <c r="G1648" s="3">
        <v>3654.39</v>
      </c>
      <c r="H1648" s="3">
        <v>475.07</v>
      </c>
      <c r="I1648" s="3">
        <f>SUM(Tabla1[[#This Row],[Monto_Base]],H1648)</f>
        <v>4129.46</v>
      </c>
      <c r="J1648" t="s">
        <v>5046</v>
      </c>
      <c r="K1648" t="s">
        <v>5048</v>
      </c>
      <c r="L1648" t="s">
        <v>5052</v>
      </c>
      <c r="M1648" t="s">
        <v>5054</v>
      </c>
    </row>
    <row r="1649" spans="1:13" x14ac:dyDescent="0.3">
      <c r="A1649" s="1">
        <v>45309</v>
      </c>
      <c r="B1649" s="1" t="str">
        <f>TEXT(Tabla1[[#This Row],[Fecha]],"MMMM")</f>
        <v>enero</v>
      </c>
      <c r="C1649" t="s">
        <v>1659</v>
      </c>
      <c r="D1649" t="s">
        <v>5020</v>
      </c>
      <c r="E1649" t="s">
        <v>5033</v>
      </c>
      <c r="F1649" t="s">
        <v>5035</v>
      </c>
      <c r="G1649" s="3">
        <v>13241.62</v>
      </c>
      <c r="H1649" s="3">
        <v>1721.41</v>
      </c>
      <c r="I1649" s="3">
        <f>SUM(Tabla1[[#This Row],[Monto_Base]],H1649)</f>
        <v>14963.03</v>
      </c>
      <c r="J1649" t="s">
        <v>5045</v>
      </c>
      <c r="K1649" t="s">
        <v>5047</v>
      </c>
      <c r="L1649" t="s">
        <v>5050</v>
      </c>
      <c r="M1649" t="s">
        <v>5055</v>
      </c>
    </row>
    <row r="1650" spans="1:13" x14ac:dyDescent="0.3">
      <c r="A1650" s="1">
        <v>45560</v>
      </c>
      <c r="B1650" s="1" t="str">
        <f>TEXT(Tabla1[[#This Row],[Fecha]],"MMMM")</f>
        <v>septiembre</v>
      </c>
      <c r="C1650" t="s">
        <v>1660</v>
      </c>
      <c r="D1650" t="s">
        <v>5030</v>
      </c>
      <c r="E1650" t="s">
        <v>5032</v>
      </c>
      <c r="F1650" t="s">
        <v>5037</v>
      </c>
      <c r="G1650" s="3">
        <v>11694.75</v>
      </c>
      <c r="H1650" s="3">
        <v>0</v>
      </c>
      <c r="I1650" s="3">
        <f>SUM(Tabla1[[#This Row],[Monto_Base]],H1650)</f>
        <v>11694.75</v>
      </c>
      <c r="J1650" t="s">
        <v>5045</v>
      </c>
      <c r="K1650" t="s">
        <v>5047</v>
      </c>
      <c r="L1650" t="s">
        <v>5052</v>
      </c>
      <c r="M1650" t="s">
        <v>5054</v>
      </c>
    </row>
    <row r="1651" spans="1:13" x14ac:dyDescent="0.3">
      <c r="A1651" s="1">
        <v>45349</v>
      </c>
      <c r="B1651" s="1" t="str">
        <f>TEXT(Tabla1[[#This Row],[Fecha]],"MMMM")</f>
        <v>febrero</v>
      </c>
      <c r="C1651" t="s">
        <v>1661</v>
      </c>
      <c r="D1651" t="s">
        <v>5012</v>
      </c>
      <c r="E1651" t="s">
        <v>5033</v>
      </c>
      <c r="F1651" t="s">
        <v>5040</v>
      </c>
      <c r="G1651" s="3">
        <v>11690.56</v>
      </c>
      <c r="H1651" s="3">
        <v>1519.77</v>
      </c>
      <c r="I1651" s="3">
        <f>SUM(Tabla1[[#This Row],[Monto_Base]],H1651)</f>
        <v>13210.33</v>
      </c>
      <c r="J1651" t="s">
        <v>5042</v>
      </c>
      <c r="K1651" t="s">
        <v>5047</v>
      </c>
      <c r="L1651" t="s">
        <v>5053</v>
      </c>
      <c r="M1651" t="s">
        <v>5054</v>
      </c>
    </row>
    <row r="1652" spans="1:13" x14ac:dyDescent="0.3">
      <c r="A1652" s="1">
        <v>45437</v>
      </c>
      <c r="B1652" s="1" t="str">
        <f>TEXT(Tabla1[[#This Row],[Fecha]],"MMMM")</f>
        <v>mayo</v>
      </c>
      <c r="C1652" t="s">
        <v>1662</v>
      </c>
      <c r="D1652" t="s">
        <v>5020</v>
      </c>
      <c r="E1652" t="s">
        <v>5032</v>
      </c>
      <c r="F1652" t="s">
        <v>5041</v>
      </c>
      <c r="G1652" s="3">
        <v>3995.11</v>
      </c>
      <c r="H1652" s="3">
        <v>0</v>
      </c>
      <c r="I1652" s="3">
        <f>SUM(Tabla1[[#This Row],[Monto_Base]],H1652)</f>
        <v>3995.11</v>
      </c>
      <c r="J1652" t="s">
        <v>5042</v>
      </c>
      <c r="K1652" t="s">
        <v>5047</v>
      </c>
      <c r="L1652" t="s">
        <v>5050</v>
      </c>
      <c r="M1652" t="s">
        <v>5054</v>
      </c>
    </row>
    <row r="1653" spans="1:13" x14ac:dyDescent="0.3">
      <c r="A1653" s="1">
        <v>45321</v>
      </c>
      <c r="B1653" s="1" t="str">
        <f>TEXT(Tabla1[[#This Row],[Fecha]],"MMMM")</f>
        <v>enero</v>
      </c>
      <c r="C1653" t="s">
        <v>1663</v>
      </c>
      <c r="D1653" t="s">
        <v>5027</v>
      </c>
      <c r="E1653" t="s">
        <v>5032</v>
      </c>
      <c r="F1653" t="s">
        <v>5040</v>
      </c>
      <c r="G1653" s="3">
        <v>2052.1999999999998</v>
      </c>
      <c r="H1653" s="3">
        <v>0</v>
      </c>
      <c r="I1653" s="3">
        <f>SUM(Tabla1[[#This Row],[Monto_Base]],H1653)</f>
        <v>2052.1999999999998</v>
      </c>
      <c r="J1653" t="s">
        <v>5045</v>
      </c>
      <c r="K1653" t="s">
        <v>5048</v>
      </c>
      <c r="L1653" t="s">
        <v>5053</v>
      </c>
      <c r="M1653" t="s">
        <v>5054</v>
      </c>
    </row>
    <row r="1654" spans="1:13" x14ac:dyDescent="0.3">
      <c r="A1654" s="1">
        <v>45563</v>
      </c>
      <c r="B1654" s="1" t="str">
        <f>TEXT(Tabla1[[#This Row],[Fecha]],"MMMM")</f>
        <v>septiembre</v>
      </c>
      <c r="C1654" t="s">
        <v>1664</v>
      </c>
      <c r="D1654" t="s">
        <v>5030</v>
      </c>
      <c r="E1654" t="s">
        <v>5032</v>
      </c>
      <c r="F1654" t="s">
        <v>5034</v>
      </c>
      <c r="G1654" s="3">
        <v>3508.68</v>
      </c>
      <c r="H1654" s="3">
        <v>0</v>
      </c>
      <c r="I1654" s="3">
        <f>SUM(Tabla1[[#This Row],[Monto_Base]],H1654)</f>
        <v>3508.68</v>
      </c>
      <c r="J1654" t="s">
        <v>5043</v>
      </c>
      <c r="K1654" t="s">
        <v>5048</v>
      </c>
      <c r="L1654" t="s">
        <v>5053</v>
      </c>
      <c r="M1654" t="s">
        <v>5054</v>
      </c>
    </row>
    <row r="1655" spans="1:13" x14ac:dyDescent="0.3">
      <c r="A1655" s="1">
        <v>45602</v>
      </c>
      <c r="B1655" s="1" t="str">
        <f>TEXT(Tabla1[[#This Row],[Fecha]],"MMMM")</f>
        <v>noviembre</v>
      </c>
      <c r="C1655" t="s">
        <v>1665</v>
      </c>
      <c r="D1655" t="s">
        <v>5024</v>
      </c>
      <c r="E1655" t="s">
        <v>5033</v>
      </c>
      <c r="F1655" t="s">
        <v>5039</v>
      </c>
      <c r="G1655" s="3">
        <v>14126.92</v>
      </c>
      <c r="H1655" s="3">
        <v>1836.5</v>
      </c>
      <c r="I1655" s="3">
        <f>SUM(Tabla1[[#This Row],[Monto_Base]],H1655)</f>
        <v>15963.42</v>
      </c>
      <c r="J1655" t="s">
        <v>5042</v>
      </c>
      <c r="K1655" t="s">
        <v>5049</v>
      </c>
      <c r="L1655" t="s">
        <v>5052</v>
      </c>
      <c r="M1655" t="s">
        <v>5054</v>
      </c>
    </row>
    <row r="1656" spans="1:13" x14ac:dyDescent="0.3">
      <c r="A1656" s="1">
        <v>45331</v>
      </c>
      <c r="B1656" s="1" t="str">
        <f>TEXT(Tabla1[[#This Row],[Fecha]],"MMMM")</f>
        <v>febrero</v>
      </c>
      <c r="C1656" t="s">
        <v>1666</v>
      </c>
      <c r="D1656" t="s">
        <v>5018</v>
      </c>
      <c r="E1656" t="s">
        <v>5032</v>
      </c>
      <c r="F1656" t="s">
        <v>5040</v>
      </c>
      <c r="G1656" s="3">
        <v>5098.54</v>
      </c>
      <c r="H1656" s="3">
        <v>0</v>
      </c>
      <c r="I1656" s="3">
        <f>SUM(Tabla1[[#This Row],[Monto_Base]],H1656)</f>
        <v>5098.54</v>
      </c>
      <c r="J1656" t="s">
        <v>5045</v>
      </c>
      <c r="K1656" t="s">
        <v>5048</v>
      </c>
      <c r="L1656" t="s">
        <v>5053</v>
      </c>
      <c r="M1656" t="s">
        <v>5055</v>
      </c>
    </row>
    <row r="1657" spans="1:13" x14ac:dyDescent="0.3">
      <c r="A1657" s="1">
        <v>45614</v>
      </c>
      <c r="B1657" s="1" t="str">
        <f>TEXT(Tabla1[[#This Row],[Fecha]],"MMMM")</f>
        <v>noviembre</v>
      </c>
      <c r="C1657" t="s">
        <v>1667</v>
      </c>
      <c r="D1657" t="s">
        <v>5023</v>
      </c>
      <c r="E1657" t="s">
        <v>5032</v>
      </c>
      <c r="F1657" t="s">
        <v>5035</v>
      </c>
      <c r="G1657" s="3">
        <v>12452.27</v>
      </c>
      <c r="H1657" s="3">
        <v>0</v>
      </c>
      <c r="I1657" s="3">
        <f>SUM(Tabla1[[#This Row],[Monto_Base]],H1657)</f>
        <v>12452.27</v>
      </c>
      <c r="J1657" t="s">
        <v>5045</v>
      </c>
      <c r="K1657" t="s">
        <v>5048</v>
      </c>
      <c r="L1657" t="s">
        <v>5052</v>
      </c>
      <c r="M1657" t="s">
        <v>5055</v>
      </c>
    </row>
    <row r="1658" spans="1:13" x14ac:dyDescent="0.3">
      <c r="A1658" s="1">
        <v>45341</v>
      </c>
      <c r="B1658" s="1" t="str">
        <f>TEXT(Tabla1[[#This Row],[Fecha]],"MMMM")</f>
        <v>febrero</v>
      </c>
      <c r="C1658" t="s">
        <v>1668</v>
      </c>
      <c r="D1658" t="s">
        <v>5019</v>
      </c>
      <c r="E1658" t="s">
        <v>5032</v>
      </c>
      <c r="F1658" t="s">
        <v>5035</v>
      </c>
      <c r="G1658" s="3">
        <v>7814.12</v>
      </c>
      <c r="H1658" s="3">
        <v>0</v>
      </c>
      <c r="I1658" s="3">
        <f>SUM(Tabla1[[#This Row],[Monto_Base]],H1658)</f>
        <v>7814.12</v>
      </c>
      <c r="J1658" t="s">
        <v>5045</v>
      </c>
      <c r="K1658" t="s">
        <v>5049</v>
      </c>
      <c r="L1658" t="s">
        <v>5052</v>
      </c>
      <c r="M1658" t="s">
        <v>5055</v>
      </c>
    </row>
    <row r="1659" spans="1:13" x14ac:dyDescent="0.3">
      <c r="A1659" s="1">
        <v>45396</v>
      </c>
      <c r="B1659" s="1" t="str">
        <f>TEXT(Tabla1[[#This Row],[Fecha]],"MMMM")</f>
        <v>abril</v>
      </c>
      <c r="C1659" t="s">
        <v>1669</v>
      </c>
      <c r="D1659" t="s">
        <v>5012</v>
      </c>
      <c r="E1659" t="s">
        <v>5033</v>
      </c>
      <c r="F1659" t="s">
        <v>5035</v>
      </c>
      <c r="G1659" s="3">
        <v>7827.84</v>
      </c>
      <c r="H1659" s="3">
        <v>1017.62</v>
      </c>
      <c r="I1659" s="3">
        <f>SUM(Tabla1[[#This Row],[Monto_Base]],H1659)</f>
        <v>8845.4600000000009</v>
      </c>
      <c r="J1659" t="s">
        <v>5044</v>
      </c>
      <c r="K1659" t="s">
        <v>5048</v>
      </c>
      <c r="L1659" t="s">
        <v>5050</v>
      </c>
      <c r="M1659" t="s">
        <v>5054</v>
      </c>
    </row>
    <row r="1660" spans="1:13" x14ac:dyDescent="0.3">
      <c r="A1660" s="1">
        <v>45400</v>
      </c>
      <c r="B1660" s="1" t="str">
        <f>TEXT(Tabla1[[#This Row],[Fecha]],"MMMM")</f>
        <v>abril</v>
      </c>
      <c r="C1660" t="s">
        <v>1670</v>
      </c>
      <c r="D1660" t="s">
        <v>5027</v>
      </c>
      <c r="E1660" t="s">
        <v>5033</v>
      </c>
      <c r="F1660" t="s">
        <v>5041</v>
      </c>
      <c r="G1660" s="3">
        <v>1136.56</v>
      </c>
      <c r="H1660" s="3">
        <v>147.75</v>
      </c>
      <c r="I1660" s="3">
        <f>SUM(Tabla1[[#This Row],[Monto_Base]],H1660)</f>
        <v>1284.31</v>
      </c>
      <c r="J1660" t="s">
        <v>5045</v>
      </c>
      <c r="K1660" t="s">
        <v>5047</v>
      </c>
      <c r="L1660" t="s">
        <v>5052</v>
      </c>
      <c r="M1660" t="s">
        <v>5055</v>
      </c>
    </row>
    <row r="1661" spans="1:13" x14ac:dyDescent="0.3">
      <c r="A1661" s="1">
        <v>45385</v>
      </c>
      <c r="B1661" s="1" t="str">
        <f>TEXT(Tabla1[[#This Row],[Fecha]],"MMMM")</f>
        <v>abril</v>
      </c>
      <c r="C1661" t="s">
        <v>1671</v>
      </c>
      <c r="D1661" t="s">
        <v>5020</v>
      </c>
      <c r="E1661" t="s">
        <v>5033</v>
      </c>
      <c r="F1661" t="s">
        <v>5037</v>
      </c>
      <c r="G1661" s="3">
        <v>7660.68</v>
      </c>
      <c r="H1661" s="3">
        <v>995.89</v>
      </c>
      <c r="I1661" s="3">
        <f>SUM(Tabla1[[#This Row],[Monto_Base]],H1661)</f>
        <v>8656.57</v>
      </c>
      <c r="J1661" t="s">
        <v>5043</v>
      </c>
      <c r="K1661" t="s">
        <v>5049</v>
      </c>
      <c r="L1661" t="s">
        <v>5053</v>
      </c>
      <c r="M1661" t="s">
        <v>5055</v>
      </c>
    </row>
    <row r="1662" spans="1:13" x14ac:dyDescent="0.3">
      <c r="A1662" s="1">
        <v>45427</v>
      </c>
      <c r="B1662" s="1" t="str">
        <f>TEXT(Tabla1[[#This Row],[Fecha]],"MMMM")</f>
        <v>mayo</v>
      </c>
      <c r="C1662" t="s">
        <v>1672</v>
      </c>
      <c r="D1662" t="s">
        <v>5019</v>
      </c>
      <c r="E1662" t="s">
        <v>5033</v>
      </c>
      <c r="F1662" t="s">
        <v>5034</v>
      </c>
      <c r="G1662" s="3">
        <v>14759.6</v>
      </c>
      <c r="H1662" s="3">
        <v>1918.75</v>
      </c>
      <c r="I1662" s="3">
        <f>SUM(Tabla1[[#This Row],[Monto_Base]],H1662)</f>
        <v>16678.349999999999</v>
      </c>
      <c r="J1662" t="s">
        <v>5044</v>
      </c>
      <c r="K1662" t="s">
        <v>5049</v>
      </c>
      <c r="L1662" t="s">
        <v>5053</v>
      </c>
      <c r="M1662" t="s">
        <v>5054</v>
      </c>
    </row>
    <row r="1663" spans="1:13" x14ac:dyDescent="0.3">
      <c r="A1663" s="1">
        <v>45467</v>
      </c>
      <c r="B1663" s="1" t="str">
        <f>TEXT(Tabla1[[#This Row],[Fecha]],"MMMM")</f>
        <v>junio</v>
      </c>
      <c r="C1663" t="s">
        <v>1673</v>
      </c>
      <c r="D1663" t="s">
        <v>5021</v>
      </c>
      <c r="E1663" t="s">
        <v>5033</v>
      </c>
      <c r="F1663" t="s">
        <v>5041</v>
      </c>
      <c r="G1663" s="3">
        <v>11714.64</v>
      </c>
      <c r="H1663" s="3">
        <v>1522.9</v>
      </c>
      <c r="I1663" s="3">
        <f>SUM(Tabla1[[#This Row],[Monto_Base]],H1663)</f>
        <v>13237.539999999999</v>
      </c>
      <c r="J1663" t="s">
        <v>5044</v>
      </c>
      <c r="K1663" t="s">
        <v>5047</v>
      </c>
      <c r="L1663" t="s">
        <v>5050</v>
      </c>
      <c r="M1663" t="s">
        <v>5054</v>
      </c>
    </row>
    <row r="1664" spans="1:13" x14ac:dyDescent="0.3">
      <c r="A1664" s="1">
        <v>45606</v>
      </c>
      <c r="B1664" s="1" t="str">
        <f>TEXT(Tabla1[[#This Row],[Fecha]],"MMMM")</f>
        <v>noviembre</v>
      </c>
      <c r="C1664" t="s">
        <v>1674</v>
      </c>
      <c r="D1664" t="s">
        <v>5022</v>
      </c>
      <c r="E1664" t="s">
        <v>5033</v>
      </c>
      <c r="F1664" t="s">
        <v>5034</v>
      </c>
      <c r="G1664" s="3">
        <v>9694.7800000000007</v>
      </c>
      <c r="H1664" s="3">
        <v>1260.32</v>
      </c>
      <c r="I1664" s="3">
        <f>SUM(Tabla1[[#This Row],[Monto_Base]],H1664)</f>
        <v>10955.1</v>
      </c>
      <c r="J1664" t="s">
        <v>5045</v>
      </c>
      <c r="K1664" t="s">
        <v>5047</v>
      </c>
      <c r="L1664" t="s">
        <v>5053</v>
      </c>
      <c r="M1664" t="s">
        <v>5055</v>
      </c>
    </row>
    <row r="1665" spans="1:13" x14ac:dyDescent="0.3">
      <c r="A1665" s="1">
        <v>45589</v>
      </c>
      <c r="B1665" s="1" t="str">
        <f>TEXT(Tabla1[[#This Row],[Fecha]],"MMMM")</f>
        <v>octubre</v>
      </c>
      <c r="C1665" t="s">
        <v>1675</v>
      </c>
      <c r="D1665" t="s">
        <v>5022</v>
      </c>
      <c r="E1665" t="s">
        <v>5033</v>
      </c>
      <c r="F1665" t="s">
        <v>5040</v>
      </c>
      <c r="G1665" s="3">
        <v>14898.2</v>
      </c>
      <c r="H1665" s="3">
        <v>1936.77</v>
      </c>
      <c r="I1665" s="3">
        <f>SUM(Tabla1[[#This Row],[Monto_Base]],H1665)</f>
        <v>16834.97</v>
      </c>
      <c r="J1665" t="s">
        <v>5045</v>
      </c>
      <c r="K1665" t="s">
        <v>5048</v>
      </c>
      <c r="L1665" t="s">
        <v>5051</v>
      </c>
      <c r="M1665" t="s">
        <v>5054</v>
      </c>
    </row>
    <row r="1666" spans="1:13" x14ac:dyDescent="0.3">
      <c r="A1666" s="1">
        <v>45598</v>
      </c>
      <c r="B1666" s="1" t="str">
        <f>TEXT(Tabla1[[#This Row],[Fecha]],"MMMM")</f>
        <v>noviembre</v>
      </c>
      <c r="C1666" t="s">
        <v>1676</v>
      </c>
      <c r="D1666" t="s">
        <v>5018</v>
      </c>
      <c r="E1666" t="s">
        <v>5032</v>
      </c>
      <c r="F1666" t="s">
        <v>5039</v>
      </c>
      <c r="G1666" s="3">
        <v>6072.68</v>
      </c>
      <c r="H1666" s="3">
        <v>0</v>
      </c>
      <c r="I1666" s="3">
        <f>SUM(Tabla1[[#This Row],[Monto_Base]],H1666)</f>
        <v>6072.68</v>
      </c>
      <c r="J1666" t="s">
        <v>5042</v>
      </c>
      <c r="K1666" t="s">
        <v>5049</v>
      </c>
      <c r="L1666" t="s">
        <v>5050</v>
      </c>
      <c r="M1666" t="s">
        <v>5055</v>
      </c>
    </row>
    <row r="1667" spans="1:13" x14ac:dyDescent="0.3">
      <c r="A1667" s="1">
        <v>45443</v>
      </c>
      <c r="B1667" s="1" t="str">
        <f>TEXT(Tabla1[[#This Row],[Fecha]],"MMMM")</f>
        <v>mayo</v>
      </c>
      <c r="C1667" t="s">
        <v>1677</v>
      </c>
      <c r="D1667" t="s">
        <v>5016</v>
      </c>
      <c r="E1667" t="s">
        <v>5032</v>
      </c>
      <c r="F1667" t="s">
        <v>5036</v>
      </c>
      <c r="G1667" s="3">
        <v>13342.81</v>
      </c>
      <c r="H1667" s="3">
        <v>0</v>
      </c>
      <c r="I1667" s="3">
        <f>SUM(Tabla1[[#This Row],[Monto_Base]],H1667)</f>
        <v>13342.81</v>
      </c>
      <c r="J1667" t="s">
        <v>5046</v>
      </c>
      <c r="K1667" t="s">
        <v>5049</v>
      </c>
      <c r="L1667" t="s">
        <v>5051</v>
      </c>
      <c r="M1667" t="s">
        <v>5055</v>
      </c>
    </row>
    <row r="1668" spans="1:13" x14ac:dyDescent="0.3">
      <c r="A1668" s="1">
        <v>45548</v>
      </c>
      <c r="B1668" s="1" t="str">
        <f>TEXT(Tabla1[[#This Row],[Fecha]],"MMMM")</f>
        <v>septiembre</v>
      </c>
      <c r="C1668" t="s">
        <v>1678</v>
      </c>
      <c r="D1668" t="s">
        <v>5026</v>
      </c>
      <c r="E1668" t="s">
        <v>5032</v>
      </c>
      <c r="F1668" t="s">
        <v>5036</v>
      </c>
      <c r="G1668" s="3">
        <v>4451.3900000000003</v>
      </c>
      <c r="H1668" s="3">
        <v>0</v>
      </c>
      <c r="I1668" s="3">
        <f>SUM(Tabla1[[#This Row],[Monto_Base]],H1668)</f>
        <v>4451.3900000000003</v>
      </c>
      <c r="J1668" t="s">
        <v>5044</v>
      </c>
      <c r="K1668" t="s">
        <v>5049</v>
      </c>
      <c r="L1668" t="s">
        <v>5052</v>
      </c>
      <c r="M1668" t="s">
        <v>5054</v>
      </c>
    </row>
    <row r="1669" spans="1:13" x14ac:dyDescent="0.3">
      <c r="A1669" s="1">
        <v>45364</v>
      </c>
      <c r="B1669" s="1" t="str">
        <f>TEXT(Tabla1[[#This Row],[Fecha]],"MMMM")</f>
        <v>marzo</v>
      </c>
      <c r="C1669" t="s">
        <v>1679</v>
      </c>
      <c r="D1669" t="s">
        <v>5013</v>
      </c>
      <c r="E1669" t="s">
        <v>5033</v>
      </c>
      <c r="F1669" t="s">
        <v>5034</v>
      </c>
      <c r="G1669" s="3">
        <v>4451.75</v>
      </c>
      <c r="H1669" s="3">
        <v>578.73</v>
      </c>
      <c r="I1669" s="3">
        <f>SUM(Tabla1[[#This Row],[Monto_Base]],H1669)</f>
        <v>5030.4799999999996</v>
      </c>
      <c r="J1669" t="s">
        <v>5043</v>
      </c>
      <c r="K1669" t="s">
        <v>5048</v>
      </c>
      <c r="L1669" t="s">
        <v>5053</v>
      </c>
      <c r="M1669" t="s">
        <v>5055</v>
      </c>
    </row>
    <row r="1670" spans="1:13" x14ac:dyDescent="0.3">
      <c r="A1670" s="1">
        <v>45352</v>
      </c>
      <c r="B1670" s="1" t="str">
        <f>TEXT(Tabla1[[#This Row],[Fecha]],"MMMM")</f>
        <v>marzo</v>
      </c>
      <c r="C1670" t="s">
        <v>1680</v>
      </c>
      <c r="D1670" t="s">
        <v>5023</v>
      </c>
      <c r="E1670" t="s">
        <v>5032</v>
      </c>
      <c r="F1670" t="s">
        <v>5039</v>
      </c>
      <c r="G1670" s="3">
        <v>6000.01</v>
      </c>
      <c r="H1670" s="3">
        <v>0</v>
      </c>
      <c r="I1670" s="3">
        <f>SUM(Tabla1[[#This Row],[Monto_Base]],H1670)</f>
        <v>6000.01</v>
      </c>
      <c r="J1670" t="s">
        <v>5043</v>
      </c>
      <c r="K1670" t="s">
        <v>5048</v>
      </c>
      <c r="L1670" t="s">
        <v>5053</v>
      </c>
      <c r="M1670" t="s">
        <v>5055</v>
      </c>
    </row>
    <row r="1671" spans="1:13" x14ac:dyDescent="0.3">
      <c r="A1671" s="1">
        <v>45404</v>
      </c>
      <c r="B1671" s="1" t="str">
        <f>TEXT(Tabla1[[#This Row],[Fecha]],"MMMM")</f>
        <v>abril</v>
      </c>
      <c r="C1671" t="s">
        <v>1681</v>
      </c>
      <c r="D1671" t="s">
        <v>5017</v>
      </c>
      <c r="E1671" t="s">
        <v>5032</v>
      </c>
      <c r="F1671" t="s">
        <v>5034</v>
      </c>
      <c r="G1671" s="3">
        <v>7823.91</v>
      </c>
      <c r="H1671" s="3">
        <v>0</v>
      </c>
      <c r="I1671" s="3">
        <f>SUM(Tabla1[[#This Row],[Monto_Base]],H1671)</f>
        <v>7823.91</v>
      </c>
      <c r="J1671" t="s">
        <v>5044</v>
      </c>
      <c r="K1671" t="s">
        <v>5049</v>
      </c>
      <c r="L1671" t="s">
        <v>5051</v>
      </c>
      <c r="M1671" t="s">
        <v>5054</v>
      </c>
    </row>
    <row r="1672" spans="1:13" x14ac:dyDescent="0.3">
      <c r="A1672" s="1">
        <v>45468</v>
      </c>
      <c r="B1672" s="1" t="str">
        <f>TEXT(Tabla1[[#This Row],[Fecha]],"MMMM")</f>
        <v>junio</v>
      </c>
      <c r="C1672" t="s">
        <v>1682</v>
      </c>
      <c r="D1672" t="s">
        <v>5023</v>
      </c>
      <c r="E1672" t="s">
        <v>5033</v>
      </c>
      <c r="F1672" t="s">
        <v>5038</v>
      </c>
      <c r="G1672" s="3">
        <v>12428.8</v>
      </c>
      <c r="H1672" s="3">
        <v>1615.74</v>
      </c>
      <c r="I1672" s="3">
        <f>SUM(Tabla1[[#This Row],[Monto_Base]],H1672)</f>
        <v>14044.539999999999</v>
      </c>
      <c r="J1672" t="s">
        <v>5043</v>
      </c>
      <c r="K1672" t="s">
        <v>5049</v>
      </c>
      <c r="L1672" t="s">
        <v>5053</v>
      </c>
      <c r="M1672" t="s">
        <v>5054</v>
      </c>
    </row>
    <row r="1673" spans="1:13" x14ac:dyDescent="0.3">
      <c r="A1673" s="1">
        <v>45475</v>
      </c>
      <c r="B1673" s="1" t="str">
        <f>TEXT(Tabla1[[#This Row],[Fecha]],"MMMM")</f>
        <v>julio</v>
      </c>
      <c r="C1673" t="s">
        <v>1683</v>
      </c>
      <c r="D1673" t="s">
        <v>5020</v>
      </c>
      <c r="E1673" t="s">
        <v>5033</v>
      </c>
      <c r="F1673" t="s">
        <v>5039</v>
      </c>
      <c r="G1673" s="3">
        <v>6123.15</v>
      </c>
      <c r="H1673" s="3">
        <v>796.01</v>
      </c>
      <c r="I1673" s="3">
        <f>SUM(Tabla1[[#This Row],[Monto_Base]],H1673)</f>
        <v>6919.16</v>
      </c>
      <c r="J1673" t="s">
        <v>5042</v>
      </c>
      <c r="K1673" t="s">
        <v>5049</v>
      </c>
      <c r="L1673" t="s">
        <v>5052</v>
      </c>
      <c r="M1673" t="s">
        <v>5055</v>
      </c>
    </row>
    <row r="1674" spans="1:13" x14ac:dyDescent="0.3">
      <c r="A1674" s="1">
        <v>45614</v>
      </c>
      <c r="B1674" s="1" t="str">
        <f>TEXT(Tabla1[[#This Row],[Fecha]],"MMMM")</f>
        <v>noviembre</v>
      </c>
      <c r="C1674" t="s">
        <v>1684</v>
      </c>
      <c r="D1674" t="s">
        <v>5030</v>
      </c>
      <c r="E1674" t="s">
        <v>5032</v>
      </c>
      <c r="F1674" t="s">
        <v>5037</v>
      </c>
      <c r="G1674" s="3">
        <v>5203.53</v>
      </c>
      <c r="H1674" s="3">
        <v>0</v>
      </c>
      <c r="I1674" s="3">
        <f>SUM(Tabla1[[#This Row],[Monto_Base]],H1674)</f>
        <v>5203.53</v>
      </c>
      <c r="J1674" t="s">
        <v>5045</v>
      </c>
      <c r="K1674" t="s">
        <v>5047</v>
      </c>
      <c r="L1674" t="s">
        <v>5053</v>
      </c>
      <c r="M1674" t="s">
        <v>5055</v>
      </c>
    </row>
    <row r="1675" spans="1:13" x14ac:dyDescent="0.3">
      <c r="A1675" s="1">
        <v>45452</v>
      </c>
      <c r="B1675" s="1" t="str">
        <f>TEXT(Tabla1[[#This Row],[Fecha]],"MMMM")</f>
        <v>junio</v>
      </c>
      <c r="C1675" t="s">
        <v>1685</v>
      </c>
      <c r="D1675" t="s">
        <v>5030</v>
      </c>
      <c r="E1675" t="s">
        <v>5033</v>
      </c>
      <c r="F1675" t="s">
        <v>5034</v>
      </c>
      <c r="G1675" s="3">
        <v>12118.13</v>
      </c>
      <c r="H1675" s="3">
        <v>1575.36</v>
      </c>
      <c r="I1675" s="3">
        <f>SUM(Tabla1[[#This Row],[Monto_Base]],H1675)</f>
        <v>13693.49</v>
      </c>
      <c r="J1675" t="s">
        <v>5042</v>
      </c>
      <c r="K1675" t="s">
        <v>5048</v>
      </c>
      <c r="L1675" t="s">
        <v>5053</v>
      </c>
      <c r="M1675" t="s">
        <v>5055</v>
      </c>
    </row>
    <row r="1676" spans="1:13" x14ac:dyDescent="0.3">
      <c r="A1676" s="1">
        <v>45451</v>
      </c>
      <c r="B1676" s="1" t="str">
        <f>TEXT(Tabla1[[#This Row],[Fecha]],"MMMM")</f>
        <v>junio</v>
      </c>
      <c r="C1676" t="s">
        <v>1686</v>
      </c>
      <c r="D1676" t="s">
        <v>5021</v>
      </c>
      <c r="E1676" t="s">
        <v>5032</v>
      </c>
      <c r="F1676" t="s">
        <v>5039</v>
      </c>
      <c r="G1676" s="3">
        <v>3646.98</v>
      </c>
      <c r="H1676" s="3">
        <v>0</v>
      </c>
      <c r="I1676" s="3">
        <f>SUM(Tabla1[[#This Row],[Monto_Base]],H1676)</f>
        <v>3646.98</v>
      </c>
      <c r="J1676" t="s">
        <v>5042</v>
      </c>
      <c r="K1676" t="s">
        <v>5048</v>
      </c>
      <c r="L1676" t="s">
        <v>5053</v>
      </c>
      <c r="M1676" t="s">
        <v>5054</v>
      </c>
    </row>
    <row r="1677" spans="1:13" x14ac:dyDescent="0.3">
      <c r="A1677" s="1">
        <v>45555</v>
      </c>
      <c r="B1677" s="1" t="str">
        <f>TEXT(Tabla1[[#This Row],[Fecha]],"MMMM")</f>
        <v>septiembre</v>
      </c>
      <c r="C1677" t="s">
        <v>1687</v>
      </c>
      <c r="D1677" t="s">
        <v>5018</v>
      </c>
      <c r="E1677" t="s">
        <v>5033</v>
      </c>
      <c r="F1677" t="s">
        <v>5035</v>
      </c>
      <c r="G1677" s="3">
        <v>147.37</v>
      </c>
      <c r="H1677" s="3">
        <v>19.16</v>
      </c>
      <c r="I1677" s="3">
        <f>SUM(Tabla1[[#This Row],[Monto_Base]],H1677)</f>
        <v>166.53</v>
      </c>
      <c r="J1677" t="s">
        <v>5043</v>
      </c>
      <c r="K1677" t="s">
        <v>5049</v>
      </c>
      <c r="L1677" t="s">
        <v>5050</v>
      </c>
      <c r="M1677" t="s">
        <v>5055</v>
      </c>
    </row>
    <row r="1678" spans="1:13" x14ac:dyDescent="0.3">
      <c r="A1678" s="1">
        <v>45330</v>
      </c>
      <c r="B1678" s="1" t="str">
        <f>TEXT(Tabla1[[#This Row],[Fecha]],"MMMM")</f>
        <v>febrero</v>
      </c>
      <c r="C1678" t="s">
        <v>1688</v>
      </c>
      <c r="D1678" t="s">
        <v>5012</v>
      </c>
      <c r="E1678" t="s">
        <v>5033</v>
      </c>
      <c r="F1678" t="s">
        <v>5037</v>
      </c>
      <c r="G1678" s="3">
        <v>7583.29</v>
      </c>
      <c r="H1678" s="3">
        <v>985.83</v>
      </c>
      <c r="I1678" s="3">
        <f>SUM(Tabla1[[#This Row],[Monto_Base]],H1678)</f>
        <v>8569.1200000000008</v>
      </c>
      <c r="J1678" t="s">
        <v>5045</v>
      </c>
      <c r="K1678" t="s">
        <v>5049</v>
      </c>
      <c r="L1678" t="s">
        <v>5052</v>
      </c>
      <c r="M1678" t="s">
        <v>5055</v>
      </c>
    </row>
    <row r="1679" spans="1:13" x14ac:dyDescent="0.3">
      <c r="A1679" s="1">
        <v>45605</v>
      </c>
      <c r="B1679" s="1" t="str">
        <f>TEXT(Tabla1[[#This Row],[Fecha]],"MMMM")</f>
        <v>noviembre</v>
      </c>
      <c r="C1679" t="s">
        <v>1689</v>
      </c>
      <c r="D1679" t="s">
        <v>5012</v>
      </c>
      <c r="E1679" t="s">
        <v>5033</v>
      </c>
      <c r="F1679" t="s">
        <v>5037</v>
      </c>
      <c r="G1679" s="3">
        <v>7940.8</v>
      </c>
      <c r="H1679" s="3">
        <v>1032.3</v>
      </c>
      <c r="I1679" s="3">
        <f>SUM(Tabla1[[#This Row],[Monto_Base]],H1679)</f>
        <v>8973.1</v>
      </c>
      <c r="J1679" t="s">
        <v>5044</v>
      </c>
      <c r="K1679" t="s">
        <v>5047</v>
      </c>
      <c r="L1679" t="s">
        <v>5051</v>
      </c>
      <c r="M1679" t="s">
        <v>5054</v>
      </c>
    </row>
    <row r="1680" spans="1:13" x14ac:dyDescent="0.3">
      <c r="A1680" s="1">
        <v>45614</v>
      </c>
      <c r="B1680" s="1" t="str">
        <f>TEXT(Tabla1[[#This Row],[Fecha]],"MMMM")</f>
        <v>noviembre</v>
      </c>
      <c r="C1680" t="s">
        <v>1690</v>
      </c>
      <c r="D1680" t="s">
        <v>5022</v>
      </c>
      <c r="E1680" t="s">
        <v>5032</v>
      </c>
      <c r="F1680" t="s">
        <v>5037</v>
      </c>
      <c r="G1680" s="3">
        <v>11616.13</v>
      </c>
      <c r="H1680" s="3">
        <v>0</v>
      </c>
      <c r="I1680" s="3">
        <f>SUM(Tabla1[[#This Row],[Monto_Base]],H1680)</f>
        <v>11616.13</v>
      </c>
      <c r="J1680" t="s">
        <v>5042</v>
      </c>
      <c r="K1680" t="s">
        <v>5047</v>
      </c>
      <c r="L1680" t="s">
        <v>5050</v>
      </c>
      <c r="M1680" t="s">
        <v>5055</v>
      </c>
    </row>
    <row r="1681" spans="1:13" x14ac:dyDescent="0.3">
      <c r="A1681" s="1">
        <v>45430</v>
      </c>
      <c r="B1681" s="1" t="str">
        <f>TEXT(Tabla1[[#This Row],[Fecha]],"MMMM")</f>
        <v>mayo</v>
      </c>
      <c r="C1681" t="s">
        <v>1691</v>
      </c>
      <c r="D1681" t="s">
        <v>5012</v>
      </c>
      <c r="E1681" t="s">
        <v>5032</v>
      </c>
      <c r="F1681" t="s">
        <v>5034</v>
      </c>
      <c r="G1681" s="3">
        <v>9580.67</v>
      </c>
      <c r="H1681" s="3">
        <v>0</v>
      </c>
      <c r="I1681" s="3">
        <f>SUM(Tabla1[[#This Row],[Monto_Base]],H1681)</f>
        <v>9580.67</v>
      </c>
      <c r="J1681" t="s">
        <v>5045</v>
      </c>
      <c r="K1681" t="s">
        <v>5048</v>
      </c>
      <c r="L1681" t="s">
        <v>5050</v>
      </c>
      <c r="M1681" t="s">
        <v>5055</v>
      </c>
    </row>
    <row r="1682" spans="1:13" x14ac:dyDescent="0.3">
      <c r="A1682" s="1">
        <v>45521</v>
      </c>
      <c r="B1682" s="1" t="str">
        <f>TEXT(Tabla1[[#This Row],[Fecha]],"MMMM")</f>
        <v>agosto</v>
      </c>
      <c r="C1682" t="s">
        <v>1692</v>
      </c>
      <c r="D1682" t="s">
        <v>5019</v>
      </c>
      <c r="E1682" t="s">
        <v>5033</v>
      </c>
      <c r="F1682" t="s">
        <v>5035</v>
      </c>
      <c r="G1682" s="3">
        <v>10729.01</v>
      </c>
      <c r="H1682" s="3">
        <v>1394.77</v>
      </c>
      <c r="I1682" s="3">
        <f>SUM(Tabla1[[#This Row],[Monto_Base]],H1682)</f>
        <v>12123.78</v>
      </c>
      <c r="J1682" t="s">
        <v>5046</v>
      </c>
      <c r="K1682" t="s">
        <v>5049</v>
      </c>
      <c r="L1682" t="s">
        <v>5050</v>
      </c>
      <c r="M1682" t="s">
        <v>5055</v>
      </c>
    </row>
    <row r="1683" spans="1:13" x14ac:dyDescent="0.3">
      <c r="A1683" s="1">
        <v>45339</v>
      </c>
      <c r="B1683" s="1" t="str">
        <f>TEXT(Tabla1[[#This Row],[Fecha]],"MMMM")</f>
        <v>febrero</v>
      </c>
      <c r="C1683" t="s">
        <v>1693</v>
      </c>
      <c r="D1683" t="s">
        <v>5031</v>
      </c>
      <c r="E1683" t="s">
        <v>5033</v>
      </c>
      <c r="F1683" t="s">
        <v>5040</v>
      </c>
      <c r="G1683" s="3">
        <v>340.96</v>
      </c>
      <c r="H1683" s="3">
        <v>44.32</v>
      </c>
      <c r="I1683" s="3">
        <f>SUM(Tabla1[[#This Row],[Monto_Base]],H1683)</f>
        <v>385.28</v>
      </c>
      <c r="J1683" t="s">
        <v>5043</v>
      </c>
      <c r="K1683" t="s">
        <v>5049</v>
      </c>
      <c r="L1683" t="s">
        <v>5050</v>
      </c>
      <c r="M1683" t="s">
        <v>5055</v>
      </c>
    </row>
    <row r="1684" spans="1:13" x14ac:dyDescent="0.3">
      <c r="A1684" s="1">
        <v>45560</v>
      </c>
      <c r="B1684" s="1" t="str">
        <f>TEXT(Tabla1[[#This Row],[Fecha]],"MMMM")</f>
        <v>septiembre</v>
      </c>
      <c r="C1684" t="s">
        <v>1694</v>
      </c>
      <c r="D1684" t="s">
        <v>5026</v>
      </c>
      <c r="E1684" t="s">
        <v>5033</v>
      </c>
      <c r="F1684" t="s">
        <v>5038</v>
      </c>
      <c r="G1684" s="3">
        <v>389.89</v>
      </c>
      <c r="H1684" s="3">
        <v>50.69</v>
      </c>
      <c r="I1684" s="3">
        <f>SUM(Tabla1[[#This Row],[Monto_Base]],H1684)</f>
        <v>440.58</v>
      </c>
      <c r="J1684" t="s">
        <v>5042</v>
      </c>
      <c r="K1684" t="s">
        <v>5048</v>
      </c>
      <c r="L1684" t="s">
        <v>5053</v>
      </c>
      <c r="M1684" t="s">
        <v>5054</v>
      </c>
    </row>
    <row r="1685" spans="1:13" x14ac:dyDescent="0.3">
      <c r="A1685" s="1">
        <v>45359</v>
      </c>
      <c r="B1685" s="1" t="str">
        <f>TEXT(Tabla1[[#This Row],[Fecha]],"MMMM")</f>
        <v>marzo</v>
      </c>
      <c r="C1685" t="s">
        <v>1695</v>
      </c>
      <c r="D1685" t="s">
        <v>5017</v>
      </c>
      <c r="E1685" t="s">
        <v>5032</v>
      </c>
      <c r="F1685" t="s">
        <v>5034</v>
      </c>
      <c r="G1685" s="3">
        <v>1383.34</v>
      </c>
      <c r="H1685" s="3">
        <v>0</v>
      </c>
      <c r="I1685" s="3">
        <f>SUM(Tabla1[[#This Row],[Monto_Base]],H1685)</f>
        <v>1383.34</v>
      </c>
      <c r="J1685" t="s">
        <v>5044</v>
      </c>
      <c r="K1685" t="s">
        <v>5048</v>
      </c>
      <c r="L1685" t="s">
        <v>5052</v>
      </c>
      <c r="M1685" t="s">
        <v>5054</v>
      </c>
    </row>
    <row r="1686" spans="1:13" x14ac:dyDescent="0.3">
      <c r="A1686" s="1">
        <v>45332</v>
      </c>
      <c r="B1686" s="1" t="str">
        <f>TEXT(Tabla1[[#This Row],[Fecha]],"MMMM")</f>
        <v>febrero</v>
      </c>
      <c r="C1686" t="s">
        <v>1696</v>
      </c>
      <c r="D1686" t="s">
        <v>5019</v>
      </c>
      <c r="E1686" t="s">
        <v>5033</v>
      </c>
      <c r="F1686" t="s">
        <v>5041</v>
      </c>
      <c r="G1686" s="3">
        <v>8193.0499999999993</v>
      </c>
      <c r="H1686" s="3">
        <v>1065.0999999999999</v>
      </c>
      <c r="I1686" s="3">
        <f>SUM(Tabla1[[#This Row],[Monto_Base]],H1686)</f>
        <v>9258.15</v>
      </c>
      <c r="J1686" t="s">
        <v>5043</v>
      </c>
      <c r="K1686" t="s">
        <v>5047</v>
      </c>
      <c r="L1686" t="s">
        <v>5052</v>
      </c>
      <c r="M1686" t="s">
        <v>5054</v>
      </c>
    </row>
    <row r="1687" spans="1:13" x14ac:dyDescent="0.3">
      <c r="A1687" s="1">
        <v>45404</v>
      </c>
      <c r="B1687" s="1" t="str">
        <f>TEXT(Tabla1[[#This Row],[Fecha]],"MMMM")</f>
        <v>abril</v>
      </c>
      <c r="C1687" t="s">
        <v>1697</v>
      </c>
      <c r="D1687" t="s">
        <v>5013</v>
      </c>
      <c r="E1687" t="s">
        <v>5033</v>
      </c>
      <c r="F1687" t="s">
        <v>5035</v>
      </c>
      <c r="G1687" s="3">
        <v>5728.45</v>
      </c>
      <c r="H1687" s="3">
        <v>744.7</v>
      </c>
      <c r="I1687" s="3">
        <f>SUM(Tabla1[[#This Row],[Monto_Base]],H1687)</f>
        <v>6473.15</v>
      </c>
      <c r="J1687" t="s">
        <v>5043</v>
      </c>
      <c r="K1687" t="s">
        <v>5047</v>
      </c>
      <c r="L1687" t="s">
        <v>5051</v>
      </c>
      <c r="M1687" t="s">
        <v>5054</v>
      </c>
    </row>
    <row r="1688" spans="1:13" x14ac:dyDescent="0.3">
      <c r="A1688" s="1">
        <v>45403</v>
      </c>
      <c r="B1688" s="1" t="str">
        <f>TEXT(Tabla1[[#This Row],[Fecha]],"MMMM")</f>
        <v>abril</v>
      </c>
      <c r="C1688" t="s">
        <v>1698</v>
      </c>
      <c r="D1688" t="s">
        <v>5025</v>
      </c>
      <c r="E1688" t="s">
        <v>5032</v>
      </c>
      <c r="F1688" t="s">
        <v>5037</v>
      </c>
      <c r="G1688" s="3">
        <v>1862.9</v>
      </c>
      <c r="H1688" s="3">
        <v>0</v>
      </c>
      <c r="I1688" s="3">
        <f>SUM(Tabla1[[#This Row],[Monto_Base]],H1688)</f>
        <v>1862.9</v>
      </c>
      <c r="J1688" t="s">
        <v>5043</v>
      </c>
      <c r="K1688" t="s">
        <v>5047</v>
      </c>
      <c r="L1688" t="s">
        <v>5051</v>
      </c>
      <c r="M1688" t="s">
        <v>5055</v>
      </c>
    </row>
    <row r="1689" spans="1:13" x14ac:dyDescent="0.3">
      <c r="A1689" s="1">
        <v>45457</v>
      </c>
      <c r="B1689" s="1" t="str">
        <f>TEXT(Tabla1[[#This Row],[Fecha]],"MMMM")</f>
        <v>junio</v>
      </c>
      <c r="C1689" t="s">
        <v>1699</v>
      </c>
      <c r="D1689" t="s">
        <v>5014</v>
      </c>
      <c r="E1689" t="s">
        <v>5033</v>
      </c>
      <c r="F1689" t="s">
        <v>5039</v>
      </c>
      <c r="G1689" s="3">
        <v>12975.14</v>
      </c>
      <c r="H1689" s="3">
        <v>1686.77</v>
      </c>
      <c r="I1689" s="3">
        <f>SUM(Tabla1[[#This Row],[Monto_Base]],H1689)</f>
        <v>14661.91</v>
      </c>
      <c r="J1689" t="s">
        <v>5045</v>
      </c>
      <c r="K1689" t="s">
        <v>5047</v>
      </c>
      <c r="L1689" t="s">
        <v>5050</v>
      </c>
      <c r="M1689" t="s">
        <v>5055</v>
      </c>
    </row>
    <row r="1690" spans="1:13" x14ac:dyDescent="0.3">
      <c r="A1690" s="1">
        <v>45319</v>
      </c>
      <c r="B1690" s="1" t="str">
        <f>TEXT(Tabla1[[#This Row],[Fecha]],"MMMM")</f>
        <v>enero</v>
      </c>
      <c r="C1690" t="s">
        <v>1700</v>
      </c>
      <c r="D1690" t="s">
        <v>5013</v>
      </c>
      <c r="E1690" t="s">
        <v>5032</v>
      </c>
      <c r="F1690" t="s">
        <v>5038</v>
      </c>
      <c r="G1690" s="3">
        <v>4307.17</v>
      </c>
      <c r="H1690" s="3">
        <v>0</v>
      </c>
      <c r="I1690" s="3">
        <f>SUM(Tabla1[[#This Row],[Monto_Base]],H1690)</f>
        <v>4307.17</v>
      </c>
      <c r="J1690" t="s">
        <v>5046</v>
      </c>
      <c r="K1690" t="s">
        <v>5048</v>
      </c>
      <c r="L1690" t="s">
        <v>5052</v>
      </c>
      <c r="M1690" t="s">
        <v>5055</v>
      </c>
    </row>
    <row r="1691" spans="1:13" x14ac:dyDescent="0.3">
      <c r="A1691" s="1">
        <v>45529</v>
      </c>
      <c r="B1691" s="1" t="str">
        <f>TEXT(Tabla1[[#This Row],[Fecha]],"MMMM")</f>
        <v>agosto</v>
      </c>
      <c r="C1691" t="s">
        <v>1701</v>
      </c>
      <c r="D1691" t="s">
        <v>5027</v>
      </c>
      <c r="E1691" t="s">
        <v>5032</v>
      </c>
      <c r="F1691" t="s">
        <v>5036</v>
      </c>
      <c r="G1691" s="3">
        <v>13918.88</v>
      </c>
      <c r="H1691" s="3">
        <v>0</v>
      </c>
      <c r="I1691" s="3">
        <f>SUM(Tabla1[[#This Row],[Monto_Base]],H1691)</f>
        <v>13918.88</v>
      </c>
      <c r="J1691" t="s">
        <v>5043</v>
      </c>
      <c r="K1691" t="s">
        <v>5049</v>
      </c>
      <c r="L1691" t="s">
        <v>5052</v>
      </c>
      <c r="M1691" t="s">
        <v>5054</v>
      </c>
    </row>
    <row r="1692" spans="1:13" x14ac:dyDescent="0.3">
      <c r="A1692" s="1">
        <v>45593</v>
      </c>
      <c r="B1692" s="1" t="str">
        <f>TEXT(Tabla1[[#This Row],[Fecha]],"MMMM")</f>
        <v>octubre</v>
      </c>
      <c r="C1692" t="s">
        <v>1702</v>
      </c>
      <c r="D1692" t="s">
        <v>5012</v>
      </c>
      <c r="E1692" t="s">
        <v>5033</v>
      </c>
      <c r="F1692" t="s">
        <v>5036</v>
      </c>
      <c r="G1692" s="3">
        <v>13178.81</v>
      </c>
      <c r="H1692" s="3">
        <v>1713.25</v>
      </c>
      <c r="I1692" s="3">
        <f>SUM(Tabla1[[#This Row],[Monto_Base]],H1692)</f>
        <v>14892.06</v>
      </c>
      <c r="J1692" t="s">
        <v>5042</v>
      </c>
      <c r="K1692" t="s">
        <v>5047</v>
      </c>
      <c r="L1692" t="s">
        <v>5053</v>
      </c>
      <c r="M1692" t="s">
        <v>5054</v>
      </c>
    </row>
    <row r="1693" spans="1:13" x14ac:dyDescent="0.3">
      <c r="A1693" s="1">
        <v>45466</v>
      </c>
      <c r="B1693" s="1" t="str">
        <f>TEXT(Tabla1[[#This Row],[Fecha]],"MMMM")</f>
        <v>junio</v>
      </c>
      <c r="C1693" t="s">
        <v>1703</v>
      </c>
      <c r="D1693" t="s">
        <v>5016</v>
      </c>
      <c r="E1693" t="s">
        <v>5032</v>
      </c>
      <c r="F1693" t="s">
        <v>5039</v>
      </c>
      <c r="G1693" s="3">
        <v>8609.17</v>
      </c>
      <c r="H1693" s="3">
        <v>0</v>
      </c>
      <c r="I1693" s="3">
        <f>SUM(Tabla1[[#This Row],[Monto_Base]],H1693)</f>
        <v>8609.17</v>
      </c>
      <c r="J1693" t="s">
        <v>5043</v>
      </c>
      <c r="K1693" t="s">
        <v>5049</v>
      </c>
      <c r="L1693" t="s">
        <v>5050</v>
      </c>
      <c r="M1693" t="s">
        <v>5054</v>
      </c>
    </row>
    <row r="1694" spans="1:13" x14ac:dyDescent="0.3">
      <c r="A1694" s="1">
        <v>45382</v>
      </c>
      <c r="B1694" s="1" t="str">
        <f>TEXT(Tabla1[[#This Row],[Fecha]],"MMMM")</f>
        <v>marzo</v>
      </c>
      <c r="C1694" t="s">
        <v>1704</v>
      </c>
      <c r="D1694" t="s">
        <v>5024</v>
      </c>
      <c r="E1694" t="s">
        <v>5033</v>
      </c>
      <c r="F1694" t="s">
        <v>5036</v>
      </c>
      <c r="G1694" s="3">
        <v>12728.74</v>
      </c>
      <c r="H1694" s="3">
        <v>1654.74</v>
      </c>
      <c r="I1694" s="3">
        <f>SUM(Tabla1[[#This Row],[Monto_Base]],H1694)</f>
        <v>14383.48</v>
      </c>
      <c r="J1694" t="s">
        <v>5042</v>
      </c>
      <c r="K1694" t="s">
        <v>5049</v>
      </c>
      <c r="L1694" t="s">
        <v>5051</v>
      </c>
      <c r="M1694" t="s">
        <v>5055</v>
      </c>
    </row>
    <row r="1695" spans="1:13" x14ac:dyDescent="0.3">
      <c r="A1695" s="1">
        <v>45303</v>
      </c>
      <c r="B1695" s="1" t="str">
        <f>TEXT(Tabla1[[#This Row],[Fecha]],"MMMM")</f>
        <v>enero</v>
      </c>
      <c r="C1695" t="s">
        <v>1705</v>
      </c>
      <c r="D1695" t="s">
        <v>5015</v>
      </c>
      <c r="E1695" t="s">
        <v>5033</v>
      </c>
      <c r="F1695" t="s">
        <v>5041</v>
      </c>
      <c r="G1695" s="3">
        <v>14398.52</v>
      </c>
      <c r="H1695" s="3">
        <v>1871.81</v>
      </c>
      <c r="I1695" s="3">
        <f>SUM(Tabla1[[#This Row],[Monto_Base]],H1695)</f>
        <v>16270.33</v>
      </c>
      <c r="J1695" t="s">
        <v>5043</v>
      </c>
      <c r="K1695" t="s">
        <v>5049</v>
      </c>
      <c r="L1695" t="s">
        <v>5050</v>
      </c>
      <c r="M1695" t="s">
        <v>5055</v>
      </c>
    </row>
    <row r="1696" spans="1:13" x14ac:dyDescent="0.3">
      <c r="A1696" s="1">
        <v>45546</v>
      </c>
      <c r="B1696" s="1" t="str">
        <f>TEXT(Tabla1[[#This Row],[Fecha]],"MMMM")</f>
        <v>septiembre</v>
      </c>
      <c r="C1696" t="s">
        <v>1706</v>
      </c>
      <c r="D1696" t="s">
        <v>5018</v>
      </c>
      <c r="E1696" t="s">
        <v>5032</v>
      </c>
      <c r="F1696" t="s">
        <v>5035</v>
      </c>
      <c r="G1696" s="3">
        <v>6069.76</v>
      </c>
      <c r="H1696" s="3">
        <v>0</v>
      </c>
      <c r="I1696" s="3">
        <f>SUM(Tabla1[[#This Row],[Monto_Base]],H1696)</f>
        <v>6069.76</v>
      </c>
      <c r="J1696" t="s">
        <v>5046</v>
      </c>
      <c r="K1696" t="s">
        <v>5048</v>
      </c>
      <c r="L1696" t="s">
        <v>5052</v>
      </c>
      <c r="M1696" t="s">
        <v>5054</v>
      </c>
    </row>
    <row r="1697" spans="1:13" x14ac:dyDescent="0.3">
      <c r="A1697" s="1">
        <v>45379</v>
      </c>
      <c r="B1697" s="1" t="str">
        <f>TEXT(Tabla1[[#This Row],[Fecha]],"MMMM")</f>
        <v>marzo</v>
      </c>
      <c r="C1697" t="s">
        <v>1707</v>
      </c>
      <c r="D1697" t="s">
        <v>5022</v>
      </c>
      <c r="E1697" t="s">
        <v>5032</v>
      </c>
      <c r="F1697" t="s">
        <v>5039</v>
      </c>
      <c r="G1697" s="3">
        <v>1311.07</v>
      </c>
      <c r="H1697" s="3">
        <v>0</v>
      </c>
      <c r="I1697" s="3">
        <f>SUM(Tabla1[[#This Row],[Monto_Base]],H1697)</f>
        <v>1311.07</v>
      </c>
      <c r="J1697" t="s">
        <v>5046</v>
      </c>
      <c r="K1697" t="s">
        <v>5047</v>
      </c>
      <c r="L1697" t="s">
        <v>5051</v>
      </c>
      <c r="M1697" t="s">
        <v>5055</v>
      </c>
    </row>
    <row r="1698" spans="1:13" x14ac:dyDescent="0.3">
      <c r="A1698" s="1">
        <v>45463</v>
      </c>
      <c r="B1698" s="1" t="str">
        <f>TEXT(Tabla1[[#This Row],[Fecha]],"MMMM")</f>
        <v>junio</v>
      </c>
      <c r="C1698" t="s">
        <v>1708</v>
      </c>
      <c r="D1698" t="s">
        <v>5013</v>
      </c>
      <c r="E1698" t="s">
        <v>5032</v>
      </c>
      <c r="F1698" t="s">
        <v>5040</v>
      </c>
      <c r="G1698" s="3">
        <v>271.74</v>
      </c>
      <c r="H1698" s="3">
        <v>0</v>
      </c>
      <c r="I1698" s="3">
        <f>SUM(Tabla1[[#This Row],[Monto_Base]],H1698)</f>
        <v>271.74</v>
      </c>
      <c r="J1698" t="s">
        <v>5042</v>
      </c>
      <c r="K1698" t="s">
        <v>5048</v>
      </c>
      <c r="L1698" t="s">
        <v>5053</v>
      </c>
      <c r="M1698" t="s">
        <v>5055</v>
      </c>
    </row>
    <row r="1699" spans="1:13" x14ac:dyDescent="0.3">
      <c r="A1699" s="1">
        <v>45381</v>
      </c>
      <c r="B1699" s="1" t="str">
        <f>TEXT(Tabla1[[#This Row],[Fecha]],"MMMM")</f>
        <v>marzo</v>
      </c>
      <c r="C1699" t="s">
        <v>1709</v>
      </c>
      <c r="D1699" t="s">
        <v>5014</v>
      </c>
      <c r="E1699" t="s">
        <v>5033</v>
      </c>
      <c r="F1699" t="s">
        <v>5036</v>
      </c>
      <c r="G1699" s="3">
        <v>7866.42</v>
      </c>
      <c r="H1699" s="3">
        <v>1022.63</v>
      </c>
      <c r="I1699" s="3">
        <f>SUM(Tabla1[[#This Row],[Monto_Base]],H1699)</f>
        <v>8889.0499999999993</v>
      </c>
      <c r="J1699" t="s">
        <v>5045</v>
      </c>
      <c r="K1699" t="s">
        <v>5049</v>
      </c>
      <c r="L1699" t="s">
        <v>5052</v>
      </c>
      <c r="M1699" t="s">
        <v>5055</v>
      </c>
    </row>
    <row r="1700" spans="1:13" x14ac:dyDescent="0.3">
      <c r="A1700" s="1">
        <v>45611</v>
      </c>
      <c r="B1700" s="1" t="str">
        <f>TEXT(Tabla1[[#This Row],[Fecha]],"MMMM")</f>
        <v>noviembre</v>
      </c>
      <c r="C1700" t="s">
        <v>1710</v>
      </c>
      <c r="D1700" t="s">
        <v>5025</v>
      </c>
      <c r="E1700" t="s">
        <v>5033</v>
      </c>
      <c r="F1700" t="s">
        <v>5038</v>
      </c>
      <c r="G1700" s="3">
        <v>3566.53</v>
      </c>
      <c r="H1700" s="3">
        <v>463.65</v>
      </c>
      <c r="I1700" s="3">
        <f>SUM(Tabla1[[#This Row],[Monto_Base]],H1700)</f>
        <v>4030.1800000000003</v>
      </c>
      <c r="J1700" t="s">
        <v>5042</v>
      </c>
      <c r="K1700" t="s">
        <v>5049</v>
      </c>
      <c r="L1700" t="s">
        <v>5051</v>
      </c>
      <c r="M1700" t="s">
        <v>5054</v>
      </c>
    </row>
    <row r="1701" spans="1:13" x14ac:dyDescent="0.3">
      <c r="A1701" s="1">
        <v>45601</v>
      </c>
      <c r="B1701" s="1" t="str">
        <f>TEXT(Tabla1[[#This Row],[Fecha]],"MMMM")</f>
        <v>noviembre</v>
      </c>
      <c r="C1701" t="s">
        <v>1711</v>
      </c>
      <c r="D1701" t="s">
        <v>5026</v>
      </c>
      <c r="E1701" t="s">
        <v>5033</v>
      </c>
      <c r="F1701" t="s">
        <v>5040</v>
      </c>
      <c r="G1701" s="3">
        <v>11985.86</v>
      </c>
      <c r="H1701" s="3">
        <v>1558.16</v>
      </c>
      <c r="I1701" s="3">
        <f>SUM(Tabla1[[#This Row],[Monto_Base]],H1701)</f>
        <v>13544.02</v>
      </c>
      <c r="J1701" t="s">
        <v>5046</v>
      </c>
      <c r="K1701" t="s">
        <v>5049</v>
      </c>
      <c r="L1701" t="s">
        <v>5050</v>
      </c>
      <c r="M1701" t="s">
        <v>5055</v>
      </c>
    </row>
    <row r="1702" spans="1:13" x14ac:dyDescent="0.3">
      <c r="A1702" s="1">
        <v>45604</v>
      </c>
      <c r="B1702" s="1" t="str">
        <f>TEXT(Tabla1[[#This Row],[Fecha]],"MMMM")</f>
        <v>noviembre</v>
      </c>
      <c r="C1702" t="s">
        <v>1712</v>
      </c>
      <c r="D1702" t="s">
        <v>5028</v>
      </c>
      <c r="E1702" t="s">
        <v>5032</v>
      </c>
      <c r="F1702" t="s">
        <v>5040</v>
      </c>
      <c r="G1702" s="3">
        <v>12699.73</v>
      </c>
      <c r="H1702" s="3">
        <v>0</v>
      </c>
      <c r="I1702" s="3">
        <f>SUM(Tabla1[[#This Row],[Monto_Base]],H1702)</f>
        <v>12699.73</v>
      </c>
      <c r="J1702" t="s">
        <v>5042</v>
      </c>
      <c r="K1702" t="s">
        <v>5049</v>
      </c>
      <c r="L1702" t="s">
        <v>5053</v>
      </c>
      <c r="M1702" t="s">
        <v>5054</v>
      </c>
    </row>
    <row r="1703" spans="1:13" x14ac:dyDescent="0.3">
      <c r="A1703" s="1">
        <v>45310</v>
      </c>
      <c r="B1703" s="1" t="str">
        <f>TEXT(Tabla1[[#This Row],[Fecha]],"MMMM")</f>
        <v>enero</v>
      </c>
      <c r="C1703" t="s">
        <v>1713</v>
      </c>
      <c r="D1703" t="s">
        <v>5020</v>
      </c>
      <c r="E1703" t="s">
        <v>5032</v>
      </c>
      <c r="F1703" t="s">
        <v>5041</v>
      </c>
      <c r="G1703" s="3">
        <v>14438.33</v>
      </c>
      <c r="H1703" s="3">
        <v>0</v>
      </c>
      <c r="I1703" s="3">
        <f>SUM(Tabla1[[#This Row],[Monto_Base]],H1703)</f>
        <v>14438.33</v>
      </c>
      <c r="J1703" t="s">
        <v>5043</v>
      </c>
      <c r="K1703" t="s">
        <v>5047</v>
      </c>
      <c r="L1703" t="s">
        <v>5051</v>
      </c>
      <c r="M1703" t="s">
        <v>5054</v>
      </c>
    </row>
    <row r="1704" spans="1:13" x14ac:dyDescent="0.3">
      <c r="A1704" s="1">
        <v>45392</v>
      </c>
      <c r="B1704" s="1" t="str">
        <f>TEXT(Tabla1[[#This Row],[Fecha]],"MMMM")</f>
        <v>abril</v>
      </c>
      <c r="C1704" t="s">
        <v>1714</v>
      </c>
      <c r="D1704" t="s">
        <v>5023</v>
      </c>
      <c r="E1704" t="s">
        <v>5032</v>
      </c>
      <c r="F1704" t="s">
        <v>5041</v>
      </c>
      <c r="G1704" s="3">
        <v>5887.92</v>
      </c>
      <c r="H1704" s="3">
        <v>0</v>
      </c>
      <c r="I1704" s="3">
        <f>SUM(Tabla1[[#This Row],[Monto_Base]],H1704)</f>
        <v>5887.92</v>
      </c>
      <c r="J1704" t="s">
        <v>5042</v>
      </c>
      <c r="K1704" t="s">
        <v>5049</v>
      </c>
      <c r="L1704" t="s">
        <v>5052</v>
      </c>
      <c r="M1704" t="s">
        <v>5054</v>
      </c>
    </row>
    <row r="1705" spans="1:13" x14ac:dyDescent="0.3">
      <c r="A1705" s="1">
        <v>45324</v>
      </c>
      <c r="B1705" s="1" t="str">
        <f>TEXT(Tabla1[[#This Row],[Fecha]],"MMMM")</f>
        <v>febrero</v>
      </c>
      <c r="C1705" t="s">
        <v>1715</v>
      </c>
      <c r="D1705" t="s">
        <v>5029</v>
      </c>
      <c r="E1705" t="s">
        <v>5032</v>
      </c>
      <c r="F1705" t="s">
        <v>5036</v>
      </c>
      <c r="G1705" s="3">
        <v>14454.68</v>
      </c>
      <c r="H1705" s="3">
        <v>0</v>
      </c>
      <c r="I1705" s="3">
        <f>SUM(Tabla1[[#This Row],[Monto_Base]],H1705)</f>
        <v>14454.68</v>
      </c>
      <c r="J1705" t="s">
        <v>5043</v>
      </c>
      <c r="K1705" t="s">
        <v>5048</v>
      </c>
      <c r="L1705" t="s">
        <v>5050</v>
      </c>
      <c r="M1705" t="s">
        <v>5055</v>
      </c>
    </row>
    <row r="1706" spans="1:13" x14ac:dyDescent="0.3">
      <c r="A1706" s="1">
        <v>45370</v>
      </c>
      <c r="B1706" s="1" t="str">
        <f>TEXT(Tabla1[[#This Row],[Fecha]],"MMMM")</f>
        <v>marzo</v>
      </c>
      <c r="C1706" t="s">
        <v>1716</v>
      </c>
      <c r="D1706" t="s">
        <v>5031</v>
      </c>
      <c r="E1706" t="s">
        <v>5032</v>
      </c>
      <c r="F1706" t="s">
        <v>5041</v>
      </c>
      <c r="G1706" s="3">
        <v>10792.17</v>
      </c>
      <c r="H1706" s="3">
        <v>0</v>
      </c>
      <c r="I1706" s="3">
        <f>SUM(Tabla1[[#This Row],[Monto_Base]],H1706)</f>
        <v>10792.17</v>
      </c>
      <c r="J1706" t="s">
        <v>5046</v>
      </c>
      <c r="K1706" t="s">
        <v>5048</v>
      </c>
      <c r="L1706" t="s">
        <v>5052</v>
      </c>
      <c r="M1706" t="s">
        <v>5055</v>
      </c>
    </row>
    <row r="1707" spans="1:13" x14ac:dyDescent="0.3">
      <c r="A1707" s="1">
        <v>45387</v>
      </c>
      <c r="B1707" s="1" t="str">
        <f>TEXT(Tabla1[[#This Row],[Fecha]],"MMMM")</f>
        <v>abril</v>
      </c>
      <c r="C1707" t="s">
        <v>1717</v>
      </c>
      <c r="D1707" t="s">
        <v>5023</v>
      </c>
      <c r="E1707" t="s">
        <v>5032</v>
      </c>
      <c r="F1707" t="s">
        <v>5035</v>
      </c>
      <c r="G1707" s="3">
        <v>6008.98</v>
      </c>
      <c r="H1707" s="3">
        <v>0</v>
      </c>
      <c r="I1707" s="3">
        <f>SUM(Tabla1[[#This Row],[Monto_Base]],H1707)</f>
        <v>6008.98</v>
      </c>
      <c r="J1707" t="s">
        <v>5046</v>
      </c>
      <c r="K1707" t="s">
        <v>5048</v>
      </c>
      <c r="L1707" t="s">
        <v>5053</v>
      </c>
      <c r="M1707" t="s">
        <v>5055</v>
      </c>
    </row>
    <row r="1708" spans="1:13" x14ac:dyDescent="0.3">
      <c r="A1708" s="1">
        <v>45461</v>
      </c>
      <c r="B1708" s="1" t="str">
        <f>TEXT(Tabla1[[#This Row],[Fecha]],"MMMM")</f>
        <v>junio</v>
      </c>
      <c r="C1708" t="s">
        <v>1718</v>
      </c>
      <c r="D1708" t="s">
        <v>5015</v>
      </c>
      <c r="E1708" t="s">
        <v>5032</v>
      </c>
      <c r="F1708" t="s">
        <v>5037</v>
      </c>
      <c r="G1708" s="3">
        <v>10928.94</v>
      </c>
      <c r="H1708" s="3">
        <v>0</v>
      </c>
      <c r="I1708" s="3">
        <f>SUM(Tabla1[[#This Row],[Monto_Base]],H1708)</f>
        <v>10928.94</v>
      </c>
      <c r="J1708" t="s">
        <v>5043</v>
      </c>
      <c r="K1708" t="s">
        <v>5049</v>
      </c>
      <c r="L1708" t="s">
        <v>5053</v>
      </c>
      <c r="M1708" t="s">
        <v>5054</v>
      </c>
    </row>
    <row r="1709" spans="1:13" x14ac:dyDescent="0.3">
      <c r="A1709" s="1">
        <v>45467</v>
      </c>
      <c r="B1709" s="1" t="str">
        <f>TEXT(Tabla1[[#This Row],[Fecha]],"MMMM")</f>
        <v>junio</v>
      </c>
      <c r="C1709" t="s">
        <v>1719</v>
      </c>
      <c r="D1709" t="s">
        <v>5026</v>
      </c>
      <c r="E1709" t="s">
        <v>5032</v>
      </c>
      <c r="F1709" t="s">
        <v>5039</v>
      </c>
      <c r="G1709" s="3">
        <v>11686.77</v>
      </c>
      <c r="H1709" s="3">
        <v>0</v>
      </c>
      <c r="I1709" s="3">
        <f>SUM(Tabla1[[#This Row],[Monto_Base]],H1709)</f>
        <v>11686.77</v>
      </c>
      <c r="J1709" t="s">
        <v>5044</v>
      </c>
      <c r="K1709" t="s">
        <v>5048</v>
      </c>
      <c r="L1709" t="s">
        <v>5051</v>
      </c>
      <c r="M1709" t="s">
        <v>5054</v>
      </c>
    </row>
    <row r="1710" spans="1:13" x14ac:dyDescent="0.3">
      <c r="A1710" s="1">
        <v>45605</v>
      </c>
      <c r="B1710" s="1" t="str">
        <f>TEXT(Tabla1[[#This Row],[Fecha]],"MMMM")</f>
        <v>noviembre</v>
      </c>
      <c r="C1710" t="s">
        <v>1720</v>
      </c>
      <c r="D1710" t="s">
        <v>5025</v>
      </c>
      <c r="E1710" t="s">
        <v>5032</v>
      </c>
      <c r="F1710" t="s">
        <v>5034</v>
      </c>
      <c r="G1710" s="3">
        <v>2148.29</v>
      </c>
      <c r="H1710" s="3">
        <v>0</v>
      </c>
      <c r="I1710" s="3">
        <f>SUM(Tabla1[[#This Row],[Monto_Base]],H1710)</f>
        <v>2148.29</v>
      </c>
      <c r="J1710" t="s">
        <v>5044</v>
      </c>
      <c r="K1710" t="s">
        <v>5047</v>
      </c>
      <c r="L1710" t="s">
        <v>5052</v>
      </c>
      <c r="M1710" t="s">
        <v>5054</v>
      </c>
    </row>
    <row r="1711" spans="1:13" x14ac:dyDescent="0.3">
      <c r="A1711" s="1">
        <v>45585</v>
      </c>
      <c r="B1711" s="1" t="str">
        <f>TEXT(Tabla1[[#This Row],[Fecha]],"MMMM")</f>
        <v>octubre</v>
      </c>
      <c r="C1711" t="s">
        <v>1721</v>
      </c>
      <c r="D1711" t="s">
        <v>5019</v>
      </c>
      <c r="E1711" t="s">
        <v>5033</v>
      </c>
      <c r="F1711" t="s">
        <v>5034</v>
      </c>
      <c r="G1711" s="3">
        <v>8215.42</v>
      </c>
      <c r="H1711" s="3">
        <v>1068</v>
      </c>
      <c r="I1711" s="3">
        <f>SUM(Tabla1[[#This Row],[Monto_Base]],H1711)</f>
        <v>9283.42</v>
      </c>
      <c r="J1711" t="s">
        <v>5045</v>
      </c>
      <c r="K1711" t="s">
        <v>5048</v>
      </c>
      <c r="L1711" t="s">
        <v>5050</v>
      </c>
      <c r="M1711" t="s">
        <v>5054</v>
      </c>
    </row>
    <row r="1712" spans="1:13" x14ac:dyDescent="0.3">
      <c r="A1712" s="1">
        <v>45464</v>
      </c>
      <c r="B1712" s="1" t="str">
        <f>TEXT(Tabla1[[#This Row],[Fecha]],"MMMM")</f>
        <v>junio</v>
      </c>
      <c r="C1712" t="s">
        <v>1722</v>
      </c>
      <c r="D1712" t="s">
        <v>5030</v>
      </c>
      <c r="E1712" t="s">
        <v>5032</v>
      </c>
      <c r="F1712" t="s">
        <v>5039</v>
      </c>
      <c r="G1712" s="3">
        <v>8018.95</v>
      </c>
      <c r="H1712" s="3">
        <v>0</v>
      </c>
      <c r="I1712" s="3">
        <f>SUM(Tabla1[[#This Row],[Monto_Base]],H1712)</f>
        <v>8018.95</v>
      </c>
      <c r="J1712" t="s">
        <v>5043</v>
      </c>
      <c r="K1712" t="s">
        <v>5047</v>
      </c>
      <c r="L1712" t="s">
        <v>5051</v>
      </c>
      <c r="M1712" t="s">
        <v>5055</v>
      </c>
    </row>
    <row r="1713" spans="1:13" x14ac:dyDescent="0.3">
      <c r="A1713" s="1">
        <v>45405</v>
      </c>
      <c r="B1713" s="1" t="str">
        <f>TEXT(Tabla1[[#This Row],[Fecha]],"MMMM")</f>
        <v>abril</v>
      </c>
      <c r="C1713" t="s">
        <v>1723</v>
      </c>
      <c r="D1713" t="s">
        <v>5031</v>
      </c>
      <c r="E1713" t="s">
        <v>5033</v>
      </c>
      <c r="F1713" t="s">
        <v>5037</v>
      </c>
      <c r="G1713" s="3">
        <v>14193.67</v>
      </c>
      <c r="H1713" s="3">
        <v>1845.18</v>
      </c>
      <c r="I1713" s="3">
        <f>SUM(Tabla1[[#This Row],[Monto_Base]],H1713)</f>
        <v>16038.85</v>
      </c>
      <c r="J1713" t="s">
        <v>5046</v>
      </c>
      <c r="K1713" t="s">
        <v>5048</v>
      </c>
      <c r="L1713" t="s">
        <v>5051</v>
      </c>
      <c r="M1713" t="s">
        <v>5054</v>
      </c>
    </row>
    <row r="1714" spans="1:13" x14ac:dyDescent="0.3">
      <c r="A1714" s="1">
        <v>45305</v>
      </c>
      <c r="B1714" s="1" t="str">
        <f>TEXT(Tabla1[[#This Row],[Fecha]],"MMMM")</f>
        <v>enero</v>
      </c>
      <c r="C1714" t="s">
        <v>1724</v>
      </c>
      <c r="D1714" t="s">
        <v>5023</v>
      </c>
      <c r="E1714" t="s">
        <v>5033</v>
      </c>
      <c r="F1714" t="s">
        <v>5037</v>
      </c>
      <c r="G1714" s="3">
        <v>5570.01</v>
      </c>
      <c r="H1714" s="3">
        <v>724.1</v>
      </c>
      <c r="I1714" s="3">
        <f>SUM(Tabla1[[#This Row],[Monto_Base]],H1714)</f>
        <v>6294.1100000000006</v>
      </c>
      <c r="J1714" t="s">
        <v>5043</v>
      </c>
      <c r="K1714" t="s">
        <v>5049</v>
      </c>
      <c r="L1714" t="s">
        <v>5051</v>
      </c>
      <c r="M1714" t="s">
        <v>5055</v>
      </c>
    </row>
    <row r="1715" spans="1:13" x14ac:dyDescent="0.3">
      <c r="A1715" s="1">
        <v>45439</v>
      </c>
      <c r="B1715" s="1" t="str">
        <f>TEXT(Tabla1[[#This Row],[Fecha]],"MMMM")</f>
        <v>mayo</v>
      </c>
      <c r="C1715" t="s">
        <v>1725</v>
      </c>
      <c r="D1715" t="s">
        <v>5022</v>
      </c>
      <c r="E1715" t="s">
        <v>5032</v>
      </c>
      <c r="F1715" t="s">
        <v>5041</v>
      </c>
      <c r="G1715" s="3">
        <v>11606.4</v>
      </c>
      <c r="H1715" s="3">
        <v>0</v>
      </c>
      <c r="I1715" s="3">
        <f>SUM(Tabla1[[#This Row],[Monto_Base]],H1715)</f>
        <v>11606.4</v>
      </c>
      <c r="J1715" t="s">
        <v>5044</v>
      </c>
      <c r="K1715" t="s">
        <v>5047</v>
      </c>
      <c r="L1715" t="s">
        <v>5053</v>
      </c>
      <c r="M1715" t="s">
        <v>5054</v>
      </c>
    </row>
    <row r="1716" spans="1:13" x14ac:dyDescent="0.3">
      <c r="A1716" s="1">
        <v>45349</v>
      </c>
      <c r="B1716" s="1" t="str">
        <f>TEXT(Tabla1[[#This Row],[Fecha]],"MMMM")</f>
        <v>febrero</v>
      </c>
      <c r="C1716" t="s">
        <v>1726</v>
      </c>
      <c r="D1716" t="s">
        <v>5014</v>
      </c>
      <c r="E1716" t="s">
        <v>5033</v>
      </c>
      <c r="F1716" t="s">
        <v>5036</v>
      </c>
      <c r="G1716" s="3">
        <v>13898.46</v>
      </c>
      <c r="H1716" s="3">
        <v>1806.8</v>
      </c>
      <c r="I1716" s="3">
        <f>SUM(Tabla1[[#This Row],[Monto_Base]],H1716)</f>
        <v>15705.259999999998</v>
      </c>
      <c r="J1716" t="s">
        <v>5043</v>
      </c>
      <c r="K1716" t="s">
        <v>5049</v>
      </c>
      <c r="L1716" t="s">
        <v>5050</v>
      </c>
      <c r="M1716" t="s">
        <v>5054</v>
      </c>
    </row>
    <row r="1717" spans="1:13" x14ac:dyDescent="0.3">
      <c r="A1717" s="1">
        <v>45311</v>
      </c>
      <c r="B1717" s="1" t="str">
        <f>TEXT(Tabla1[[#This Row],[Fecha]],"MMMM")</f>
        <v>enero</v>
      </c>
      <c r="C1717" t="s">
        <v>1727</v>
      </c>
      <c r="D1717" t="s">
        <v>5017</v>
      </c>
      <c r="E1717" t="s">
        <v>5032</v>
      </c>
      <c r="F1717" t="s">
        <v>5034</v>
      </c>
      <c r="G1717" s="3">
        <v>4073.55</v>
      </c>
      <c r="H1717" s="3">
        <v>0</v>
      </c>
      <c r="I1717" s="3">
        <f>SUM(Tabla1[[#This Row],[Monto_Base]],H1717)</f>
        <v>4073.55</v>
      </c>
      <c r="J1717" t="s">
        <v>5045</v>
      </c>
      <c r="K1717" t="s">
        <v>5048</v>
      </c>
      <c r="L1717" t="s">
        <v>5052</v>
      </c>
      <c r="M1717" t="s">
        <v>5055</v>
      </c>
    </row>
    <row r="1718" spans="1:13" x14ac:dyDescent="0.3">
      <c r="A1718" s="1">
        <v>45459</v>
      </c>
      <c r="B1718" s="1" t="str">
        <f>TEXT(Tabla1[[#This Row],[Fecha]],"MMMM")</f>
        <v>junio</v>
      </c>
      <c r="C1718" t="s">
        <v>1728</v>
      </c>
      <c r="D1718" t="s">
        <v>5030</v>
      </c>
      <c r="E1718" t="s">
        <v>5032</v>
      </c>
      <c r="F1718" t="s">
        <v>5038</v>
      </c>
      <c r="G1718" s="3">
        <v>6832.47</v>
      </c>
      <c r="H1718" s="3">
        <v>0</v>
      </c>
      <c r="I1718" s="3">
        <f>SUM(Tabla1[[#This Row],[Monto_Base]],H1718)</f>
        <v>6832.47</v>
      </c>
      <c r="J1718" t="s">
        <v>5044</v>
      </c>
      <c r="K1718" t="s">
        <v>5047</v>
      </c>
      <c r="L1718" t="s">
        <v>5053</v>
      </c>
      <c r="M1718" t="s">
        <v>5054</v>
      </c>
    </row>
    <row r="1719" spans="1:13" x14ac:dyDescent="0.3">
      <c r="A1719" s="1">
        <v>45560</v>
      </c>
      <c r="B1719" s="1" t="str">
        <f>TEXT(Tabla1[[#This Row],[Fecha]],"MMMM")</f>
        <v>septiembre</v>
      </c>
      <c r="C1719" t="s">
        <v>1729</v>
      </c>
      <c r="D1719" t="s">
        <v>5015</v>
      </c>
      <c r="E1719" t="s">
        <v>5033</v>
      </c>
      <c r="F1719" t="s">
        <v>5037</v>
      </c>
      <c r="G1719" s="3">
        <v>7164.04</v>
      </c>
      <c r="H1719" s="3">
        <v>931.33</v>
      </c>
      <c r="I1719" s="3">
        <f>SUM(Tabla1[[#This Row],[Monto_Base]],H1719)</f>
        <v>8095.37</v>
      </c>
      <c r="J1719" t="s">
        <v>5045</v>
      </c>
      <c r="K1719" t="s">
        <v>5047</v>
      </c>
      <c r="L1719" t="s">
        <v>5050</v>
      </c>
      <c r="M1719" t="s">
        <v>5055</v>
      </c>
    </row>
    <row r="1720" spans="1:13" x14ac:dyDescent="0.3">
      <c r="A1720" s="1">
        <v>45368</v>
      </c>
      <c r="B1720" s="1" t="str">
        <f>TEXT(Tabla1[[#This Row],[Fecha]],"MMMM")</f>
        <v>marzo</v>
      </c>
      <c r="C1720" t="s">
        <v>1730</v>
      </c>
      <c r="D1720" t="s">
        <v>5022</v>
      </c>
      <c r="E1720" t="s">
        <v>5033</v>
      </c>
      <c r="F1720" t="s">
        <v>5038</v>
      </c>
      <c r="G1720" s="3">
        <v>14293.32</v>
      </c>
      <c r="H1720" s="3">
        <v>1858.13</v>
      </c>
      <c r="I1720" s="3">
        <f>SUM(Tabla1[[#This Row],[Monto_Base]],H1720)</f>
        <v>16151.45</v>
      </c>
      <c r="J1720" t="s">
        <v>5045</v>
      </c>
      <c r="K1720" t="s">
        <v>5048</v>
      </c>
      <c r="L1720" t="s">
        <v>5053</v>
      </c>
      <c r="M1720" t="s">
        <v>5054</v>
      </c>
    </row>
    <row r="1721" spans="1:13" x14ac:dyDescent="0.3">
      <c r="A1721" s="1">
        <v>45354</v>
      </c>
      <c r="B1721" s="1" t="str">
        <f>TEXT(Tabla1[[#This Row],[Fecha]],"MMMM")</f>
        <v>marzo</v>
      </c>
      <c r="C1721" t="s">
        <v>1731</v>
      </c>
      <c r="D1721" t="s">
        <v>5028</v>
      </c>
      <c r="E1721" t="s">
        <v>5032</v>
      </c>
      <c r="F1721" t="s">
        <v>5037</v>
      </c>
      <c r="G1721" s="3">
        <v>9255</v>
      </c>
      <c r="H1721" s="3">
        <v>0</v>
      </c>
      <c r="I1721" s="3">
        <f>SUM(Tabla1[[#This Row],[Monto_Base]],H1721)</f>
        <v>9255</v>
      </c>
      <c r="J1721" t="s">
        <v>5042</v>
      </c>
      <c r="K1721" t="s">
        <v>5049</v>
      </c>
      <c r="L1721" t="s">
        <v>5050</v>
      </c>
      <c r="M1721" t="s">
        <v>5054</v>
      </c>
    </row>
    <row r="1722" spans="1:13" x14ac:dyDescent="0.3">
      <c r="A1722" s="1">
        <v>45412</v>
      </c>
      <c r="B1722" s="1" t="str">
        <f>TEXT(Tabla1[[#This Row],[Fecha]],"MMMM")</f>
        <v>abril</v>
      </c>
      <c r="C1722" t="s">
        <v>1732</v>
      </c>
      <c r="D1722" t="s">
        <v>5018</v>
      </c>
      <c r="E1722" t="s">
        <v>5033</v>
      </c>
      <c r="F1722" t="s">
        <v>5038</v>
      </c>
      <c r="G1722" s="3">
        <v>5446.75</v>
      </c>
      <c r="H1722" s="3">
        <v>708.08</v>
      </c>
      <c r="I1722" s="3">
        <f>SUM(Tabla1[[#This Row],[Monto_Base]],H1722)</f>
        <v>6154.83</v>
      </c>
      <c r="J1722" t="s">
        <v>5042</v>
      </c>
      <c r="K1722" t="s">
        <v>5049</v>
      </c>
      <c r="L1722" t="s">
        <v>5051</v>
      </c>
      <c r="M1722" t="s">
        <v>5055</v>
      </c>
    </row>
    <row r="1723" spans="1:13" x14ac:dyDescent="0.3">
      <c r="A1723" s="1">
        <v>45458</v>
      </c>
      <c r="B1723" s="1" t="str">
        <f>TEXT(Tabla1[[#This Row],[Fecha]],"MMMM")</f>
        <v>junio</v>
      </c>
      <c r="C1723" t="s">
        <v>1733</v>
      </c>
      <c r="D1723" t="s">
        <v>5026</v>
      </c>
      <c r="E1723" t="s">
        <v>5032</v>
      </c>
      <c r="F1723" t="s">
        <v>5037</v>
      </c>
      <c r="G1723" s="3">
        <v>6270.44</v>
      </c>
      <c r="H1723" s="3">
        <v>0</v>
      </c>
      <c r="I1723" s="3">
        <f>SUM(Tabla1[[#This Row],[Monto_Base]],H1723)</f>
        <v>6270.44</v>
      </c>
      <c r="J1723" t="s">
        <v>5042</v>
      </c>
      <c r="K1723" t="s">
        <v>5049</v>
      </c>
      <c r="L1723" t="s">
        <v>5050</v>
      </c>
      <c r="M1723" t="s">
        <v>5055</v>
      </c>
    </row>
    <row r="1724" spans="1:13" x14ac:dyDescent="0.3">
      <c r="A1724" s="1">
        <v>45653</v>
      </c>
      <c r="B1724" s="1" t="str">
        <f>TEXT(Tabla1[[#This Row],[Fecha]],"MMMM")</f>
        <v>diciembre</v>
      </c>
      <c r="C1724" t="s">
        <v>1734</v>
      </c>
      <c r="D1724" t="s">
        <v>5029</v>
      </c>
      <c r="E1724" t="s">
        <v>5032</v>
      </c>
      <c r="F1724" t="s">
        <v>5039</v>
      </c>
      <c r="G1724" s="3">
        <v>2116.37</v>
      </c>
      <c r="H1724" s="3">
        <v>0</v>
      </c>
      <c r="I1724" s="3">
        <f>SUM(Tabla1[[#This Row],[Monto_Base]],H1724)</f>
        <v>2116.37</v>
      </c>
      <c r="J1724" t="s">
        <v>5044</v>
      </c>
      <c r="K1724" t="s">
        <v>5049</v>
      </c>
      <c r="L1724" t="s">
        <v>5051</v>
      </c>
      <c r="M1724" t="s">
        <v>5055</v>
      </c>
    </row>
    <row r="1725" spans="1:13" x14ac:dyDescent="0.3">
      <c r="A1725" s="1">
        <v>45454</v>
      </c>
      <c r="B1725" s="1" t="str">
        <f>TEXT(Tabla1[[#This Row],[Fecha]],"MMMM")</f>
        <v>junio</v>
      </c>
      <c r="C1725" t="s">
        <v>1735</v>
      </c>
      <c r="D1725" t="s">
        <v>5014</v>
      </c>
      <c r="E1725" t="s">
        <v>5032</v>
      </c>
      <c r="F1725" t="s">
        <v>5040</v>
      </c>
      <c r="G1725" s="3">
        <v>11959.21</v>
      </c>
      <c r="H1725" s="3">
        <v>0</v>
      </c>
      <c r="I1725" s="3">
        <f>SUM(Tabla1[[#This Row],[Monto_Base]],H1725)</f>
        <v>11959.21</v>
      </c>
      <c r="J1725" t="s">
        <v>5042</v>
      </c>
      <c r="K1725" t="s">
        <v>5048</v>
      </c>
      <c r="L1725" t="s">
        <v>5052</v>
      </c>
      <c r="M1725" t="s">
        <v>5054</v>
      </c>
    </row>
    <row r="1726" spans="1:13" x14ac:dyDescent="0.3">
      <c r="A1726" s="1">
        <v>45511</v>
      </c>
      <c r="B1726" s="1" t="str">
        <f>TEXT(Tabla1[[#This Row],[Fecha]],"MMMM")</f>
        <v>agosto</v>
      </c>
      <c r="C1726" t="s">
        <v>1736</v>
      </c>
      <c r="D1726" t="s">
        <v>5014</v>
      </c>
      <c r="E1726" t="s">
        <v>5033</v>
      </c>
      <c r="F1726" t="s">
        <v>5036</v>
      </c>
      <c r="G1726" s="3">
        <v>12195.65</v>
      </c>
      <c r="H1726" s="3">
        <v>1585.43</v>
      </c>
      <c r="I1726" s="3">
        <f>SUM(Tabla1[[#This Row],[Monto_Base]],H1726)</f>
        <v>13781.08</v>
      </c>
      <c r="J1726" t="s">
        <v>5044</v>
      </c>
      <c r="K1726" t="s">
        <v>5047</v>
      </c>
      <c r="L1726" t="s">
        <v>5052</v>
      </c>
      <c r="M1726" t="s">
        <v>5054</v>
      </c>
    </row>
    <row r="1727" spans="1:13" x14ac:dyDescent="0.3">
      <c r="A1727" s="1">
        <v>45409</v>
      </c>
      <c r="B1727" s="1" t="str">
        <f>TEXT(Tabla1[[#This Row],[Fecha]],"MMMM")</f>
        <v>abril</v>
      </c>
      <c r="C1727" t="s">
        <v>1737</v>
      </c>
      <c r="D1727" t="s">
        <v>5012</v>
      </c>
      <c r="E1727" t="s">
        <v>5033</v>
      </c>
      <c r="F1727" t="s">
        <v>5038</v>
      </c>
      <c r="G1727" s="3">
        <v>5618.93</v>
      </c>
      <c r="H1727" s="3">
        <v>730.46</v>
      </c>
      <c r="I1727" s="3">
        <f>SUM(Tabla1[[#This Row],[Monto_Base]],H1727)</f>
        <v>6349.39</v>
      </c>
      <c r="J1727" t="s">
        <v>5042</v>
      </c>
      <c r="K1727" t="s">
        <v>5049</v>
      </c>
      <c r="L1727" t="s">
        <v>5052</v>
      </c>
      <c r="M1727" t="s">
        <v>5054</v>
      </c>
    </row>
    <row r="1728" spans="1:13" x14ac:dyDescent="0.3">
      <c r="A1728" s="1">
        <v>45327</v>
      </c>
      <c r="B1728" s="1" t="str">
        <f>TEXT(Tabla1[[#This Row],[Fecha]],"MMMM")</f>
        <v>febrero</v>
      </c>
      <c r="C1728" t="s">
        <v>1738</v>
      </c>
      <c r="D1728" t="s">
        <v>5026</v>
      </c>
      <c r="E1728" t="s">
        <v>5033</v>
      </c>
      <c r="F1728" t="s">
        <v>5040</v>
      </c>
      <c r="G1728" s="3">
        <v>13033.85</v>
      </c>
      <c r="H1728" s="3">
        <v>1694.4</v>
      </c>
      <c r="I1728" s="3">
        <f>SUM(Tabla1[[#This Row],[Monto_Base]],H1728)</f>
        <v>14728.25</v>
      </c>
      <c r="J1728" t="s">
        <v>5046</v>
      </c>
      <c r="K1728" t="s">
        <v>5047</v>
      </c>
      <c r="L1728" t="s">
        <v>5051</v>
      </c>
      <c r="M1728" t="s">
        <v>5055</v>
      </c>
    </row>
    <row r="1729" spans="1:13" x14ac:dyDescent="0.3">
      <c r="A1729" s="1">
        <v>45385</v>
      </c>
      <c r="B1729" s="1" t="str">
        <f>TEXT(Tabla1[[#This Row],[Fecha]],"MMMM")</f>
        <v>abril</v>
      </c>
      <c r="C1729" t="s">
        <v>1739</v>
      </c>
      <c r="D1729" t="s">
        <v>5022</v>
      </c>
      <c r="E1729" t="s">
        <v>5033</v>
      </c>
      <c r="F1729" t="s">
        <v>5037</v>
      </c>
      <c r="G1729" s="3">
        <v>8355.41</v>
      </c>
      <c r="H1729" s="3">
        <v>1086.2</v>
      </c>
      <c r="I1729" s="3">
        <f>SUM(Tabla1[[#This Row],[Monto_Base]],H1729)</f>
        <v>9441.61</v>
      </c>
      <c r="J1729" t="s">
        <v>5045</v>
      </c>
      <c r="K1729" t="s">
        <v>5048</v>
      </c>
      <c r="L1729" t="s">
        <v>5051</v>
      </c>
      <c r="M1729" t="s">
        <v>5055</v>
      </c>
    </row>
    <row r="1730" spans="1:13" x14ac:dyDescent="0.3">
      <c r="A1730" s="1">
        <v>45645</v>
      </c>
      <c r="B1730" s="1" t="str">
        <f>TEXT(Tabla1[[#This Row],[Fecha]],"MMMM")</f>
        <v>diciembre</v>
      </c>
      <c r="C1730" t="s">
        <v>1740</v>
      </c>
      <c r="D1730" t="s">
        <v>5019</v>
      </c>
      <c r="E1730" t="s">
        <v>5032</v>
      </c>
      <c r="F1730" t="s">
        <v>5039</v>
      </c>
      <c r="G1730" s="3">
        <v>7518.79</v>
      </c>
      <c r="H1730" s="3">
        <v>0</v>
      </c>
      <c r="I1730" s="3">
        <f>SUM(Tabla1[[#This Row],[Monto_Base]],H1730)</f>
        <v>7518.79</v>
      </c>
      <c r="J1730" t="s">
        <v>5046</v>
      </c>
      <c r="K1730" t="s">
        <v>5048</v>
      </c>
      <c r="L1730" t="s">
        <v>5050</v>
      </c>
      <c r="M1730" t="s">
        <v>5055</v>
      </c>
    </row>
    <row r="1731" spans="1:13" x14ac:dyDescent="0.3">
      <c r="A1731" s="1">
        <v>45555</v>
      </c>
      <c r="B1731" s="1" t="str">
        <f>TEXT(Tabla1[[#This Row],[Fecha]],"MMMM")</f>
        <v>septiembre</v>
      </c>
      <c r="C1731" t="s">
        <v>1741</v>
      </c>
      <c r="D1731" t="s">
        <v>5019</v>
      </c>
      <c r="E1731" t="s">
        <v>5033</v>
      </c>
      <c r="F1731" t="s">
        <v>5035</v>
      </c>
      <c r="G1731" s="3">
        <v>1989.56</v>
      </c>
      <c r="H1731" s="3">
        <v>258.64</v>
      </c>
      <c r="I1731" s="3">
        <f>SUM(Tabla1[[#This Row],[Monto_Base]],H1731)</f>
        <v>2248.1999999999998</v>
      </c>
      <c r="J1731" t="s">
        <v>5046</v>
      </c>
      <c r="K1731" t="s">
        <v>5048</v>
      </c>
      <c r="L1731" t="s">
        <v>5051</v>
      </c>
      <c r="M1731" t="s">
        <v>5054</v>
      </c>
    </row>
    <row r="1732" spans="1:13" x14ac:dyDescent="0.3">
      <c r="A1732" s="1">
        <v>45346</v>
      </c>
      <c r="B1732" s="1" t="str">
        <f>TEXT(Tabla1[[#This Row],[Fecha]],"MMMM")</f>
        <v>febrero</v>
      </c>
      <c r="C1732" t="s">
        <v>1742</v>
      </c>
      <c r="D1732" t="s">
        <v>5023</v>
      </c>
      <c r="E1732" t="s">
        <v>5033</v>
      </c>
      <c r="F1732" t="s">
        <v>5039</v>
      </c>
      <c r="G1732" s="3">
        <v>10628.11</v>
      </c>
      <c r="H1732" s="3">
        <v>1381.65</v>
      </c>
      <c r="I1732" s="3">
        <f>SUM(Tabla1[[#This Row],[Monto_Base]],H1732)</f>
        <v>12009.76</v>
      </c>
      <c r="J1732" t="s">
        <v>5046</v>
      </c>
      <c r="K1732" t="s">
        <v>5047</v>
      </c>
      <c r="L1732" t="s">
        <v>5053</v>
      </c>
      <c r="M1732" t="s">
        <v>5054</v>
      </c>
    </row>
    <row r="1733" spans="1:13" x14ac:dyDescent="0.3">
      <c r="A1733" s="1">
        <v>45611</v>
      </c>
      <c r="B1733" s="1" t="str">
        <f>TEXT(Tabla1[[#This Row],[Fecha]],"MMMM")</f>
        <v>noviembre</v>
      </c>
      <c r="C1733" t="s">
        <v>1743</v>
      </c>
      <c r="D1733" t="s">
        <v>5031</v>
      </c>
      <c r="E1733" t="s">
        <v>5033</v>
      </c>
      <c r="F1733" t="s">
        <v>5035</v>
      </c>
      <c r="G1733" s="3">
        <v>9422.33</v>
      </c>
      <c r="H1733" s="3">
        <v>1224.9000000000001</v>
      </c>
      <c r="I1733" s="3">
        <f>SUM(Tabla1[[#This Row],[Monto_Base]],H1733)</f>
        <v>10647.23</v>
      </c>
      <c r="J1733" t="s">
        <v>5045</v>
      </c>
      <c r="K1733" t="s">
        <v>5047</v>
      </c>
      <c r="L1733" t="s">
        <v>5050</v>
      </c>
      <c r="M1733" t="s">
        <v>5054</v>
      </c>
    </row>
    <row r="1734" spans="1:13" x14ac:dyDescent="0.3">
      <c r="A1734" s="1">
        <v>45373</v>
      </c>
      <c r="B1734" s="1" t="str">
        <f>TEXT(Tabla1[[#This Row],[Fecha]],"MMMM")</f>
        <v>marzo</v>
      </c>
      <c r="C1734" t="s">
        <v>1744</v>
      </c>
      <c r="D1734" t="s">
        <v>5023</v>
      </c>
      <c r="E1734" t="s">
        <v>5033</v>
      </c>
      <c r="F1734" t="s">
        <v>5037</v>
      </c>
      <c r="G1734" s="3">
        <v>3972.74</v>
      </c>
      <c r="H1734" s="3">
        <v>516.46</v>
      </c>
      <c r="I1734" s="3">
        <f>SUM(Tabla1[[#This Row],[Monto_Base]],H1734)</f>
        <v>4489.2</v>
      </c>
      <c r="J1734" t="s">
        <v>5046</v>
      </c>
      <c r="K1734" t="s">
        <v>5049</v>
      </c>
      <c r="L1734" t="s">
        <v>5050</v>
      </c>
      <c r="M1734" t="s">
        <v>5055</v>
      </c>
    </row>
    <row r="1735" spans="1:13" x14ac:dyDescent="0.3">
      <c r="A1735" s="1">
        <v>45653</v>
      </c>
      <c r="B1735" s="1" t="str">
        <f>TEXT(Tabla1[[#This Row],[Fecha]],"MMMM")</f>
        <v>diciembre</v>
      </c>
      <c r="C1735" t="s">
        <v>1745</v>
      </c>
      <c r="D1735" t="s">
        <v>5023</v>
      </c>
      <c r="E1735" t="s">
        <v>5033</v>
      </c>
      <c r="F1735" t="s">
        <v>5041</v>
      </c>
      <c r="G1735" s="3">
        <v>6090.18</v>
      </c>
      <c r="H1735" s="3">
        <v>791.72</v>
      </c>
      <c r="I1735" s="3">
        <f>SUM(Tabla1[[#This Row],[Monto_Base]],H1735)</f>
        <v>6881.9000000000005</v>
      </c>
      <c r="J1735" t="s">
        <v>5045</v>
      </c>
      <c r="K1735" t="s">
        <v>5049</v>
      </c>
      <c r="L1735" t="s">
        <v>5050</v>
      </c>
      <c r="M1735" t="s">
        <v>5054</v>
      </c>
    </row>
    <row r="1736" spans="1:13" x14ac:dyDescent="0.3">
      <c r="A1736" s="1">
        <v>45477</v>
      </c>
      <c r="B1736" s="1" t="str">
        <f>TEXT(Tabla1[[#This Row],[Fecha]],"MMMM")</f>
        <v>julio</v>
      </c>
      <c r="C1736" t="s">
        <v>1746</v>
      </c>
      <c r="D1736" t="s">
        <v>5015</v>
      </c>
      <c r="E1736" t="s">
        <v>5032</v>
      </c>
      <c r="F1736" t="s">
        <v>5041</v>
      </c>
      <c r="G1736" s="3">
        <v>4846.6899999999996</v>
      </c>
      <c r="H1736" s="3">
        <v>0</v>
      </c>
      <c r="I1736" s="3">
        <f>SUM(Tabla1[[#This Row],[Monto_Base]],H1736)</f>
        <v>4846.6899999999996</v>
      </c>
      <c r="J1736" t="s">
        <v>5042</v>
      </c>
      <c r="K1736" t="s">
        <v>5049</v>
      </c>
      <c r="L1736" t="s">
        <v>5051</v>
      </c>
      <c r="M1736" t="s">
        <v>5055</v>
      </c>
    </row>
    <row r="1737" spans="1:13" x14ac:dyDescent="0.3">
      <c r="A1737" s="1">
        <v>45608</v>
      </c>
      <c r="B1737" s="1" t="str">
        <f>TEXT(Tabla1[[#This Row],[Fecha]],"MMMM")</f>
        <v>noviembre</v>
      </c>
      <c r="C1737" t="s">
        <v>1747</v>
      </c>
      <c r="D1737" t="s">
        <v>5027</v>
      </c>
      <c r="E1737" t="s">
        <v>5033</v>
      </c>
      <c r="F1737" t="s">
        <v>5035</v>
      </c>
      <c r="G1737" s="3">
        <v>4915.24</v>
      </c>
      <c r="H1737" s="3">
        <v>638.98</v>
      </c>
      <c r="I1737" s="3">
        <f>SUM(Tabla1[[#This Row],[Monto_Base]],H1737)</f>
        <v>5554.2199999999993</v>
      </c>
      <c r="J1737" t="s">
        <v>5045</v>
      </c>
      <c r="K1737" t="s">
        <v>5049</v>
      </c>
      <c r="L1737" t="s">
        <v>5050</v>
      </c>
      <c r="M1737" t="s">
        <v>5055</v>
      </c>
    </row>
    <row r="1738" spans="1:13" x14ac:dyDescent="0.3">
      <c r="A1738" s="1">
        <v>45385</v>
      </c>
      <c r="B1738" s="1" t="str">
        <f>TEXT(Tabla1[[#This Row],[Fecha]],"MMMM")</f>
        <v>abril</v>
      </c>
      <c r="C1738" t="s">
        <v>1748</v>
      </c>
      <c r="D1738" t="s">
        <v>5013</v>
      </c>
      <c r="E1738" t="s">
        <v>5032</v>
      </c>
      <c r="F1738" t="s">
        <v>5035</v>
      </c>
      <c r="G1738" s="3">
        <v>8263.14</v>
      </c>
      <c r="H1738" s="3">
        <v>0</v>
      </c>
      <c r="I1738" s="3">
        <f>SUM(Tabla1[[#This Row],[Monto_Base]],H1738)</f>
        <v>8263.14</v>
      </c>
      <c r="J1738" t="s">
        <v>5043</v>
      </c>
      <c r="K1738" t="s">
        <v>5047</v>
      </c>
      <c r="L1738" t="s">
        <v>5050</v>
      </c>
      <c r="M1738" t="s">
        <v>5054</v>
      </c>
    </row>
    <row r="1739" spans="1:13" x14ac:dyDescent="0.3">
      <c r="A1739" s="1">
        <v>45403</v>
      </c>
      <c r="B1739" s="1" t="str">
        <f>TEXT(Tabla1[[#This Row],[Fecha]],"MMMM")</f>
        <v>abril</v>
      </c>
      <c r="C1739" t="s">
        <v>1749</v>
      </c>
      <c r="D1739" t="s">
        <v>5018</v>
      </c>
      <c r="E1739" t="s">
        <v>5033</v>
      </c>
      <c r="F1739" t="s">
        <v>5034</v>
      </c>
      <c r="G1739" s="3">
        <v>6671.33</v>
      </c>
      <c r="H1739" s="3">
        <v>867.27</v>
      </c>
      <c r="I1739" s="3">
        <f>SUM(Tabla1[[#This Row],[Monto_Base]],H1739)</f>
        <v>7538.6</v>
      </c>
      <c r="J1739" t="s">
        <v>5042</v>
      </c>
      <c r="K1739" t="s">
        <v>5049</v>
      </c>
      <c r="L1739" t="s">
        <v>5052</v>
      </c>
      <c r="M1739" t="s">
        <v>5054</v>
      </c>
    </row>
    <row r="1740" spans="1:13" x14ac:dyDescent="0.3">
      <c r="A1740" s="1">
        <v>45582</v>
      </c>
      <c r="B1740" s="1" t="str">
        <f>TEXT(Tabla1[[#This Row],[Fecha]],"MMMM")</f>
        <v>octubre</v>
      </c>
      <c r="C1740" t="s">
        <v>1750</v>
      </c>
      <c r="D1740" t="s">
        <v>5028</v>
      </c>
      <c r="E1740" t="s">
        <v>5033</v>
      </c>
      <c r="F1740" t="s">
        <v>5039</v>
      </c>
      <c r="G1740" s="3">
        <v>8670.89</v>
      </c>
      <c r="H1740" s="3">
        <v>1127.22</v>
      </c>
      <c r="I1740" s="3">
        <f>SUM(Tabla1[[#This Row],[Monto_Base]],H1740)</f>
        <v>9798.1099999999988</v>
      </c>
      <c r="J1740" t="s">
        <v>5042</v>
      </c>
      <c r="K1740" t="s">
        <v>5047</v>
      </c>
      <c r="L1740" t="s">
        <v>5050</v>
      </c>
      <c r="M1740" t="s">
        <v>5054</v>
      </c>
    </row>
    <row r="1741" spans="1:13" x14ac:dyDescent="0.3">
      <c r="A1741" s="1">
        <v>45412</v>
      </c>
      <c r="B1741" s="1" t="str">
        <f>TEXT(Tabla1[[#This Row],[Fecha]],"MMMM")</f>
        <v>abril</v>
      </c>
      <c r="C1741" t="s">
        <v>1751</v>
      </c>
      <c r="D1741" t="s">
        <v>5027</v>
      </c>
      <c r="E1741" t="s">
        <v>5032</v>
      </c>
      <c r="F1741" t="s">
        <v>5036</v>
      </c>
      <c r="G1741" s="3">
        <v>9623.34</v>
      </c>
      <c r="H1741" s="3">
        <v>0</v>
      </c>
      <c r="I1741" s="3">
        <f>SUM(Tabla1[[#This Row],[Monto_Base]],H1741)</f>
        <v>9623.34</v>
      </c>
      <c r="J1741" t="s">
        <v>5042</v>
      </c>
      <c r="K1741" t="s">
        <v>5049</v>
      </c>
      <c r="L1741" t="s">
        <v>5052</v>
      </c>
      <c r="M1741" t="s">
        <v>5054</v>
      </c>
    </row>
    <row r="1742" spans="1:13" x14ac:dyDescent="0.3">
      <c r="A1742" s="1">
        <v>45568</v>
      </c>
      <c r="B1742" s="1" t="str">
        <f>TEXT(Tabla1[[#This Row],[Fecha]],"MMMM")</f>
        <v>octubre</v>
      </c>
      <c r="C1742" t="s">
        <v>1752</v>
      </c>
      <c r="D1742" t="s">
        <v>5015</v>
      </c>
      <c r="E1742" t="s">
        <v>5032</v>
      </c>
      <c r="F1742" t="s">
        <v>5034</v>
      </c>
      <c r="G1742" s="3">
        <v>11850.81</v>
      </c>
      <c r="H1742" s="3">
        <v>0</v>
      </c>
      <c r="I1742" s="3">
        <f>SUM(Tabla1[[#This Row],[Monto_Base]],H1742)</f>
        <v>11850.81</v>
      </c>
      <c r="J1742" t="s">
        <v>5046</v>
      </c>
      <c r="K1742" t="s">
        <v>5048</v>
      </c>
      <c r="L1742" t="s">
        <v>5051</v>
      </c>
      <c r="M1742" t="s">
        <v>5055</v>
      </c>
    </row>
    <row r="1743" spans="1:13" x14ac:dyDescent="0.3">
      <c r="A1743" s="1">
        <v>45544</v>
      </c>
      <c r="B1743" s="1" t="str">
        <f>TEXT(Tabla1[[#This Row],[Fecha]],"MMMM")</f>
        <v>septiembre</v>
      </c>
      <c r="C1743" t="s">
        <v>1753</v>
      </c>
      <c r="D1743" t="s">
        <v>5030</v>
      </c>
      <c r="E1743" t="s">
        <v>5032</v>
      </c>
      <c r="F1743" t="s">
        <v>5041</v>
      </c>
      <c r="G1743" s="3">
        <v>11069.87</v>
      </c>
      <c r="H1743" s="3">
        <v>0</v>
      </c>
      <c r="I1743" s="3">
        <f>SUM(Tabla1[[#This Row],[Monto_Base]],H1743)</f>
        <v>11069.87</v>
      </c>
      <c r="J1743" t="s">
        <v>5046</v>
      </c>
      <c r="K1743" t="s">
        <v>5047</v>
      </c>
      <c r="L1743" t="s">
        <v>5050</v>
      </c>
      <c r="M1743" t="s">
        <v>5055</v>
      </c>
    </row>
    <row r="1744" spans="1:13" x14ac:dyDescent="0.3">
      <c r="A1744" s="1">
        <v>45587</v>
      </c>
      <c r="B1744" s="1" t="str">
        <f>TEXT(Tabla1[[#This Row],[Fecha]],"MMMM")</f>
        <v>octubre</v>
      </c>
      <c r="C1744" t="s">
        <v>1754</v>
      </c>
      <c r="D1744" t="s">
        <v>5012</v>
      </c>
      <c r="E1744" t="s">
        <v>5032</v>
      </c>
      <c r="F1744" t="s">
        <v>5038</v>
      </c>
      <c r="G1744" s="3">
        <v>12988.23</v>
      </c>
      <c r="H1744" s="3">
        <v>0</v>
      </c>
      <c r="I1744" s="3">
        <f>SUM(Tabla1[[#This Row],[Monto_Base]],H1744)</f>
        <v>12988.23</v>
      </c>
      <c r="J1744" t="s">
        <v>5043</v>
      </c>
      <c r="K1744" t="s">
        <v>5049</v>
      </c>
      <c r="L1744" t="s">
        <v>5053</v>
      </c>
      <c r="M1744" t="s">
        <v>5054</v>
      </c>
    </row>
    <row r="1745" spans="1:13" x14ac:dyDescent="0.3">
      <c r="A1745" s="1">
        <v>45381</v>
      </c>
      <c r="B1745" s="1" t="str">
        <f>TEXT(Tabla1[[#This Row],[Fecha]],"MMMM")</f>
        <v>marzo</v>
      </c>
      <c r="C1745" t="s">
        <v>1755</v>
      </c>
      <c r="D1745" t="s">
        <v>5014</v>
      </c>
      <c r="E1745" t="s">
        <v>5032</v>
      </c>
      <c r="F1745" t="s">
        <v>5035</v>
      </c>
      <c r="G1745" s="3">
        <v>2842.58</v>
      </c>
      <c r="H1745" s="3">
        <v>0</v>
      </c>
      <c r="I1745" s="3">
        <f>SUM(Tabla1[[#This Row],[Monto_Base]],H1745)</f>
        <v>2842.58</v>
      </c>
      <c r="J1745" t="s">
        <v>5043</v>
      </c>
      <c r="K1745" t="s">
        <v>5047</v>
      </c>
      <c r="L1745" t="s">
        <v>5052</v>
      </c>
      <c r="M1745" t="s">
        <v>5054</v>
      </c>
    </row>
    <row r="1746" spans="1:13" x14ac:dyDescent="0.3">
      <c r="A1746" s="1">
        <v>45401</v>
      </c>
      <c r="B1746" s="1" t="str">
        <f>TEXT(Tabla1[[#This Row],[Fecha]],"MMMM")</f>
        <v>abril</v>
      </c>
      <c r="C1746" t="s">
        <v>1756</v>
      </c>
      <c r="D1746" t="s">
        <v>5024</v>
      </c>
      <c r="E1746" t="s">
        <v>5032</v>
      </c>
      <c r="F1746" t="s">
        <v>5041</v>
      </c>
      <c r="G1746" s="3">
        <v>10795.53</v>
      </c>
      <c r="H1746" s="3">
        <v>0</v>
      </c>
      <c r="I1746" s="3">
        <f>SUM(Tabla1[[#This Row],[Monto_Base]],H1746)</f>
        <v>10795.53</v>
      </c>
      <c r="J1746" t="s">
        <v>5043</v>
      </c>
      <c r="K1746" t="s">
        <v>5049</v>
      </c>
      <c r="L1746" t="s">
        <v>5051</v>
      </c>
      <c r="M1746" t="s">
        <v>5054</v>
      </c>
    </row>
    <row r="1747" spans="1:13" x14ac:dyDescent="0.3">
      <c r="A1747" s="1">
        <v>45342</v>
      </c>
      <c r="B1747" s="1" t="str">
        <f>TEXT(Tabla1[[#This Row],[Fecha]],"MMMM")</f>
        <v>febrero</v>
      </c>
      <c r="C1747" t="s">
        <v>1757</v>
      </c>
      <c r="D1747" t="s">
        <v>5026</v>
      </c>
      <c r="E1747" t="s">
        <v>5033</v>
      </c>
      <c r="F1747" t="s">
        <v>5035</v>
      </c>
      <c r="G1747" s="3">
        <v>12194.2</v>
      </c>
      <c r="H1747" s="3">
        <v>1585.25</v>
      </c>
      <c r="I1747" s="3">
        <f>SUM(Tabla1[[#This Row],[Monto_Base]],H1747)</f>
        <v>13779.45</v>
      </c>
      <c r="J1747" t="s">
        <v>5046</v>
      </c>
      <c r="K1747" t="s">
        <v>5048</v>
      </c>
      <c r="L1747" t="s">
        <v>5050</v>
      </c>
      <c r="M1747" t="s">
        <v>5054</v>
      </c>
    </row>
    <row r="1748" spans="1:13" x14ac:dyDescent="0.3">
      <c r="A1748" s="1">
        <v>45575</v>
      </c>
      <c r="B1748" s="1" t="str">
        <f>TEXT(Tabla1[[#This Row],[Fecha]],"MMMM")</f>
        <v>octubre</v>
      </c>
      <c r="C1748" t="s">
        <v>1758</v>
      </c>
      <c r="D1748" t="s">
        <v>5026</v>
      </c>
      <c r="E1748" t="s">
        <v>5033</v>
      </c>
      <c r="F1748" t="s">
        <v>5035</v>
      </c>
      <c r="G1748" s="3">
        <v>4016.41</v>
      </c>
      <c r="H1748" s="3">
        <v>522.13</v>
      </c>
      <c r="I1748" s="3">
        <f>SUM(Tabla1[[#This Row],[Monto_Base]],H1748)</f>
        <v>4538.54</v>
      </c>
      <c r="J1748" t="s">
        <v>5043</v>
      </c>
      <c r="K1748" t="s">
        <v>5049</v>
      </c>
      <c r="L1748" t="s">
        <v>5050</v>
      </c>
      <c r="M1748" t="s">
        <v>5055</v>
      </c>
    </row>
    <row r="1749" spans="1:13" x14ac:dyDescent="0.3">
      <c r="A1749" s="1">
        <v>45618</v>
      </c>
      <c r="B1749" s="1" t="str">
        <f>TEXT(Tabla1[[#This Row],[Fecha]],"MMMM")</f>
        <v>noviembre</v>
      </c>
      <c r="C1749" t="s">
        <v>1759</v>
      </c>
      <c r="D1749" t="s">
        <v>5024</v>
      </c>
      <c r="E1749" t="s">
        <v>5032</v>
      </c>
      <c r="F1749" t="s">
        <v>5040</v>
      </c>
      <c r="G1749" s="3">
        <v>2810.61</v>
      </c>
      <c r="H1749" s="3">
        <v>0</v>
      </c>
      <c r="I1749" s="3">
        <f>SUM(Tabla1[[#This Row],[Monto_Base]],H1749)</f>
        <v>2810.61</v>
      </c>
      <c r="J1749" t="s">
        <v>5042</v>
      </c>
      <c r="K1749" t="s">
        <v>5048</v>
      </c>
      <c r="L1749" t="s">
        <v>5053</v>
      </c>
      <c r="M1749" t="s">
        <v>5054</v>
      </c>
    </row>
    <row r="1750" spans="1:13" x14ac:dyDescent="0.3">
      <c r="A1750" s="1">
        <v>45490</v>
      </c>
      <c r="B1750" s="1" t="str">
        <f>TEXT(Tabla1[[#This Row],[Fecha]],"MMMM")</f>
        <v>julio</v>
      </c>
      <c r="C1750" t="s">
        <v>1760</v>
      </c>
      <c r="D1750" t="s">
        <v>5012</v>
      </c>
      <c r="E1750" t="s">
        <v>5032</v>
      </c>
      <c r="F1750" t="s">
        <v>5038</v>
      </c>
      <c r="G1750" s="3">
        <v>3582.5</v>
      </c>
      <c r="H1750" s="3">
        <v>0</v>
      </c>
      <c r="I1750" s="3">
        <f>SUM(Tabla1[[#This Row],[Monto_Base]],H1750)</f>
        <v>3582.5</v>
      </c>
      <c r="J1750" t="s">
        <v>5045</v>
      </c>
      <c r="K1750" t="s">
        <v>5049</v>
      </c>
      <c r="L1750" t="s">
        <v>5051</v>
      </c>
      <c r="M1750" t="s">
        <v>5054</v>
      </c>
    </row>
    <row r="1751" spans="1:13" x14ac:dyDescent="0.3">
      <c r="A1751" s="1">
        <v>45584</v>
      </c>
      <c r="B1751" s="1" t="str">
        <f>TEXT(Tabla1[[#This Row],[Fecha]],"MMMM")</f>
        <v>octubre</v>
      </c>
      <c r="C1751" t="s">
        <v>1761</v>
      </c>
      <c r="D1751" t="s">
        <v>5030</v>
      </c>
      <c r="E1751" t="s">
        <v>5032</v>
      </c>
      <c r="F1751" t="s">
        <v>5039</v>
      </c>
      <c r="G1751" s="3">
        <v>14313.71</v>
      </c>
      <c r="H1751" s="3">
        <v>0</v>
      </c>
      <c r="I1751" s="3">
        <f>SUM(Tabla1[[#This Row],[Monto_Base]],H1751)</f>
        <v>14313.71</v>
      </c>
      <c r="J1751" t="s">
        <v>5045</v>
      </c>
      <c r="K1751" t="s">
        <v>5047</v>
      </c>
      <c r="L1751" t="s">
        <v>5052</v>
      </c>
      <c r="M1751" t="s">
        <v>5054</v>
      </c>
    </row>
    <row r="1752" spans="1:13" x14ac:dyDescent="0.3">
      <c r="A1752" s="1">
        <v>45433</v>
      </c>
      <c r="B1752" s="1" t="str">
        <f>TEXT(Tabla1[[#This Row],[Fecha]],"MMMM")</f>
        <v>mayo</v>
      </c>
      <c r="C1752" t="s">
        <v>1762</v>
      </c>
      <c r="D1752" t="s">
        <v>5022</v>
      </c>
      <c r="E1752" t="s">
        <v>5033</v>
      </c>
      <c r="F1752" t="s">
        <v>5038</v>
      </c>
      <c r="G1752" s="3">
        <v>3022.65</v>
      </c>
      <c r="H1752" s="3">
        <v>392.94</v>
      </c>
      <c r="I1752" s="3">
        <f>SUM(Tabla1[[#This Row],[Monto_Base]],H1752)</f>
        <v>3415.59</v>
      </c>
      <c r="J1752" t="s">
        <v>5042</v>
      </c>
      <c r="K1752" t="s">
        <v>5047</v>
      </c>
      <c r="L1752" t="s">
        <v>5053</v>
      </c>
      <c r="M1752" t="s">
        <v>5054</v>
      </c>
    </row>
    <row r="1753" spans="1:13" x14ac:dyDescent="0.3">
      <c r="A1753" s="1">
        <v>45643</v>
      </c>
      <c r="B1753" s="1" t="str">
        <f>TEXT(Tabla1[[#This Row],[Fecha]],"MMMM")</f>
        <v>diciembre</v>
      </c>
      <c r="C1753" t="s">
        <v>1763</v>
      </c>
      <c r="D1753" t="s">
        <v>5031</v>
      </c>
      <c r="E1753" t="s">
        <v>5032</v>
      </c>
      <c r="F1753" t="s">
        <v>5041</v>
      </c>
      <c r="G1753" s="3">
        <v>1285.58</v>
      </c>
      <c r="H1753" s="3">
        <v>0</v>
      </c>
      <c r="I1753" s="3">
        <f>SUM(Tabla1[[#This Row],[Monto_Base]],H1753)</f>
        <v>1285.58</v>
      </c>
      <c r="J1753" t="s">
        <v>5042</v>
      </c>
      <c r="K1753" t="s">
        <v>5048</v>
      </c>
      <c r="L1753" t="s">
        <v>5053</v>
      </c>
      <c r="M1753" t="s">
        <v>5054</v>
      </c>
    </row>
    <row r="1754" spans="1:13" x14ac:dyDescent="0.3">
      <c r="A1754" s="1">
        <v>45351</v>
      </c>
      <c r="B1754" s="1" t="str">
        <f>TEXT(Tabla1[[#This Row],[Fecha]],"MMMM")</f>
        <v>febrero</v>
      </c>
      <c r="C1754" t="s">
        <v>1764</v>
      </c>
      <c r="D1754" t="s">
        <v>5027</v>
      </c>
      <c r="E1754" t="s">
        <v>5033</v>
      </c>
      <c r="F1754" t="s">
        <v>5039</v>
      </c>
      <c r="G1754" s="3">
        <v>10989.74</v>
      </c>
      <c r="H1754" s="3">
        <v>1428.67</v>
      </c>
      <c r="I1754" s="3">
        <f>SUM(Tabla1[[#This Row],[Monto_Base]],H1754)</f>
        <v>12418.41</v>
      </c>
      <c r="J1754" t="s">
        <v>5046</v>
      </c>
      <c r="K1754" t="s">
        <v>5047</v>
      </c>
      <c r="L1754" t="s">
        <v>5053</v>
      </c>
      <c r="M1754" t="s">
        <v>5055</v>
      </c>
    </row>
    <row r="1755" spans="1:13" x14ac:dyDescent="0.3">
      <c r="A1755" s="1">
        <v>45636</v>
      </c>
      <c r="B1755" s="1" t="str">
        <f>TEXT(Tabla1[[#This Row],[Fecha]],"MMMM")</f>
        <v>diciembre</v>
      </c>
      <c r="C1755" t="s">
        <v>1765</v>
      </c>
      <c r="D1755" t="s">
        <v>5025</v>
      </c>
      <c r="E1755" t="s">
        <v>5033</v>
      </c>
      <c r="F1755" t="s">
        <v>5035</v>
      </c>
      <c r="G1755" s="3">
        <v>1771.73</v>
      </c>
      <c r="H1755" s="3">
        <v>230.32</v>
      </c>
      <c r="I1755" s="3">
        <f>SUM(Tabla1[[#This Row],[Monto_Base]],H1755)</f>
        <v>2002.05</v>
      </c>
      <c r="J1755" t="s">
        <v>5045</v>
      </c>
      <c r="K1755" t="s">
        <v>5047</v>
      </c>
      <c r="L1755" t="s">
        <v>5053</v>
      </c>
      <c r="M1755" t="s">
        <v>5055</v>
      </c>
    </row>
    <row r="1756" spans="1:13" x14ac:dyDescent="0.3">
      <c r="A1756" s="1">
        <v>45608</v>
      </c>
      <c r="B1756" s="1" t="str">
        <f>TEXT(Tabla1[[#This Row],[Fecha]],"MMMM")</f>
        <v>noviembre</v>
      </c>
      <c r="C1756" t="s">
        <v>1766</v>
      </c>
      <c r="D1756" t="s">
        <v>5030</v>
      </c>
      <c r="E1756" t="s">
        <v>5033</v>
      </c>
      <c r="F1756" t="s">
        <v>5039</v>
      </c>
      <c r="G1756" s="3">
        <v>675.67</v>
      </c>
      <c r="H1756" s="3">
        <v>87.84</v>
      </c>
      <c r="I1756" s="3">
        <f>SUM(Tabla1[[#This Row],[Monto_Base]],H1756)</f>
        <v>763.51</v>
      </c>
      <c r="J1756" t="s">
        <v>5045</v>
      </c>
      <c r="K1756" t="s">
        <v>5048</v>
      </c>
      <c r="L1756" t="s">
        <v>5052</v>
      </c>
      <c r="M1756" t="s">
        <v>5055</v>
      </c>
    </row>
    <row r="1757" spans="1:13" x14ac:dyDescent="0.3">
      <c r="A1757" s="1">
        <v>45584</v>
      </c>
      <c r="B1757" s="1" t="str">
        <f>TEXT(Tabla1[[#This Row],[Fecha]],"MMMM")</f>
        <v>octubre</v>
      </c>
      <c r="C1757" t="s">
        <v>1767</v>
      </c>
      <c r="D1757" t="s">
        <v>5024</v>
      </c>
      <c r="E1757" t="s">
        <v>5033</v>
      </c>
      <c r="F1757" t="s">
        <v>5034</v>
      </c>
      <c r="G1757" s="3">
        <v>603.49</v>
      </c>
      <c r="H1757" s="3">
        <v>78.45</v>
      </c>
      <c r="I1757" s="3">
        <f>SUM(Tabla1[[#This Row],[Monto_Base]],H1757)</f>
        <v>681.94</v>
      </c>
      <c r="J1757" t="s">
        <v>5046</v>
      </c>
      <c r="K1757" t="s">
        <v>5048</v>
      </c>
      <c r="L1757" t="s">
        <v>5050</v>
      </c>
      <c r="M1757" t="s">
        <v>5055</v>
      </c>
    </row>
    <row r="1758" spans="1:13" x14ac:dyDescent="0.3">
      <c r="A1758" s="1">
        <v>45632</v>
      </c>
      <c r="B1758" s="1" t="str">
        <f>TEXT(Tabla1[[#This Row],[Fecha]],"MMMM")</f>
        <v>diciembre</v>
      </c>
      <c r="C1758" t="s">
        <v>1768</v>
      </c>
      <c r="D1758" t="s">
        <v>5023</v>
      </c>
      <c r="E1758" t="s">
        <v>5033</v>
      </c>
      <c r="F1758" t="s">
        <v>5039</v>
      </c>
      <c r="G1758" s="3">
        <v>6857.38</v>
      </c>
      <c r="H1758" s="3">
        <v>891.46</v>
      </c>
      <c r="I1758" s="3">
        <f>SUM(Tabla1[[#This Row],[Monto_Base]],H1758)</f>
        <v>7748.84</v>
      </c>
      <c r="J1758" t="s">
        <v>5044</v>
      </c>
      <c r="K1758" t="s">
        <v>5049</v>
      </c>
      <c r="L1758" t="s">
        <v>5053</v>
      </c>
      <c r="M1758" t="s">
        <v>5054</v>
      </c>
    </row>
    <row r="1759" spans="1:13" x14ac:dyDescent="0.3">
      <c r="A1759" s="1">
        <v>45577</v>
      </c>
      <c r="B1759" s="1" t="str">
        <f>TEXT(Tabla1[[#This Row],[Fecha]],"MMMM")</f>
        <v>octubre</v>
      </c>
      <c r="C1759" t="s">
        <v>1769</v>
      </c>
      <c r="D1759" t="s">
        <v>5028</v>
      </c>
      <c r="E1759" t="s">
        <v>5033</v>
      </c>
      <c r="F1759" t="s">
        <v>5036</v>
      </c>
      <c r="G1759" s="3">
        <v>4302.53</v>
      </c>
      <c r="H1759" s="3">
        <v>559.33000000000004</v>
      </c>
      <c r="I1759" s="3">
        <f>SUM(Tabla1[[#This Row],[Monto_Base]],H1759)</f>
        <v>4861.8599999999997</v>
      </c>
      <c r="J1759" t="s">
        <v>5043</v>
      </c>
      <c r="K1759" t="s">
        <v>5049</v>
      </c>
      <c r="L1759" t="s">
        <v>5052</v>
      </c>
      <c r="M1759" t="s">
        <v>5055</v>
      </c>
    </row>
    <row r="1760" spans="1:13" x14ac:dyDescent="0.3">
      <c r="A1760" s="1">
        <v>45438</v>
      </c>
      <c r="B1760" s="1" t="str">
        <f>TEXT(Tabla1[[#This Row],[Fecha]],"MMMM")</f>
        <v>mayo</v>
      </c>
      <c r="C1760" t="s">
        <v>1770</v>
      </c>
      <c r="D1760" t="s">
        <v>5031</v>
      </c>
      <c r="E1760" t="s">
        <v>5032</v>
      </c>
      <c r="F1760" t="s">
        <v>5039</v>
      </c>
      <c r="G1760" s="3">
        <v>2294.41</v>
      </c>
      <c r="H1760" s="3">
        <v>0</v>
      </c>
      <c r="I1760" s="3">
        <f>SUM(Tabla1[[#This Row],[Monto_Base]],H1760)</f>
        <v>2294.41</v>
      </c>
      <c r="J1760" t="s">
        <v>5043</v>
      </c>
      <c r="K1760" t="s">
        <v>5047</v>
      </c>
      <c r="L1760" t="s">
        <v>5053</v>
      </c>
      <c r="M1760" t="s">
        <v>5054</v>
      </c>
    </row>
    <row r="1761" spans="1:13" x14ac:dyDescent="0.3">
      <c r="A1761" s="1">
        <v>45627</v>
      </c>
      <c r="B1761" s="1" t="str">
        <f>TEXT(Tabla1[[#This Row],[Fecha]],"MMMM")</f>
        <v>diciembre</v>
      </c>
      <c r="C1761" t="s">
        <v>1771</v>
      </c>
      <c r="D1761" t="s">
        <v>5020</v>
      </c>
      <c r="E1761" t="s">
        <v>5032</v>
      </c>
      <c r="F1761" t="s">
        <v>5036</v>
      </c>
      <c r="G1761" s="3">
        <v>12166.45</v>
      </c>
      <c r="H1761" s="3">
        <v>0</v>
      </c>
      <c r="I1761" s="3">
        <f>SUM(Tabla1[[#This Row],[Monto_Base]],H1761)</f>
        <v>12166.45</v>
      </c>
      <c r="J1761" t="s">
        <v>5045</v>
      </c>
      <c r="K1761" t="s">
        <v>5047</v>
      </c>
      <c r="L1761" t="s">
        <v>5051</v>
      </c>
      <c r="M1761" t="s">
        <v>5054</v>
      </c>
    </row>
    <row r="1762" spans="1:13" x14ac:dyDescent="0.3">
      <c r="A1762" s="1">
        <v>45352</v>
      </c>
      <c r="B1762" s="1" t="str">
        <f>TEXT(Tabla1[[#This Row],[Fecha]],"MMMM")</f>
        <v>marzo</v>
      </c>
      <c r="C1762" t="s">
        <v>1772</v>
      </c>
      <c r="D1762" t="s">
        <v>5022</v>
      </c>
      <c r="E1762" t="s">
        <v>5033</v>
      </c>
      <c r="F1762" t="s">
        <v>5034</v>
      </c>
      <c r="G1762" s="3">
        <v>14534.84</v>
      </c>
      <c r="H1762" s="3">
        <v>1889.53</v>
      </c>
      <c r="I1762" s="3">
        <f>SUM(Tabla1[[#This Row],[Monto_Base]],H1762)</f>
        <v>16424.37</v>
      </c>
      <c r="J1762" t="s">
        <v>5046</v>
      </c>
      <c r="K1762" t="s">
        <v>5048</v>
      </c>
      <c r="L1762" t="s">
        <v>5052</v>
      </c>
      <c r="M1762" t="s">
        <v>5055</v>
      </c>
    </row>
    <row r="1763" spans="1:13" x14ac:dyDescent="0.3">
      <c r="A1763" s="1">
        <v>45358</v>
      </c>
      <c r="B1763" s="1" t="str">
        <f>TEXT(Tabla1[[#This Row],[Fecha]],"MMMM")</f>
        <v>marzo</v>
      </c>
      <c r="C1763" t="s">
        <v>1773</v>
      </c>
      <c r="D1763" t="s">
        <v>5016</v>
      </c>
      <c r="E1763" t="s">
        <v>5032</v>
      </c>
      <c r="F1763" t="s">
        <v>5040</v>
      </c>
      <c r="G1763" s="3">
        <v>5841.16</v>
      </c>
      <c r="H1763" s="3">
        <v>0</v>
      </c>
      <c r="I1763" s="3">
        <f>SUM(Tabla1[[#This Row],[Monto_Base]],H1763)</f>
        <v>5841.16</v>
      </c>
      <c r="J1763" t="s">
        <v>5046</v>
      </c>
      <c r="K1763" t="s">
        <v>5047</v>
      </c>
      <c r="L1763" t="s">
        <v>5051</v>
      </c>
      <c r="M1763" t="s">
        <v>5054</v>
      </c>
    </row>
    <row r="1764" spans="1:13" x14ac:dyDescent="0.3">
      <c r="A1764" s="1">
        <v>45508</v>
      </c>
      <c r="B1764" s="1" t="str">
        <f>TEXT(Tabla1[[#This Row],[Fecha]],"MMMM")</f>
        <v>agosto</v>
      </c>
      <c r="C1764" t="s">
        <v>1774</v>
      </c>
      <c r="D1764" t="s">
        <v>5012</v>
      </c>
      <c r="E1764" t="s">
        <v>5033</v>
      </c>
      <c r="F1764" t="s">
        <v>5041</v>
      </c>
      <c r="G1764" s="3">
        <v>13956.27</v>
      </c>
      <c r="H1764" s="3">
        <v>1814.32</v>
      </c>
      <c r="I1764" s="3">
        <f>SUM(Tabla1[[#This Row],[Monto_Base]],H1764)</f>
        <v>15770.59</v>
      </c>
      <c r="J1764" t="s">
        <v>5045</v>
      </c>
      <c r="K1764" t="s">
        <v>5048</v>
      </c>
      <c r="L1764" t="s">
        <v>5052</v>
      </c>
      <c r="M1764" t="s">
        <v>5055</v>
      </c>
    </row>
    <row r="1765" spans="1:13" x14ac:dyDescent="0.3">
      <c r="A1765" s="1">
        <v>45598</v>
      </c>
      <c r="B1765" s="1" t="str">
        <f>TEXT(Tabla1[[#This Row],[Fecha]],"MMMM")</f>
        <v>noviembre</v>
      </c>
      <c r="C1765" t="s">
        <v>1775</v>
      </c>
      <c r="D1765" t="s">
        <v>5023</v>
      </c>
      <c r="E1765" t="s">
        <v>5032</v>
      </c>
      <c r="F1765" t="s">
        <v>5038</v>
      </c>
      <c r="G1765" s="3">
        <v>951.62</v>
      </c>
      <c r="H1765" s="3">
        <v>0</v>
      </c>
      <c r="I1765" s="3">
        <f>SUM(Tabla1[[#This Row],[Monto_Base]],H1765)</f>
        <v>951.62</v>
      </c>
      <c r="J1765" t="s">
        <v>5042</v>
      </c>
      <c r="K1765" t="s">
        <v>5047</v>
      </c>
      <c r="L1765" t="s">
        <v>5050</v>
      </c>
      <c r="M1765" t="s">
        <v>5054</v>
      </c>
    </row>
    <row r="1766" spans="1:13" x14ac:dyDescent="0.3">
      <c r="A1766" s="1">
        <v>45356</v>
      </c>
      <c r="B1766" s="1" t="str">
        <f>TEXT(Tabla1[[#This Row],[Fecha]],"MMMM")</f>
        <v>marzo</v>
      </c>
      <c r="C1766" t="s">
        <v>1776</v>
      </c>
      <c r="D1766" t="s">
        <v>5019</v>
      </c>
      <c r="E1766" t="s">
        <v>5033</v>
      </c>
      <c r="F1766" t="s">
        <v>5037</v>
      </c>
      <c r="G1766" s="3">
        <v>3461.61</v>
      </c>
      <c r="H1766" s="3">
        <v>450.01</v>
      </c>
      <c r="I1766" s="3">
        <f>SUM(Tabla1[[#This Row],[Monto_Base]],H1766)</f>
        <v>3911.62</v>
      </c>
      <c r="J1766" t="s">
        <v>5044</v>
      </c>
      <c r="K1766" t="s">
        <v>5049</v>
      </c>
      <c r="L1766" t="s">
        <v>5053</v>
      </c>
      <c r="M1766" t="s">
        <v>5055</v>
      </c>
    </row>
    <row r="1767" spans="1:13" x14ac:dyDescent="0.3">
      <c r="A1767" s="1">
        <v>45655</v>
      </c>
      <c r="B1767" s="1" t="str">
        <f>TEXT(Tabla1[[#This Row],[Fecha]],"MMMM")</f>
        <v>diciembre</v>
      </c>
      <c r="C1767" t="s">
        <v>1777</v>
      </c>
      <c r="D1767" t="s">
        <v>5029</v>
      </c>
      <c r="E1767" t="s">
        <v>5033</v>
      </c>
      <c r="F1767" t="s">
        <v>5035</v>
      </c>
      <c r="G1767" s="3">
        <v>3366.46</v>
      </c>
      <c r="H1767" s="3">
        <v>437.64</v>
      </c>
      <c r="I1767" s="3">
        <f>SUM(Tabla1[[#This Row],[Monto_Base]],H1767)</f>
        <v>3804.1</v>
      </c>
      <c r="J1767" t="s">
        <v>5044</v>
      </c>
      <c r="K1767" t="s">
        <v>5047</v>
      </c>
      <c r="L1767" t="s">
        <v>5052</v>
      </c>
      <c r="M1767" t="s">
        <v>5054</v>
      </c>
    </row>
    <row r="1768" spans="1:13" x14ac:dyDescent="0.3">
      <c r="A1768" s="1">
        <v>45580</v>
      </c>
      <c r="B1768" s="1" t="str">
        <f>TEXT(Tabla1[[#This Row],[Fecha]],"MMMM")</f>
        <v>octubre</v>
      </c>
      <c r="C1768" t="s">
        <v>1778</v>
      </c>
      <c r="D1768" t="s">
        <v>5012</v>
      </c>
      <c r="E1768" t="s">
        <v>5032</v>
      </c>
      <c r="F1768" t="s">
        <v>5037</v>
      </c>
      <c r="G1768" s="3">
        <v>14351.01</v>
      </c>
      <c r="H1768" s="3">
        <v>0</v>
      </c>
      <c r="I1768" s="3">
        <f>SUM(Tabla1[[#This Row],[Monto_Base]],H1768)</f>
        <v>14351.01</v>
      </c>
      <c r="J1768" t="s">
        <v>5043</v>
      </c>
      <c r="K1768" t="s">
        <v>5048</v>
      </c>
      <c r="L1768" t="s">
        <v>5050</v>
      </c>
      <c r="M1768" t="s">
        <v>5055</v>
      </c>
    </row>
    <row r="1769" spans="1:13" x14ac:dyDescent="0.3">
      <c r="A1769" s="1">
        <v>45509</v>
      </c>
      <c r="B1769" s="1" t="str">
        <f>TEXT(Tabla1[[#This Row],[Fecha]],"MMMM")</f>
        <v>agosto</v>
      </c>
      <c r="C1769" t="s">
        <v>1779</v>
      </c>
      <c r="D1769" t="s">
        <v>5015</v>
      </c>
      <c r="E1769" t="s">
        <v>5032</v>
      </c>
      <c r="F1769" t="s">
        <v>5040</v>
      </c>
      <c r="G1769" s="3">
        <v>5610.95</v>
      </c>
      <c r="H1769" s="3">
        <v>0</v>
      </c>
      <c r="I1769" s="3">
        <f>SUM(Tabla1[[#This Row],[Monto_Base]],H1769)</f>
        <v>5610.95</v>
      </c>
      <c r="J1769" t="s">
        <v>5046</v>
      </c>
      <c r="K1769" t="s">
        <v>5047</v>
      </c>
      <c r="L1769" t="s">
        <v>5051</v>
      </c>
      <c r="M1769" t="s">
        <v>5055</v>
      </c>
    </row>
    <row r="1770" spans="1:13" x14ac:dyDescent="0.3">
      <c r="A1770" s="1">
        <v>45348</v>
      </c>
      <c r="B1770" s="1" t="str">
        <f>TEXT(Tabla1[[#This Row],[Fecha]],"MMMM")</f>
        <v>febrero</v>
      </c>
      <c r="C1770" t="s">
        <v>1780</v>
      </c>
      <c r="D1770" t="s">
        <v>5026</v>
      </c>
      <c r="E1770" t="s">
        <v>5032</v>
      </c>
      <c r="F1770" t="s">
        <v>5041</v>
      </c>
      <c r="G1770" s="3">
        <v>6541.06</v>
      </c>
      <c r="H1770" s="3">
        <v>0</v>
      </c>
      <c r="I1770" s="3">
        <f>SUM(Tabla1[[#This Row],[Monto_Base]],H1770)</f>
        <v>6541.06</v>
      </c>
      <c r="J1770" t="s">
        <v>5045</v>
      </c>
      <c r="K1770" t="s">
        <v>5049</v>
      </c>
      <c r="L1770" t="s">
        <v>5053</v>
      </c>
      <c r="M1770" t="s">
        <v>5054</v>
      </c>
    </row>
    <row r="1771" spans="1:13" x14ac:dyDescent="0.3">
      <c r="A1771" s="1">
        <v>45503</v>
      </c>
      <c r="B1771" s="1" t="str">
        <f>TEXT(Tabla1[[#This Row],[Fecha]],"MMMM")</f>
        <v>julio</v>
      </c>
      <c r="C1771" t="s">
        <v>1781</v>
      </c>
      <c r="D1771" t="s">
        <v>5012</v>
      </c>
      <c r="E1771" t="s">
        <v>5033</v>
      </c>
      <c r="F1771" t="s">
        <v>5035</v>
      </c>
      <c r="G1771" s="3">
        <v>12101.15</v>
      </c>
      <c r="H1771" s="3">
        <v>1573.15</v>
      </c>
      <c r="I1771" s="3">
        <f>SUM(Tabla1[[#This Row],[Monto_Base]],H1771)</f>
        <v>13674.3</v>
      </c>
      <c r="J1771" t="s">
        <v>5042</v>
      </c>
      <c r="K1771" t="s">
        <v>5047</v>
      </c>
      <c r="L1771" t="s">
        <v>5053</v>
      </c>
      <c r="M1771" t="s">
        <v>5055</v>
      </c>
    </row>
    <row r="1772" spans="1:13" x14ac:dyDescent="0.3">
      <c r="A1772" s="1">
        <v>45556</v>
      </c>
      <c r="B1772" s="1" t="str">
        <f>TEXT(Tabla1[[#This Row],[Fecha]],"MMMM")</f>
        <v>septiembre</v>
      </c>
      <c r="C1772" t="s">
        <v>1782</v>
      </c>
      <c r="D1772" t="s">
        <v>5029</v>
      </c>
      <c r="E1772" t="s">
        <v>5033</v>
      </c>
      <c r="F1772" t="s">
        <v>5041</v>
      </c>
      <c r="G1772" s="3">
        <v>2470.02</v>
      </c>
      <c r="H1772" s="3">
        <v>321.10000000000002</v>
      </c>
      <c r="I1772" s="3">
        <f>SUM(Tabla1[[#This Row],[Monto_Base]],H1772)</f>
        <v>2791.12</v>
      </c>
      <c r="J1772" t="s">
        <v>5045</v>
      </c>
      <c r="K1772" t="s">
        <v>5049</v>
      </c>
      <c r="L1772" t="s">
        <v>5053</v>
      </c>
      <c r="M1772" t="s">
        <v>5054</v>
      </c>
    </row>
    <row r="1773" spans="1:13" x14ac:dyDescent="0.3">
      <c r="A1773" s="1">
        <v>45347</v>
      </c>
      <c r="B1773" s="1" t="str">
        <f>TEXT(Tabla1[[#This Row],[Fecha]],"MMMM")</f>
        <v>febrero</v>
      </c>
      <c r="C1773" t="s">
        <v>1783</v>
      </c>
      <c r="D1773" t="s">
        <v>5025</v>
      </c>
      <c r="E1773" t="s">
        <v>5033</v>
      </c>
      <c r="F1773" t="s">
        <v>5039</v>
      </c>
      <c r="G1773" s="3">
        <v>8911.57</v>
      </c>
      <c r="H1773" s="3">
        <v>1158.5</v>
      </c>
      <c r="I1773" s="3">
        <f>SUM(Tabla1[[#This Row],[Monto_Base]],H1773)</f>
        <v>10070.07</v>
      </c>
      <c r="J1773" t="s">
        <v>5044</v>
      </c>
      <c r="K1773" t="s">
        <v>5049</v>
      </c>
      <c r="L1773" t="s">
        <v>5053</v>
      </c>
      <c r="M1773" t="s">
        <v>5055</v>
      </c>
    </row>
    <row r="1774" spans="1:13" x14ac:dyDescent="0.3">
      <c r="A1774" s="1">
        <v>45418</v>
      </c>
      <c r="B1774" s="1" t="str">
        <f>TEXT(Tabla1[[#This Row],[Fecha]],"MMMM")</f>
        <v>mayo</v>
      </c>
      <c r="C1774" t="s">
        <v>1784</v>
      </c>
      <c r="D1774" t="s">
        <v>5017</v>
      </c>
      <c r="E1774" t="s">
        <v>5033</v>
      </c>
      <c r="F1774" t="s">
        <v>5037</v>
      </c>
      <c r="G1774" s="3">
        <v>6821.8</v>
      </c>
      <c r="H1774" s="3">
        <v>886.83</v>
      </c>
      <c r="I1774" s="3">
        <f>SUM(Tabla1[[#This Row],[Monto_Base]],H1774)</f>
        <v>7708.63</v>
      </c>
      <c r="J1774" t="s">
        <v>5045</v>
      </c>
      <c r="K1774" t="s">
        <v>5048</v>
      </c>
      <c r="L1774" t="s">
        <v>5052</v>
      </c>
      <c r="M1774" t="s">
        <v>5055</v>
      </c>
    </row>
    <row r="1775" spans="1:13" x14ac:dyDescent="0.3">
      <c r="A1775" s="1">
        <v>45433</v>
      </c>
      <c r="B1775" s="1" t="str">
        <f>TEXT(Tabla1[[#This Row],[Fecha]],"MMMM")</f>
        <v>mayo</v>
      </c>
      <c r="C1775" t="s">
        <v>1785</v>
      </c>
      <c r="D1775" t="s">
        <v>5012</v>
      </c>
      <c r="E1775" t="s">
        <v>5032</v>
      </c>
      <c r="F1775" t="s">
        <v>5040</v>
      </c>
      <c r="G1775" s="3">
        <v>14551.04</v>
      </c>
      <c r="H1775" s="3">
        <v>0</v>
      </c>
      <c r="I1775" s="3">
        <f>SUM(Tabla1[[#This Row],[Monto_Base]],H1775)</f>
        <v>14551.04</v>
      </c>
      <c r="J1775" t="s">
        <v>5043</v>
      </c>
      <c r="K1775" t="s">
        <v>5048</v>
      </c>
      <c r="L1775" t="s">
        <v>5052</v>
      </c>
      <c r="M1775" t="s">
        <v>5055</v>
      </c>
    </row>
    <row r="1776" spans="1:13" x14ac:dyDescent="0.3">
      <c r="A1776" s="1">
        <v>45514</v>
      </c>
      <c r="B1776" s="1" t="str">
        <f>TEXT(Tabla1[[#This Row],[Fecha]],"MMMM")</f>
        <v>agosto</v>
      </c>
      <c r="C1776" t="s">
        <v>1786</v>
      </c>
      <c r="D1776" t="s">
        <v>5013</v>
      </c>
      <c r="E1776" t="s">
        <v>5033</v>
      </c>
      <c r="F1776" t="s">
        <v>5035</v>
      </c>
      <c r="G1776" s="3">
        <v>310.57</v>
      </c>
      <c r="H1776" s="3">
        <v>40.369999999999997</v>
      </c>
      <c r="I1776" s="3">
        <f>SUM(Tabla1[[#This Row],[Monto_Base]],H1776)</f>
        <v>350.94</v>
      </c>
      <c r="J1776" t="s">
        <v>5046</v>
      </c>
      <c r="K1776" t="s">
        <v>5048</v>
      </c>
      <c r="L1776" t="s">
        <v>5051</v>
      </c>
      <c r="M1776" t="s">
        <v>5055</v>
      </c>
    </row>
    <row r="1777" spans="1:13" x14ac:dyDescent="0.3">
      <c r="A1777" s="1">
        <v>45353</v>
      </c>
      <c r="B1777" s="1" t="str">
        <f>TEXT(Tabla1[[#This Row],[Fecha]],"MMMM")</f>
        <v>marzo</v>
      </c>
      <c r="C1777" t="s">
        <v>1787</v>
      </c>
      <c r="D1777" t="s">
        <v>5019</v>
      </c>
      <c r="E1777" t="s">
        <v>5032</v>
      </c>
      <c r="F1777" t="s">
        <v>5041</v>
      </c>
      <c r="G1777" s="3">
        <v>493.78</v>
      </c>
      <c r="H1777" s="3">
        <v>0</v>
      </c>
      <c r="I1777" s="3">
        <f>SUM(Tabla1[[#This Row],[Monto_Base]],H1777)</f>
        <v>493.78</v>
      </c>
      <c r="J1777" t="s">
        <v>5042</v>
      </c>
      <c r="K1777" t="s">
        <v>5047</v>
      </c>
      <c r="L1777" t="s">
        <v>5051</v>
      </c>
      <c r="M1777" t="s">
        <v>5054</v>
      </c>
    </row>
    <row r="1778" spans="1:13" x14ac:dyDescent="0.3">
      <c r="A1778" s="1">
        <v>45517</v>
      </c>
      <c r="B1778" s="1" t="str">
        <f>TEXT(Tabla1[[#This Row],[Fecha]],"MMMM")</f>
        <v>agosto</v>
      </c>
      <c r="C1778" t="s">
        <v>1788</v>
      </c>
      <c r="D1778" t="s">
        <v>5031</v>
      </c>
      <c r="E1778" t="s">
        <v>5032</v>
      </c>
      <c r="F1778" t="s">
        <v>5039</v>
      </c>
      <c r="G1778" s="3">
        <v>12347.65</v>
      </c>
      <c r="H1778" s="3">
        <v>0</v>
      </c>
      <c r="I1778" s="3">
        <f>SUM(Tabla1[[#This Row],[Monto_Base]],H1778)</f>
        <v>12347.65</v>
      </c>
      <c r="J1778" t="s">
        <v>5044</v>
      </c>
      <c r="K1778" t="s">
        <v>5048</v>
      </c>
      <c r="L1778" t="s">
        <v>5050</v>
      </c>
      <c r="M1778" t="s">
        <v>5055</v>
      </c>
    </row>
    <row r="1779" spans="1:13" x14ac:dyDescent="0.3">
      <c r="A1779" s="1">
        <v>45362</v>
      </c>
      <c r="B1779" s="1" t="str">
        <f>TEXT(Tabla1[[#This Row],[Fecha]],"MMMM")</f>
        <v>marzo</v>
      </c>
      <c r="C1779" t="s">
        <v>1789</v>
      </c>
      <c r="D1779" t="s">
        <v>5013</v>
      </c>
      <c r="E1779" t="s">
        <v>5032</v>
      </c>
      <c r="F1779" t="s">
        <v>5036</v>
      </c>
      <c r="G1779" s="3">
        <v>7893.01</v>
      </c>
      <c r="H1779" s="3">
        <v>0</v>
      </c>
      <c r="I1779" s="3">
        <f>SUM(Tabla1[[#This Row],[Monto_Base]],H1779)</f>
        <v>7893.01</v>
      </c>
      <c r="J1779" t="s">
        <v>5043</v>
      </c>
      <c r="K1779" t="s">
        <v>5047</v>
      </c>
      <c r="L1779" t="s">
        <v>5053</v>
      </c>
      <c r="M1779" t="s">
        <v>5054</v>
      </c>
    </row>
    <row r="1780" spans="1:13" x14ac:dyDescent="0.3">
      <c r="A1780" s="1">
        <v>45461</v>
      </c>
      <c r="B1780" s="1" t="str">
        <f>TEXT(Tabla1[[#This Row],[Fecha]],"MMMM")</f>
        <v>junio</v>
      </c>
      <c r="C1780" t="s">
        <v>1790</v>
      </c>
      <c r="D1780" t="s">
        <v>5019</v>
      </c>
      <c r="E1780" t="s">
        <v>5032</v>
      </c>
      <c r="F1780" t="s">
        <v>5037</v>
      </c>
      <c r="G1780" s="3">
        <v>1547.5</v>
      </c>
      <c r="H1780" s="3">
        <v>0</v>
      </c>
      <c r="I1780" s="3">
        <f>SUM(Tabla1[[#This Row],[Monto_Base]],H1780)</f>
        <v>1547.5</v>
      </c>
      <c r="J1780" t="s">
        <v>5042</v>
      </c>
      <c r="K1780" t="s">
        <v>5047</v>
      </c>
      <c r="L1780" t="s">
        <v>5053</v>
      </c>
      <c r="M1780" t="s">
        <v>5054</v>
      </c>
    </row>
    <row r="1781" spans="1:13" x14ac:dyDescent="0.3">
      <c r="A1781" s="1">
        <v>45421</v>
      </c>
      <c r="B1781" s="1" t="str">
        <f>TEXT(Tabla1[[#This Row],[Fecha]],"MMMM")</f>
        <v>mayo</v>
      </c>
      <c r="C1781" t="s">
        <v>1791</v>
      </c>
      <c r="D1781" t="s">
        <v>5018</v>
      </c>
      <c r="E1781" t="s">
        <v>5032</v>
      </c>
      <c r="F1781" t="s">
        <v>5041</v>
      </c>
      <c r="G1781" s="3">
        <v>1908.64</v>
      </c>
      <c r="H1781" s="3">
        <v>0</v>
      </c>
      <c r="I1781" s="3">
        <f>SUM(Tabla1[[#This Row],[Monto_Base]],H1781)</f>
        <v>1908.64</v>
      </c>
      <c r="J1781" t="s">
        <v>5045</v>
      </c>
      <c r="K1781" t="s">
        <v>5047</v>
      </c>
      <c r="L1781" t="s">
        <v>5051</v>
      </c>
      <c r="M1781" t="s">
        <v>5054</v>
      </c>
    </row>
    <row r="1782" spans="1:13" x14ac:dyDescent="0.3">
      <c r="A1782" s="1">
        <v>45633</v>
      </c>
      <c r="B1782" s="1" t="str">
        <f>TEXT(Tabla1[[#This Row],[Fecha]],"MMMM")</f>
        <v>diciembre</v>
      </c>
      <c r="C1782" t="s">
        <v>1792</v>
      </c>
      <c r="D1782" t="s">
        <v>5031</v>
      </c>
      <c r="E1782" t="s">
        <v>5032</v>
      </c>
      <c r="F1782" t="s">
        <v>5035</v>
      </c>
      <c r="G1782" s="3">
        <v>4759.95</v>
      </c>
      <c r="H1782" s="3">
        <v>0</v>
      </c>
      <c r="I1782" s="3">
        <f>SUM(Tabla1[[#This Row],[Monto_Base]],H1782)</f>
        <v>4759.95</v>
      </c>
      <c r="J1782" t="s">
        <v>5045</v>
      </c>
      <c r="K1782" t="s">
        <v>5048</v>
      </c>
      <c r="L1782" t="s">
        <v>5052</v>
      </c>
      <c r="M1782" t="s">
        <v>5054</v>
      </c>
    </row>
    <row r="1783" spans="1:13" x14ac:dyDescent="0.3">
      <c r="A1783" s="1">
        <v>45598</v>
      </c>
      <c r="B1783" s="1" t="str">
        <f>TEXT(Tabla1[[#This Row],[Fecha]],"MMMM")</f>
        <v>noviembre</v>
      </c>
      <c r="C1783" t="s">
        <v>1793</v>
      </c>
      <c r="D1783" t="s">
        <v>5014</v>
      </c>
      <c r="E1783" t="s">
        <v>5033</v>
      </c>
      <c r="F1783" t="s">
        <v>5038</v>
      </c>
      <c r="G1783" s="3">
        <v>9716.43</v>
      </c>
      <c r="H1783" s="3">
        <v>1263.1400000000001</v>
      </c>
      <c r="I1783" s="3">
        <f>SUM(Tabla1[[#This Row],[Monto_Base]],H1783)</f>
        <v>10979.57</v>
      </c>
      <c r="J1783" t="s">
        <v>5043</v>
      </c>
      <c r="K1783" t="s">
        <v>5048</v>
      </c>
      <c r="L1783" t="s">
        <v>5050</v>
      </c>
      <c r="M1783" t="s">
        <v>5054</v>
      </c>
    </row>
    <row r="1784" spans="1:13" x14ac:dyDescent="0.3">
      <c r="A1784" s="1">
        <v>45504</v>
      </c>
      <c r="B1784" s="1" t="str">
        <f>TEXT(Tabla1[[#This Row],[Fecha]],"MMMM")</f>
        <v>julio</v>
      </c>
      <c r="C1784" t="s">
        <v>1794</v>
      </c>
      <c r="D1784" t="s">
        <v>5017</v>
      </c>
      <c r="E1784" t="s">
        <v>5032</v>
      </c>
      <c r="F1784" t="s">
        <v>5041</v>
      </c>
      <c r="G1784" s="3">
        <v>10293.08</v>
      </c>
      <c r="H1784" s="3">
        <v>0</v>
      </c>
      <c r="I1784" s="3">
        <f>SUM(Tabla1[[#This Row],[Monto_Base]],H1784)</f>
        <v>10293.08</v>
      </c>
      <c r="J1784" t="s">
        <v>5043</v>
      </c>
      <c r="K1784" t="s">
        <v>5049</v>
      </c>
      <c r="L1784" t="s">
        <v>5051</v>
      </c>
      <c r="M1784" t="s">
        <v>5054</v>
      </c>
    </row>
    <row r="1785" spans="1:13" x14ac:dyDescent="0.3">
      <c r="A1785" s="1">
        <v>45438</v>
      </c>
      <c r="B1785" s="1" t="str">
        <f>TEXT(Tabla1[[#This Row],[Fecha]],"MMMM")</f>
        <v>mayo</v>
      </c>
      <c r="C1785" t="s">
        <v>1795</v>
      </c>
      <c r="D1785" t="s">
        <v>5019</v>
      </c>
      <c r="E1785" t="s">
        <v>5033</v>
      </c>
      <c r="F1785" t="s">
        <v>5039</v>
      </c>
      <c r="G1785" s="3">
        <v>3283.44</v>
      </c>
      <c r="H1785" s="3">
        <v>426.85</v>
      </c>
      <c r="I1785" s="3">
        <f>SUM(Tabla1[[#This Row],[Monto_Base]],H1785)</f>
        <v>3710.29</v>
      </c>
      <c r="J1785" t="s">
        <v>5045</v>
      </c>
      <c r="K1785" t="s">
        <v>5048</v>
      </c>
      <c r="L1785" t="s">
        <v>5050</v>
      </c>
      <c r="M1785" t="s">
        <v>5055</v>
      </c>
    </row>
    <row r="1786" spans="1:13" x14ac:dyDescent="0.3">
      <c r="A1786" s="1">
        <v>45399</v>
      </c>
      <c r="B1786" s="1" t="str">
        <f>TEXT(Tabla1[[#This Row],[Fecha]],"MMMM")</f>
        <v>abril</v>
      </c>
      <c r="C1786" t="s">
        <v>1796</v>
      </c>
      <c r="D1786" t="s">
        <v>5017</v>
      </c>
      <c r="E1786" t="s">
        <v>5033</v>
      </c>
      <c r="F1786" t="s">
        <v>5040</v>
      </c>
      <c r="G1786" s="3">
        <v>6581.56</v>
      </c>
      <c r="H1786" s="3">
        <v>855.6</v>
      </c>
      <c r="I1786" s="3">
        <f>SUM(Tabla1[[#This Row],[Monto_Base]],H1786)</f>
        <v>7437.1600000000008</v>
      </c>
      <c r="J1786" t="s">
        <v>5042</v>
      </c>
      <c r="K1786" t="s">
        <v>5049</v>
      </c>
      <c r="L1786" t="s">
        <v>5051</v>
      </c>
      <c r="M1786" t="s">
        <v>5054</v>
      </c>
    </row>
    <row r="1787" spans="1:13" x14ac:dyDescent="0.3">
      <c r="A1787" s="1">
        <v>45512</v>
      </c>
      <c r="B1787" s="1" t="str">
        <f>TEXT(Tabla1[[#This Row],[Fecha]],"MMMM")</f>
        <v>agosto</v>
      </c>
      <c r="C1787" t="s">
        <v>1797</v>
      </c>
      <c r="D1787" t="s">
        <v>5022</v>
      </c>
      <c r="E1787" t="s">
        <v>5033</v>
      </c>
      <c r="F1787" t="s">
        <v>5038</v>
      </c>
      <c r="G1787" s="3">
        <v>2518.88</v>
      </c>
      <c r="H1787" s="3">
        <v>327.45</v>
      </c>
      <c r="I1787" s="3">
        <f>SUM(Tabla1[[#This Row],[Monto_Base]],H1787)</f>
        <v>2846.33</v>
      </c>
      <c r="J1787" t="s">
        <v>5046</v>
      </c>
      <c r="K1787" t="s">
        <v>5047</v>
      </c>
      <c r="L1787" t="s">
        <v>5052</v>
      </c>
      <c r="M1787" t="s">
        <v>5055</v>
      </c>
    </row>
    <row r="1788" spans="1:13" x14ac:dyDescent="0.3">
      <c r="A1788" s="1">
        <v>45502</v>
      </c>
      <c r="B1788" s="1" t="str">
        <f>TEXT(Tabla1[[#This Row],[Fecha]],"MMMM")</f>
        <v>julio</v>
      </c>
      <c r="C1788" t="s">
        <v>1798</v>
      </c>
      <c r="D1788" t="s">
        <v>5023</v>
      </c>
      <c r="E1788" t="s">
        <v>5032</v>
      </c>
      <c r="F1788" t="s">
        <v>5039</v>
      </c>
      <c r="G1788" s="3">
        <v>1630.08</v>
      </c>
      <c r="H1788" s="3">
        <v>0</v>
      </c>
      <c r="I1788" s="3">
        <f>SUM(Tabla1[[#This Row],[Monto_Base]],H1788)</f>
        <v>1630.08</v>
      </c>
      <c r="J1788" t="s">
        <v>5045</v>
      </c>
      <c r="K1788" t="s">
        <v>5047</v>
      </c>
      <c r="L1788" t="s">
        <v>5053</v>
      </c>
      <c r="M1788" t="s">
        <v>5055</v>
      </c>
    </row>
    <row r="1789" spans="1:13" x14ac:dyDescent="0.3">
      <c r="A1789" s="1">
        <v>45651</v>
      </c>
      <c r="B1789" s="1" t="str">
        <f>TEXT(Tabla1[[#This Row],[Fecha]],"MMMM")</f>
        <v>diciembre</v>
      </c>
      <c r="C1789" t="s">
        <v>1799</v>
      </c>
      <c r="D1789" t="s">
        <v>5023</v>
      </c>
      <c r="E1789" t="s">
        <v>5033</v>
      </c>
      <c r="F1789" t="s">
        <v>5034</v>
      </c>
      <c r="G1789" s="3">
        <v>5572.19</v>
      </c>
      <c r="H1789" s="3">
        <v>724.38</v>
      </c>
      <c r="I1789" s="3">
        <f>SUM(Tabla1[[#This Row],[Monto_Base]],H1789)</f>
        <v>6296.57</v>
      </c>
      <c r="J1789" t="s">
        <v>5042</v>
      </c>
      <c r="K1789" t="s">
        <v>5049</v>
      </c>
      <c r="L1789" t="s">
        <v>5050</v>
      </c>
      <c r="M1789" t="s">
        <v>5054</v>
      </c>
    </row>
    <row r="1790" spans="1:13" x14ac:dyDescent="0.3">
      <c r="A1790" s="1">
        <v>45567</v>
      </c>
      <c r="B1790" s="1" t="str">
        <f>TEXT(Tabla1[[#This Row],[Fecha]],"MMMM")</f>
        <v>octubre</v>
      </c>
      <c r="C1790" t="s">
        <v>1800</v>
      </c>
      <c r="D1790" t="s">
        <v>5013</v>
      </c>
      <c r="E1790" t="s">
        <v>5032</v>
      </c>
      <c r="F1790" t="s">
        <v>5035</v>
      </c>
      <c r="G1790" s="3">
        <v>10977.8</v>
      </c>
      <c r="H1790" s="3">
        <v>0</v>
      </c>
      <c r="I1790" s="3">
        <f>SUM(Tabla1[[#This Row],[Monto_Base]],H1790)</f>
        <v>10977.8</v>
      </c>
      <c r="J1790" t="s">
        <v>5042</v>
      </c>
      <c r="K1790" t="s">
        <v>5049</v>
      </c>
      <c r="L1790" t="s">
        <v>5051</v>
      </c>
      <c r="M1790" t="s">
        <v>5054</v>
      </c>
    </row>
    <row r="1791" spans="1:13" x14ac:dyDescent="0.3">
      <c r="A1791" s="1">
        <v>45362</v>
      </c>
      <c r="B1791" s="1" t="str">
        <f>TEXT(Tabla1[[#This Row],[Fecha]],"MMMM")</f>
        <v>marzo</v>
      </c>
      <c r="C1791" t="s">
        <v>1801</v>
      </c>
      <c r="D1791" t="s">
        <v>5023</v>
      </c>
      <c r="E1791" t="s">
        <v>5032</v>
      </c>
      <c r="F1791" t="s">
        <v>5038</v>
      </c>
      <c r="G1791" s="3">
        <v>4596.51</v>
      </c>
      <c r="H1791" s="3">
        <v>0</v>
      </c>
      <c r="I1791" s="3">
        <f>SUM(Tabla1[[#This Row],[Monto_Base]],H1791)</f>
        <v>4596.51</v>
      </c>
      <c r="J1791" t="s">
        <v>5046</v>
      </c>
      <c r="K1791" t="s">
        <v>5047</v>
      </c>
      <c r="L1791" t="s">
        <v>5050</v>
      </c>
      <c r="M1791" t="s">
        <v>5055</v>
      </c>
    </row>
    <row r="1792" spans="1:13" x14ac:dyDescent="0.3">
      <c r="A1792" s="1">
        <v>45297</v>
      </c>
      <c r="B1792" s="1" t="str">
        <f>TEXT(Tabla1[[#This Row],[Fecha]],"MMMM")</f>
        <v>enero</v>
      </c>
      <c r="C1792" t="s">
        <v>1802</v>
      </c>
      <c r="D1792" t="s">
        <v>5031</v>
      </c>
      <c r="E1792" t="s">
        <v>5032</v>
      </c>
      <c r="F1792" t="s">
        <v>5040</v>
      </c>
      <c r="G1792" s="3">
        <v>6593.13</v>
      </c>
      <c r="H1792" s="3">
        <v>0</v>
      </c>
      <c r="I1792" s="3">
        <f>SUM(Tabla1[[#This Row],[Monto_Base]],H1792)</f>
        <v>6593.13</v>
      </c>
      <c r="J1792" t="s">
        <v>5042</v>
      </c>
      <c r="K1792" t="s">
        <v>5047</v>
      </c>
      <c r="L1792" t="s">
        <v>5053</v>
      </c>
      <c r="M1792" t="s">
        <v>5054</v>
      </c>
    </row>
    <row r="1793" spans="1:13" x14ac:dyDescent="0.3">
      <c r="A1793" s="1">
        <v>45534</v>
      </c>
      <c r="B1793" s="1" t="str">
        <f>TEXT(Tabla1[[#This Row],[Fecha]],"MMMM")</f>
        <v>agosto</v>
      </c>
      <c r="C1793" t="s">
        <v>1803</v>
      </c>
      <c r="D1793" t="s">
        <v>5016</v>
      </c>
      <c r="E1793" t="s">
        <v>5033</v>
      </c>
      <c r="F1793" t="s">
        <v>5037</v>
      </c>
      <c r="G1793" s="3">
        <v>7140.9</v>
      </c>
      <c r="H1793" s="3">
        <v>928.32</v>
      </c>
      <c r="I1793" s="3">
        <f>SUM(Tabla1[[#This Row],[Monto_Base]],H1793)</f>
        <v>8069.2199999999993</v>
      </c>
      <c r="J1793" t="s">
        <v>5045</v>
      </c>
      <c r="K1793" t="s">
        <v>5047</v>
      </c>
      <c r="L1793" t="s">
        <v>5052</v>
      </c>
      <c r="M1793" t="s">
        <v>5055</v>
      </c>
    </row>
    <row r="1794" spans="1:13" x14ac:dyDescent="0.3">
      <c r="A1794" s="1">
        <v>45634</v>
      </c>
      <c r="B1794" s="1" t="str">
        <f>TEXT(Tabla1[[#This Row],[Fecha]],"MMMM")</f>
        <v>diciembre</v>
      </c>
      <c r="C1794" t="s">
        <v>1804</v>
      </c>
      <c r="D1794" t="s">
        <v>5021</v>
      </c>
      <c r="E1794" t="s">
        <v>5032</v>
      </c>
      <c r="F1794" t="s">
        <v>5036</v>
      </c>
      <c r="G1794" s="3">
        <v>11480.91</v>
      </c>
      <c r="H1794" s="3">
        <v>0</v>
      </c>
      <c r="I1794" s="3">
        <f>SUM(Tabla1[[#This Row],[Monto_Base]],H1794)</f>
        <v>11480.91</v>
      </c>
      <c r="J1794" t="s">
        <v>5045</v>
      </c>
      <c r="K1794" t="s">
        <v>5047</v>
      </c>
      <c r="L1794" t="s">
        <v>5050</v>
      </c>
      <c r="M1794" t="s">
        <v>5055</v>
      </c>
    </row>
    <row r="1795" spans="1:13" x14ac:dyDescent="0.3">
      <c r="A1795" s="1">
        <v>45492</v>
      </c>
      <c r="B1795" s="1" t="str">
        <f>TEXT(Tabla1[[#This Row],[Fecha]],"MMMM")</f>
        <v>julio</v>
      </c>
      <c r="C1795" t="s">
        <v>1805</v>
      </c>
      <c r="D1795" t="s">
        <v>5031</v>
      </c>
      <c r="E1795" t="s">
        <v>5032</v>
      </c>
      <c r="F1795" t="s">
        <v>5039</v>
      </c>
      <c r="G1795" s="3">
        <v>6977.22</v>
      </c>
      <c r="H1795" s="3">
        <v>0</v>
      </c>
      <c r="I1795" s="3">
        <f>SUM(Tabla1[[#This Row],[Monto_Base]],H1795)</f>
        <v>6977.22</v>
      </c>
      <c r="J1795" t="s">
        <v>5042</v>
      </c>
      <c r="K1795" t="s">
        <v>5049</v>
      </c>
      <c r="L1795" t="s">
        <v>5050</v>
      </c>
      <c r="M1795" t="s">
        <v>5054</v>
      </c>
    </row>
    <row r="1796" spans="1:13" x14ac:dyDescent="0.3">
      <c r="A1796" s="1">
        <v>45424</v>
      </c>
      <c r="B1796" s="1" t="str">
        <f>TEXT(Tabla1[[#This Row],[Fecha]],"MMMM")</f>
        <v>mayo</v>
      </c>
      <c r="C1796" t="s">
        <v>1806</v>
      </c>
      <c r="D1796" t="s">
        <v>5022</v>
      </c>
      <c r="E1796" t="s">
        <v>5032</v>
      </c>
      <c r="F1796" t="s">
        <v>5034</v>
      </c>
      <c r="G1796" s="3">
        <v>10715.06</v>
      </c>
      <c r="H1796" s="3">
        <v>0</v>
      </c>
      <c r="I1796" s="3">
        <f>SUM(Tabla1[[#This Row],[Monto_Base]],H1796)</f>
        <v>10715.06</v>
      </c>
      <c r="J1796" t="s">
        <v>5045</v>
      </c>
      <c r="K1796" t="s">
        <v>5049</v>
      </c>
      <c r="L1796" t="s">
        <v>5050</v>
      </c>
      <c r="M1796" t="s">
        <v>5054</v>
      </c>
    </row>
    <row r="1797" spans="1:13" x14ac:dyDescent="0.3">
      <c r="A1797" s="1">
        <v>45620</v>
      </c>
      <c r="B1797" s="1" t="str">
        <f>TEXT(Tabla1[[#This Row],[Fecha]],"MMMM")</f>
        <v>noviembre</v>
      </c>
      <c r="C1797" t="s">
        <v>1807</v>
      </c>
      <c r="D1797" t="s">
        <v>5019</v>
      </c>
      <c r="E1797" t="s">
        <v>5033</v>
      </c>
      <c r="F1797" t="s">
        <v>5041</v>
      </c>
      <c r="G1797" s="3">
        <v>13498.83</v>
      </c>
      <c r="H1797" s="3">
        <v>1754.85</v>
      </c>
      <c r="I1797" s="3">
        <f>SUM(Tabla1[[#This Row],[Monto_Base]],H1797)</f>
        <v>15253.68</v>
      </c>
      <c r="J1797" t="s">
        <v>5046</v>
      </c>
      <c r="K1797" t="s">
        <v>5047</v>
      </c>
      <c r="L1797" t="s">
        <v>5050</v>
      </c>
      <c r="M1797" t="s">
        <v>5055</v>
      </c>
    </row>
    <row r="1798" spans="1:13" x14ac:dyDescent="0.3">
      <c r="A1798" s="1">
        <v>45527</v>
      </c>
      <c r="B1798" s="1" t="str">
        <f>TEXT(Tabla1[[#This Row],[Fecha]],"MMMM")</f>
        <v>agosto</v>
      </c>
      <c r="C1798" t="s">
        <v>1808</v>
      </c>
      <c r="D1798" t="s">
        <v>5015</v>
      </c>
      <c r="E1798" t="s">
        <v>5032</v>
      </c>
      <c r="F1798" t="s">
        <v>5040</v>
      </c>
      <c r="G1798" s="3">
        <v>1649.78</v>
      </c>
      <c r="H1798" s="3">
        <v>0</v>
      </c>
      <c r="I1798" s="3">
        <f>SUM(Tabla1[[#This Row],[Monto_Base]],H1798)</f>
        <v>1649.78</v>
      </c>
      <c r="J1798" t="s">
        <v>5042</v>
      </c>
      <c r="K1798" t="s">
        <v>5049</v>
      </c>
      <c r="L1798" t="s">
        <v>5050</v>
      </c>
      <c r="M1798" t="s">
        <v>5054</v>
      </c>
    </row>
    <row r="1799" spans="1:13" x14ac:dyDescent="0.3">
      <c r="A1799" s="1">
        <v>45484</v>
      </c>
      <c r="B1799" s="1" t="str">
        <f>TEXT(Tabla1[[#This Row],[Fecha]],"MMMM")</f>
        <v>julio</v>
      </c>
      <c r="C1799" t="s">
        <v>1809</v>
      </c>
      <c r="D1799" t="s">
        <v>5022</v>
      </c>
      <c r="E1799" t="s">
        <v>5032</v>
      </c>
      <c r="F1799" t="s">
        <v>5038</v>
      </c>
      <c r="G1799" s="3">
        <v>12534.54</v>
      </c>
      <c r="H1799" s="3">
        <v>0</v>
      </c>
      <c r="I1799" s="3">
        <f>SUM(Tabla1[[#This Row],[Monto_Base]],H1799)</f>
        <v>12534.54</v>
      </c>
      <c r="J1799" t="s">
        <v>5043</v>
      </c>
      <c r="K1799" t="s">
        <v>5049</v>
      </c>
      <c r="L1799" t="s">
        <v>5052</v>
      </c>
      <c r="M1799" t="s">
        <v>5055</v>
      </c>
    </row>
    <row r="1800" spans="1:13" x14ac:dyDescent="0.3">
      <c r="A1800" s="1">
        <v>45369</v>
      </c>
      <c r="B1800" s="1" t="str">
        <f>TEXT(Tabla1[[#This Row],[Fecha]],"MMMM")</f>
        <v>marzo</v>
      </c>
      <c r="C1800" t="s">
        <v>1810</v>
      </c>
      <c r="D1800" t="s">
        <v>5022</v>
      </c>
      <c r="E1800" t="s">
        <v>5032</v>
      </c>
      <c r="F1800" t="s">
        <v>5041</v>
      </c>
      <c r="G1800" s="3">
        <v>7699.92</v>
      </c>
      <c r="H1800" s="3">
        <v>0</v>
      </c>
      <c r="I1800" s="3">
        <f>SUM(Tabla1[[#This Row],[Monto_Base]],H1800)</f>
        <v>7699.92</v>
      </c>
      <c r="J1800" t="s">
        <v>5045</v>
      </c>
      <c r="K1800" t="s">
        <v>5048</v>
      </c>
      <c r="L1800" t="s">
        <v>5053</v>
      </c>
      <c r="M1800" t="s">
        <v>5054</v>
      </c>
    </row>
    <row r="1801" spans="1:13" x14ac:dyDescent="0.3">
      <c r="A1801" s="1">
        <v>45474</v>
      </c>
      <c r="B1801" s="1" t="str">
        <f>TEXT(Tabla1[[#This Row],[Fecha]],"MMMM")</f>
        <v>julio</v>
      </c>
      <c r="C1801" t="s">
        <v>1811</v>
      </c>
      <c r="D1801" t="s">
        <v>5030</v>
      </c>
      <c r="E1801" t="s">
        <v>5032</v>
      </c>
      <c r="F1801" t="s">
        <v>5039</v>
      </c>
      <c r="G1801" s="3">
        <v>2439.12</v>
      </c>
      <c r="H1801" s="3">
        <v>0</v>
      </c>
      <c r="I1801" s="3">
        <f>SUM(Tabla1[[#This Row],[Monto_Base]],H1801)</f>
        <v>2439.12</v>
      </c>
      <c r="J1801" t="s">
        <v>5042</v>
      </c>
      <c r="K1801" t="s">
        <v>5047</v>
      </c>
      <c r="L1801" t="s">
        <v>5050</v>
      </c>
      <c r="M1801" t="s">
        <v>5055</v>
      </c>
    </row>
    <row r="1802" spans="1:13" x14ac:dyDescent="0.3">
      <c r="A1802" s="1">
        <v>45564</v>
      </c>
      <c r="B1802" s="1" t="str">
        <f>TEXT(Tabla1[[#This Row],[Fecha]],"MMMM")</f>
        <v>septiembre</v>
      </c>
      <c r="C1802" t="s">
        <v>1812</v>
      </c>
      <c r="D1802" t="s">
        <v>5012</v>
      </c>
      <c r="E1802" t="s">
        <v>5033</v>
      </c>
      <c r="F1802" t="s">
        <v>5038</v>
      </c>
      <c r="G1802" s="3">
        <v>8042.6</v>
      </c>
      <c r="H1802" s="3">
        <v>1045.54</v>
      </c>
      <c r="I1802" s="3">
        <f>SUM(Tabla1[[#This Row],[Monto_Base]],H1802)</f>
        <v>9088.14</v>
      </c>
      <c r="J1802" t="s">
        <v>5042</v>
      </c>
      <c r="K1802" t="s">
        <v>5047</v>
      </c>
      <c r="L1802" t="s">
        <v>5053</v>
      </c>
      <c r="M1802" t="s">
        <v>5055</v>
      </c>
    </row>
    <row r="1803" spans="1:13" x14ac:dyDescent="0.3">
      <c r="A1803" s="1">
        <v>45561</v>
      </c>
      <c r="B1803" s="1" t="str">
        <f>TEXT(Tabla1[[#This Row],[Fecha]],"MMMM")</f>
        <v>septiembre</v>
      </c>
      <c r="C1803" t="s">
        <v>1813</v>
      </c>
      <c r="D1803" t="s">
        <v>5021</v>
      </c>
      <c r="E1803" t="s">
        <v>5032</v>
      </c>
      <c r="F1803" t="s">
        <v>5041</v>
      </c>
      <c r="G1803" s="3">
        <v>2312.5100000000002</v>
      </c>
      <c r="H1803" s="3">
        <v>0</v>
      </c>
      <c r="I1803" s="3">
        <f>SUM(Tabla1[[#This Row],[Monto_Base]],H1803)</f>
        <v>2312.5100000000002</v>
      </c>
      <c r="J1803" t="s">
        <v>5043</v>
      </c>
      <c r="K1803" t="s">
        <v>5049</v>
      </c>
      <c r="L1803" t="s">
        <v>5053</v>
      </c>
      <c r="M1803" t="s">
        <v>5055</v>
      </c>
    </row>
    <row r="1804" spans="1:13" x14ac:dyDescent="0.3">
      <c r="A1804" s="1">
        <v>45401</v>
      </c>
      <c r="B1804" s="1" t="str">
        <f>TEXT(Tabla1[[#This Row],[Fecha]],"MMMM")</f>
        <v>abril</v>
      </c>
      <c r="C1804" t="s">
        <v>1814</v>
      </c>
      <c r="D1804" t="s">
        <v>5031</v>
      </c>
      <c r="E1804" t="s">
        <v>5033</v>
      </c>
      <c r="F1804" t="s">
        <v>5036</v>
      </c>
      <c r="G1804" s="3">
        <v>4533.5</v>
      </c>
      <c r="H1804" s="3">
        <v>589.36</v>
      </c>
      <c r="I1804" s="3">
        <f>SUM(Tabla1[[#This Row],[Monto_Base]],H1804)</f>
        <v>5122.8599999999997</v>
      </c>
      <c r="J1804" t="s">
        <v>5045</v>
      </c>
      <c r="K1804" t="s">
        <v>5049</v>
      </c>
      <c r="L1804" t="s">
        <v>5052</v>
      </c>
      <c r="M1804" t="s">
        <v>5055</v>
      </c>
    </row>
    <row r="1805" spans="1:13" x14ac:dyDescent="0.3">
      <c r="A1805" s="1">
        <v>45535</v>
      </c>
      <c r="B1805" s="1" t="str">
        <f>TEXT(Tabla1[[#This Row],[Fecha]],"MMMM")</f>
        <v>agosto</v>
      </c>
      <c r="C1805" t="s">
        <v>1815</v>
      </c>
      <c r="D1805" t="s">
        <v>5017</v>
      </c>
      <c r="E1805" t="s">
        <v>5032</v>
      </c>
      <c r="F1805" t="s">
        <v>5036</v>
      </c>
      <c r="G1805" s="3">
        <v>3528.1</v>
      </c>
      <c r="H1805" s="3">
        <v>0</v>
      </c>
      <c r="I1805" s="3">
        <f>SUM(Tabla1[[#This Row],[Monto_Base]],H1805)</f>
        <v>3528.1</v>
      </c>
      <c r="J1805" t="s">
        <v>5043</v>
      </c>
      <c r="K1805" t="s">
        <v>5047</v>
      </c>
      <c r="L1805" t="s">
        <v>5051</v>
      </c>
      <c r="M1805" t="s">
        <v>5054</v>
      </c>
    </row>
    <row r="1806" spans="1:13" x14ac:dyDescent="0.3">
      <c r="A1806" s="1">
        <v>45340</v>
      </c>
      <c r="B1806" s="1" t="str">
        <f>TEXT(Tabla1[[#This Row],[Fecha]],"MMMM")</f>
        <v>febrero</v>
      </c>
      <c r="C1806" t="s">
        <v>1816</v>
      </c>
      <c r="D1806" t="s">
        <v>5012</v>
      </c>
      <c r="E1806" t="s">
        <v>5032</v>
      </c>
      <c r="F1806" t="s">
        <v>5040</v>
      </c>
      <c r="G1806" s="3">
        <v>8366.59</v>
      </c>
      <c r="H1806" s="3">
        <v>0</v>
      </c>
      <c r="I1806" s="3">
        <f>SUM(Tabla1[[#This Row],[Monto_Base]],H1806)</f>
        <v>8366.59</v>
      </c>
      <c r="J1806" t="s">
        <v>5043</v>
      </c>
      <c r="K1806" t="s">
        <v>5048</v>
      </c>
      <c r="L1806" t="s">
        <v>5053</v>
      </c>
      <c r="M1806" t="s">
        <v>5054</v>
      </c>
    </row>
    <row r="1807" spans="1:13" x14ac:dyDescent="0.3">
      <c r="A1807" s="1">
        <v>45355</v>
      </c>
      <c r="B1807" s="1" t="str">
        <f>TEXT(Tabla1[[#This Row],[Fecha]],"MMMM")</f>
        <v>marzo</v>
      </c>
      <c r="C1807" t="s">
        <v>1817</v>
      </c>
      <c r="D1807" t="s">
        <v>5029</v>
      </c>
      <c r="E1807" t="s">
        <v>5032</v>
      </c>
      <c r="F1807" t="s">
        <v>5041</v>
      </c>
      <c r="G1807" s="3">
        <v>2212.44</v>
      </c>
      <c r="H1807" s="3">
        <v>0</v>
      </c>
      <c r="I1807" s="3">
        <f>SUM(Tabla1[[#This Row],[Monto_Base]],H1807)</f>
        <v>2212.44</v>
      </c>
      <c r="J1807" t="s">
        <v>5042</v>
      </c>
      <c r="K1807" t="s">
        <v>5047</v>
      </c>
      <c r="L1807" t="s">
        <v>5050</v>
      </c>
      <c r="M1807" t="s">
        <v>5055</v>
      </c>
    </row>
    <row r="1808" spans="1:13" x14ac:dyDescent="0.3">
      <c r="A1808" s="1">
        <v>45582</v>
      </c>
      <c r="B1808" s="1" t="str">
        <f>TEXT(Tabla1[[#This Row],[Fecha]],"MMMM")</f>
        <v>octubre</v>
      </c>
      <c r="C1808" t="s">
        <v>1818</v>
      </c>
      <c r="D1808" t="s">
        <v>5017</v>
      </c>
      <c r="E1808" t="s">
        <v>5032</v>
      </c>
      <c r="F1808" t="s">
        <v>5038</v>
      </c>
      <c r="G1808" s="3">
        <v>472.41</v>
      </c>
      <c r="H1808" s="3">
        <v>0</v>
      </c>
      <c r="I1808" s="3">
        <f>SUM(Tabla1[[#This Row],[Monto_Base]],H1808)</f>
        <v>472.41</v>
      </c>
      <c r="J1808" t="s">
        <v>5043</v>
      </c>
      <c r="K1808" t="s">
        <v>5048</v>
      </c>
      <c r="L1808" t="s">
        <v>5053</v>
      </c>
      <c r="M1808" t="s">
        <v>5055</v>
      </c>
    </row>
    <row r="1809" spans="1:13" x14ac:dyDescent="0.3">
      <c r="A1809" s="1">
        <v>45585</v>
      </c>
      <c r="B1809" s="1" t="str">
        <f>TEXT(Tabla1[[#This Row],[Fecha]],"MMMM")</f>
        <v>octubre</v>
      </c>
      <c r="C1809" t="s">
        <v>1819</v>
      </c>
      <c r="D1809" t="s">
        <v>5030</v>
      </c>
      <c r="E1809" t="s">
        <v>5033</v>
      </c>
      <c r="F1809" t="s">
        <v>5038</v>
      </c>
      <c r="G1809" s="3">
        <v>8938.48</v>
      </c>
      <c r="H1809" s="3">
        <v>1162</v>
      </c>
      <c r="I1809" s="3">
        <f>SUM(Tabla1[[#This Row],[Monto_Base]],H1809)</f>
        <v>10100.48</v>
      </c>
      <c r="J1809" t="s">
        <v>5042</v>
      </c>
      <c r="K1809" t="s">
        <v>5049</v>
      </c>
      <c r="L1809" t="s">
        <v>5053</v>
      </c>
      <c r="M1809" t="s">
        <v>5054</v>
      </c>
    </row>
    <row r="1810" spans="1:13" x14ac:dyDescent="0.3">
      <c r="A1810" s="1">
        <v>45518</v>
      </c>
      <c r="B1810" s="1" t="str">
        <f>TEXT(Tabla1[[#This Row],[Fecha]],"MMMM")</f>
        <v>agosto</v>
      </c>
      <c r="C1810" t="s">
        <v>1820</v>
      </c>
      <c r="D1810" t="s">
        <v>5025</v>
      </c>
      <c r="E1810" t="s">
        <v>5033</v>
      </c>
      <c r="F1810" t="s">
        <v>5036</v>
      </c>
      <c r="G1810" s="3">
        <v>4108.8999999999996</v>
      </c>
      <c r="H1810" s="3">
        <v>534.16</v>
      </c>
      <c r="I1810" s="3">
        <f>SUM(Tabla1[[#This Row],[Monto_Base]],H1810)</f>
        <v>4643.0599999999995</v>
      </c>
      <c r="J1810" t="s">
        <v>5044</v>
      </c>
      <c r="K1810" t="s">
        <v>5048</v>
      </c>
      <c r="L1810" t="s">
        <v>5053</v>
      </c>
      <c r="M1810" t="s">
        <v>5054</v>
      </c>
    </row>
    <row r="1811" spans="1:13" x14ac:dyDescent="0.3">
      <c r="A1811" s="1">
        <v>45427</v>
      </c>
      <c r="B1811" s="1" t="str">
        <f>TEXT(Tabla1[[#This Row],[Fecha]],"MMMM")</f>
        <v>mayo</v>
      </c>
      <c r="C1811" t="s">
        <v>1821</v>
      </c>
      <c r="D1811" t="s">
        <v>5014</v>
      </c>
      <c r="E1811" t="s">
        <v>5033</v>
      </c>
      <c r="F1811" t="s">
        <v>5037</v>
      </c>
      <c r="G1811" s="3">
        <v>9417.52</v>
      </c>
      <c r="H1811" s="3">
        <v>1224.28</v>
      </c>
      <c r="I1811" s="3">
        <f>SUM(Tabla1[[#This Row],[Monto_Base]],H1811)</f>
        <v>10641.800000000001</v>
      </c>
      <c r="J1811" t="s">
        <v>5042</v>
      </c>
      <c r="K1811" t="s">
        <v>5048</v>
      </c>
      <c r="L1811" t="s">
        <v>5052</v>
      </c>
      <c r="M1811" t="s">
        <v>5055</v>
      </c>
    </row>
    <row r="1812" spans="1:13" x14ac:dyDescent="0.3">
      <c r="A1812" s="1">
        <v>45338</v>
      </c>
      <c r="B1812" s="1" t="str">
        <f>TEXT(Tabla1[[#This Row],[Fecha]],"MMMM")</f>
        <v>febrero</v>
      </c>
      <c r="C1812" t="s">
        <v>1822</v>
      </c>
      <c r="D1812" t="s">
        <v>5029</v>
      </c>
      <c r="E1812" t="s">
        <v>5032</v>
      </c>
      <c r="F1812" t="s">
        <v>5038</v>
      </c>
      <c r="G1812" s="3">
        <v>10345.9</v>
      </c>
      <c r="H1812" s="3">
        <v>0</v>
      </c>
      <c r="I1812" s="3">
        <f>SUM(Tabla1[[#This Row],[Monto_Base]],H1812)</f>
        <v>10345.9</v>
      </c>
      <c r="J1812" t="s">
        <v>5044</v>
      </c>
      <c r="K1812" t="s">
        <v>5048</v>
      </c>
      <c r="L1812" t="s">
        <v>5051</v>
      </c>
      <c r="M1812" t="s">
        <v>5055</v>
      </c>
    </row>
    <row r="1813" spans="1:13" x14ac:dyDescent="0.3">
      <c r="A1813" s="1">
        <v>45639</v>
      </c>
      <c r="B1813" s="1" t="str">
        <f>TEXT(Tabla1[[#This Row],[Fecha]],"MMMM")</f>
        <v>diciembre</v>
      </c>
      <c r="C1813" t="s">
        <v>1823</v>
      </c>
      <c r="D1813" t="s">
        <v>5013</v>
      </c>
      <c r="E1813" t="s">
        <v>5033</v>
      </c>
      <c r="F1813" t="s">
        <v>5039</v>
      </c>
      <c r="G1813" s="3">
        <v>10849.6</v>
      </c>
      <c r="H1813" s="3">
        <v>1410.45</v>
      </c>
      <c r="I1813" s="3">
        <f>SUM(Tabla1[[#This Row],[Monto_Base]],H1813)</f>
        <v>12260.050000000001</v>
      </c>
      <c r="J1813" t="s">
        <v>5046</v>
      </c>
      <c r="K1813" t="s">
        <v>5047</v>
      </c>
      <c r="L1813" t="s">
        <v>5050</v>
      </c>
      <c r="M1813" t="s">
        <v>5055</v>
      </c>
    </row>
    <row r="1814" spans="1:13" x14ac:dyDescent="0.3">
      <c r="A1814" s="1">
        <v>45534</v>
      </c>
      <c r="B1814" s="1" t="str">
        <f>TEXT(Tabla1[[#This Row],[Fecha]],"MMMM")</f>
        <v>agosto</v>
      </c>
      <c r="C1814" t="s">
        <v>1824</v>
      </c>
      <c r="D1814" t="s">
        <v>5027</v>
      </c>
      <c r="E1814" t="s">
        <v>5033</v>
      </c>
      <c r="F1814" t="s">
        <v>5040</v>
      </c>
      <c r="G1814" s="3">
        <v>1745.16</v>
      </c>
      <c r="H1814" s="3">
        <v>226.87</v>
      </c>
      <c r="I1814" s="3">
        <f>SUM(Tabla1[[#This Row],[Monto_Base]],H1814)</f>
        <v>1972.0300000000002</v>
      </c>
      <c r="J1814" t="s">
        <v>5045</v>
      </c>
      <c r="K1814" t="s">
        <v>5048</v>
      </c>
      <c r="L1814" t="s">
        <v>5053</v>
      </c>
      <c r="M1814" t="s">
        <v>5054</v>
      </c>
    </row>
    <row r="1815" spans="1:13" x14ac:dyDescent="0.3">
      <c r="A1815" s="1">
        <v>45655</v>
      </c>
      <c r="B1815" s="1" t="str">
        <f>TEXT(Tabla1[[#This Row],[Fecha]],"MMMM")</f>
        <v>diciembre</v>
      </c>
      <c r="C1815" t="s">
        <v>1825</v>
      </c>
      <c r="D1815" t="s">
        <v>5024</v>
      </c>
      <c r="E1815" t="s">
        <v>5032</v>
      </c>
      <c r="F1815" t="s">
        <v>5040</v>
      </c>
      <c r="G1815" s="3">
        <v>3765.87</v>
      </c>
      <c r="H1815" s="3">
        <v>0</v>
      </c>
      <c r="I1815" s="3">
        <f>SUM(Tabla1[[#This Row],[Monto_Base]],H1815)</f>
        <v>3765.87</v>
      </c>
      <c r="J1815" t="s">
        <v>5046</v>
      </c>
      <c r="K1815" t="s">
        <v>5047</v>
      </c>
      <c r="L1815" t="s">
        <v>5051</v>
      </c>
      <c r="M1815" t="s">
        <v>5055</v>
      </c>
    </row>
    <row r="1816" spans="1:13" x14ac:dyDescent="0.3">
      <c r="A1816" s="1">
        <v>45317</v>
      </c>
      <c r="B1816" s="1" t="str">
        <f>TEXT(Tabla1[[#This Row],[Fecha]],"MMMM")</f>
        <v>enero</v>
      </c>
      <c r="C1816" t="s">
        <v>1826</v>
      </c>
      <c r="D1816" t="s">
        <v>5014</v>
      </c>
      <c r="E1816" t="s">
        <v>5033</v>
      </c>
      <c r="F1816" t="s">
        <v>5037</v>
      </c>
      <c r="G1816" s="3">
        <v>7308.35</v>
      </c>
      <c r="H1816" s="3">
        <v>950.09</v>
      </c>
      <c r="I1816" s="3">
        <f>SUM(Tabla1[[#This Row],[Monto_Base]],H1816)</f>
        <v>8258.44</v>
      </c>
      <c r="J1816" t="s">
        <v>5045</v>
      </c>
      <c r="K1816" t="s">
        <v>5049</v>
      </c>
      <c r="L1816" t="s">
        <v>5051</v>
      </c>
      <c r="M1816" t="s">
        <v>5054</v>
      </c>
    </row>
    <row r="1817" spans="1:13" x14ac:dyDescent="0.3">
      <c r="A1817" s="1">
        <v>45484</v>
      </c>
      <c r="B1817" s="1" t="str">
        <f>TEXT(Tabla1[[#This Row],[Fecha]],"MMMM")</f>
        <v>julio</v>
      </c>
      <c r="C1817" t="s">
        <v>1827</v>
      </c>
      <c r="D1817" t="s">
        <v>5016</v>
      </c>
      <c r="E1817" t="s">
        <v>5032</v>
      </c>
      <c r="F1817" t="s">
        <v>5039</v>
      </c>
      <c r="G1817" s="3">
        <v>752.03</v>
      </c>
      <c r="H1817" s="3">
        <v>0</v>
      </c>
      <c r="I1817" s="3">
        <f>SUM(Tabla1[[#This Row],[Monto_Base]],H1817)</f>
        <v>752.03</v>
      </c>
      <c r="J1817" t="s">
        <v>5043</v>
      </c>
      <c r="K1817" t="s">
        <v>5049</v>
      </c>
      <c r="L1817" t="s">
        <v>5051</v>
      </c>
      <c r="M1817" t="s">
        <v>5055</v>
      </c>
    </row>
    <row r="1818" spans="1:13" x14ac:dyDescent="0.3">
      <c r="A1818" s="1">
        <v>45515</v>
      </c>
      <c r="B1818" s="1" t="str">
        <f>TEXT(Tabla1[[#This Row],[Fecha]],"MMMM")</f>
        <v>agosto</v>
      </c>
      <c r="C1818" t="s">
        <v>1828</v>
      </c>
      <c r="D1818" t="s">
        <v>5025</v>
      </c>
      <c r="E1818" t="s">
        <v>5032</v>
      </c>
      <c r="F1818" t="s">
        <v>5035</v>
      </c>
      <c r="G1818" s="3">
        <v>4936.7700000000004</v>
      </c>
      <c r="H1818" s="3">
        <v>0</v>
      </c>
      <c r="I1818" s="3">
        <f>SUM(Tabla1[[#This Row],[Monto_Base]],H1818)</f>
        <v>4936.7700000000004</v>
      </c>
      <c r="J1818" t="s">
        <v>5044</v>
      </c>
      <c r="K1818" t="s">
        <v>5047</v>
      </c>
      <c r="L1818" t="s">
        <v>5053</v>
      </c>
      <c r="M1818" t="s">
        <v>5055</v>
      </c>
    </row>
    <row r="1819" spans="1:13" x14ac:dyDescent="0.3">
      <c r="A1819" s="1">
        <v>45466</v>
      </c>
      <c r="B1819" s="1" t="str">
        <f>TEXT(Tabla1[[#This Row],[Fecha]],"MMMM")</f>
        <v>junio</v>
      </c>
      <c r="C1819" t="s">
        <v>1829</v>
      </c>
      <c r="D1819" t="s">
        <v>5019</v>
      </c>
      <c r="E1819" t="s">
        <v>5032</v>
      </c>
      <c r="F1819" t="s">
        <v>5041</v>
      </c>
      <c r="G1819" s="3">
        <v>11356.18</v>
      </c>
      <c r="H1819" s="3">
        <v>0</v>
      </c>
      <c r="I1819" s="3">
        <f>SUM(Tabla1[[#This Row],[Monto_Base]],H1819)</f>
        <v>11356.18</v>
      </c>
      <c r="J1819" t="s">
        <v>5042</v>
      </c>
      <c r="K1819" t="s">
        <v>5047</v>
      </c>
      <c r="L1819" t="s">
        <v>5050</v>
      </c>
      <c r="M1819" t="s">
        <v>5055</v>
      </c>
    </row>
    <row r="1820" spans="1:13" x14ac:dyDescent="0.3">
      <c r="A1820" s="1">
        <v>45416</v>
      </c>
      <c r="B1820" s="1" t="str">
        <f>TEXT(Tabla1[[#This Row],[Fecha]],"MMMM")</f>
        <v>mayo</v>
      </c>
      <c r="C1820" t="s">
        <v>1830</v>
      </c>
      <c r="D1820" t="s">
        <v>5024</v>
      </c>
      <c r="E1820" t="s">
        <v>5033</v>
      </c>
      <c r="F1820" t="s">
        <v>5035</v>
      </c>
      <c r="G1820" s="3">
        <v>6406.01</v>
      </c>
      <c r="H1820" s="3">
        <v>832.78</v>
      </c>
      <c r="I1820" s="3">
        <f>SUM(Tabla1[[#This Row],[Monto_Base]],H1820)</f>
        <v>7238.79</v>
      </c>
      <c r="J1820" t="s">
        <v>5044</v>
      </c>
      <c r="K1820" t="s">
        <v>5048</v>
      </c>
      <c r="L1820" t="s">
        <v>5050</v>
      </c>
      <c r="M1820" t="s">
        <v>5055</v>
      </c>
    </row>
    <row r="1821" spans="1:13" x14ac:dyDescent="0.3">
      <c r="A1821" s="1">
        <v>45319</v>
      </c>
      <c r="B1821" s="1" t="str">
        <f>TEXT(Tabla1[[#This Row],[Fecha]],"MMMM")</f>
        <v>enero</v>
      </c>
      <c r="C1821" t="s">
        <v>1831</v>
      </c>
      <c r="D1821" t="s">
        <v>5026</v>
      </c>
      <c r="E1821" t="s">
        <v>5032</v>
      </c>
      <c r="F1821" t="s">
        <v>5040</v>
      </c>
      <c r="G1821" s="3">
        <v>10523.95</v>
      </c>
      <c r="H1821" s="3">
        <v>0</v>
      </c>
      <c r="I1821" s="3">
        <f>SUM(Tabla1[[#This Row],[Monto_Base]],H1821)</f>
        <v>10523.95</v>
      </c>
      <c r="J1821" t="s">
        <v>5045</v>
      </c>
      <c r="K1821" t="s">
        <v>5048</v>
      </c>
      <c r="L1821" t="s">
        <v>5051</v>
      </c>
      <c r="M1821" t="s">
        <v>5055</v>
      </c>
    </row>
    <row r="1822" spans="1:13" x14ac:dyDescent="0.3">
      <c r="A1822" s="1">
        <v>45387</v>
      </c>
      <c r="B1822" s="1" t="str">
        <f>TEXT(Tabla1[[#This Row],[Fecha]],"MMMM")</f>
        <v>abril</v>
      </c>
      <c r="C1822" t="s">
        <v>1832</v>
      </c>
      <c r="D1822" t="s">
        <v>5012</v>
      </c>
      <c r="E1822" t="s">
        <v>5033</v>
      </c>
      <c r="F1822" t="s">
        <v>5037</v>
      </c>
      <c r="G1822" s="3">
        <v>2445.9499999999998</v>
      </c>
      <c r="H1822" s="3">
        <v>317.97000000000003</v>
      </c>
      <c r="I1822" s="3">
        <f>SUM(Tabla1[[#This Row],[Monto_Base]],H1822)</f>
        <v>2763.92</v>
      </c>
      <c r="J1822" t="s">
        <v>5045</v>
      </c>
      <c r="K1822" t="s">
        <v>5047</v>
      </c>
      <c r="L1822" t="s">
        <v>5052</v>
      </c>
      <c r="M1822" t="s">
        <v>5055</v>
      </c>
    </row>
    <row r="1823" spans="1:13" x14ac:dyDescent="0.3">
      <c r="A1823" s="1">
        <v>45534</v>
      </c>
      <c r="B1823" s="1" t="str">
        <f>TEXT(Tabla1[[#This Row],[Fecha]],"MMMM")</f>
        <v>agosto</v>
      </c>
      <c r="C1823" t="s">
        <v>1833</v>
      </c>
      <c r="D1823" t="s">
        <v>5018</v>
      </c>
      <c r="E1823" t="s">
        <v>5032</v>
      </c>
      <c r="F1823" t="s">
        <v>5041</v>
      </c>
      <c r="G1823" s="3">
        <v>10424.549999999999</v>
      </c>
      <c r="H1823" s="3">
        <v>0</v>
      </c>
      <c r="I1823" s="3">
        <f>SUM(Tabla1[[#This Row],[Monto_Base]],H1823)</f>
        <v>10424.549999999999</v>
      </c>
      <c r="J1823" t="s">
        <v>5044</v>
      </c>
      <c r="K1823" t="s">
        <v>5048</v>
      </c>
      <c r="L1823" t="s">
        <v>5052</v>
      </c>
      <c r="M1823" t="s">
        <v>5055</v>
      </c>
    </row>
    <row r="1824" spans="1:13" x14ac:dyDescent="0.3">
      <c r="A1824" s="1">
        <v>45435</v>
      </c>
      <c r="B1824" s="1" t="str">
        <f>TEXT(Tabla1[[#This Row],[Fecha]],"MMMM")</f>
        <v>mayo</v>
      </c>
      <c r="C1824" t="s">
        <v>1834</v>
      </c>
      <c r="D1824" t="s">
        <v>5027</v>
      </c>
      <c r="E1824" t="s">
        <v>5033</v>
      </c>
      <c r="F1824" t="s">
        <v>5036</v>
      </c>
      <c r="G1824" s="3">
        <v>1232.02</v>
      </c>
      <c r="H1824" s="3">
        <v>160.16</v>
      </c>
      <c r="I1824" s="3">
        <f>SUM(Tabla1[[#This Row],[Monto_Base]],H1824)</f>
        <v>1392.18</v>
      </c>
      <c r="J1824" t="s">
        <v>5045</v>
      </c>
      <c r="K1824" t="s">
        <v>5047</v>
      </c>
      <c r="L1824" t="s">
        <v>5051</v>
      </c>
      <c r="M1824" t="s">
        <v>5055</v>
      </c>
    </row>
    <row r="1825" spans="1:13" x14ac:dyDescent="0.3">
      <c r="A1825" s="1">
        <v>45593</v>
      </c>
      <c r="B1825" s="1" t="str">
        <f>TEXT(Tabla1[[#This Row],[Fecha]],"MMMM")</f>
        <v>octubre</v>
      </c>
      <c r="C1825" t="s">
        <v>1835</v>
      </c>
      <c r="D1825" t="s">
        <v>5022</v>
      </c>
      <c r="E1825" t="s">
        <v>5033</v>
      </c>
      <c r="F1825" t="s">
        <v>5035</v>
      </c>
      <c r="G1825" s="3">
        <v>1669.8</v>
      </c>
      <c r="H1825" s="3">
        <v>217.07</v>
      </c>
      <c r="I1825" s="3">
        <f>SUM(Tabla1[[#This Row],[Monto_Base]],H1825)</f>
        <v>1886.87</v>
      </c>
      <c r="J1825" t="s">
        <v>5042</v>
      </c>
      <c r="K1825" t="s">
        <v>5048</v>
      </c>
      <c r="L1825" t="s">
        <v>5050</v>
      </c>
      <c r="M1825" t="s">
        <v>5055</v>
      </c>
    </row>
    <row r="1826" spans="1:13" x14ac:dyDescent="0.3">
      <c r="A1826" s="1">
        <v>45475</v>
      </c>
      <c r="B1826" s="1" t="str">
        <f>TEXT(Tabla1[[#This Row],[Fecha]],"MMMM")</f>
        <v>julio</v>
      </c>
      <c r="C1826" t="s">
        <v>1836</v>
      </c>
      <c r="D1826" t="s">
        <v>5017</v>
      </c>
      <c r="E1826" t="s">
        <v>5033</v>
      </c>
      <c r="F1826" t="s">
        <v>5039</v>
      </c>
      <c r="G1826" s="3">
        <v>8688.7000000000007</v>
      </c>
      <c r="H1826" s="3">
        <v>1129.53</v>
      </c>
      <c r="I1826" s="3">
        <f>SUM(Tabla1[[#This Row],[Monto_Base]],H1826)</f>
        <v>9818.2300000000014</v>
      </c>
      <c r="J1826" t="s">
        <v>5043</v>
      </c>
      <c r="K1826" t="s">
        <v>5047</v>
      </c>
      <c r="L1826" t="s">
        <v>5051</v>
      </c>
      <c r="M1826" t="s">
        <v>5055</v>
      </c>
    </row>
    <row r="1827" spans="1:13" x14ac:dyDescent="0.3">
      <c r="A1827" s="1">
        <v>45509</v>
      </c>
      <c r="B1827" s="1" t="str">
        <f>TEXT(Tabla1[[#This Row],[Fecha]],"MMMM")</f>
        <v>agosto</v>
      </c>
      <c r="C1827" t="s">
        <v>1837</v>
      </c>
      <c r="D1827" t="s">
        <v>5027</v>
      </c>
      <c r="E1827" t="s">
        <v>5032</v>
      </c>
      <c r="F1827" t="s">
        <v>5039</v>
      </c>
      <c r="G1827" s="3">
        <v>9596.98</v>
      </c>
      <c r="H1827" s="3">
        <v>0</v>
      </c>
      <c r="I1827" s="3">
        <f>SUM(Tabla1[[#This Row],[Monto_Base]],H1827)</f>
        <v>9596.98</v>
      </c>
      <c r="J1827" t="s">
        <v>5045</v>
      </c>
      <c r="K1827" t="s">
        <v>5047</v>
      </c>
      <c r="L1827" t="s">
        <v>5053</v>
      </c>
      <c r="M1827" t="s">
        <v>5054</v>
      </c>
    </row>
    <row r="1828" spans="1:13" x14ac:dyDescent="0.3">
      <c r="A1828" s="1">
        <v>45537</v>
      </c>
      <c r="B1828" s="1" t="str">
        <f>TEXT(Tabla1[[#This Row],[Fecha]],"MMMM")</f>
        <v>septiembre</v>
      </c>
      <c r="C1828" t="s">
        <v>1838</v>
      </c>
      <c r="D1828" t="s">
        <v>5017</v>
      </c>
      <c r="E1828" t="s">
        <v>5032</v>
      </c>
      <c r="F1828" t="s">
        <v>5034</v>
      </c>
      <c r="G1828" s="3">
        <v>11044.47</v>
      </c>
      <c r="H1828" s="3">
        <v>0</v>
      </c>
      <c r="I1828" s="3">
        <f>SUM(Tabla1[[#This Row],[Monto_Base]],H1828)</f>
        <v>11044.47</v>
      </c>
      <c r="J1828" t="s">
        <v>5044</v>
      </c>
      <c r="K1828" t="s">
        <v>5047</v>
      </c>
      <c r="L1828" t="s">
        <v>5050</v>
      </c>
      <c r="M1828" t="s">
        <v>5055</v>
      </c>
    </row>
    <row r="1829" spans="1:13" x14ac:dyDescent="0.3">
      <c r="A1829" s="1">
        <v>45617</v>
      </c>
      <c r="B1829" s="1" t="str">
        <f>TEXT(Tabla1[[#This Row],[Fecha]],"MMMM")</f>
        <v>noviembre</v>
      </c>
      <c r="C1829" t="s">
        <v>1839</v>
      </c>
      <c r="D1829" t="s">
        <v>5016</v>
      </c>
      <c r="E1829" t="s">
        <v>5033</v>
      </c>
      <c r="F1829" t="s">
        <v>5041</v>
      </c>
      <c r="G1829" s="3">
        <v>8333.91</v>
      </c>
      <c r="H1829" s="3">
        <v>1083.4100000000001</v>
      </c>
      <c r="I1829" s="3">
        <f>SUM(Tabla1[[#This Row],[Monto_Base]],H1829)</f>
        <v>9417.32</v>
      </c>
      <c r="J1829" t="s">
        <v>5046</v>
      </c>
      <c r="K1829" t="s">
        <v>5048</v>
      </c>
      <c r="L1829" t="s">
        <v>5051</v>
      </c>
      <c r="M1829" t="s">
        <v>5054</v>
      </c>
    </row>
    <row r="1830" spans="1:13" x14ac:dyDescent="0.3">
      <c r="A1830" s="1">
        <v>45421</v>
      </c>
      <c r="B1830" s="1" t="str">
        <f>TEXT(Tabla1[[#This Row],[Fecha]],"MMMM")</f>
        <v>mayo</v>
      </c>
      <c r="C1830" t="s">
        <v>1840</v>
      </c>
      <c r="D1830" t="s">
        <v>5028</v>
      </c>
      <c r="E1830" t="s">
        <v>5033</v>
      </c>
      <c r="F1830" t="s">
        <v>5034</v>
      </c>
      <c r="G1830" s="3">
        <v>7576.77</v>
      </c>
      <c r="H1830" s="3">
        <v>984.98</v>
      </c>
      <c r="I1830" s="3">
        <f>SUM(Tabla1[[#This Row],[Monto_Base]],H1830)</f>
        <v>8561.75</v>
      </c>
      <c r="J1830" t="s">
        <v>5044</v>
      </c>
      <c r="K1830" t="s">
        <v>5048</v>
      </c>
      <c r="L1830" t="s">
        <v>5053</v>
      </c>
      <c r="M1830" t="s">
        <v>5054</v>
      </c>
    </row>
    <row r="1831" spans="1:13" x14ac:dyDescent="0.3">
      <c r="A1831" s="1">
        <v>45531</v>
      </c>
      <c r="B1831" s="1" t="str">
        <f>TEXT(Tabla1[[#This Row],[Fecha]],"MMMM")</f>
        <v>agosto</v>
      </c>
      <c r="C1831" t="s">
        <v>1841</v>
      </c>
      <c r="D1831" t="s">
        <v>5029</v>
      </c>
      <c r="E1831" t="s">
        <v>5032</v>
      </c>
      <c r="F1831" t="s">
        <v>5040</v>
      </c>
      <c r="G1831" s="3">
        <v>4313.84</v>
      </c>
      <c r="H1831" s="3">
        <v>0</v>
      </c>
      <c r="I1831" s="3">
        <f>SUM(Tabla1[[#This Row],[Monto_Base]],H1831)</f>
        <v>4313.84</v>
      </c>
      <c r="J1831" t="s">
        <v>5044</v>
      </c>
      <c r="K1831" t="s">
        <v>5049</v>
      </c>
      <c r="L1831" t="s">
        <v>5052</v>
      </c>
      <c r="M1831" t="s">
        <v>5054</v>
      </c>
    </row>
    <row r="1832" spans="1:13" x14ac:dyDescent="0.3">
      <c r="A1832" s="1">
        <v>45657</v>
      </c>
      <c r="B1832" s="1" t="str">
        <f>TEXT(Tabla1[[#This Row],[Fecha]],"MMMM")</f>
        <v>diciembre</v>
      </c>
      <c r="C1832" t="s">
        <v>1842</v>
      </c>
      <c r="D1832" t="s">
        <v>5013</v>
      </c>
      <c r="E1832" t="s">
        <v>5033</v>
      </c>
      <c r="F1832" t="s">
        <v>5034</v>
      </c>
      <c r="G1832" s="3">
        <v>2354.75</v>
      </c>
      <c r="H1832" s="3">
        <v>306.12</v>
      </c>
      <c r="I1832" s="3">
        <f>SUM(Tabla1[[#This Row],[Monto_Base]],H1832)</f>
        <v>2660.87</v>
      </c>
      <c r="J1832" t="s">
        <v>5043</v>
      </c>
      <c r="K1832" t="s">
        <v>5048</v>
      </c>
      <c r="L1832" t="s">
        <v>5050</v>
      </c>
      <c r="M1832" t="s">
        <v>5054</v>
      </c>
    </row>
    <row r="1833" spans="1:13" x14ac:dyDescent="0.3">
      <c r="A1833" s="1">
        <v>45442</v>
      </c>
      <c r="B1833" s="1" t="str">
        <f>TEXT(Tabla1[[#This Row],[Fecha]],"MMMM")</f>
        <v>mayo</v>
      </c>
      <c r="C1833" t="s">
        <v>1843</v>
      </c>
      <c r="D1833" t="s">
        <v>5025</v>
      </c>
      <c r="E1833" t="s">
        <v>5032</v>
      </c>
      <c r="F1833" t="s">
        <v>5034</v>
      </c>
      <c r="G1833" s="3">
        <v>3681.3</v>
      </c>
      <c r="H1833" s="3">
        <v>0</v>
      </c>
      <c r="I1833" s="3">
        <f>SUM(Tabla1[[#This Row],[Monto_Base]],H1833)</f>
        <v>3681.3</v>
      </c>
      <c r="J1833" t="s">
        <v>5046</v>
      </c>
      <c r="K1833" t="s">
        <v>5048</v>
      </c>
      <c r="L1833" t="s">
        <v>5052</v>
      </c>
      <c r="M1833" t="s">
        <v>5054</v>
      </c>
    </row>
    <row r="1834" spans="1:13" x14ac:dyDescent="0.3">
      <c r="A1834" s="1">
        <v>45535</v>
      </c>
      <c r="B1834" s="1" t="str">
        <f>TEXT(Tabla1[[#This Row],[Fecha]],"MMMM")</f>
        <v>agosto</v>
      </c>
      <c r="C1834" t="s">
        <v>1844</v>
      </c>
      <c r="D1834" t="s">
        <v>5023</v>
      </c>
      <c r="E1834" t="s">
        <v>5032</v>
      </c>
      <c r="F1834" t="s">
        <v>5039</v>
      </c>
      <c r="G1834" s="3">
        <v>12303.73</v>
      </c>
      <c r="H1834" s="3">
        <v>0</v>
      </c>
      <c r="I1834" s="3">
        <f>SUM(Tabla1[[#This Row],[Monto_Base]],H1834)</f>
        <v>12303.73</v>
      </c>
      <c r="J1834" t="s">
        <v>5044</v>
      </c>
      <c r="K1834" t="s">
        <v>5049</v>
      </c>
      <c r="L1834" t="s">
        <v>5053</v>
      </c>
      <c r="M1834" t="s">
        <v>5054</v>
      </c>
    </row>
    <row r="1835" spans="1:13" x14ac:dyDescent="0.3">
      <c r="A1835" s="1">
        <v>45422</v>
      </c>
      <c r="B1835" s="1" t="str">
        <f>TEXT(Tabla1[[#This Row],[Fecha]],"MMMM")</f>
        <v>mayo</v>
      </c>
      <c r="C1835" t="s">
        <v>1845</v>
      </c>
      <c r="D1835" t="s">
        <v>5031</v>
      </c>
      <c r="E1835" t="s">
        <v>5032</v>
      </c>
      <c r="F1835" t="s">
        <v>5034</v>
      </c>
      <c r="G1835" s="3">
        <v>12409.19</v>
      </c>
      <c r="H1835" s="3">
        <v>0</v>
      </c>
      <c r="I1835" s="3">
        <f>SUM(Tabla1[[#This Row],[Monto_Base]],H1835)</f>
        <v>12409.19</v>
      </c>
      <c r="J1835" t="s">
        <v>5044</v>
      </c>
      <c r="K1835" t="s">
        <v>5049</v>
      </c>
      <c r="L1835" t="s">
        <v>5052</v>
      </c>
      <c r="M1835" t="s">
        <v>5054</v>
      </c>
    </row>
    <row r="1836" spans="1:13" x14ac:dyDescent="0.3">
      <c r="A1836" s="1">
        <v>45549</v>
      </c>
      <c r="B1836" s="1" t="str">
        <f>TEXT(Tabla1[[#This Row],[Fecha]],"MMMM")</f>
        <v>septiembre</v>
      </c>
      <c r="C1836" t="s">
        <v>1846</v>
      </c>
      <c r="D1836" t="s">
        <v>5014</v>
      </c>
      <c r="E1836" t="s">
        <v>5033</v>
      </c>
      <c r="F1836" t="s">
        <v>5040</v>
      </c>
      <c r="G1836" s="3">
        <v>10801.84</v>
      </c>
      <c r="H1836" s="3">
        <v>1404.24</v>
      </c>
      <c r="I1836" s="3">
        <f>SUM(Tabla1[[#This Row],[Monto_Base]],H1836)</f>
        <v>12206.08</v>
      </c>
      <c r="J1836" t="s">
        <v>5046</v>
      </c>
      <c r="K1836" t="s">
        <v>5048</v>
      </c>
      <c r="L1836" t="s">
        <v>5052</v>
      </c>
      <c r="M1836" t="s">
        <v>5055</v>
      </c>
    </row>
    <row r="1837" spans="1:13" x14ac:dyDescent="0.3">
      <c r="A1837" s="1">
        <v>45650</v>
      </c>
      <c r="B1837" s="1" t="str">
        <f>TEXT(Tabla1[[#This Row],[Fecha]],"MMMM")</f>
        <v>diciembre</v>
      </c>
      <c r="C1837" t="s">
        <v>1847</v>
      </c>
      <c r="D1837" t="s">
        <v>5021</v>
      </c>
      <c r="E1837" t="s">
        <v>5033</v>
      </c>
      <c r="F1837" t="s">
        <v>5035</v>
      </c>
      <c r="G1837" s="3">
        <v>12874.69</v>
      </c>
      <c r="H1837" s="3">
        <v>1673.71</v>
      </c>
      <c r="I1837" s="3">
        <f>SUM(Tabla1[[#This Row],[Monto_Base]],H1837)</f>
        <v>14548.400000000001</v>
      </c>
      <c r="J1837" t="s">
        <v>5045</v>
      </c>
      <c r="K1837" t="s">
        <v>5049</v>
      </c>
      <c r="L1837" t="s">
        <v>5053</v>
      </c>
      <c r="M1837" t="s">
        <v>5055</v>
      </c>
    </row>
    <row r="1838" spans="1:13" x14ac:dyDescent="0.3">
      <c r="A1838" s="1">
        <v>45468</v>
      </c>
      <c r="B1838" s="1" t="str">
        <f>TEXT(Tabla1[[#This Row],[Fecha]],"MMMM")</f>
        <v>junio</v>
      </c>
      <c r="C1838" t="s">
        <v>1848</v>
      </c>
      <c r="D1838" t="s">
        <v>5025</v>
      </c>
      <c r="E1838" t="s">
        <v>5032</v>
      </c>
      <c r="F1838" t="s">
        <v>5036</v>
      </c>
      <c r="G1838" s="3">
        <v>12646.27</v>
      </c>
      <c r="H1838" s="3">
        <v>0</v>
      </c>
      <c r="I1838" s="3">
        <f>SUM(Tabla1[[#This Row],[Monto_Base]],H1838)</f>
        <v>12646.27</v>
      </c>
      <c r="J1838" t="s">
        <v>5046</v>
      </c>
      <c r="K1838" t="s">
        <v>5048</v>
      </c>
      <c r="L1838" t="s">
        <v>5051</v>
      </c>
      <c r="M1838" t="s">
        <v>5055</v>
      </c>
    </row>
    <row r="1839" spans="1:13" x14ac:dyDescent="0.3">
      <c r="A1839" s="1">
        <v>45564</v>
      </c>
      <c r="B1839" s="1" t="str">
        <f>TEXT(Tabla1[[#This Row],[Fecha]],"MMMM")</f>
        <v>septiembre</v>
      </c>
      <c r="C1839" t="s">
        <v>1849</v>
      </c>
      <c r="D1839" t="s">
        <v>5029</v>
      </c>
      <c r="E1839" t="s">
        <v>5032</v>
      </c>
      <c r="F1839" t="s">
        <v>5037</v>
      </c>
      <c r="G1839" s="3">
        <v>849.63</v>
      </c>
      <c r="H1839" s="3">
        <v>0</v>
      </c>
      <c r="I1839" s="3">
        <f>SUM(Tabla1[[#This Row],[Monto_Base]],H1839)</f>
        <v>849.63</v>
      </c>
      <c r="J1839" t="s">
        <v>5046</v>
      </c>
      <c r="K1839" t="s">
        <v>5049</v>
      </c>
      <c r="L1839" t="s">
        <v>5051</v>
      </c>
      <c r="M1839" t="s">
        <v>5054</v>
      </c>
    </row>
    <row r="1840" spans="1:13" x14ac:dyDescent="0.3">
      <c r="A1840" s="1">
        <v>45574</v>
      </c>
      <c r="B1840" s="1" t="str">
        <f>TEXT(Tabla1[[#This Row],[Fecha]],"MMMM")</f>
        <v>octubre</v>
      </c>
      <c r="C1840" t="s">
        <v>1850</v>
      </c>
      <c r="D1840" t="s">
        <v>5014</v>
      </c>
      <c r="E1840" t="s">
        <v>5033</v>
      </c>
      <c r="F1840" t="s">
        <v>5041</v>
      </c>
      <c r="G1840" s="3">
        <v>10583.42</v>
      </c>
      <c r="H1840" s="3">
        <v>1375.84</v>
      </c>
      <c r="I1840" s="3">
        <f>SUM(Tabla1[[#This Row],[Monto_Base]],H1840)</f>
        <v>11959.26</v>
      </c>
      <c r="J1840" t="s">
        <v>5045</v>
      </c>
      <c r="K1840" t="s">
        <v>5047</v>
      </c>
      <c r="L1840" t="s">
        <v>5051</v>
      </c>
      <c r="M1840" t="s">
        <v>5054</v>
      </c>
    </row>
    <row r="1841" spans="1:13" x14ac:dyDescent="0.3">
      <c r="A1841" s="1">
        <v>45489</v>
      </c>
      <c r="B1841" s="1" t="str">
        <f>TEXT(Tabla1[[#This Row],[Fecha]],"MMMM")</f>
        <v>julio</v>
      </c>
      <c r="C1841" t="s">
        <v>1851</v>
      </c>
      <c r="D1841" t="s">
        <v>5026</v>
      </c>
      <c r="E1841" t="s">
        <v>5032</v>
      </c>
      <c r="F1841" t="s">
        <v>5038</v>
      </c>
      <c r="G1841" s="3">
        <v>13118.3</v>
      </c>
      <c r="H1841" s="3">
        <v>0</v>
      </c>
      <c r="I1841" s="3">
        <f>SUM(Tabla1[[#This Row],[Monto_Base]],H1841)</f>
        <v>13118.3</v>
      </c>
      <c r="J1841" t="s">
        <v>5042</v>
      </c>
      <c r="K1841" t="s">
        <v>5049</v>
      </c>
      <c r="L1841" t="s">
        <v>5050</v>
      </c>
      <c r="M1841" t="s">
        <v>5054</v>
      </c>
    </row>
    <row r="1842" spans="1:13" x14ac:dyDescent="0.3">
      <c r="A1842" s="1">
        <v>45360</v>
      </c>
      <c r="B1842" s="1" t="str">
        <f>TEXT(Tabla1[[#This Row],[Fecha]],"MMMM")</f>
        <v>marzo</v>
      </c>
      <c r="C1842" t="s">
        <v>1852</v>
      </c>
      <c r="D1842" t="s">
        <v>5021</v>
      </c>
      <c r="E1842" t="s">
        <v>5032</v>
      </c>
      <c r="F1842" t="s">
        <v>5041</v>
      </c>
      <c r="G1842" s="3">
        <v>8702.69</v>
      </c>
      <c r="H1842" s="3">
        <v>0</v>
      </c>
      <c r="I1842" s="3">
        <f>SUM(Tabla1[[#This Row],[Monto_Base]],H1842)</f>
        <v>8702.69</v>
      </c>
      <c r="J1842" t="s">
        <v>5043</v>
      </c>
      <c r="K1842" t="s">
        <v>5047</v>
      </c>
      <c r="L1842" t="s">
        <v>5051</v>
      </c>
      <c r="M1842" t="s">
        <v>5055</v>
      </c>
    </row>
    <row r="1843" spans="1:13" x14ac:dyDescent="0.3">
      <c r="A1843" s="1">
        <v>45337</v>
      </c>
      <c r="B1843" s="1" t="str">
        <f>TEXT(Tabla1[[#This Row],[Fecha]],"MMMM")</f>
        <v>febrero</v>
      </c>
      <c r="C1843" t="s">
        <v>1853</v>
      </c>
      <c r="D1843" t="s">
        <v>5021</v>
      </c>
      <c r="E1843" t="s">
        <v>5032</v>
      </c>
      <c r="F1843" t="s">
        <v>5034</v>
      </c>
      <c r="G1843" s="3">
        <v>594.62</v>
      </c>
      <c r="H1843" s="3">
        <v>0</v>
      </c>
      <c r="I1843" s="3">
        <f>SUM(Tabla1[[#This Row],[Monto_Base]],H1843)</f>
        <v>594.62</v>
      </c>
      <c r="J1843" t="s">
        <v>5042</v>
      </c>
      <c r="K1843" t="s">
        <v>5049</v>
      </c>
      <c r="L1843" t="s">
        <v>5050</v>
      </c>
      <c r="M1843" t="s">
        <v>5055</v>
      </c>
    </row>
    <row r="1844" spans="1:13" x14ac:dyDescent="0.3">
      <c r="A1844" s="1">
        <v>45624</v>
      </c>
      <c r="B1844" s="1" t="str">
        <f>TEXT(Tabla1[[#This Row],[Fecha]],"MMMM")</f>
        <v>noviembre</v>
      </c>
      <c r="C1844" t="s">
        <v>1854</v>
      </c>
      <c r="D1844" t="s">
        <v>5021</v>
      </c>
      <c r="E1844" t="s">
        <v>5033</v>
      </c>
      <c r="F1844" t="s">
        <v>5034</v>
      </c>
      <c r="G1844" s="3">
        <v>12483.04</v>
      </c>
      <c r="H1844" s="3">
        <v>1622.8</v>
      </c>
      <c r="I1844" s="3">
        <f>SUM(Tabla1[[#This Row],[Monto_Base]],H1844)</f>
        <v>14105.84</v>
      </c>
      <c r="J1844" t="s">
        <v>5046</v>
      </c>
      <c r="K1844" t="s">
        <v>5049</v>
      </c>
      <c r="L1844" t="s">
        <v>5050</v>
      </c>
      <c r="M1844" t="s">
        <v>5054</v>
      </c>
    </row>
    <row r="1845" spans="1:13" x14ac:dyDescent="0.3">
      <c r="A1845" s="1">
        <v>45622</v>
      </c>
      <c r="B1845" s="1" t="str">
        <f>TEXT(Tabla1[[#This Row],[Fecha]],"MMMM")</f>
        <v>noviembre</v>
      </c>
      <c r="C1845" t="s">
        <v>1855</v>
      </c>
      <c r="D1845" t="s">
        <v>5017</v>
      </c>
      <c r="E1845" t="s">
        <v>5033</v>
      </c>
      <c r="F1845" t="s">
        <v>5039</v>
      </c>
      <c r="G1845" s="3">
        <v>14638</v>
      </c>
      <c r="H1845" s="3">
        <v>1902.94</v>
      </c>
      <c r="I1845" s="3">
        <f>SUM(Tabla1[[#This Row],[Monto_Base]],H1845)</f>
        <v>16540.939999999999</v>
      </c>
      <c r="J1845" t="s">
        <v>5042</v>
      </c>
      <c r="K1845" t="s">
        <v>5048</v>
      </c>
      <c r="L1845" t="s">
        <v>5053</v>
      </c>
      <c r="M1845" t="s">
        <v>5055</v>
      </c>
    </row>
    <row r="1846" spans="1:13" x14ac:dyDescent="0.3">
      <c r="A1846" s="1">
        <v>45555</v>
      </c>
      <c r="B1846" s="1" t="str">
        <f>TEXT(Tabla1[[#This Row],[Fecha]],"MMMM")</f>
        <v>septiembre</v>
      </c>
      <c r="C1846" t="s">
        <v>1856</v>
      </c>
      <c r="D1846" t="s">
        <v>5031</v>
      </c>
      <c r="E1846" t="s">
        <v>5033</v>
      </c>
      <c r="F1846" t="s">
        <v>5039</v>
      </c>
      <c r="G1846" s="3">
        <v>7780.36</v>
      </c>
      <c r="H1846" s="3">
        <v>1011.45</v>
      </c>
      <c r="I1846" s="3">
        <f>SUM(Tabla1[[#This Row],[Monto_Base]],H1846)</f>
        <v>8791.81</v>
      </c>
      <c r="J1846" t="s">
        <v>5045</v>
      </c>
      <c r="K1846" t="s">
        <v>5049</v>
      </c>
      <c r="L1846" t="s">
        <v>5052</v>
      </c>
      <c r="M1846" t="s">
        <v>5054</v>
      </c>
    </row>
    <row r="1847" spans="1:13" x14ac:dyDescent="0.3">
      <c r="A1847" s="1">
        <v>45409</v>
      </c>
      <c r="B1847" s="1" t="str">
        <f>TEXT(Tabla1[[#This Row],[Fecha]],"MMMM")</f>
        <v>abril</v>
      </c>
      <c r="C1847" t="s">
        <v>1857</v>
      </c>
      <c r="D1847" t="s">
        <v>5013</v>
      </c>
      <c r="E1847" t="s">
        <v>5033</v>
      </c>
      <c r="F1847" t="s">
        <v>5036</v>
      </c>
      <c r="G1847" s="3">
        <v>272.8</v>
      </c>
      <c r="H1847" s="3">
        <v>35.46</v>
      </c>
      <c r="I1847" s="3">
        <f>SUM(Tabla1[[#This Row],[Monto_Base]],H1847)</f>
        <v>308.26</v>
      </c>
      <c r="J1847" t="s">
        <v>5046</v>
      </c>
      <c r="K1847" t="s">
        <v>5047</v>
      </c>
      <c r="L1847" t="s">
        <v>5053</v>
      </c>
      <c r="M1847" t="s">
        <v>5054</v>
      </c>
    </row>
    <row r="1848" spans="1:13" x14ac:dyDescent="0.3">
      <c r="A1848" s="1">
        <v>45307</v>
      </c>
      <c r="B1848" s="1" t="str">
        <f>TEXT(Tabla1[[#This Row],[Fecha]],"MMMM")</f>
        <v>enero</v>
      </c>
      <c r="C1848" t="s">
        <v>1858</v>
      </c>
      <c r="D1848" t="s">
        <v>5025</v>
      </c>
      <c r="E1848" t="s">
        <v>5032</v>
      </c>
      <c r="F1848" t="s">
        <v>5037</v>
      </c>
      <c r="G1848" s="3">
        <v>1763.48</v>
      </c>
      <c r="H1848" s="3">
        <v>0</v>
      </c>
      <c r="I1848" s="3">
        <f>SUM(Tabla1[[#This Row],[Monto_Base]],H1848)</f>
        <v>1763.48</v>
      </c>
      <c r="J1848" t="s">
        <v>5042</v>
      </c>
      <c r="K1848" t="s">
        <v>5049</v>
      </c>
      <c r="L1848" t="s">
        <v>5050</v>
      </c>
      <c r="M1848" t="s">
        <v>5055</v>
      </c>
    </row>
    <row r="1849" spans="1:13" x14ac:dyDescent="0.3">
      <c r="A1849" s="1">
        <v>45488</v>
      </c>
      <c r="B1849" s="1" t="str">
        <f>TEXT(Tabla1[[#This Row],[Fecha]],"MMMM")</f>
        <v>julio</v>
      </c>
      <c r="C1849" t="s">
        <v>1859</v>
      </c>
      <c r="D1849" t="s">
        <v>5012</v>
      </c>
      <c r="E1849" t="s">
        <v>5033</v>
      </c>
      <c r="F1849" t="s">
        <v>5038</v>
      </c>
      <c r="G1849" s="3">
        <v>2880.79</v>
      </c>
      <c r="H1849" s="3">
        <v>374.5</v>
      </c>
      <c r="I1849" s="3">
        <f>SUM(Tabla1[[#This Row],[Monto_Base]],H1849)</f>
        <v>3255.29</v>
      </c>
      <c r="J1849" t="s">
        <v>5045</v>
      </c>
      <c r="K1849" t="s">
        <v>5048</v>
      </c>
      <c r="L1849" t="s">
        <v>5053</v>
      </c>
      <c r="M1849" t="s">
        <v>5054</v>
      </c>
    </row>
    <row r="1850" spans="1:13" x14ac:dyDescent="0.3">
      <c r="A1850" s="1">
        <v>45316</v>
      </c>
      <c r="B1850" s="1" t="str">
        <f>TEXT(Tabla1[[#This Row],[Fecha]],"MMMM")</f>
        <v>enero</v>
      </c>
      <c r="C1850" t="s">
        <v>1860</v>
      </c>
      <c r="D1850" t="s">
        <v>5020</v>
      </c>
      <c r="E1850" t="s">
        <v>5033</v>
      </c>
      <c r="F1850" t="s">
        <v>5036</v>
      </c>
      <c r="G1850" s="3">
        <v>8865.01</v>
      </c>
      <c r="H1850" s="3">
        <v>1152.45</v>
      </c>
      <c r="I1850" s="3">
        <f>SUM(Tabla1[[#This Row],[Monto_Base]],H1850)</f>
        <v>10017.460000000001</v>
      </c>
      <c r="J1850" t="s">
        <v>5043</v>
      </c>
      <c r="K1850" t="s">
        <v>5048</v>
      </c>
      <c r="L1850" t="s">
        <v>5050</v>
      </c>
      <c r="M1850" t="s">
        <v>5054</v>
      </c>
    </row>
    <row r="1851" spans="1:13" x14ac:dyDescent="0.3">
      <c r="A1851" s="1">
        <v>45593</v>
      </c>
      <c r="B1851" s="1" t="str">
        <f>TEXT(Tabla1[[#This Row],[Fecha]],"MMMM")</f>
        <v>octubre</v>
      </c>
      <c r="C1851" t="s">
        <v>1861</v>
      </c>
      <c r="D1851" t="s">
        <v>5015</v>
      </c>
      <c r="E1851" t="s">
        <v>5032</v>
      </c>
      <c r="F1851" t="s">
        <v>5037</v>
      </c>
      <c r="G1851" s="3">
        <v>13002</v>
      </c>
      <c r="H1851" s="3">
        <v>0</v>
      </c>
      <c r="I1851" s="3">
        <f>SUM(Tabla1[[#This Row],[Monto_Base]],H1851)</f>
        <v>13002</v>
      </c>
      <c r="J1851" t="s">
        <v>5044</v>
      </c>
      <c r="K1851" t="s">
        <v>5049</v>
      </c>
      <c r="L1851" t="s">
        <v>5053</v>
      </c>
      <c r="M1851" t="s">
        <v>5054</v>
      </c>
    </row>
    <row r="1852" spans="1:13" x14ac:dyDescent="0.3">
      <c r="A1852" s="1">
        <v>45498</v>
      </c>
      <c r="B1852" s="1" t="str">
        <f>TEXT(Tabla1[[#This Row],[Fecha]],"MMMM")</f>
        <v>julio</v>
      </c>
      <c r="C1852" t="s">
        <v>1862</v>
      </c>
      <c r="D1852" t="s">
        <v>5017</v>
      </c>
      <c r="E1852" t="s">
        <v>5033</v>
      </c>
      <c r="F1852" t="s">
        <v>5041</v>
      </c>
      <c r="G1852" s="3">
        <v>12537.75</v>
      </c>
      <c r="H1852" s="3">
        <v>1629.91</v>
      </c>
      <c r="I1852" s="3">
        <f>SUM(Tabla1[[#This Row],[Monto_Base]],H1852)</f>
        <v>14167.66</v>
      </c>
      <c r="J1852" t="s">
        <v>5046</v>
      </c>
      <c r="K1852" t="s">
        <v>5047</v>
      </c>
      <c r="L1852" t="s">
        <v>5051</v>
      </c>
      <c r="M1852" t="s">
        <v>5055</v>
      </c>
    </row>
    <row r="1853" spans="1:13" x14ac:dyDescent="0.3">
      <c r="A1853" s="1">
        <v>45461</v>
      </c>
      <c r="B1853" s="1" t="str">
        <f>TEXT(Tabla1[[#This Row],[Fecha]],"MMMM")</f>
        <v>junio</v>
      </c>
      <c r="C1853" t="s">
        <v>1863</v>
      </c>
      <c r="D1853" t="s">
        <v>5014</v>
      </c>
      <c r="E1853" t="s">
        <v>5032</v>
      </c>
      <c r="F1853" t="s">
        <v>5041</v>
      </c>
      <c r="G1853" s="3">
        <v>12519.66</v>
      </c>
      <c r="H1853" s="3">
        <v>0</v>
      </c>
      <c r="I1853" s="3">
        <f>SUM(Tabla1[[#This Row],[Monto_Base]],H1853)</f>
        <v>12519.66</v>
      </c>
      <c r="J1853" t="s">
        <v>5045</v>
      </c>
      <c r="K1853" t="s">
        <v>5049</v>
      </c>
      <c r="L1853" t="s">
        <v>5053</v>
      </c>
      <c r="M1853" t="s">
        <v>5055</v>
      </c>
    </row>
    <row r="1854" spans="1:13" x14ac:dyDescent="0.3">
      <c r="A1854" s="1">
        <v>45298</v>
      </c>
      <c r="B1854" s="1" t="str">
        <f>TEXT(Tabla1[[#This Row],[Fecha]],"MMMM")</f>
        <v>enero</v>
      </c>
      <c r="C1854" t="s">
        <v>1864</v>
      </c>
      <c r="D1854" t="s">
        <v>5019</v>
      </c>
      <c r="E1854" t="s">
        <v>5032</v>
      </c>
      <c r="F1854" t="s">
        <v>5038</v>
      </c>
      <c r="G1854" s="3">
        <v>1425.81</v>
      </c>
      <c r="H1854" s="3">
        <v>0</v>
      </c>
      <c r="I1854" s="3">
        <f>SUM(Tabla1[[#This Row],[Monto_Base]],H1854)</f>
        <v>1425.81</v>
      </c>
      <c r="J1854" t="s">
        <v>5043</v>
      </c>
      <c r="K1854" t="s">
        <v>5048</v>
      </c>
      <c r="L1854" t="s">
        <v>5051</v>
      </c>
      <c r="M1854" t="s">
        <v>5054</v>
      </c>
    </row>
    <row r="1855" spans="1:13" x14ac:dyDescent="0.3">
      <c r="A1855" s="1">
        <v>45569</v>
      </c>
      <c r="B1855" s="1" t="str">
        <f>TEXT(Tabla1[[#This Row],[Fecha]],"MMMM")</f>
        <v>octubre</v>
      </c>
      <c r="C1855" t="s">
        <v>1865</v>
      </c>
      <c r="D1855" t="s">
        <v>5017</v>
      </c>
      <c r="E1855" t="s">
        <v>5032</v>
      </c>
      <c r="F1855" t="s">
        <v>5035</v>
      </c>
      <c r="G1855" s="3">
        <v>12126.05</v>
      </c>
      <c r="H1855" s="3">
        <v>0</v>
      </c>
      <c r="I1855" s="3">
        <f>SUM(Tabla1[[#This Row],[Monto_Base]],H1855)</f>
        <v>12126.05</v>
      </c>
      <c r="J1855" t="s">
        <v>5044</v>
      </c>
      <c r="K1855" t="s">
        <v>5047</v>
      </c>
      <c r="L1855" t="s">
        <v>5050</v>
      </c>
      <c r="M1855" t="s">
        <v>5055</v>
      </c>
    </row>
    <row r="1856" spans="1:13" x14ac:dyDescent="0.3">
      <c r="A1856" s="1">
        <v>45391</v>
      </c>
      <c r="B1856" s="1" t="str">
        <f>TEXT(Tabla1[[#This Row],[Fecha]],"MMMM")</f>
        <v>abril</v>
      </c>
      <c r="C1856" t="s">
        <v>1866</v>
      </c>
      <c r="D1856" t="s">
        <v>5022</v>
      </c>
      <c r="E1856" t="s">
        <v>5033</v>
      </c>
      <c r="F1856" t="s">
        <v>5040</v>
      </c>
      <c r="G1856" s="3">
        <v>11606.43</v>
      </c>
      <c r="H1856" s="3">
        <v>1508.84</v>
      </c>
      <c r="I1856" s="3">
        <f>SUM(Tabla1[[#This Row],[Monto_Base]],H1856)</f>
        <v>13115.27</v>
      </c>
      <c r="J1856" t="s">
        <v>5043</v>
      </c>
      <c r="K1856" t="s">
        <v>5048</v>
      </c>
      <c r="L1856" t="s">
        <v>5052</v>
      </c>
      <c r="M1856" t="s">
        <v>5055</v>
      </c>
    </row>
    <row r="1857" spans="1:13" x14ac:dyDescent="0.3">
      <c r="A1857" s="1">
        <v>45527</v>
      </c>
      <c r="B1857" s="1" t="str">
        <f>TEXT(Tabla1[[#This Row],[Fecha]],"MMMM")</f>
        <v>agosto</v>
      </c>
      <c r="C1857" t="s">
        <v>1867</v>
      </c>
      <c r="D1857" t="s">
        <v>5027</v>
      </c>
      <c r="E1857" t="s">
        <v>5032</v>
      </c>
      <c r="F1857" t="s">
        <v>5039</v>
      </c>
      <c r="G1857" s="3">
        <v>5856.79</v>
      </c>
      <c r="H1857" s="3">
        <v>0</v>
      </c>
      <c r="I1857" s="3">
        <f>SUM(Tabla1[[#This Row],[Monto_Base]],H1857)</f>
        <v>5856.79</v>
      </c>
      <c r="J1857" t="s">
        <v>5045</v>
      </c>
      <c r="K1857" t="s">
        <v>5049</v>
      </c>
      <c r="L1857" t="s">
        <v>5052</v>
      </c>
      <c r="M1857" t="s">
        <v>5055</v>
      </c>
    </row>
    <row r="1858" spans="1:13" x14ac:dyDescent="0.3">
      <c r="A1858" s="1">
        <v>45481</v>
      </c>
      <c r="B1858" s="1" t="str">
        <f>TEXT(Tabla1[[#This Row],[Fecha]],"MMMM")</f>
        <v>julio</v>
      </c>
      <c r="C1858" t="s">
        <v>1868</v>
      </c>
      <c r="D1858" t="s">
        <v>5018</v>
      </c>
      <c r="E1858" t="s">
        <v>5032</v>
      </c>
      <c r="F1858" t="s">
        <v>5036</v>
      </c>
      <c r="G1858" s="3">
        <v>5493.06</v>
      </c>
      <c r="H1858" s="3">
        <v>0</v>
      </c>
      <c r="I1858" s="3">
        <f>SUM(Tabla1[[#This Row],[Monto_Base]],H1858)</f>
        <v>5493.06</v>
      </c>
      <c r="J1858" t="s">
        <v>5042</v>
      </c>
      <c r="K1858" t="s">
        <v>5048</v>
      </c>
      <c r="L1858" t="s">
        <v>5052</v>
      </c>
      <c r="M1858" t="s">
        <v>5055</v>
      </c>
    </row>
    <row r="1859" spans="1:13" x14ac:dyDescent="0.3">
      <c r="A1859" s="1">
        <v>45596</v>
      </c>
      <c r="B1859" s="1" t="str">
        <f>TEXT(Tabla1[[#This Row],[Fecha]],"MMMM")</f>
        <v>octubre</v>
      </c>
      <c r="C1859" t="s">
        <v>1869</v>
      </c>
      <c r="D1859" t="s">
        <v>5030</v>
      </c>
      <c r="E1859" t="s">
        <v>5032</v>
      </c>
      <c r="F1859" t="s">
        <v>5037</v>
      </c>
      <c r="G1859" s="3">
        <v>399.44</v>
      </c>
      <c r="H1859" s="3">
        <v>0</v>
      </c>
      <c r="I1859" s="3">
        <f>SUM(Tabla1[[#This Row],[Monto_Base]],H1859)</f>
        <v>399.44</v>
      </c>
      <c r="J1859" t="s">
        <v>5046</v>
      </c>
      <c r="K1859" t="s">
        <v>5047</v>
      </c>
      <c r="L1859" t="s">
        <v>5053</v>
      </c>
      <c r="M1859" t="s">
        <v>5054</v>
      </c>
    </row>
    <row r="1860" spans="1:13" x14ac:dyDescent="0.3">
      <c r="A1860" s="1">
        <v>45615</v>
      </c>
      <c r="B1860" s="1" t="str">
        <f>TEXT(Tabla1[[#This Row],[Fecha]],"MMMM")</f>
        <v>noviembre</v>
      </c>
      <c r="C1860" t="s">
        <v>1870</v>
      </c>
      <c r="D1860" t="s">
        <v>5027</v>
      </c>
      <c r="E1860" t="s">
        <v>5032</v>
      </c>
      <c r="F1860" t="s">
        <v>5041</v>
      </c>
      <c r="G1860" s="3">
        <v>12746.59</v>
      </c>
      <c r="H1860" s="3">
        <v>0</v>
      </c>
      <c r="I1860" s="3">
        <f>SUM(Tabla1[[#This Row],[Monto_Base]],H1860)</f>
        <v>12746.59</v>
      </c>
      <c r="J1860" t="s">
        <v>5042</v>
      </c>
      <c r="K1860" t="s">
        <v>5049</v>
      </c>
      <c r="L1860" t="s">
        <v>5052</v>
      </c>
      <c r="M1860" t="s">
        <v>5055</v>
      </c>
    </row>
    <row r="1861" spans="1:13" x14ac:dyDescent="0.3">
      <c r="A1861" s="1">
        <v>45584</v>
      </c>
      <c r="B1861" s="1" t="str">
        <f>TEXT(Tabla1[[#This Row],[Fecha]],"MMMM")</f>
        <v>octubre</v>
      </c>
      <c r="C1861" t="s">
        <v>1871</v>
      </c>
      <c r="D1861" t="s">
        <v>5021</v>
      </c>
      <c r="E1861" t="s">
        <v>5033</v>
      </c>
      <c r="F1861" t="s">
        <v>5035</v>
      </c>
      <c r="G1861" s="3">
        <v>11427.73</v>
      </c>
      <c r="H1861" s="3">
        <v>1485.6</v>
      </c>
      <c r="I1861" s="3">
        <f>SUM(Tabla1[[#This Row],[Monto_Base]],H1861)</f>
        <v>12913.33</v>
      </c>
      <c r="J1861" t="s">
        <v>5044</v>
      </c>
      <c r="K1861" t="s">
        <v>5047</v>
      </c>
      <c r="L1861" t="s">
        <v>5053</v>
      </c>
      <c r="M1861" t="s">
        <v>5055</v>
      </c>
    </row>
    <row r="1862" spans="1:13" x14ac:dyDescent="0.3">
      <c r="A1862" s="1">
        <v>45525</v>
      </c>
      <c r="B1862" s="1" t="str">
        <f>TEXT(Tabla1[[#This Row],[Fecha]],"MMMM")</f>
        <v>agosto</v>
      </c>
      <c r="C1862" t="s">
        <v>1872</v>
      </c>
      <c r="D1862" t="s">
        <v>5020</v>
      </c>
      <c r="E1862" t="s">
        <v>5032</v>
      </c>
      <c r="F1862" t="s">
        <v>5036</v>
      </c>
      <c r="G1862" s="3">
        <v>6935.53</v>
      </c>
      <c r="H1862" s="3">
        <v>0</v>
      </c>
      <c r="I1862" s="3">
        <f>SUM(Tabla1[[#This Row],[Monto_Base]],H1862)</f>
        <v>6935.53</v>
      </c>
      <c r="J1862" t="s">
        <v>5044</v>
      </c>
      <c r="K1862" t="s">
        <v>5049</v>
      </c>
      <c r="L1862" t="s">
        <v>5053</v>
      </c>
      <c r="M1862" t="s">
        <v>5054</v>
      </c>
    </row>
    <row r="1863" spans="1:13" x14ac:dyDescent="0.3">
      <c r="A1863" s="1">
        <v>45341</v>
      </c>
      <c r="B1863" s="1" t="str">
        <f>TEXT(Tabla1[[#This Row],[Fecha]],"MMMM")</f>
        <v>febrero</v>
      </c>
      <c r="C1863" t="s">
        <v>1873</v>
      </c>
      <c r="D1863" t="s">
        <v>5029</v>
      </c>
      <c r="E1863" t="s">
        <v>5032</v>
      </c>
      <c r="F1863" t="s">
        <v>5039</v>
      </c>
      <c r="G1863" s="3">
        <v>11771.67</v>
      </c>
      <c r="H1863" s="3">
        <v>0</v>
      </c>
      <c r="I1863" s="3">
        <f>SUM(Tabla1[[#This Row],[Monto_Base]],H1863)</f>
        <v>11771.67</v>
      </c>
      <c r="J1863" t="s">
        <v>5042</v>
      </c>
      <c r="K1863" t="s">
        <v>5049</v>
      </c>
      <c r="L1863" t="s">
        <v>5052</v>
      </c>
      <c r="M1863" t="s">
        <v>5055</v>
      </c>
    </row>
    <row r="1864" spans="1:13" x14ac:dyDescent="0.3">
      <c r="A1864" s="1">
        <v>45382</v>
      </c>
      <c r="B1864" s="1" t="str">
        <f>TEXT(Tabla1[[#This Row],[Fecha]],"MMMM")</f>
        <v>marzo</v>
      </c>
      <c r="C1864" t="s">
        <v>1874</v>
      </c>
      <c r="D1864" t="s">
        <v>5031</v>
      </c>
      <c r="E1864" t="s">
        <v>5032</v>
      </c>
      <c r="F1864" t="s">
        <v>5039</v>
      </c>
      <c r="G1864" s="3">
        <v>6564.35</v>
      </c>
      <c r="H1864" s="3">
        <v>0</v>
      </c>
      <c r="I1864" s="3">
        <f>SUM(Tabla1[[#This Row],[Monto_Base]],H1864)</f>
        <v>6564.35</v>
      </c>
      <c r="J1864" t="s">
        <v>5046</v>
      </c>
      <c r="K1864" t="s">
        <v>5047</v>
      </c>
      <c r="L1864" t="s">
        <v>5050</v>
      </c>
      <c r="M1864" t="s">
        <v>5055</v>
      </c>
    </row>
    <row r="1865" spans="1:13" x14ac:dyDescent="0.3">
      <c r="A1865" s="1">
        <v>45479</v>
      </c>
      <c r="B1865" s="1" t="str">
        <f>TEXT(Tabla1[[#This Row],[Fecha]],"MMMM")</f>
        <v>julio</v>
      </c>
      <c r="C1865" t="s">
        <v>1875</v>
      </c>
      <c r="D1865" t="s">
        <v>5018</v>
      </c>
      <c r="E1865" t="s">
        <v>5033</v>
      </c>
      <c r="F1865" t="s">
        <v>5038</v>
      </c>
      <c r="G1865" s="3">
        <v>10829.04</v>
      </c>
      <c r="H1865" s="3">
        <v>1407.78</v>
      </c>
      <c r="I1865" s="3">
        <f>SUM(Tabla1[[#This Row],[Monto_Base]],H1865)</f>
        <v>12236.820000000002</v>
      </c>
      <c r="J1865" t="s">
        <v>5044</v>
      </c>
      <c r="K1865" t="s">
        <v>5047</v>
      </c>
      <c r="L1865" t="s">
        <v>5053</v>
      </c>
      <c r="M1865" t="s">
        <v>5055</v>
      </c>
    </row>
    <row r="1866" spans="1:13" x14ac:dyDescent="0.3">
      <c r="A1866" s="1">
        <v>45550</v>
      </c>
      <c r="B1866" s="1" t="str">
        <f>TEXT(Tabla1[[#This Row],[Fecha]],"MMMM")</f>
        <v>septiembre</v>
      </c>
      <c r="C1866" t="s">
        <v>1876</v>
      </c>
      <c r="D1866" t="s">
        <v>5020</v>
      </c>
      <c r="E1866" t="s">
        <v>5032</v>
      </c>
      <c r="F1866" t="s">
        <v>5035</v>
      </c>
      <c r="G1866" s="3">
        <v>4818.46</v>
      </c>
      <c r="H1866" s="3">
        <v>0</v>
      </c>
      <c r="I1866" s="3">
        <f>SUM(Tabla1[[#This Row],[Monto_Base]],H1866)</f>
        <v>4818.46</v>
      </c>
      <c r="J1866" t="s">
        <v>5046</v>
      </c>
      <c r="K1866" t="s">
        <v>5047</v>
      </c>
      <c r="L1866" t="s">
        <v>5052</v>
      </c>
      <c r="M1866" t="s">
        <v>5054</v>
      </c>
    </row>
    <row r="1867" spans="1:13" x14ac:dyDescent="0.3">
      <c r="A1867" s="1">
        <v>45317</v>
      </c>
      <c r="B1867" s="1" t="str">
        <f>TEXT(Tabla1[[#This Row],[Fecha]],"MMMM")</f>
        <v>enero</v>
      </c>
      <c r="C1867" t="s">
        <v>1877</v>
      </c>
      <c r="D1867" t="s">
        <v>5025</v>
      </c>
      <c r="E1867" t="s">
        <v>5033</v>
      </c>
      <c r="F1867" t="s">
        <v>5035</v>
      </c>
      <c r="G1867" s="3">
        <v>14074.55</v>
      </c>
      <c r="H1867" s="3">
        <v>1829.69</v>
      </c>
      <c r="I1867" s="3">
        <f>SUM(Tabla1[[#This Row],[Monto_Base]],H1867)</f>
        <v>15904.24</v>
      </c>
      <c r="J1867" t="s">
        <v>5045</v>
      </c>
      <c r="K1867" t="s">
        <v>5049</v>
      </c>
      <c r="L1867" t="s">
        <v>5050</v>
      </c>
      <c r="M1867" t="s">
        <v>5054</v>
      </c>
    </row>
    <row r="1868" spans="1:13" x14ac:dyDescent="0.3">
      <c r="A1868" s="1">
        <v>45400</v>
      </c>
      <c r="B1868" s="1" t="str">
        <f>TEXT(Tabla1[[#This Row],[Fecha]],"MMMM")</f>
        <v>abril</v>
      </c>
      <c r="C1868" t="s">
        <v>1878</v>
      </c>
      <c r="D1868" t="s">
        <v>5019</v>
      </c>
      <c r="E1868" t="s">
        <v>5032</v>
      </c>
      <c r="F1868" t="s">
        <v>5035</v>
      </c>
      <c r="G1868" s="3">
        <v>6917.4</v>
      </c>
      <c r="H1868" s="3">
        <v>0</v>
      </c>
      <c r="I1868" s="3">
        <f>SUM(Tabla1[[#This Row],[Monto_Base]],H1868)</f>
        <v>6917.4</v>
      </c>
      <c r="J1868" t="s">
        <v>5046</v>
      </c>
      <c r="K1868" t="s">
        <v>5048</v>
      </c>
      <c r="L1868" t="s">
        <v>5050</v>
      </c>
      <c r="M1868" t="s">
        <v>5054</v>
      </c>
    </row>
    <row r="1869" spans="1:13" x14ac:dyDescent="0.3">
      <c r="A1869" s="1">
        <v>45337</v>
      </c>
      <c r="B1869" s="1" t="str">
        <f>TEXT(Tabla1[[#This Row],[Fecha]],"MMMM")</f>
        <v>febrero</v>
      </c>
      <c r="C1869" t="s">
        <v>1879</v>
      </c>
      <c r="D1869" t="s">
        <v>5023</v>
      </c>
      <c r="E1869" t="s">
        <v>5032</v>
      </c>
      <c r="F1869" t="s">
        <v>5038</v>
      </c>
      <c r="G1869" s="3">
        <v>125.6</v>
      </c>
      <c r="H1869" s="3">
        <v>0</v>
      </c>
      <c r="I1869" s="3">
        <f>SUM(Tabla1[[#This Row],[Monto_Base]],H1869)</f>
        <v>125.6</v>
      </c>
      <c r="J1869" t="s">
        <v>5043</v>
      </c>
      <c r="K1869" t="s">
        <v>5049</v>
      </c>
      <c r="L1869" t="s">
        <v>5052</v>
      </c>
      <c r="M1869" t="s">
        <v>5054</v>
      </c>
    </row>
    <row r="1870" spans="1:13" x14ac:dyDescent="0.3">
      <c r="A1870" s="1">
        <v>45506</v>
      </c>
      <c r="B1870" s="1" t="str">
        <f>TEXT(Tabla1[[#This Row],[Fecha]],"MMMM")</f>
        <v>agosto</v>
      </c>
      <c r="C1870" t="s">
        <v>1880</v>
      </c>
      <c r="D1870" t="s">
        <v>5025</v>
      </c>
      <c r="E1870" t="s">
        <v>5033</v>
      </c>
      <c r="F1870" t="s">
        <v>5036</v>
      </c>
      <c r="G1870" s="3">
        <v>2086.9299999999998</v>
      </c>
      <c r="H1870" s="3">
        <v>271.3</v>
      </c>
      <c r="I1870" s="3">
        <f>SUM(Tabla1[[#This Row],[Monto_Base]],H1870)</f>
        <v>2358.23</v>
      </c>
      <c r="J1870" t="s">
        <v>5045</v>
      </c>
      <c r="K1870" t="s">
        <v>5048</v>
      </c>
      <c r="L1870" t="s">
        <v>5051</v>
      </c>
      <c r="M1870" t="s">
        <v>5054</v>
      </c>
    </row>
    <row r="1871" spans="1:13" x14ac:dyDescent="0.3">
      <c r="A1871" s="1">
        <v>45620</v>
      </c>
      <c r="B1871" s="1" t="str">
        <f>TEXT(Tabla1[[#This Row],[Fecha]],"MMMM")</f>
        <v>noviembre</v>
      </c>
      <c r="C1871" t="s">
        <v>1881</v>
      </c>
      <c r="D1871" t="s">
        <v>5030</v>
      </c>
      <c r="E1871" t="s">
        <v>5033</v>
      </c>
      <c r="F1871" t="s">
        <v>5040</v>
      </c>
      <c r="G1871" s="3">
        <v>14147.42</v>
      </c>
      <c r="H1871" s="3">
        <v>1839.16</v>
      </c>
      <c r="I1871" s="3">
        <f>SUM(Tabla1[[#This Row],[Monto_Base]],H1871)</f>
        <v>15986.58</v>
      </c>
      <c r="J1871" t="s">
        <v>5045</v>
      </c>
      <c r="K1871" t="s">
        <v>5047</v>
      </c>
      <c r="L1871" t="s">
        <v>5053</v>
      </c>
      <c r="M1871" t="s">
        <v>5055</v>
      </c>
    </row>
    <row r="1872" spans="1:13" x14ac:dyDescent="0.3">
      <c r="A1872" s="1">
        <v>45347</v>
      </c>
      <c r="B1872" s="1" t="str">
        <f>TEXT(Tabla1[[#This Row],[Fecha]],"MMMM")</f>
        <v>febrero</v>
      </c>
      <c r="C1872" t="s">
        <v>1882</v>
      </c>
      <c r="D1872" t="s">
        <v>5031</v>
      </c>
      <c r="E1872" t="s">
        <v>5033</v>
      </c>
      <c r="F1872" t="s">
        <v>5041</v>
      </c>
      <c r="G1872" s="3">
        <v>13294.33</v>
      </c>
      <c r="H1872" s="3">
        <v>1728.26</v>
      </c>
      <c r="I1872" s="3">
        <f>SUM(Tabla1[[#This Row],[Monto_Base]],H1872)</f>
        <v>15022.59</v>
      </c>
      <c r="J1872" t="s">
        <v>5045</v>
      </c>
      <c r="K1872" t="s">
        <v>5048</v>
      </c>
      <c r="L1872" t="s">
        <v>5052</v>
      </c>
      <c r="M1872" t="s">
        <v>5055</v>
      </c>
    </row>
    <row r="1873" spans="1:13" x14ac:dyDescent="0.3">
      <c r="A1873" s="1">
        <v>45517</v>
      </c>
      <c r="B1873" s="1" t="str">
        <f>TEXT(Tabla1[[#This Row],[Fecha]],"MMMM")</f>
        <v>agosto</v>
      </c>
      <c r="C1873" t="s">
        <v>1883</v>
      </c>
      <c r="D1873" t="s">
        <v>5012</v>
      </c>
      <c r="E1873" t="s">
        <v>5032</v>
      </c>
      <c r="F1873" t="s">
        <v>5034</v>
      </c>
      <c r="G1873" s="3">
        <v>14207.71</v>
      </c>
      <c r="H1873" s="3">
        <v>0</v>
      </c>
      <c r="I1873" s="3">
        <f>SUM(Tabla1[[#This Row],[Monto_Base]],H1873)</f>
        <v>14207.71</v>
      </c>
      <c r="J1873" t="s">
        <v>5045</v>
      </c>
      <c r="K1873" t="s">
        <v>5049</v>
      </c>
      <c r="L1873" t="s">
        <v>5052</v>
      </c>
      <c r="M1873" t="s">
        <v>5054</v>
      </c>
    </row>
    <row r="1874" spans="1:13" x14ac:dyDescent="0.3">
      <c r="A1874" s="1">
        <v>45595</v>
      </c>
      <c r="B1874" s="1" t="str">
        <f>TEXT(Tabla1[[#This Row],[Fecha]],"MMMM")</f>
        <v>octubre</v>
      </c>
      <c r="C1874" t="s">
        <v>1884</v>
      </c>
      <c r="D1874" t="s">
        <v>5012</v>
      </c>
      <c r="E1874" t="s">
        <v>5032</v>
      </c>
      <c r="F1874" t="s">
        <v>5036</v>
      </c>
      <c r="G1874" s="3">
        <v>12154.45</v>
      </c>
      <c r="H1874" s="3">
        <v>0</v>
      </c>
      <c r="I1874" s="3">
        <f>SUM(Tabla1[[#This Row],[Monto_Base]],H1874)</f>
        <v>12154.45</v>
      </c>
      <c r="J1874" t="s">
        <v>5044</v>
      </c>
      <c r="K1874" t="s">
        <v>5049</v>
      </c>
      <c r="L1874" t="s">
        <v>5053</v>
      </c>
      <c r="M1874" t="s">
        <v>5054</v>
      </c>
    </row>
    <row r="1875" spans="1:13" x14ac:dyDescent="0.3">
      <c r="A1875" s="1">
        <v>45459</v>
      </c>
      <c r="B1875" s="1" t="str">
        <f>TEXT(Tabla1[[#This Row],[Fecha]],"MMMM")</f>
        <v>junio</v>
      </c>
      <c r="C1875" t="s">
        <v>1885</v>
      </c>
      <c r="D1875" t="s">
        <v>5029</v>
      </c>
      <c r="E1875" t="s">
        <v>5033</v>
      </c>
      <c r="F1875" t="s">
        <v>5038</v>
      </c>
      <c r="G1875" s="3">
        <v>8448.5300000000007</v>
      </c>
      <c r="H1875" s="3">
        <v>1098.31</v>
      </c>
      <c r="I1875" s="3">
        <f>SUM(Tabla1[[#This Row],[Monto_Base]],H1875)</f>
        <v>9546.84</v>
      </c>
      <c r="J1875" t="s">
        <v>5044</v>
      </c>
      <c r="K1875" t="s">
        <v>5047</v>
      </c>
      <c r="L1875" t="s">
        <v>5052</v>
      </c>
      <c r="M1875" t="s">
        <v>5055</v>
      </c>
    </row>
    <row r="1876" spans="1:13" x14ac:dyDescent="0.3">
      <c r="A1876" s="1">
        <v>45596</v>
      </c>
      <c r="B1876" s="1" t="str">
        <f>TEXT(Tabla1[[#This Row],[Fecha]],"MMMM")</f>
        <v>octubre</v>
      </c>
      <c r="C1876" t="s">
        <v>1886</v>
      </c>
      <c r="D1876" t="s">
        <v>5014</v>
      </c>
      <c r="E1876" t="s">
        <v>5033</v>
      </c>
      <c r="F1876" t="s">
        <v>5037</v>
      </c>
      <c r="G1876" s="3">
        <v>5201.9799999999996</v>
      </c>
      <c r="H1876" s="3">
        <v>676.26</v>
      </c>
      <c r="I1876" s="3">
        <f>SUM(Tabla1[[#This Row],[Monto_Base]],H1876)</f>
        <v>5878.24</v>
      </c>
      <c r="J1876" t="s">
        <v>5044</v>
      </c>
      <c r="K1876" t="s">
        <v>5048</v>
      </c>
      <c r="L1876" t="s">
        <v>5050</v>
      </c>
      <c r="M1876" t="s">
        <v>5054</v>
      </c>
    </row>
    <row r="1877" spans="1:13" x14ac:dyDescent="0.3">
      <c r="A1877" s="1">
        <v>45451</v>
      </c>
      <c r="B1877" s="1" t="str">
        <f>TEXT(Tabla1[[#This Row],[Fecha]],"MMMM")</f>
        <v>junio</v>
      </c>
      <c r="C1877" t="s">
        <v>1887</v>
      </c>
      <c r="D1877" t="s">
        <v>5030</v>
      </c>
      <c r="E1877" t="s">
        <v>5033</v>
      </c>
      <c r="F1877" t="s">
        <v>5041</v>
      </c>
      <c r="G1877" s="3">
        <v>3072.66</v>
      </c>
      <c r="H1877" s="3">
        <v>399.45</v>
      </c>
      <c r="I1877" s="3">
        <f>SUM(Tabla1[[#This Row],[Monto_Base]],H1877)</f>
        <v>3472.1099999999997</v>
      </c>
      <c r="J1877" t="s">
        <v>5042</v>
      </c>
      <c r="K1877" t="s">
        <v>5047</v>
      </c>
      <c r="L1877" t="s">
        <v>5052</v>
      </c>
      <c r="M1877" t="s">
        <v>5054</v>
      </c>
    </row>
    <row r="1878" spans="1:13" x14ac:dyDescent="0.3">
      <c r="A1878" s="1">
        <v>45579</v>
      </c>
      <c r="B1878" s="1" t="str">
        <f>TEXT(Tabla1[[#This Row],[Fecha]],"MMMM")</f>
        <v>octubre</v>
      </c>
      <c r="C1878" t="s">
        <v>1888</v>
      </c>
      <c r="D1878" t="s">
        <v>5021</v>
      </c>
      <c r="E1878" t="s">
        <v>5032</v>
      </c>
      <c r="F1878" t="s">
        <v>5035</v>
      </c>
      <c r="G1878" s="3">
        <v>2348.25</v>
      </c>
      <c r="H1878" s="3">
        <v>0</v>
      </c>
      <c r="I1878" s="3">
        <f>SUM(Tabla1[[#This Row],[Monto_Base]],H1878)</f>
        <v>2348.25</v>
      </c>
      <c r="J1878" t="s">
        <v>5042</v>
      </c>
      <c r="K1878" t="s">
        <v>5048</v>
      </c>
      <c r="L1878" t="s">
        <v>5052</v>
      </c>
      <c r="M1878" t="s">
        <v>5054</v>
      </c>
    </row>
    <row r="1879" spans="1:13" x14ac:dyDescent="0.3">
      <c r="A1879" s="1">
        <v>45476</v>
      </c>
      <c r="B1879" s="1" t="str">
        <f>TEXT(Tabla1[[#This Row],[Fecha]],"MMMM")</f>
        <v>julio</v>
      </c>
      <c r="C1879" t="s">
        <v>1889</v>
      </c>
      <c r="D1879" t="s">
        <v>5018</v>
      </c>
      <c r="E1879" t="s">
        <v>5032</v>
      </c>
      <c r="F1879" t="s">
        <v>5034</v>
      </c>
      <c r="G1879" s="3">
        <v>14563.76</v>
      </c>
      <c r="H1879" s="3">
        <v>0</v>
      </c>
      <c r="I1879" s="3">
        <f>SUM(Tabla1[[#This Row],[Monto_Base]],H1879)</f>
        <v>14563.76</v>
      </c>
      <c r="J1879" t="s">
        <v>5043</v>
      </c>
      <c r="K1879" t="s">
        <v>5048</v>
      </c>
      <c r="L1879" t="s">
        <v>5052</v>
      </c>
      <c r="M1879" t="s">
        <v>5055</v>
      </c>
    </row>
    <row r="1880" spans="1:13" x14ac:dyDescent="0.3">
      <c r="A1880" s="1">
        <v>45571</v>
      </c>
      <c r="B1880" s="1" t="str">
        <f>TEXT(Tabla1[[#This Row],[Fecha]],"MMMM")</f>
        <v>octubre</v>
      </c>
      <c r="C1880" t="s">
        <v>1890</v>
      </c>
      <c r="D1880" t="s">
        <v>5027</v>
      </c>
      <c r="E1880" t="s">
        <v>5033</v>
      </c>
      <c r="F1880" t="s">
        <v>5037</v>
      </c>
      <c r="G1880" s="3">
        <v>12937.56</v>
      </c>
      <c r="H1880" s="3">
        <v>1681.88</v>
      </c>
      <c r="I1880" s="3">
        <f>SUM(Tabla1[[#This Row],[Monto_Base]],H1880)</f>
        <v>14619.439999999999</v>
      </c>
      <c r="J1880" t="s">
        <v>5043</v>
      </c>
      <c r="K1880" t="s">
        <v>5047</v>
      </c>
      <c r="L1880" t="s">
        <v>5050</v>
      </c>
      <c r="M1880" t="s">
        <v>5055</v>
      </c>
    </row>
    <row r="1881" spans="1:13" x14ac:dyDescent="0.3">
      <c r="A1881" s="1">
        <v>45569</v>
      </c>
      <c r="B1881" s="1" t="str">
        <f>TEXT(Tabla1[[#This Row],[Fecha]],"MMMM")</f>
        <v>octubre</v>
      </c>
      <c r="C1881" t="s">
        <v>1891</v>
      </c>
      <c r="D1881" t="s">
        <v>5031</v>
      </c>
      <c r="E1881" t="s">
        <v>5033</v>
      </c>
      <c r="F1881" t="s">
        <v>5038</v>
      </c>
      <c r="G1881" s="3">
        <v>13370.39</v>
      </c>
      <c r="H1881" s="3">
        <v>1738.15</v>
      </c>
      <c r="I1881" s="3">
        <f>SUM(Tabla1[[#This Row],[Monto_Base]],H1881)</f>
        <v>15108.539999999999</v>
      </c>
      <c r="J1881" t="s">
        <v>5042</v>
      </c>
      <c r="K1881" t="s">
        <v>5047</v>
      </c>
      <c r="L1881" t="s">
        <v>5051</v>
      </c>
      <c r="M1881" t="s">
        <v>5054</v>
      </c>
    </row>
    <row r="1882" spans="1:13" x14ac:dyDescent="0.3">
      <c r="A1882" s="1">
        <v>45362</v>
      </c>
      <c r="B1882" s="1" t="str">
        <f>TEXT(Tabla1[[#This Row],[Fecha]],"MMMM")</f>
        <v>marzo</v>
      </c>
      <c r="C1882" t="s">
        <v>1892</v>
      </c>
      <c r="D1882" t="s">
        <v>5024</v>
      </c>
      <c r="E1882" t="s">
        <v>5032</v>
      </c>
      <c r="F1882" t="s">
        <v>5038</v>
      </c>
      <c r="G1882" s="3">
        <v>6118.09</v>
      </c>
      <c r="H1882" s="3">
        <v>0</v>
      </c>
      <c r="I1882" s="3">
        <f>SUM(Tabla1[[#This Row],[Monto_Base]],H1882)</f>
        <v>6118.09</v>
      </c>
      <c r="J1882" t="s">
        <v>5042</v>
      </c>
      <c r="K1882" t="s">
        <v>5047</v>
      </c>
      <c r="L1882" t="s">
        <v>5051</v>
      </c>
      <c r="M1882" t="s">
        <v>5055</v>
      </c>
    </row>
    <row r="1883" spans="1:13" x14ac:dyDescent="0.3">
      <c r="A1883" s="1">
        <v>45493</v>
      </c>
      <c r="B1883" s="1" t="str">
        <f>TEXT(Tabla1[[#This Row],[Fecha]],"MMMM")</f>
        <v>julio</v>
      </c>
      <c r="C1883" t="s">
        <v>1893</v>
      </c>
      <c r="D1883" t="s">
        <v>5018</v>
      </c>
      <c r="E1883" t="s">
        <v>5032</v>
      </c>
      <c r="F1883" t="s">
        <v>5038</v>
      </c>
      <c r="G1883" s="3">
        <v>10585.08</v>
      </c>
      <c r="H1883" s="3">
        <v>0</v>
      </c>
      <c r="I1883" s="3">
        <f>SUM(Tabla1[[#This Row],[Monto_Base]],H1883)</f>
        <v>10585.08</v>
      </c>
      <c r="J1883" t="s">
        <v>5044</v>
      </c>
      <c r="K1883" t="s">
        <v>5048</v>
      </c>
      <c r="L1883" t="s">
        <v>5051</v>
      </c>
      <c r="M1883" t="s">
        <v>5055</v>
      </c>
    </row>
    <row r="1884" spans="1:13" x14ac:dyDescent="0.3">
      <c r="A1884" s="1">
        <v>45385</v>
      </c>
      <c r="B1884" s="1" t="str">
        <f>TEXT(Tabla1[[#This Row],[Fecha]],"MMMM")</f>
        <v>abril</v>
      </c>
      <c r="C1884" t="s">
        <v>1894</v>
      </c>
      <c r="D1884" t="s">
        <v>5015</v>
      </c>
      <c r="E1884" t="s">
        <v>5032</v>
      </c>
      <c r="F1884" t="s">
        <v>5039</v>
      </c>
      <c r="G1884" s="3">
        <v>3129.55</v>
      </c>
      <c r="H1884" s="3">
        <v>0</v>
      </c>
      <c r="I1884" s="3">
        <f>SUM(Tabla1[[#This Row],[Monto_Base]],H1884)</f>
        <v>3129.55</v>
      </c>
      <c r="J1884" t="s">
        <v>5045</v>
      </c>
      <c r="K1884" t="s">
        <v>5049</v>
      </c>
      <c r="L1884" t="s">
        <v>5053</v>
      </c>
      <c r="M1884" t="s">
        <v>5055</v>
      </c>
    </row>
    <row r="1885" spans="1:13" x14ac:dyDescent="0.3">
      <c r="A1885" s="1">
        <v>45450</v>
      </c>
      <c r="B1885" s="1" t="str">
        <f>TEXT(Tabla1[[#This Row],[Fecha]],"MMMM")</f>
        <v>junio</v>
      </c>
      <c r="C1885" t="s">
        <v>1895</v>
      </c>
      <c r="D1885" t="s">
        <v>5030</v>
      </c>
      <c r="E1885" t="s">
        <v>5033</v>
      </c>
      <c r="F1885" t="s">
        <v>5041</v>
      </c>
      <c r="G1885" s="3">
        <v>9452.7099999999991</v>
      </c>
      <c r="H1885" s="3">
        <v>1228.8499999999999</v>
      </c>
      <c r="I1885" s="3">
        <f>SUM(Tabla1[[#This Row],[Monto_Base]],H1885)</f>
        <v>10681.56</v>
      </c>
      <c r="J1885" t="s">
        <v>5045</v>
      </c>
      <c r="K1885" t="s">
        <v>5049</v>
      </c>
      <c r="L1885" t="s">
        <v>5053</v>
      </c>
      <c r="M1885" t="s">
        <v>5054</v>
      </c>
    </row>
    <row r="1886" spans="1:13" x14ac:dyDescent="0.3">
      <c r="A1886" s="1">
        <v>45490</v>
      </c>
      <c r="B1886" s="1" t="str">
        <f>TEXT(Tabla1[[#This Row],[Fecha]],"MMMM")</f>
        <v>julio</v>
      </c>
      <c r="C1886" t="s">
        <v>1896</v>
      </c>
      <c r="D1886" t="s">
        <v>5013</v>
      </c>
      <c r="E1886" t="s">
        <v>5033</v>
      </c>
      <c r="F1886" t="s">
        <v>5041</v>
      </c>
      <c r="G1886" s="3">
        <v>11694.69</v>
      </c>
      <c r="H1886" s="3">
        <v>1520.31</v>
      </c>
      <c r="I1886" s="3">
        <f>SUM(Tabla1[[#This Row],[Monto_Base]],H1886)</f>
        <v>13215</v>
      </c>
      <c r="J1886" t="s">
        <v>5045</v>
      </c>
      <c r="K1886" t="s">
        <v>5049</v>
      </c>
      <c r="L1886" t="s">
        <v>5053</v>
      </c>
      <c r="M1886" t="s">
        <v>5054</v>
      </c>
    </row>
    <row r="1887" spans="1:13" x14ac:dyDescent="0.3">
      <c r="A1887" s="1">
        <v>45651</v>
      </c>
      <c r="B1887" s="1" t="str">
        <f>TEXT(Tabla1[[#This Row],[Fecha]],"MMMM")</f>
        <v>diciembre</v>
      </c>
      <c r="C1887" t="s">
        <v>1897</v>
      </c>
      <c r="D1887" t="s">
        <v>5029</v>
      </c>
      <c r="E1887" t="s">
        <v>5032</v>
      </c>
      <c r="F1887" t="s">
        <v>5037</v>
      </c>
      <c r="G1887" s="3">
        <v>857.05</v>
      </c>
      <c r="H1887" s="3">
        <v>0</v>
      </c>
      <c r="I1887" s="3">
        <f>SUM(Tabla1[[#This Row],[Monto_Base]],H1887)</f>
        <v>857.05</v>
      </c>
      <c r="J1887" t="s">
        <v>5046</v>
      </c>
      <c r="K1887" t="s">
        <v>5047</v>
      </c>
      <c r="L1887" t="s">
        <v>5053</v>
      </c>
      <c r="M1887" t="s">
        <v>5055</v>
      </c>
    </row>
    <row r="1888" spans="1:13" x14ac:dyDescent="0.3">
      <c r="A1888" s="1">
        <v>45334</v>
      </c>
      <c r="B1888" s="1" t="str">
        <f>TEXT(Tabla1[[#This Row],[Fecha]],"MMMM")</f>
        <v>febrero</v>
      </c>
      <c r="C1888" t="s">
        <v>1898</v>
      </c>
      <c r="D1888" t="s">
        <v>5024</v>
      </c>
      <c r="E1888" t="s">
        <v>5032</v>
      </c>
      <c r="F1888" t="s">
        <v>5038</v>
      </c>
      <c r="G1888" s="3">
        <v>10494.56</v>
      </c>
      <c r="H1888" s="3">
        <v>0</v>
      </c>
      <c r="I1888" s="3">
        <f>SUM(Tabla1[[#This Row],[Monto_Base]],H1888)</f>
        <v>10494.56</v>
      </c>
      <c r="J1888" t="s">
        <v>5046</v>
      </c>
      <c r="K1888" t="s">
        <v>5047</v>
      </c>
      <c r="L1888" t="s">
        <v>5053</v>
      </c>
      <c r="M1888" t="s">
        <v>5054</v>
      </c>
    </row>
    <row r="1889" spans="1:13" x14ac:dyDescent="0.3">
      <c r="A1889" s="1">
        <v>45322</v>
      </c>
      <c r="B1889" s="1" t="str">
        <f>TEXT(Tabla1[[#This Row],[Fecha]],"MMMM")</f>
        <v>enero</v>
      </c>
      <c r="C1889" t="s">
        <v>1899</v>
      </c>
      <c r="D1889" t="s">
        <v>5018</v>
      </c>
      <c r="E1889" t="s">
        <v>5032</v>
      </c>
      <c r="F1889" t="s">
        <v>5040</v>
      </c>
      <c r="G1889" s="3">
        <v>13085.25</v>
      </c>
      <c r="H1889" s="3">
        <v>0</v>
      </c>
      <c r="I1889" s="3">
        <f>SUM(Tabla1[[#This Row],[Monto_Base]],H1889)</f>
        <v>13085.25</v>
      </c>
      <c r="J1889" t="s">
        <v>5045</v>
      </c>
      <c r="K1889" t="s">
        <v>5047</v>
      </c>
      <c r="L1889" t="s">
        <v>5050</v>
      </c>
      <c r="M1889" t="s">
        <v>5054</v>
      </c>
    </row>
    <row r="1890" spans="1:13" x14ac:dyDescent="0.3">
      <c r="A1890" s="1">
        <v>45385</v>
      </c>
      <c r="B1890" s="1" t="str">
        <f>TEXT(Tabla1[[#This Row],[Fecha]],"MMMM")</f>
        <v>abril</v>
      </c>
      <c r="C1890" t="s">
        <v>1900</v>
      </c>
      <c r="D1890" t="s">
        <v>5015</v>
      </c>
      <c r="E1890" t="s">
        <v>5033</v>
      </c>
      <c r="F1890" t="s">
        <v>5040</v>
      </c>
      <c r="G1890" s="3">
        <v>3258.25</v>
      </c>
      <c r="H1890" s="3">
        <v>423.57</v>
      </c>
      <c r="I1890" s="3">
        <f>SUM(Tabla1[[#This Row],[Monto_Base]],H1890)</f>
        <v>3681.82</v>
      </c>
      <c r="J1890" t="s">
        <v>5044</v>
      </c>
      <c r="K1890" t="s">
        <v>5049</v>
      </c>
      <c r="L1890" t="s">
        <v>5051</v>
      </c>
      <c r="M1890" t="s">
        <v>5055</v>
      </c>
    </row>
    <row r="1891" spans="1:13" x14ac:dyDescent="0.3">
      <c r="A1891" s="1">
        <v>45544</v>
      </c>
      <c r="B1891" s="1" t="str">
        <f>TEXT(Tabla1[[#This Row],[Fecha]],"MMMM")</f>
        <v>septiembre</v>
      </c>
      <c r="C1891" t="s">
        <v>1901</v>
      </c>
      <c r="D1891" t="s">
        <v>5022</v>
      </c>
      <c r="E1891" t="s">
        <v>5032</v>
      </c>
      <c r="F1891" t="s">
        <v>5038</v>
      </c>
      <c r="G1891" s="3">
        <v>705.2</v>
      </c>
      <c r="H1891" s="3">
        <v>0</v>
      </c>
      <c r="I1891" s="3">
        <f>SUM(Tabla1[[#This Row],[Monto_Base]],H1891)</f>
        <v>705.2</v>
      </c>
      <c r="J1891" t="s">
        <v>5045</v>
      </c>
      <c r="K1891" t="s">
        <v>5048</v>
      </c>
      <c r="L1891" t="s">
        <v>5052</v>
      </c>
      <c r="M1891" t="s">
        <v>5054</v>
      </c>
    </row>
    <row r="1892" spans="1:13" x14ac:dyDescent="0.3">
      <c r="A1892" s="1">
        <v>45594</v>
      </c>
      <c r="B1892" s="1" t="str">
        <f>TEXT(Tabla1[[#This Row],[Fecha]],"MMMM")</f>
        <v>octubre</v>
      </c>
      <c r="C1892" t="s">
        <v>1902</v>
      </c>
      <c r="D1892" t="s">
        <v>5014</v>
      </c>
      <c r="E1892" t="s">
        <v>5033</v>
      </c>
      <c r="F1892" t="s">
        <v>5040</v>
      </c>
      <c r="G1892" s="3">
        <v>10639.04</v>
      </c>
      <c r="H1892" s="3">
        <v>1383.08</v>
      </c>
      <c r="I1892" s="3">
        <f>SUM(Tabla1[[#This Row],[Monto_Base]],H1892)</f>
        <v>12022.12</v>
      </c>
      <c r="J1892" t="s">
        <v>5044</v>
      </c>
      <c r="K1892" t="s">
        <v>5049</v>
      </c>
      <c r="L1892" t="s">
        <v>5053</v>
      </c>
      <c r="M1892" t="s">
        <v>5054</v>
      </c>
    </row>
    <row r="1893" spans="1:13" x14ac:dyDescent="0.3">
      <c r="A1893" s="1">
        <v>45638</v>
      </c>
      <c r="B1893" s="1" t="str">
        <f>TEXT(Tabla1[[#This Row],[Fecha]],"MMMM")</f>
        <v>diciembre</v>
      </c>
      <c r="C1893" t="s">
        <v>1903</v>
      </c>
      <c r="D1893" t="s">
        <v>5012</v>
      </c>
      <c r="E1893" t="s">
        <v>5033</v>
      </c>
      <c r="F1893" t="s">
        <v>5037</v>
      </c>
      <c r="G1893" s="3">
        <v>4353.29</v>
      </c>
      <c r="H1893" s="3">
        <v>565.92999999999995</v>
      </c>
      <c r="I1893" s="3">
        <f>SUM(Tabla1[[#This Row],[Monto_Base]],H1893)</f>
        <v>4919.22</v>
      </c>
      <c r="J1893" t="s">
        <v>5042</v>
      </c>
      <c r="K1893" t="s">
        <v>5047</v>
      </c>
      <c r="L1893" t="s">
        <v>5051</v>
      </c>
      <c r="M1893" t="s">
        <v>5054</v>
      </c>
    </row>
    <row r="1894" spans="1:13" x14ac:dyDescent="0.3">
      <c r="A1894" s="1">
        <v>45356</v>
      </c>
      <c r="B1894" s="1" t="str">
        <f>TEXT(Tabla1[[#This Row],[Fecha]],"MMMM")</f>
        <v>marzo</v>
      </c>
      <c r="C1894" t="s">
        <v>1904</v>
      </c>
      <c r="D1894" t="s">
        <v>5031</v>
      </c>
      <c r="E1894" t="s">
        <v>5033</v>
      </c>
      <c r="F1894" t="s">
        <v>5035</v>
      </c>
      <c r="G1894" s="3">
        <v>4197.6400000000003</v>
      </c>
      <c r="H1894" s="3">
        <v>545.69000000000005</v>
      </c>
      <c r="I1894" s="3">
        <f>SUM(Tabla1[[#This Row],[Monto_Base]],H1894)</f>
        <v>4743.33</v>
      </c>
      <c r="J1894" t="s">
        <v>5045</v>
      </c>
      <c r="K1894" t="s">
        <v>5047</v>
      </c>
      <c r="L1894" t="s">
        <v>5050</v>
      </c>
      <c r="M1894" t="s">
        <v>5054</v>
      </c>
    </row>
    <row r="1895" spans="1:13" x14ac:dyDescent="0.3">
      <c r="A1895" s="1">
        <v>45340</v>
      </c>
      <c r="B1895" s="1" t="str">
        <f>TEXT(Tabla1[[#This Row],[Fecha]],"MMMM")</f>
        <v>febrero</v>
      </c>
      <c r="C1895" t="s">
        <v>1905</v>
      </c>
      <c r="D1895" t="s">
        <v>5030</v>
      </c>
      <c r="E1895" t="s">
        <v>5033</v>
      </c>
      <c r="F1895" t="s">
        <v>5038</v>
      </c>
      <c r="G1895" s="3">
        <v>9421.57</v>
      </c>
      <c r="H1895" s="3">
        <v>1224.8</v>
      </c>
      <c r="I1895" s="3">
        <f>SUM(Tabla1[[#This Row],[Monto_Base]],H1895)</f>
        <v>10646.369999999999</v>
      </c>
      <c r="J1895" t="s">
        <v>5046</v>
      </c>
      <c r="K1895" t="s">
        <v>5049</v>
      </c>
      <c r="L1895" t="s">
        <v>5051</v>
      </c>
      <c r="M1895" t="s">
        <v>5054</v>
      </c>
    </row>
    <row r="1896" spans="1:13" x14ac:dyDescent="0.3">
      <c r="A1896" s="1">
        <v>45466</v>
      </c>
      <c r="B1896" s="1" t="str">
        <f>TEXT(Tabla1[[#This Row],[Fecha]],"MMMM")</f>
        <v>junio</v>
      </c>
      <c r="C1896" t="s">
        <v>1906</v>
      </c>
      <c r="D1896" t="s">
        <v>5020</v>
      </c>
      <c r="E1896" t="s">
        <v>5033</v>
      </c>
      <c r="F1896" t="s">
        <v>5040</v>
      </c>
      <c r="G1896" s="3">
        <v>10306.07</v>
      </c>
      <c r="H1896" s="3">
        <v>1339.79</v>
      </c>
      <c r="I1896" s="3">
        <f>SUM(Tabla1[[#This Row],[Monto_Base]],H1896)</f>
        <v>11645.86</v>
      </c>
      <c r="J1896" t="s">
        <v>5046</v>
      </c>
      <c r="K1896" t="s">
        <v>5047</v>
      </c>
      <c r="L1896" t="s">
        <v>5051</v>
      </c>
      <c r="M1896" t="s">
        <v>5055</v>
      </c>
    </row>
    <row r="1897" spans="1:13" x14ac:dyDescent="0.3">
      <c r="A1897" s="1">
        <v>45583</v>
      </c>
      <c r="B1897" s="1" t="str">
        <f>TEXT(Tabla1[[#This Row],[Fecha]],"MMMM")</f>
        <v>octubre</v>
      </c>
      <c r="C1897" t="s">
        <v>1907</v>
      </c>
      <c r="D1897" t="s">
        <v>5012</v>
      </c>
      <c r="E1897" t="s">
        <v>5033</v>
      </c>
      <c r="F1897" t="s">
        <v>5037</v>
      </c>
      <c r="G1897" s="3">
        <v>14458.12</v>
      </c>
      <c r="H1897" s="3">
        <v>1879.56</v>
      </c>
      <c r="I1897" s="3">
        <f>SUM(Tabla1[[#This Row],[Monto_Base]],H1897)</f>
        <v>16337.68</v>
      </c>
      <c r="J1897" t="s">
        <v>5042</v>
      </c>
      <c r="K1897" t="s">
        <v>5047</v>
      </c>
      <c r="L1897" t="s">
        <v>5053</v>
      </c>
      <c r="M1897" t="s">
        <v>5055</v>
      </c>
    </row>
    <row r="1898" spans="1:13" x14ac:dyDescent="0.3">
      <c r="A1898" s="1">
        <v>45516</v>
      </c>
      <c r="B1898" s="1" t="str">
        <f>TEXT(Tabla1[[#This Row],[Fecha]],"MMMM")</f>
        <v>agosto</v>
      </c>
      <c r="C1898" t="s">
        <v>1908</v>
      </c>
      <c r="D1898" t="s">
        <v>5016</v>
      </c>
      <c r="E1898" t="s">
        <v>5033</v>
      </c>
      <c r="F1898" t="s">
        <v>5036</v>
      </c>
      <c r="G1898" s="3">
        <v>8223.69</v>
      </c>
      <c r="H1898" s="3">
        <v>1069.08</v>
      </c>
      <c r="I1898" s="3">
        <f>SUM(Tabla1[[#This Row],[Monto_Base]],H1898)</f>
        <v>9292.77</v>
      </c>
      <c r="J1898" t="s">
        <v>5043</v>
      </c>
      <c r="K1898" t="s">
        <v>5048</v>
      </c>
      <c r="L1898" t="s">
        <v>5053</v>
      </c>
      <c r="M1898" t="s">
        <v>5054</v>
      </c>
    </row>
    <row r="1899" spans="1:13" x14ac:dyDescent="0.3">
      <c r="A1899" s="1">
        <v>45403</v>
      </c>
      <c r="B1899" s="1" t="str">
        <f>TEXT(Tabla1[[#This Row],[Fecha]],"MMMM")</f>
        <v>abril</v>
      </c>
      <c r="C1899" t="s">
        <v>1909</v>
      </c>
      <c r="D1899" t="s">
        <v>5016</v>
      </c>
      <c r="E1899" t="s">
        <v>5032</v>
      </c>
      <c r="F1899" t="s">
        <v>5039</v>
      </c>
      <c r="G1899" s="3">
        <v>10764.01</v>
      </c>
      <c r="H1899" s="3">
        <v>0</v>
      </c>
      <c r="I1899" s="3">
        <f>SUM(Tabla1[[#This Row],[Monto_Base]],H1899)</f>
        <v>10764.01</v>
      </c>
      <c r="J1899" t="s">
        <v>5046</v>
      </c>
      <c r="K1899" t="s">
        <v>5049</v>
      </c>
      <c r="L1899" t="s">
        <v>5051</v>
      </c>
      <c r="M1899" t="s">
        <v>5055</v>
      </c>
    </row>
    <row r="1900" spans="1:13" x14ac:dyDescent="0.3">
      <c r="A1900" s="1">
        <v>45526</v>
      </c>
      <c r="B1900" s="1" t="str">
        <f>TEXT(Tabla1[[#This Row],[Fecha]],"MMMM")</f>
        <v>agosto</v>
      </c>
      <c r="C1900" t="s">
        <v>1910</v>
      </c>
      <c r="D1900" t="s">
        <v>5024</v>
      </c>
      <c r="E1900" t="s">
        <v>5033</v>
      </c>
      <c r="F1900" t="s">
        <v>5035</v>
      </c>
      <c r="G1900" s="3">
        <v>5919.83</v>
      </c>
      <c r="H1900" s="3">
        <v>769.58</v>
      </c>
      <c r="I1900" s="3">
        <f>SUM(Tabla1[[#This Row],[Monto_Base]],H1900)</f>
        <v>6689.41</v>
      </c>
      <c r="J1900" t="s">
        <v>5043</v>
      </c>
      <c r="K1900" t="s">
        <v>5047</v>
      </c>
      <c r="L1900" t="s">
        <v>5051</v>
      </c>
      <c r="M1900" t="s">
        <v>5055</v>
      </c>
    </row>
    <row r="1901" spans="1:13" x14ac:dyDescent="0.3">
      <c r="A1901" s="1">
        <v>45329</v>
      </c>
      <c r="B1901" s="1" t="str">
        <f>TEXT(Tabla1[[#This Row],[Fecha]],"MMMM")</f>
        <v>febrero</v>
      </c>
      <c r="C1901" t="s">
        <v>1911</v>
      </c>
      <c r="D1901" t="s">
        <v>5017</v>
      </c>
      <c r="E1901" t="s">
        <v>5033</v>
      </c>
      <c r="F1901" t="s">
        <v>5040</v>
      </c>
      <c r="G1901" s="3">
        <v>12435.21</v>
      </c>
      <c r="H1901" s="3">
        <v>1616.58</v>
      </c>
      <c r="I1901" s="3">
        <f>SUM(Tabla1[[#This Row],[Monto_Base]],H1901)</f>
        <v>14051.789999999999</v>
      </c>
      <c r="J1901" t="s">
        <v>5043</v>
      </c>
      <c r="K1901" t="s">
        <v>5047</v>
      </c>
      <c r="L1901" t="s">
        <v>5050</v>
      </c>
      <c r="M1901" t="s">
        <v>5055</v>
      </c>
    </row>
    <row r="1902" spans="1:13" x14ac:dyDescent="0.3">
      <c r="A1902" s="1">
        <v>45527</v>
      </c>
      <c r="B1902" s="1" t="str">
        <f>TEXT(Tabla1[[#This Row],[Fecha]],"MMMM")</f>
        <v>agosto</v>
      </c>
      <c r="C1902" t="s">
        <v>1912</v>
      </c>
      <c r="D1902" t="s">
        <v>5028</v>
      </c>
      <c r="E1902" t="s">
        <v>5032</v>
      </c>
      <c r="F1902" t="s">
        <v>5039</v>
      </c>
      <c r="G1902" s="3">
        <v>4323.74</v>
      </c>
      <c r="H1902" s="3">
        <v>0</v>
      </c>
      <c r="I1902" s="3">
        <f>SUM(Tabla1[[#This Row],[Monto_Base]],H1902)</f>
        <v>4323.74</v>
      </c>
      <c r="J1902" t="s">
        <v>5042</v>
      </c>
      <c r="K1902" t="s">
        <v>5048</v>
      </c>
      <c r="L1902" t="s">
        <v>5052</v>
      </c>
      <c r="M1902" t="s">
        <v>5054</v>
      </c>
    </row>
    <row r="1903" spans="1:13" x14ac:dyDescent="0.3">
      <c r="A1903" s="1">
        <v>45449</v>
      </c>
      <c r="B1903" s="1" t="str">
        <f>TEXT(Tabla1[[#This Row],[Fecha]],"MMMM")</f>
        <v>junio</v>
      </c>
      <c r="C1903" t="s">
        <v>1913</v>
      </c>
      <c r="D1903" t="s">
        <v>5031</v>
      </c>
      <c r="E1903" t="s">
        <v>5033</v>
      </c>
      <c r="F1903" t="s">
        <v>5034</v>
      </c>
      <c r="G1903" s="3">
        <v>11849.69</v>
      </c>
      <c r="H1903" s="3">
        <v>1540.46</v>
      </c>
      <c r="I1903" s="3">
        <f>SUM(Tabla1[[#This Row],[Monto_Base]],H1903)</f>
        <v>13390.150000000001</v>
      </c>
      <c r="J1903" t="s">
        <v>5044</v>
      </c>
      <c r="K1903" t="s">
        <v>5047</v>
      </c>
      <c r="L1903" t="s">
        <v>5053</v>
      </c>
      <c r="M1903" t="s">
        <v>5054</v>
      </c>
    </row>
    <row r="1904" spans="1:13" x14ac:dyDescent="0.3">
      <c r="A1904" s="1">
        <v>45315</v>
      </c>
      <c r="B1904" s="1" t="str">
        <f>TEXT(Tabla1[[#This Row],[Fecha]],"MMMM")</f>
        <v>enero</v>
      </c>
      <c r="C1904" t="s">
        <v>1914</v>
      </c>
      <c r="D1904" t="s">
        <v>5031</v>
      </c>
      <c r="E1904" t="s">
        <v>5033</v>
      </c>
      <c r="F1904" t="s">
        <v>5037</v>
      </c>
      <c r="G1904" s="3">
        <v>12592.01</v>
      </c>
      <c r="H1904" s="3">
        <v>1636.96</v>
      </c>
      <c r="I1904" s="3">
        <f>SUM(Tabla1[[#This Row],[Monto_Base]],H1904)</f>
        <v>14228.970000000001</v>
      </c>
      <c r="J1904" t="s">
        <v>5044</v>
      </c>
      <c r="K1904" t="s">
        <v>5047</v>
      </c>
      <c r="L1904" t="s">
        <v>5053</v>
      </c>
      <c r="M1904" t="s">
        <v>5055</v>
      </c>
    </row>
    <row r="1905" spans="1:13" x14ac:dyDescent="0.3">
      <c r="A1905" s="1">
        <v>45351</v>
      </c>
      <c r="B1905" s="1" t="str">
        <f>TEXT(Tabla1[[#This Row],[Fecha]],"MMMM")</f>
        <v>febrero</v>
      </c>
      <c r="C1905" t="s">
        <v>1915</v>
      </c>
      <c r="D1905" t="s">
        <v>5024</v>
      </c>
      <c r="E1905" t="s">
        <v>5033</v>
      </c>
      <c r="F1905" t="s">
        <v>5039</v>
      </c>
      <c r="G1905" s="3">
        <v>13301.66</v>
      </c>
      <c r="H1905" s="3">
        <v>1729.22</v>
      </c>
      <c r="I1905" s="3">
        <f>SUM(Tabla1[[#This Row],[Monto_Base]],H1905)</f>
        <v>15030.88</v>
      </c>
      <c r="J1905" t="s">
        <v>5045</v>
      </c>
      <c r="K1905" t="s">
        <v>5048</v>
      </c>
      <c r="L1905" t="s">
        <v>5050</v>
      </c>
      <c r="M1905" t="s">
        <v>5055</v>
      </c>
    </row>
    <row r="1906" spans="1:13" x14ac:dyDescent="0.3">
      <c r="A1906" s="1">
        <v>45463</v>
      </c>
      <c r="B1906" s="1" t="str">
        <f>TEXT(Tabla1[[#This Row],[Fecha]],"MMMM")</f>
        <v>junio</v>
      </c>
      <c r="C1906" t="s">
        <v>1916</v>
      </c>
      <c r="D1906" t="s">
        <v>5026</v>
      </c>
      <c r="E1906" t="s">
        <v>5033</v>
      </c>
      <c r="F1906" t="s">
        <v>5038</v>
      </c>
      <c r="G1906" s="3">
        <v>13450.95</v>
      </c>
      <c r="H1906" s="3">
        <v>1748.62</v>
      </c>
      <c r="I1906" s="3">
        <f>SUM(Tabla1[[#This Row],[Monto_Base]],H1906)</f>
        <v>15199.57</v>
      </c>
      <c r="J1906" t="s">
        <v>5043</v>
      </c>
      <c r="K1906" t="s">
        <v>5048</v>
      </c>
      <c r="L1906" t="s">
        <v>5050</v>
      </c>
      <c r="M1906" t="s">
        <v>5055</v>
      </c>
    </row>
    <row r="1907" spans="1:13" x14ac:dyDescent="0.3">
      <c r="A1907" s="1">
        <v>45494</v>
      </c>
      <c r="B1907" s="1" t="str">
        <f>TEXT(Tabla1[[#This Row],[Fecha]],"MMMM")</f>
        <v>julio</v>
      </c>
      <c r="C1907" t="s">
        <v>1917</v>
      </c>
      <c r="D1907" t="s">
        <v>5013</v>
      </c>
      <c r="E1907" t="s">
        <v>5033</v>
      </c>
      <c r="F1907" t="s">
        <v>5037</v>
      </c>
      <c r="G1907" s="3">
        <v>4709.6899999999996</v>
      </c>
      <c r="H1907" s="3">
        <v>612.26</v>
      </c>
      <c r="I1907" s="3">
        <f>SUM(Tabla1[[#This Row],[Monto_Base]],H1907)</f>
        <v>5321.95</v>
      </c>
      <c r="J1907" t="s">
        <v>5045</v>
      </c>
      <c r="K1907" t="s">
        <v>5047</v>
      </c>
      <c r="L1907" t="s">
        <v>5052</v>
      </c>
      <c r="M1907" t="s">
        <v>5055</v>
      </c>
    </row>
    <row r="1908" spans="1:13" x14ac:dyDescent="0.3">
      <c r="A1908" s="1">
        <v>45558</v>
      </c>
      <c r="B1908" s="1" t="str">
        <f>TEXT(Tabla1[[#This Row],[Fecha]],"MMMM")</f>
        <v>septiembre</v>
      </c>
      <c r="C1908" t="s">
        <v>1918</v>
      </c>
      <c r="D1908" t="s">
        <v>5012</v>
      </c>
      <c r="E1908" t="s">
        <v>5033</v>
      </c>
      <c r="F1908" t="s">
        <v>5041</v>
      </c>
      <c r="G1908" s="3">
        <v>5582.16</v>
      </c>
      <c r="H1908" s="3">
        <v>725.68</v>
      </c>
      <c r="I1908" s="3">
        <f>SUM(Tabla1[[#This Row],[Monto_Base]],H1908)</f>
        <v>6307.84</v>
      </c>
      <c r="J1908" t="s">
        <v>5046</v>
      </c>
      <c r="K1908" t="s">
        <v>5047</v>
      </c>
      <c r="L1908" t="s">
        <v>5051</v>
      </c>
      <c r="M1908" t="s">
        <v>5055</v>
      </c>
    </row>
    <row r="1909" spans="1:13" x14ac:dyDescent="0.3">
      <c r="A1909" s="1">
        <v>45350</v>
      </c>
      <c r="B1909" s="1" t="str">
        <f>TEXT(Tabla1[[#This Row],[Fecha]],"MMMM")</f>
        <v>febrero</v>
      </c>
      <c r="C1909" t="s">
        <v>1919</v>
      </c>
      <c r="D1909" t="s">
        <v>5022</v>
      </c>
      <c r="E1909" t="s">
        <v>5033</v>
      </c>
      <c r="F1909" t="s">
        <v>5035</v>
      </c>
      <c r="G1909" s="3">
        <v>13614.6</v>
      </c>
      <c r="H1909" s="3">
        <v>1769.9</v>
      </c>
      <c r="I1909" s="3">
        <f>SUM(Tabla1[[#This Row],[Monto_Base]],H1909)</f>
        <v>15384.5</v>
      </c>
      <c r="J1909" t="s">
        <v>5045</v>
      </c>
      <c r="K1909" t="s">
        <v>5048</v>
      </c>
      <c r="L1909" t="s">
        <v>5052</v>
      </c>
      <c r="M1909" t="s">
        <v>5054</v>
      </c>
    </row>
    <row r="1910" spans="1:13" x14ac:dyDescent="0.3">
      <c r="A1910" s="1">
        <v>45378</v>
      </c>
      <c r="B1910" s="1" t="str">
        <f>TEXT(Tabla1[[#This Row],[Fecha]],"MMMM")</f>
        <v>marzo</v>
      </c>
      <c r="C1910" t="s">
        <v>1920</v>
      </c>
      <c r="D1910" t="s">
        <v>5026</v>
      </c>
      <c r="E1910" t="s">
        <v>5033</v>
      </c>
      <c r="F1910" t="s">
        <v>5037</v>
      </c>
      <c r="G1910" s="3">
        <v>10521.34</v>
      </c>
      <c r="H1910" s="3">
        <v>1367.77</v>
      </c>
      <c r="I1910" s="3">
        <f>SUM(Tabla1[[#This Row],[Monto_Base]],H1910)</f>
        <v>11889.11</v>
      </c>
      <c r="J1910" t="s">
        <v>5045</v>
      </c>
      <c r="K1910" t="s">
        <v>5049</v>
      </c>
      <c r="L1910" t="s">
        <v>5052</v>
      </c>
      <c r="M1910" t="s">
        <v>5054</v>
      </c>
    </row>
    <row r="1911" spans="1:13" x14ac:dyDescent="0.3">
      <c r="A1911" s="1">
        <v>45643</v>
      </c>
      <c r="B1911" s="1" t="str">
        <f>TEXT(Tabla1[[#This Row],[Fecha]],"MMMM")</f>
        <v>diciembre</v>
      </c>
      <c r="C1911" t="s">
        <v>1921</v>
      </c>
      <c r="D1911" t="s">
        <v>5016</v>
      </c>
      <c r="E1911" t="s">
        <v>5033</v>
      </c>
      <c r="F1911" t="s">
        <v>5041</v>
      </c>
      <c r="G1911" s="3">
        <v>10855.7</v>
      </c>
      <c r="H1911" s="3">
        <v>1411.24</v>
      </c>
      <c r="I1911" s="3">
        <f>SUM(Tabla1[[#This Row],[Monto_Base]],H1911)</f>
        <v>12266.94</v>
      </c>
      <c r="J1911" t="s">
        <v>5044</v>
      </c>
      <c r="K1911" t="s">
        <v>5049</v>
      </c>
      <c r="L1911" t="s">
        <v>5053</v>
      </c>
      <c r="M1911" t="s">
        <v>5055</v>
      </c>
    </row>
    <row r="1912" spans="1:13" x14ac:dyDescent="0.3">
      <c r="A1912" s="1">
        <v>45462</v>
      </c>
      <c r="B1912" s="1" t="str">
        <f>TEXT(Tabla1[[#This Row],[Fecha]],"MMMM")</f>
        <v>junio</v>
      </c>
      <c r="C1912" t="s">
        <v>1922</v>
      </c>
      <c r="D1912" t="s">
        <v>5013</v>
      </c>
      <c r="E1912" t="s">
        <v>5032</v>
      </c>
      <c r="F1912" t="s">
        <v>5034</v>
      </c>
      <c r="G1912" s="3">
        <v>8056.18</v>
      </c>
      <c r="H1912" s="3">
        <v>0</v>
      </c>
      <c r="I1912" s="3">
        <f>SUM(Tabla1[[#This Row],[Monto_Base]],H1912)</f>
        <v>8056.18</v>
      </c>
      <c r="J1912" t="s">
        <v>5042</v>
      </c>
      <c r="K1912" t="s">
        <v>5049</v>
      </c>
      <c r="L1912" t="s">
        <v>5053</v>
      </c>
      <c r="M1912" t="s">
        <v>5055</v>
      </c>
    </row>
    <row r="1913" spans="1:13" x14ac:dyDescent="0.3">
      <c r="A1913" s="1">
        <v>45556</v>
      </c>
      <c r="B1913" s="1" t="str">
        <f>TEXT(Tabla1[[#This Row],[Fecha]],"MMMM")</f>
        <v>septiembre</v>
      </c>
      <c r="C1913" t="s">
        <v>1923</v>
      </c>
      <c r="D1913" t="s">
        <v>5025</v>
      </c>
      <c r="E1913" t="s">
        <v>5033</v>
      </c>
      <c r="F1913" t="s">
        <v>5036</v>
      </c>
      <c r="G1913" s="3">
        <v>5756.71</v>
      </c>
      <c r="H1913" s="3">
        <v>748.37</v>
      </c>
      <c r="I1913" s="3">
        <f>SUM(Tabla1[[#This Row],[Monto_Base]],H1913)</f>
        <v>6505.08</v>
      </c>
      <c r="J1913" t="s">
        <v>5045</v>
      </c>
      <c r="K1913" t="s">
        <v>5049</v>
      </c>
      <c r="L1913" t="s">
        <v>5053</v>
      </c>
      <c r="M1913" t="s">
        <v>5055</v>
      </c>
    </row>
    <row r="1914" spans="1:13" x14ac:dyDescent="0.3">
      <c r="A1914" s="1">
        <v>45484</v>
      </c>
      <c r="B1914" s="1" t="str">
        <f>TEXT(Tabla1[[#This Row],[Fecha]],"MMMM")</f>
        <v>julio</v>
      </c>
      <c r="C1914" t="s">
        <v>1924</v>
      </c>
      <c r="D1914" t="s">
        <v>5018</v>
      </c>
      <c r="E1914" t="s">
        <v>5033</v>
      </c>
      <c r="F1914" t="s">
        <v>5036</v>
      </c>
      <c r="G1914" s="3">
        <v>8234.9599999999991</v>
      </c>
      <c r="H1914" s="3">
        <v>1070.54</v>
      </c>
      <c r="I1914" s="3">
        <f>SUM(Tabla1[[#This Row],[Monto_Base]],H1914)</f>
        <v>9305.5</v>
      </c>
      <c r="J1914" t="s">
        <v>5042</v>
      </c>
      <c r="K1914" t="s">
        <v>5047</v>
      </c>
      <c r="L1914" t="s">
        <v>5050</v>
      </c>
      <c r="M1914" t="s">
        <v>5054</v>
      </c>
    </row>
    <row r="1915" spans="1:13" x14ac:dyDescent="0.3">
      <c r="A1915" s="1">
        <v>45555</v>
      </c>
      <c r="B1915" s="1" t="str">
        <f>TEXT(Tabla1[[#This Row],[Fecha]],"MMMM")</f>
        <v>septiembre</v>
      </c>
      <c r="C1915" t="s">
        <v>1925</v>
      </c>
      <c r="D1915" t="s">
        <v>5020</v>
      </c>
      <c r="E1915" t="s">
        <v>5032</v>
      </c>
      <c r="F1915" t="s">
        <v>5035</v>
      </c>
      <c r="G1915" s="3">
        <v>9877.48</v>
      </c>
      <c r="H1915" s="3">
        <v>0</v>
      </c>
      <c r="I1915" s="3">
        <f>SUM(Tabla1[[#This Row],[Monto_Base]],H1915)</f>
        <v>9877.48</v>
      </c>
      <c r="J1915" t="s">
        <v>5046</v>
      </c>
      <c r="K1915" t="s">
        <v>5047</v>
      </c>
      <c r="L1915" t="s">
        <v>5050</v>
      </c>
      <c r="M1915" t="s">
        <v>5054</v>
      </c>
    </row>
    <row r="1916" spans="1:13" x14ac:dyDescent="0.3">
      <c r="A1916" s="1">
        <v>45566</v>
      </c>
      <c r="B1916" s="1" t="str">
        <f>TEXT(Tabla1[[#This Row],[Fecha]],"MMMM")</f>
        <v>octubre</v>
      </c>
      <c r="C1916" t="s">
        <v>1926</v>
      </c>
      <c r="D1916" t="s">
        <v>5012</v>
      </c>
      <c r="E1916" t="s">
        <v>5033</v>
      </c>
      <c r="F1916" t="s">
        <v>5034</v>
      </c>
      <c r="G1916" s="3">
        <v>9244.8799999999992</v>
      </c>
      <c r="H1916" s="3">
        <v>1201.83</v>
      </c>
      <c r="I1916" s="3">
        <f>SUM(Tabla1[[#This Row],[Monto_Base]],H1916)</f>
        <v>10446.709999999999</v>
      </c>
      <c r="J1916" t="s">
        <v>5046</v>
      </c>
      <c r="K1916" t="s">
        <v>5049</v>
      </c>
      <c r="L1916" t="s">
        <v>5052</v>
      </c>
      <c r="M1916" t="s">
        <v>5054</v>
      </c>
    </row>
    <row r="1917" spans="1:13" x14ac:dyDescent="0.3">
      <c r="A1917" s="1">
        <v>45541</v>
      </c>
      <c r="B1917" s="1" t="str">
        <f>TEXT(Tabla1[[#This Row],[Fecha]],"MMMM")</f>
        <v>septiembre</v>
      </c>
      <c r="C1917" t="s">
        <v>1927</v>
      </c>
      <c r="D1917" t="s">
        <v>5012</v>
      </c>
      <c r="E1917" t="s">
        <v>5032</v>
      </c>
      <c r="F1917" t="s">
        <v>5036</v>
      </c>
      <c r="G1917" s="3">
        <v>4197.49</v>
      </c>
      <c r="H1917" s="3">
        <v>0</v>
      </c>
      <c r="I1917" s="3">
        <f>SUM(Tabla1[[#This Row],[Monto_Base]],H1917)</f>
        <v>4197.49</v>
      </c>
      <c r="J1917" t="s">
        <v>5044</v>
      </c>
      <c r="K1917" t="s">
        <v>5049</v>
      </c>
      <c r="L1917" t="s">
        <v>5052</v>
      </c>
      <c r="M1917" t="s">
        <v>5054</v>
      </c>
    </row>
    <row r="1918" spans="1:13" x14ac:dyDescent="0.3">
      <c r="A1918" s="1">
        <v>45655</v>
      </c>
      <c r="B1918" s="1" t="str">
        <f>TEXT(Tabla1[[#This Row],[Fecha]],"MMMM")</f>
        <v>diciembre</v>
      </c>
      <c r="C1918" t="s">
        <v>1928</v>
      </c>
      <c r="D1918" t="s">
        <v>5013</v>
      </c>
      <c r="E1918" t="s">
        <v>5032</v>
      </c>
      <c r="F1918" t="s">
        <v>5040</v>
      </c>
      <c r="G1918" s="3">
        <v>8680.25</v>
      </c>
      <c r="H1918" s="3">
        <v>0</v>
      </c>
      <c r="I1918" s="3">
        <f>SUM(Tabla1[[#This Row],[Monto_Base]],H1918)</f>
        <v>8680.25</v>
      </c>
      <c r="J1918" t="s">
        <v>5046</v>
      </c>
      <c r="K1918" t="s">
        <v>5049</v>
      </c>
      <c r="L1918" t="s">
        <v>5053</v>
      </c>
      <c r="M1918" t="s">
        <v>5054</v>
      </c>
    </row>
    <row r="1919" spans="1:13" x14ac:dyDescent="0.3">
      <c r="A1919" s="1">
        <v>45433</v>
      </c>
      <c r="B1919" s="1" t="str">
        <f>TEXT(Tabla1[[#This Row],[Fecha]],"MMMM")</f>
        <v>mayo</v>
      </c>
      <c r="C1919" t="s">
        <v>1929</v>
      </c>
      <c r="D1919" t="s">
        <v>5026</v>
      </c>
      <c r="E1919" t="s">
        <v>5033</v>
      </c>
      <c r="F1919" t="s">
        <v>5034</v>
      </c>
      <c r="G1919" s="3">
        <v>14681.2</v>
      </c>
      <c r="H1919" s="3">
        <v>1908.56</v>
      </c>
      <c r="I1919" s="3">
        <f>SUM(Tabla1[[#This Row],[Monto_Base]],H1919)</f>
        <v>16589.760000000002</v>
      </c>
      <c r="J1919" t="s">
        <v>5046</v>
      </c>
      <c r="K1919" t="s">
        <v>5047</v>
      </c>
      <c r="L1919" t="s">
        <v>5052</v>
      </c>
      <c r="M1919" t="s">
        <v>5054</v>
      </c>
    </row>
    <row r="1920" spans="1:13" x14ac:dyDescent="0.3">
      <c r="A1920" s="1">
        <v>45344</v>
      </c>
      <c r="B1920" s="1" t="str">
        <f>TEXT(Tabla1[[#This Row],[Fecha]],"MMMM")</f>
        <v>febrero</v>
      </c>
      <c r="C1920" t="s">
        <v>1930</v>
      </c>
      <c r="D1920" t="s">
        <v>5025</v>
      </c>
      <c r="E1920" t="s">
        <v>5032</v>
      </c>
      <c r="F1920" t="s">
        <v>5039</v>
      </c>
      <c r="G1920" s="3">
        <v>10447.02</v>
      </c>
      <c r="H1920" s="3">
        <v>0</v>
      </c>
      <c r="I1920" s="3">
        <f>SUM(Tabla1[[#This Row],[Monto_Base]],H1920)</f>
        <v>10447.02</v>
      </c>
      <c r="J1920" t="s">
        <v>5046</v>
      </c>
      <c r="K1920" t="s">
        <v>5048</v>
      </c>
      <c r="L1920" t="s">
        <v>5052</v>
      </c>
      <c r="M1920" t="s">
        <v>5054</v>
      </c>
    </row>
    <row r="1921" spans="1:13" x14ac:dyDescent="0.3">
      <c r="A1921" s="1">
        <v>45316</v>
      </c>
      <c r="B1921" s="1" t="str">
        <f>TEXT(Tabla1[[#This Row],[Fecha]],"MMMM")</f>
        <v>enero</v>
      </c>
      <c r="C1921" t="s">
        <v>1931</v>
      </c>
      <c r="D1921" t="s">
        <v>5023</v>
      </c>
      <c r="E1921" t="s">
        <v>5033</v>
      </c>
      <c r="F1921" t="s">
        <v>5037</v>
      </c>
      <c r="G1921" s="3">
        <v>5065.2</v>
      </c>
      <c r="H1921" s="3">
        <v>658.48</v>
      </c>
      <c r="I1921" s="3">
        <f>SUM(Tabla1[[#This Row],[Monto_Base]],H1921)</f>
        <v>5723.68</v>
      </c>
      <c r="J1921" t="s">
        <v>5043</v>
      </c>
      <c r="K1921" t="s">
        <v>5048</v>
      </c>
      <c r="L1921" t="s">
        <v>5050</v>
      </c>
      <c r="M1921" t="s">
        <v>5054</v>
      </c>
    </row>
    <row r="1922" spans="1:13" x14ac:dyDescent="0.3">
      <c r="A1922" s="1">
        <v>45517</v>
      </c>
      <c r="B1922" s="1" t="str">
        <f>TEXT(Tabla1[[#This Row],[Fecha]],"MMMM")</f>
        <v>agosto</v>
      </c>
      <c r="C1922" t="s">
        <v>1932</v>
      </c>
      <c r="D1922" t="s">
        <v>5012</v>
      </c>
      <c r="E1922" t="s">
        <v>5032</v>
      </c>
      <c r="F1922" t="s">
        <v>5034</v>
      </c>
      <c r="G1922" s="3">
        <v>14026.8</v>
      </c>
      <c r="H1922" s="3">
        <v>0</v>
      </c>
      <c r="I1922" s="3">
        <f>SUM(Tabla1[[#This Row],[Monto_Base]],H1922)</f>
        <v>14026.8</v>
      </c>
      <c r="J1922" t="s">
        <v>5043</v>
      </c>
      <c r="K1922" t="s">
        <v>5048</v>
      </c>
      <c r="L1922" t="s">
        <v>5051</v>
      </c>
      <c r="M1922" t="s">
        <v>5055</v>
      </c>
    </row>
    <row r="1923" spans="1:13" x14ac:dyDescent="0.3">
      <c r="A1923" s="1">
        <v>45642</v>
      </c>
      <c r="B1923" s="1" t="str">
        <f>TEXT(Tabla1[[#This Row],[Fecha]],"MMMM")</f>
        <v>diciembre</v>
      </c>
      <c r="C1923" t="s">
        <v>1933</v>
      </c>
      <c r="D1923" t="s">
        <v>5031</v>
      </c>
      <c r="E1923" t="s">
        <v>5033</v>
      </c>
      <c r="F1923" t="s">
        <v>5039</v>
      </c>
      <c r="G1923" s="3">
        <v>11530.18</v>
      </c>
      <c r="H1923" s="3">
        <v>1498.92</v>
      </c>
      <c r="I1923" s="3">
        <f>SUM(Tabla1[[#This Row],[Monto_Base]],H1923)</f>
        <v>13029.1</v>
      </c>
      <c r="J1923" t="s">
        <v>5045</v>
      </c>
      <c r="K1923" t="s">
        <v>5049</v>
      </c>
      <c r="L1923" t="s">
        <v>5052</v>
      </c>
      <c r="M1923" t="s">
        <v>5054</v>
      </c>
    </row>
    <row r="1924" spans="1:13" x14ac:dyDescent="0.3">
      <c r="A1924" s="1">
        <v>45603</v>
      </c>
      <c r="B1924" s="1" t="str">
        <f>TEXT(Tabla1[[#This Row],[Fecha]],"MMMM")</f>
        <v>noviembre</v>
      </c>
      <c r="C1924" t="s">
        <v>1934</v>
      </c>
      <c r="D1924" t="s">
        <v>5030</v>
      </c>
      <c r="E1924" t="s">
        <v>5032</v>
      </c>
      <c r="F1924" t="s">
        <v>5038</v>
      </c>
      <c r="G1924" s="3">
        <v>5702.9</v>
      </c>
      <c r="H1924" s="3">
        <v>0</v>
      </c>
      <c r="I1924" s="3">
        <f>SUM(Tabla1[[#This Row],[Monto_Base]],H1924)</f>
        <v>5702.9</v>
      </c>
      <c r="J1924" t="s">
        <v>5045</v>
      </c>
      <c r="K1924" t="s">
        <v>5047</v>
      </c>
      <c r="L1924" t="s">
        <v>5052</v>
      </c>
      <c r="M1924" t="s">
        <v>5054</v>
      </c>
    </row>
    <row r="1925" spans="1:13" x14ac:dyDescent="0.3">
      <c r="A1925" s="1">
        <v>45490</v>
      </c>
      <c r="B1925" s="1" t="str">
        <f>TEXT(Tabla1[[#This Row],[Fecha]],"MMMM")</f>
        <v>julio</v>
      </c>
      <c r="C1925" t="s">
        <v>1935</v>
      </c>
      <c r="D1925" t="s">
        <v>5021</v>
      </c>
      <c r="E1925" t="s">
        <v>5033</v>
      </c>
      <c r="F1925" t="s">
        <v>5038</v>
      </c>
      <c r="G1925" s="3">
        <v>1049.8699999999999</v>
      </c>
      <c r="H1925" s="3">
        <v>136.47999999999999</v>
      </c>
      <c r="I1925" s="3">
        <f>SUM(Tabla1[[#This Row],[Monto_Base]],H1925)</f>
        <v>1186.3499999999999</v>
      </c>
      <c r="J1925" t="s">
        <v>5043</v>
      </c>
      <c r="K1925" t="s">
        <v>5047</v>
      </c>
      <c r="L1925" t="s">
        <v>5052</v>
      </c>
      <c r="M1925" t="s">
        <v>5054</v>
      </c>
    </row>
    <row r="1926" spans="1:13" x14ac:dyDescent="0.3">
      <c r="A1926" s="1">
        <v>45320</v>
      </c>
      <c r="B1926" s="1" t="str">
        <f>TEXT(Tabla1[[#This Row],[Fecha]],"MMMM")</f>
        <v>enero</v>
      </c>
      <c r="C1926" t="s">
        <v>1936</v>
      </c>
      <c r="D1926" t="s">
        <v>5013</v>
      </c>
      <c r="E1926" t="s">
        <v>5032</v>
      </c>
      <c r="F1926" t="s">
        <v>5041</v>
      </c>
      <c r="G1926" s="3">
        <v>259.18</v>
      </c>
      <c r="H1926" s="3">
        <v>0</v>
      </c>
      <c r="I1926" s="3">
        <f>SUM(Tabla1[[#This Row],[Monto_Base]],H1926)</f>
        <v>259.18</v>
      </c>
      <c r="J1926" t="s">
        <v>5044</v>
      </c>
      <c r="K1926" t="s">
        <v>5048</v>
      </c>
      <c r="L1926" t="s">
        <v>5051</v>
      </c>
      <c r="M1926" t="s">
        <v>5055</v>
      </c>
    </row>
    <row r="1927" spans="1:13" x14ac:dyDescent="0.3">
      <c r="A1927" s="1">
        <v>45493</v>
      </c>
      <c r="B1927" s="1" t="str">
        <f>TEXT(Tabla1[[#This Row],[Fecha]],"MMMM")</f>
        <v>julio</v>
      </c>
      <c r="C1927" t="s">
        <v>1937</v>
      </c>
      <c r="D1927" t="s">
        <v>5025</v>
      </c>
      <c r="E1927" t="s">
        <v>5033</v>
      </c>
      <c r="F1927" t="s">
        <v>5037</v>
      </c>
      <c r="G1927" s="3">
        <v>3546.32</v>
      </c>
      <c r="H1927" s="3">
        <v>461.02</v>
      </c>
      <c r="I1927" s="3">
        <f>SUM(Tabla1[[#This Row],[Monto_Base]],H1927)</f>
        <v>4007.34</v>
      </c>
      <c r="J1927" t="s">
        <v>5046</v>
      </c>
      <c r="K1927" t="s">
        <v>5047</v>
      </c>
      <c r="L1927" t="s">
        <v>5050</v>
      </c>
      <c r="M1927" t="s">
        <v>5055</v>
      </c>
    </row>
    <row r="1928" spans="1:13" x14ac:dyDescent="0.3">
      <c r="A1928" s="1">
        <v>45422</v>
      </c>
      <c r="B1928" s="1" t="str">
        <f>TEXT(Tabla1[[#This Row],[Fecha]],"MMMM")</f>
        <v>mayo</v>
      </c>
      <c r="C1928" t="s">
        <v>1938</v>
      </c>
      <c r="D1928" t="s">
        <v>5022</v>
      </c>
      <c r="E1928" t="s">
        <v>5032</v>
      </c>
      <c r="F1928" t="s">
        <v>5038</v>
      </c>
      <c r="G1928" s="3">
        <v>11693.1</v>
      </c>
      <c r="H1928" s="3">
        <v>0</v>
      </c>
      <c r="I1928" s="3">
        <f>SUM(Tabla1[[#This Row],[Monto_Base]],H1928)</f>
        <v>11693.1</v>
      </c>
      <c r="J1928" t="s">
        <v>5044</v>
      </c>
      <c r="K1928" t="s">
        <v>5049</v>
      </c>
      <c r="L1928" t="s">
        <v>5053</v>
      </c>
      <c r="M1928" t="s">
        <v>5055</v>
      </c>
    </row>
    <row r="1929" spans="1:13" x14ac:dyDescent="0.3">
      <c r="A1929" s="1">
        <v>45388</v>
      </c>
      <c r="B1929" s="1" t="str">
        <f>TEXT(Tabla1[[#This Row],[Fecha]],"MMMM")</f>
        <v>abril</v>
      </c>
      <c r="C1929" t="s">
        <v>1939</v>
      </c>
      <c r="D1929" t="s">
        <v>5019</v>
      </c>
      <c r="E1929" t="s">
        <v>5033</v>
      </c>
      <c r="F1929" t="s">
        <v>5038</v>
      </c>
      <c r="G1929" s="3">
        <v>9089.65</v>
      </c>
      <c r="H1929" s="3">
        <v>1181.6500000000001</v>
      </c>
      <c r="I1929" s="3">
        <f>SUM(Tabla1[[#This Row],[Monto_Base]],H1929)</f>
        <v>10271.299999999999</v>
      </c>
      <c r="J1929" t="s">
        <v>5046</v>
      </c>
      <c r="K1929" t="s">
        <v>5049</v>
      </c>
      <c r="L1929" t="s">
        <v>5050</v>
      </c>
      <c r="M1929" t="s">
        <v>5055</v>
      </c>
    </row>
    <row r="1930" spans="1:13" x14ac:dyDescent="0.3">
      <c r="A1930" s="1">
        <v>45358</v>
      </c>
      <c r="B1930" s="1" t="str">
        <f>TEXT(Tabla1[[#This Row],[Fecha]],"MMMM")</f>
        <v>marzo</v>
      </c>
      <c r="C1930" t="s">
        <v>1940</v>
      </c>
      <c r="D1930" t="s">
        <v>5021</v>
      </c>
      <c r="E1930" t="s">
        <v>5032</v>
      </c>
      <c r="F1930" t="s">
        <v>5039</v>
      </c>
      <c r="G1930" s="3">
        <v>6831.55</v>
      </c>
      <c r="H1930" s="3">
        <v>0</v>
      </c>
      <c r="I1930" s="3">
        <f>SUM(Tabla1[[#This Row],[Monto_Base]],H1930)</f>
        <v>6831.55</v>
      </c>
      <c r="J1930" t="s">
        <v>5046</v>
      </c>
      <c r="K1930" t="s">
        <v>5048</v>
      </c>
      <c r="L1930" t="s">
        <v>5052</v>
      </c>
      <c r="M1930" t="s">
        <v>5055</v>
      </c>
    </row>
    <row r="1931" spans="1:13" x14ac:dyDescent="0.3">
      <c r="A1931" s="1">
        <v>45502</v>
      </c>
      <c r="B1931" s="1" t="str">
        <f>TEXT(Tabla1[[#This Row],[Fecha]],"MMMM")</f>
        <v>julio</v>
      </c>
      <c r="C1931" t="s">
        <v>1941</v>
      </c>
      <c r="D1931" t="s">
        <v>5013</v>
      </c>
      <c r="E1931" t="s">
        <v>5032</v>
      </c>
      <c r="F1931" t="s">
        <v>5039</v>
      </c>
      <c r="G1931" s="3">
        <v>3873.11</v>
      </c>
      <c r="H1931" s="3">
        <v>0</v>
      </c>
      <c r="I1931" s="3">
        <f>SUM(Tabla1[[#This Row],[Monto_Base]],H1931)</f>
        <v>3873.11</v>
      </c>
      <c r="J1931" t="s">
        <v>5046</v>
      </c>
      <c r="K1931" t="s">
        <v>5049</v>
      </c>
      <c r="L1931" t="s">
        <v>5051</v>
      </c>
      <c r="M1931" t="s">
        <v>5055</v>
      </c>
    </row>
    <row r="1932" spans="1:13" x14ac:dyDescent="0.3">
      <c r="A1932" s="1">
        <v>45544</v>
      </c>
      <c r="B1932" s="1" t="str">
        <f>TEXT(Tabla1[[#This Row],[Fecha]],"MMMM")</f>
        <v>septiembre</v>
      </c>
      <c r="C1932" t="s">
        <v>1942</v>
      </c>
      <c r="D1932" t="s">
        <v>5028</v>
      </c>
      <c r="E1932" t="s">
        <v>5033</v>
      </c>
      <c r="F1932" t="s">
        <v>5035</v>
      </c>
      <c r="G1932" s="3">
        <v>8030.32</v>
      </c>
      <c r="H1932" s="3">
        <v>1043.94</v>
      </c>
      <c r="I1932" s="3">
        <f>SUM(Tabla1[[#This Row],[Monto_Base]],H1932)</f>
        <v>9074.26</v>
      </c>
      <c r="J1932" t="s">
        <v>5042</v>
      </c>
      <c r="K1932" t="s">
        <v>5049</v>
      </c>
      <c r="L1932" t="s">
        <v>5053</v>
      </c>
      <c r="M1932" t="s">
        <v>5055</v>
      </c>
    </row>
    <row r="1933" spans="1:13" x14ac:dyDescent="0.3">
      <c r="A1933" s="1">
        <v>45584</v>
      </c>
      <c r="B1933" s="1" t="str">
        <f>TEXT(Tabla1[[#This Row],[Fecha]],"MMMM")</f>
        <v>octubre</v>
      </c>
      <c r="C1933" t="s">
        <v>1943</v>
      </c>
      <c r="D1933" t="s">
        <v>5017</v>
      </c>
      <c r="E1933" t="s">
        <v>5032</v>
      </c>
      <c r="F1933" t="s">
        <v>5036</v>
      </c>
      <c r="G1933" s="3">
        <v>9887.32</v>
      </c>
      <c r="H1933" s="3">
        <v>0</v>
      </c>
      <c r="I1933" s="3">
        <f>SUM(Tabla1[[#This Row],[Monto_Base]],H1933)</f>
        <v>9887.32</v>
      </c>
      <c r="J1933" t="s">
        <v>5043</v>
      </c>
      <c r="K1933" t="s">
        <v>5048</v>
      </c>
      <c r="L1933" t="s">
        <v>5052</v>
      </c>
      <c r="M1933" t="s">
        <v>5054</v>
      </c>
    </row>
    <row r="1934" spans="1:13" x14ac:dyDescent="0.3">
      <c r="A1934" s="1">
        <v>45387</v>
      </c>
      <c r="B1934" s="1" t="str">
        <f>TEXT(Tabla1[[#This Row],[Fecha]],"MMMM")</f>
        <v>abril</v>
      </c>
      <c r="C1934" t="s">
        <v>1944</v>
      </c>
      <c r="D1934" t="s">
        <v>5024</v>
      </c>
      <c r="E1934" t="s">
        <v>5033</v>
      </c>
      <c r="F1934" t="s">
        <v>5038</v>
      </c>
      <c r="G1934" s="3">
        <v>14211.16</v>
      </c>
      <c r="H1934" s="3">
        <v>1847.45</v>
      </c>
      <c r="I1934" s="3">
        <f>SUM(Tabla1[[#This Row],[Monto_Base]],H1934)</f>
        <v>16058.61</v>
      </c>
      <c r="J1934" t="s">
        <v>5044</v>
      </c>
      <c r="K1934" t="s">
        <v>5049</v>
      </c>
      <c r="L1934" t="s">
        <v>5053</v>
      </c>
      <c r="M1934" t="s">
        <v>5055</v>
      </c>
    </row>
    <row r="1935" spans="1:13" x14ac:dyDescent="0.3">
      <c r="A1935" s="1">
        <v>45309</v>
      </c>
      <c r="B1935" s="1" t="str">
        <f>TEXT(Tabla1[[#This Row],[Fecha]],"MMMM")</f>
        <v>enero</v>
      </c>
      <c r="C1935" t="s">
        <v>1945</v>
      </c>
      <c r="D1935" t="s">
        <v>5017</v>
      </c>
      <c r="E1935" t="s">
        <v>5033</v>
      </c>
      <c r="F1935" t="s">
        <v>5038</v>
      </c>
      <c r="G1935" s="3">
        <v>14241.07</v>
      </c>
      <c r="H1935" s="3">
        <v>1851.34</v>
      </c>
      <c r="I1935" s="3">
        <f>SUM(Tabla1[[#This Row],[Monto_Base]],H1935)</f>
        <v>16092.41</v>
      </c>
      <c r="J1935" t="s">
        <v>5046</v>
      </c>
      <c r="K1935" t="s">
        <v>5047</v>
      </c>
      <c r="L1935" t="s">
        <v>5053</v>
      </c>
      <c r="M1935" t="s">
        <v>5055</v>
      </c>
    </row>
    <row r="1936" spans="1:13" x14ac:dyDescent="0.3">
      <c r="A1936" s="1">
        <v>45428</v>
      </c>
      <c r="B1936" s="1" t="str">
        <f>TEXT(Tabla1[[#This Row],[Fecha]],"MMMM")</f>
        <v>mayo</v>
      </c>
      <c r="C1936" t="s">
        <v>1946</v>
      </c>
      <c r="D1936" t="s">
        <v>5019</v>
      </c>
      <c r="E1936" t="s">
        <v>5033</v>
      </c>
      <c r="F1936" t="s">
        <v>5040</v>
      </c>
      <c r="G1936" s="3">
        <v>14703.06</v>
      </c>
      <c r="H1936" s="3">
        <v>1911.4</v>
      </c>
      <c r="I1936" s="3">
        <f>SUM(Tabla1[[#This Row],[Monto_Base]],H1936)</f>
        <v>16614.46</v>
      </c>
      <c r="J1936" t="s">
        <v>5044</v>
      </c>
      <c r="K1936" t="s">
        <v>5048</v>
      </c>
      <c r="L1936" t="s">
        <v>5050</v>
      </c>
      <c r="M1936" t="s">
        <v>5055</v>
      </c>
    </row>
    <row r="1937" spans="1:13" x14ac:dyDescent="0.3">
      <c r="A1937" s="1">
        <v>45429</v>
      </c>
      <c r="B1937" s="1" t="str">
        <f>TEXT(Tabla1[[#This Row],[Fecha]],"MMMM")</f>
        <v>mayo</v>
      </c>
      <c r="C1937" t="s">
        <v>1947</v>
      </c>
      <c r="D1937" t="s">
        <v>5020</v>
      </c>
      <c r="E1937" t="s">
        <v>5032</v>
      </c>
      <c r="F1937" t="s">
        <v>5037</v>
      </c>
      <c r="G1937" s="3">
        <v>8823.06</v>
      </c>
      <c r="H1937" s="3">
        <v>0</v>
      </c>
      <c r="I1937" s="3">
        <f>SUM(Tabla1[[#This Row],[Monto_Base]],H1937)</f>
        <v>8823.06</v>
      </c>
      <c r="J1937" t="s">
        <v>5044</v>
      </c>
      <c r="K1937" t="s">
        <v>5047</v>
      </c>
      <c r="L1937" t="s">
        <v>5051</v>
      </c>
      <c r="M1937" t="s">
        <v>5054</v>
      </c>
    </row>
    <row r="1938" spans="1:13" x14ac:dyDescent="0.3">
      <c r="A1938" s="1">
        <v>45596</v>
      </c>
      <c r="B1938" s="1" t="str">
        <f>TEXT(Tabla1[[#This Row],[Fecha]],"MMMM")</f>
        <v>octubre</v>
      </c>
      <c r="C1938" t="s">
        <v>1948</v>
      </c>
      <c r="D1938" t="s">
        <v>5020</v>
      </c>
      <c r="E1938" t="s">
        <v>5032</v>
      </c>
      <c r="F1938" t="s">
        <v>5038</v>
      </c>
      <c r="G1938" s="3">
        <v>5925.76</v>
      </c>
      <c r="H1938" s="3">
        <v>0</v>
      </c>
      <c r="I1938" s="3">
        <f>SUM(Tabla1[[#This Row],[Monto_Base]],H1938)</f>
        <v>5925.76</v>
      </c>
      <c r="J1938" t="s">
        <v>5042</v>
      </c>
      <c r="K1938" t="s">
        <v>5048</v>
      </c>
      <c r="L1938" t="s">
        <v>5053</v>
      </c>
      <c r="M1938" t="s">
        <v>5055</v>
      </c>
    </row>
    <row r="1939" spans="1:13" x14ac:dyDescent="0.3">
      <c r="A1939" s="1">
        <v>45438</v>
      </c>
      <c r="B1939" s="1" t="str">
        <f>TEXT(Tabla1[[#This Row],[Fecha]],"MMMM")</f>
        <v>mayo</v>
      </c>
      <c r="C1939" t="s">
        <v>1949</v>
      </c>
      <c r="D1939" t="s">
        <v>5021</v>
      </c>
      <c r="E1939" t="s">
        <v>5033</v>
      </c>
      <c r="F1939" t="s">
        <v>5036</v>
      </c>
      <c r="G1939" s="3">
        <v>2697.39</v>
      </c>
      <c r="H1939" s="3">
        <v>350.66</v>
      </c>
      <c r="I1939" s="3">
        <f>SUM(Tabla1[[#This Row],[Monto_Base]],H1939)</f>
        <v>3048.0499999999997</v>
      </c>
      <c r="J1939" t="s">
        <v>5044</v>
      </c>
      <c r="K1939" t="s">
        <v>5047</v>
      </c>
      <c r="L1939" t="s">
        <v>5053</v>
      </c>
      <c r="M1939" t="s">
        <v>5055</v>
      </c>
    </row>
    <row r="1940" spans="1:13" x14ac:dyDescent="0.3">
      <c r="A1940" s="1">
        <v>45496</v>
      </c>
      <c r="B1940" s="1" t="str">
        <f>TEXT(Tabla1[[#This Row],[Fecha]],"MMMM")</f>
        <v>julio</v>
      </c>
      <c r="C1940" t="s">
        <v>1950</v>
      </c>
      <c r="D1940" t="s">
        <v>5016</v>
      </c>
      <c r="E1940" t="s">
        <v>5033</v>
      </c>
      <c r="F1940" t="s">
        <v>5040</v>
      </c>
      <c r="G1940" s="3">
        <v>2821.2</v>
      </c>
      <c r="H1940" s="3">
        <v>366.76</v>
      </c>
      <c r="I1940" s="3">
        <f>SUM(Tabla1[[#This Row],[Monto_Base]],H1940)</f>
        <v>3187.96</v>
      </c>
      <c r="J1940" t="s">
        <v>5042</v>
      </c>
      <c r="K1940" t="s">
        <v>5047</v>
      </c>
      <c r="L1940" t="s">
        <v>5051</v>
      </c>
      <c r="M1940" t="s">
        <v>5055</v>
      </c>
    </row>
    <row r="1941" spans="1:13" x14ac:dyDescent="0.3">
      <c r="A1941" s="1">
        <v>45414</v>
      </c>
      <c r="B1941" s="1" t="str">
        <f>TEXT(Tabla1[[#This Row],[Fecha]],"MMMM")</f>
        <v>mayo</v>
      </c>
      <c r="C1941" t="s">
        <v>1951</v>
      </c>
      <c r="D1941" t="s">
        <v>5019</v>
      </c>
      <c r="E1941" t="s">
        <v>5032</v>
      </c>
      <c r="F1941" t="s">
        <v>5041</v>
      </c>
      <c r="G1941" s="3">
        <v>2766.77</v>
      </c>
      <c r="H1941" s="3">
        <v>0</v>
      </c>
      <c r="I1941" s="3">
        <f>SUM(Tabla1[[#This Row],[Monto_Base]],H1941)</f>
        <v>2766.77</v>
      </c>
      <c r="J1941" t="s">
        <v>5045</v>
      </c>
      <c r="K1941" t="s">
        <v>5048</v>
      </c>
      <c r="L1941" t="s">
        <v>5051</v>
      </c>
      <c r="M1941" t="s">
        <v>5054</v>
      </c>
    </row>
    <row r="1942" spans="1:13" x14ac:dyDescent="0.3">
      <c r="A1942" s="1">
        <v>45354</v>
      </c>
      <c r="B1942" s="1" t="str">
        <f>TEXT(Tabla1[[#This Row],[Fecha]],"MMMM")</f>
        <v>marzo</v>
      </c>
      <c r="C1942" t="s">
        <v>1952</v>
      </c>
      <c r="D1942" t="s">
        <v>5015</v>
      </c>
      <c r="E1942" t="s">
        <v>5033</v>
      </c>
      <c r="F1942" t="s">
        <v>5038</v>
      </c>
      <c r="G1942" s="3">
        <v>2764.81</v>
      </c>
      <c r="H1942" s="3">
        <v>359.43</v>
      </c>
      <c r="I1942" s="3">
        <f>SUM(Tabla1[[#This Row],[Monto_Base]],H1942)</f>
        <v>3124.24</v>
      </c>
      <c r="J1942" t="s">
        <v>5044</v>
      </c>
      <c r="K1942" t="s">
        <v>5047</v>
      </c>
      <c r="L1942" t="s">
        <v>5051</v>
      </c>
      <c r="M1942" t="s">
        <v>5054</v>
      </c>
    </row>
    <row r="1943" spans="1:13" x14ac:dyDescent="0.3">
      <c r="A1943" s="1">
        <v>45454</v>
      </c>
      <c r="B1943" s="1" t="str">
        <f>TEXT(Tabla1[[#This Row],[Fecha]],"MMMM")</f>
        <v>junio</v>
      </c>
      <c r="C1943" t="s">
        <v>1953</v>
      </c>
      <c r="D1943" t="s">
        <v>5026</v>
      </c>
      <c r="E1943" t="s">
        <v>5032</v>
      </c>
      <c r="F1943" t="s">
        <v>5036</v>
      </c>
      <c r="G1943" s="3">
        <v>4549.91</v>
      </c>
      <c r="H1943" s="3">
        <v>0</v>
      </c>
      <c r="I1943" s="3">
        <f>SUM(Tabla1[[#This Row],[Monto_Base]],H1943)</f>
        <v>4549.91</v>
      </c>
      <c r="J1943" t="s">
        <v>5044</v>
      </c>
      <c r="K1943" t="s">
        <v>5047</v>
      </c>
      <c r="L1943" t="s">
        <v>5053</v>
      </c>
      <c r="M1943" t="s">
        <v>5055</v>
      </c>
    </row>
    <row r="1944" spans="1:13" x14ac:dyDescent="0.3">
      <c r="A1944" s="1">
        <v>45640</v>
      </c>
      <c r="B1944" s="1" t="str">
        <f>TEXT(Tabla1[[#This Row],[Fecha]],"MMMM")</f>
        <v>diciembre</v>
      </c>
      <c r="C1944" t="s">
        <v>1954</v>
      </c>
      <c r="D1944" t="s">
        <v>5024</v>
      </c>
      <c r="E1944" t="s">
        <v>5032</v>
      </c>
      <c r="F1944" t="s">
        <v>5034</v>
      </c>
      <c r="G1944" s="3">
        <v>1608.53</v>
      </c>
      <c r="H1944" s="3">
        <v>0</v>
      </c>
      <c r="I1944" s="3">
        <f>SUM(Tabla1[[#This Row],[Monto_Base]],H1944)</f>
        <v>1608.53</v>
      </c>
      <c r="J1944" t="s">
        <v>5045</v>
      </c>
      <c r="K1944" t="s">
        <v>5047</v>
      </c>
      <c r="L1944" t="s">
        <v>5053</v>
      </c>
      <c r="M1944" t="s">
        <v>5055</v>
      </c>
    </row>
    <row r="1945" spans="1:13" x14ac:dyDescent="0.3">
      <c r="A1945" s="1">
        <v>45573</v>
      </c>
      <c r="B1945" s="1" t="str">
        <f>TEXT(Tabla1[[#This Row],[Fecha]],"MMMM")</f>
        <v>octubre</v>
      </c>
      <c r="C1945" t="s">
        <v>1955</v>
      </c>
      <c r="D1945" t="s">
        <v>5028</v>
      </c>
      <c r="E1945" t="s">
        <v>5033</v>
      </c>
      <c r="F1945" t="s">
        <v>5036</v>
      </c>
      <c r="G1945" s="3">
        <v>1237.04</v>
      </c>
      <c r="H1945" s="3">
        <v>160.82</v>
      </c>
      <c r="I1945" s="3">
        <f>SUM(Tabla1[[#This Row],[Monto_Base]],H1945)</f>
        <v>1397.86</v>
      </c>
      <c r="J1945" t="s">
        <v>5043</v>
      </c>
      <c r="K1945" t="s">
        <v>5047</v>
      </c>
      <c r="L1945" t="s">
        <v>5051</v>
      </c>
      <c r="M1945" t="s">
        <v>5055</v>
      </c>
    </row>
    <row r="1946" spans="1:13" x14ac:dyDescent="0.3">
      <c r="A1946" s="1">
        <v>45382</v>
      </c>
      <c r="B1946" s="1" t="str">
        <f>TEXT(Tabla1[[#This Row],[Fecha]],"MMMM")</f>
        <v>marzo</v>
      </c>
      <c r="C1946" t="s">
        <v>1956</v>
      </c>
      <c r="D1946" t="s">
        <v>5017</v>
      </c>
      <c r="E1946" t="s">
        <v>5032</v>
      </c>
      <c r="F1946" t="s">
        <v>5038</v>
      </c>
      <c r="G1946" s="3">
        <v>11099.91</v>
      </c>
      <c r="H1946" s="3">
        <v>0</v>
      </c>
      <c r="I1946" s="3">
        <f>SUM(Tabla1[[#This Row],[Monto_Base]],H1946)</f>
        <v>11099.91</v>
      </c>
      <c r="J1946" t="s">
        <v>5043</v>
      </c>
      <c r="K1946" t="s">
        <v>5049</v>
      </c>
      <c r="L1946" t="s">
        <v>5050</v>
      </c>
      <c r="M1946" t="s">
        <v>5055</v>
      </c>
    </row>
    <row r="1947" spans="1:13" x14ac:dyDescent="0.3">
      <c r="A1947" s="1">
        <v>45621</v>
      </c>
      <c r="B1947" s="1" t="str">
        <f>TEXT(Tabla1[[#This Row],[Fecha]],"MMMM")</f>
        <v>noviembre</v>
      </c>
      <c r="C1947" t="s">
        <v>1957</v>
      </c>
      <c r="D1947" t="s">
        <v>5025</v>
      </c>
      <c r="E1947" t="s">
        <v>5033</v>
      </c>
      <c r="F1947" t="s">
        <v>5036</v>
      </c>
      <c r="G1947" s="3">
        <v>7483.44</v>
      </c>
      <c r="H1947" s="3">
        <v>972.85</v>
      </c>
      <c r="I1947" s="3">
        <f>SUM(Tabla1[[#This Row],[Monto_Base]],H1947)</f>
        <v>8456.2899999999991</v>
      </c>
      <c r="J1947" t="s">
        <v>5046</v>
      </c>
      <c r="K1947" t="s">
        <v>5049</v>
      </c>
      <c r="L1947" t="s">
        <v>5053</v>
      </c>
      <c r="M1947" t="s">
        <v>5055</v>
      </c>
    </row>
    <row r="1948" spans="1:13" x14ac:dyDescent="0.3">
      <c r="A1948" s="1">
        <v>45359</v>
      </c>
      <c r="B1948" s="1" t="str">
        <f>TEXT(Tabla1[[#This Row],[Fecha]],"MMMM")</f>
        <v>marzo</v>
      </c>
      <c r="C1948" t="s">
        <v>1958</v>
      </c>
      <c r="D1948" t="s">
        <v>5028</v>
      </c>
      <c r="E1948" t="s">
        <v>5033</v>
      </c>
      <c r="F1948" t="s">
        <v>5041</v>
      </c>
      <c r="G1948" s="3">
        <v>6968.85</v>
      </c>
      <c r="H1948" s="3">
        <v>905.95</v>
      </c>
      <c r="I1948" s="3">
        <f>SUM(Tabla1[[#This Row],[Monto_Base]],H1948)</f>
        <v>7874.8</v>
      </c>
      <c r="J1948" t="s">
        <v>5042</v>
      </c>
      <c r="K1948" t="s">
        <v>5048</v>
      </c>
      <c r="L1948" t="s">
        <v>5050</v>
      </c>
      <c r="M1948" t="s">
        <v>5055</v>
      </c>
    </row>
    <row r="1949" spans="1:13" x14ac:dyDescent="0.3">
      <c r="A1949" s="1">
        <v>45434</v>
      </c>
      <c r="B1949" s="1" t="str">
        <f>TEXT(Tabla1[[#This Row],[Fecha]],"MMMM")</f>
        <v>mayo</v>
      </c>
      <c r="C1949" t="s">
        <v>1959</v>
      </c>
      <c r="D1949" t="s">
        <v>5024</v>
      </c>
      <c r="E1949" t="s">
        <v>5033</v>
      </c>
      <c r="F1949" t="s">
        <v>5041</v>
      </c>
      <c r="G1949" s="3">
        <v>100.91</v>
      </c>
      <c r="H1949" s="3">
        <v>13.12</v>
      </c>
      <c r="I1949" s="3">
        <f>SUM(Tabla1[[#This Row],[Monto_Base]],H1949)</f>
        <v>114.03</v>
      </c>
      <c r="J1949" t="s">
        <v>5045</v>
      </c>
      <c r="K1949" t="s">
        <v>5049</v>
      </c>
      <c r="L1949" t="s">
        <v>5053</v>
      </c>
      <c r="M1949" t="s">
        <v>5055</v>
      </c>
    </row>
    <row r="1950" spans="1:13" x14ac:dyDescent="0.3">
      <c r="A1950" s="1">
        <v>45480</v>
      </c>
      <c r="B1950" s="1" t="str">
        <f>TEXT(Tabla1[[#This Row],[Fecha]],"MMMM")</f>
        <v>julio</v>
      </c>
      <c r="C1950" t="s">
        <v>1960</v>
      </c>
      <c r="D1950" t="s">
        <v>5018</v>
      </c>
      <c r="E1950" t="s">
        <v>5033</v>
      </c>
      <c r="F1950" t="s">
        <v>5035</v>
      </c>
      <c r="G1950" s="3">
        <v>13917.19</v>
      </c>
      <c r="H1950" s="3">
        <v>1809.23</v>
      </c>
      <c r="I1950" s="3">
        <f>SUM(Tabla1[[#This Row],[Monto_Base]],H1950)</f>
        <v>15726.42</v>
      </c>
      <c r="J1950" t="s">
        <v>5044</v>
      </c>
      <c r="K1950" t="s">
        <v>5049</v>
      </c>
      <c r="L1950" t="s">
        <v>5053</v>
      </c>
      <c r="M1950" t="s">
        <v>5054</v>
      </c>
    </row>
    <row r="1951" spans="1:13" x14ac:dyDescent="0.3">
      <c r="A1951" s="1">
        <v>45325</v>
      </c>
      <c r="B1951" s="1" t="str">
        <f>TEXT(Tabla1[[#This Row],[Fecha]],"MMMM")</f>
        <v>febrero</v>
      </c>
      <c r="C1951" t="s">
        <v>1961</v>
      </c>
      <c r="D1951" t="s">
        <v>5026</v>
      </c>
      <c r="E1951" t="s">
        <v>5032</v>
      </c>
      <c r="F1951" t="s">
        <v>5039</v>
      </c>
      <c r="G1951" s="3">
        <v>10955.85</v>
      </c>
      <c r="H1951" s="3">
        <v>0</v>
      </c>
      <c r="I1951" s="3">
        <f>SUM(Tabla1[[#This Row],[Monto_Base]],H1951)</f>
        <v>10955.85</v>
      </c>
      <c r="J1951" t="s">
        <v>5044</v>
      </c>
      <c r="K1951" t="s">
        <v>5047</v>
      </c>
      <c r="L1951" t="s">
        <v>5051</v>
      </c>
      <c r="M1951" t="s">
        <v>5055</v>
      </c>
    </row>
    <row r="1952" spans="1:13" x14ac:dyDescent="0.3">
      <c r="A1952" s="1">
        <v>45408</v>
      </c>
      <c r="B1952" s="1" t="str">
        <f>TEXT(Tabla1[[#This Row],[Fecha]],"MMMM")</f>
        <v>abril</v>
      </c>
      <c r="C1952" t="s">
        <v>1962</v>
      </c>
      <c r="D1952" t="s">
        <v>5013</v>
      </c>
      <c r="E1952" t="s">
        <v>5032</v>
      </c>
      <c r="F1952" t="s">
        <v>5035</v>
      </c>
      <c r="G1952" s="3">
        <v>9083.02</v>
      </c>
      <c r="H1952" s="3">
        <v>0</v>
      </c>
      <c r="I1952" s="3">
        <f>SUM(Tabla1[[#This Row],[Monto_Base]],H1952)</f>
        <v>9083.02</v>
      </c>
      <c r="J1952" t="s">
        <v>5042</v>
      </c>
      <c r="K1952" t="s">
        <v>5049</v>
      </c>
      <c r="L1952" t="s">
        <v>5053</v>
      </c>
      <c r="M1952" t="s">
        <v>5054</v>
      </c>
    </row>
    <row r="1953" spans="1:13" x14ac:dyDescent="0.3">
      <c r="A1953" s="1">
        <v>45309</v>
      </c>
      <c r="B1953" s="1" t="str">
        <f>TEXT(Tabla1[[#This Row],[Fecha]],"MMMM")</f>
        <v>enero</v>
      </c>
      <c r="C1953" t="s">
        <v>1963</v>
      </c>
      <c r="D1953" t="s">
        <v>5016</v>
      </c>
      <c r="E1953" t="s">
        <v>5033</v>
      </c>
      <c r="F1953" t="s">
        <v>5041</v>
      </c>
      <c r="G1953" s="3">
        <v>14902.15</v>
      </c>
      <c r="H1953" s="3">
        <v>1937.28</v>
      </c>
      <c r="I1953" s="3">
        <f>SUM(Tabla1[[#This Row],[Monto_Base]],H1953)</f>
        <v>16839.43</v>
      </c>
      <c r="J1953" t="s">
        <v>5046</v>
      </c>
      <c r="K1953" t="s">
        <v>5047</v>
      </c>
      <c r="L1953" t="s">
        <v>5052</v>
      </c>
      <c r="M1953" t="s">
        <v>5055</v>
      </c>
    </row>
    <row r="1954" spans="1:13" x14ac:dyDescent="0.3">
      <c r="A1954" s="1">
        <v>45305</v>
      </c>
      <c r="B1954" s="1" t="str">
        <f>TEXT(Tabla1[[#This Row],[Fecha]],"MMMM")</f>
        <v>enero</v>
      </c>
      <c r="C1954" t="s">
        <v>1964</v>
      </c>
      <c r="D1954" t="s">
        <v>5020</v>
      </c>
      <c r="E1954" t="s">
        <v>5033</v>
      </c>
      <c r="F1954" t="s">
        <v>5037</v>
      </c>
      <c r="G1954" s="3">
        <v>2681.35</v>
      </c>
      <c r="H1954" s="3">
        <v>348.58</v>
      </c>
      <c r="I1954" s="3">
        <f>SUM(Tabla1[[#This Row],[Monto_Base]],H1954)</f>
        <v>3029.93</v>
      </c>
      <c r="J1954" t="s">
        <v>5042</v>
      </c>
      <c r="K1954" t="s">
        <v>5049</v>
      </c>
      <c r="L1954" t="s">
        <v>5052</v>
      </c>
      <c r="M1954" t="s">
        <v>5055</v>
      </c>
    </row>
    <row r="1955" spans="1:13" x14ac:dyDescent="0.3">
      <c r="A1955" s="1">
        <v>45472</v>
      </c>
      <c r="B1955" s="1" t="str">
        <f>TEXT(Tabla1[[#This Row],[Fecha]],"MMMM")</f>
        <v>junio</v>
      </c>
      <c r="C1955" t="s">
        <v>1965</v>
      </c>
      <c r="D1955" t="s">
        <v>5015</v>
      </c>
      <c r="E1955" t="s">
        <v>5033</v>
      </c>
      <c r="F1955" t="s">
        <v>5040</v>
      </c>
      <c r="G1955" s="3">
        <v>14497.09</v>
      </c>
      <c r="H1955" s="3">
        <v>1884.62</v>
      </c>
      <c r="I1955" s="3">
        <f>SUM(Tabla1[[#This Row],[Monto_Base]],H1955)</f>
        <v>16381.71</v>
      </c>
      <c r="J1955" t="s">
        <v>5046</v>
      </c>
      <c r="K1955" t="s">
        <v>5047</v>
      </c>
      <c r="L1955" t="s">
        <v>5052</v>
      </c>
      <c r="M1955" t="s">
        <v>5054</v>
      </c>
    </row>
    <row r="1956" spans="1:13" x14ac:dyDescent="0.3">
      <c r="A1956" s="1">
        <v>45600</v>
      </c>
      <c r="B1956" s="1" t="str">
        <f>TEXT(Tabla1[[#This Row],[Fecha]],"MMMM")</f>
        <v>noviembre</v>
      </c>
      <c r="C1956" t="s">
        <v>1966</v>
      </c>
      <c r="D1956" t="s">
        <v>5018</v>
      </c>
      <c r="E1956" t="s">
        <v>5033</v>
      </c>
      <c r="F1956" t="s">
        <v>5034</v>
      </c>
      <c r="G1956" s="3">
        <v>13409.64</v>
      </c>
      <c r="H1956" s="3">
        <v>1743.25</v>
      </c>
      <c r="I1956" s="3">
        <f>SUM(Tabla1[[#This Row],[Monto_Base]],H1956)</f>
        <v>15152.89</v>
      </c>
      <c r="J1956" t="s">
        <v>5042</v>
      </c>
      <c r="K1956" t="s">
        <v>5047</v>
      </c>
      <c r="L1956" t="s">
        <v>5053</v>
      </c>
      <c r="M1956" t="s">
        <v>5055</v>
      </c>
    </row>
    <row r="1957" spans="1:13" x14ac:dyDescent="0.3">
      <c r="A1957" s="1">
        <v>45408</v>
      </c>
      <c r="B1957" s="1" t="str">
        <f>TEXT(Tabla1[[#This Row],[Fecha]],"MMMM")</f>
        <v>abril</v>
      </c>
      <c r="C1957" t="s">
        <v>1967</v>
      </c>
      <c r="D1957" t="s">
        <v>5025</v>
      </c>
      <c r="E1957" t="s">
        <v>5033</v>
      </c>
      <c r="F1957" t="s">
        <v>5040</v>
      </c>
      <c r="G1957" s="3">
        <v>3421.25</v>
      </c>
      <c r="H1957" s="3">
        <v>444.76</v>
      </c>
      <c r="I1957" s="3">
        <f>SUM(Tabla1[[#This Row],[Monto_Base]],H1957)</f>
        <v>3866.01</v>
      </c>
      <c r="J1957" t="s">
        <v>5043</v>
      </c>
      <c r="K1957" t="s">
        <v>5048</v>
      </c>
      <c r="L1957" t="s">
        <v>5053</v>
      </c>
      <c r="M1957" t="s">
        <v>5055</v>
      </c>
    </row>
    <row r="1958" spans="1:13" x14ac:dyDescent="0.3">
      <c r="A1958" s="1">
        <v>45574</v>
      </c>
      <c r="B1958" s="1" t="str">
        <f>TEXT(Tabla1[[#This Row],[Fecha]],"MMMM")</f>
        <v>octubre</v>
      </c>
      <c r="C1958" t="s">
        <v>1968</v>
      </c>
      <c r="D1958" t="s">
        <v>5018</v>
      </c>
      <c r="E1958" t="s">
        <v>5032</v>
      </c>
      <c r="F1958" t="s">
        <v>5036</v>
      </c>
      <c r="G1958" s="3">
        <v>13615.6</v>
      </c>
      <c r="H1958" s="3">
        <v>0</v>
      </c>
      <c r="I1958" s="3">
        <f>SUM(Tabla1[[#This Row],[Monto_Base]],H1958)</f>
        <v>13615.6</v>
      </c>
      <c r="J1958" t="s">
        <v>5043</v>
      </c>
      <c r="K1958" t="s">
        <v>5047</v>
      </c>
      <c r="L1958" t="s">
        <v>5052</v>
      </c>
      <c r="M1958" t="s">
        <v>5055</v>
      </c>
    </row>
    <row r="1959" spans="1:13" x14ac:dyDescent="0.3">
      <c r="A1959" s="1">
        <v>45342</v>
      </c>
      <c r="B1959" s="1" t="str">
        <f>TEXT(Tabla1[[#This Row],[Fecha]],"MMMM")</f>
        <v>febrero</v>
      </c>
      <c r="C1959" t="s">
        <v>1969</v>
      </c>
      <c r="D1959" t="s">
        <v>5030</v>
      </c>
      <c r="E1959" t="s">
        <v>5033</v>
      </c>
      <c r="F1959" t="s">
        <v>5034</v>
      </c>
      <c r="G1959" s="3">
        <v>5747.94</v>
      </c>
      <c r="H1959" s="3">
        <v>747.23</v>
      </c>
      <c r="I1959" s="3">
        <f>SUM(Tabla1[[#This Row],[Monto_Base]],H1959)</f>
        <v>6495.17</v>
      </c>
      <c r="J1959" t="s">
        <v>5045</v>
      </c>
      <c r="K1959" t="s">
        <v>5048</v>
      </c>
      <c r="L1959" t="s">
        <v>5053</v>
      </c>
      <c r="M1959" t="s">
        <v>5054</v>
      </c>
    </row>
    <row r="1960" spans="1:13" x14ac:dyDescent="0.3">
      <c r="A1960" s="1">
        <v>45577</v>
      </c>
      <c r="B1960" s="1" t="str">
        <f>TEXT(Tabla1[[#This Row],[Fecha]],"MMMM")</f>
        <v>octubre</v>
      </c>
      <c r="C1960" t="s">
        <v>1970</v>
      </c>
      <c r="D1960" t="s">
        <v>5030</v>
      </c>
      <c r="E1960" t="s">
        <v>5032</v>
      </c>
      <c r="F1960" t="s">
        <v>5034</v>
      </c>
      <c r="G1960" s="3">
        <v>13399.58</v>
      </c>
      <c r="H1960" s="3">
        <v>0</v>
      </c>
      <c r="I1960" s="3">
        <f>SUM(Tabla1[[#This Row],[Monto_Base]],H1960)</f>
        <v>13399.58</v>
      </c>
      <c r="J1960" t="s">
        <v>5042</v>
      </c>
      <c r="K1960" t="s">
        <v>5049</v>
      </c>
      <c r="L1960" t="s">
        <v>5052</v>
      </c>
      <c r="M1960" t="s">
        <v>5054</v>
      </c>
    </row>
    <row r="1961" spans="1:13" x14ac:dyDescent="0.3">
      <c r="A1961" s="1">
        <v>45536</v>
      </c>
      <c r="B1961" s="1" t="str">
        <f>TEXT(Tabla1[[#This Row],[Fecha]],"MMMM")</f>
        <v>septiembre</v>
      </c>
      <c r="C1961" t="s">
        <v>1971</v>
      </c>
      <c r="D1961" t="s">
        <v>5019</v>
      </c>
      <c r="E1961" t="s">
        <v>5032</v>
      </c>
      <c r="F1961" t="s">
        <v>5038</v>
      </c>
      <c r="G1961" s="3">
        <v>11701.29</v>
      </c>
      <c r="H1961" s="3">
        <v>0</v>
      </c>
      <c r="I1961" s="3">
        <f>SUM(Tabla1[[#This Row],[Monto_Base]],H1961)</f>
        <v>11701.29</v>
      </c>
      <c r="J1961" t="s">
        <v>5046</v>
      </c>
      <c r="K1961" t="s">
        <v>5048</v>
      </c>
      <c r="L1961" t="s">
        <v>5050</v>
      </c>
      <c r="M1961" t="s">
        <v>5055</v>
      </c>
    </row>
    <row r="1962" spans="1:13" x14ac:dyDescent="0.3">
      <c r="A1962" s="1">
        <v>45370</v>
      </c>
      <c r="B1962" s="1" t="str">
        <f>TEXT(Tabla1[[#This Row],[Fecha]],"MMMM")</f>
        <v>marzo</v>
      </c>
      <c r="C1962" t="s">
        <v>1972</v>
      </c>
      <c r="D1962" t="s">
        <v>5026</v>
      </c>
      <c r="E1962" t="s">
        <v>5033</v>
      </c>
      <c r="F1962" t="s">
        <v>5034</v>
      </c>
      <c r="G1962" s="3">
        <v>14733.18</v>
      </c>
      <c r="H1962" s="3">
        <v>1915.31</v>
      </c>
      <c r="I1962" s="3">
        <f>SUM(Tabla1[[#This Row],[Monto_Base]],H1962)</f>
        <v>16648.490000000002</v>
      </c>
      <c r="J1962" t="s">
        <v>5046</v>
      </c>
      <c r="K1962" t="s">
        <v>5047</v>
      </c>
      <c r="L1962" t="s">
        <v>5053</v>
      </c>
      <c r="M1962" t="s">
        <v>5054</v>
      </c>
    </row>
    <row r="1963" spans="1:13" x14ac:dyDescent="0.3">
      <c r="A1963" s="1">
        <v>45635</v>
      </c>
      <c r="B1963" s="1" t="str">
        <f>TEXT(Tabla1[[#This Row],[Fecha]],"MMMM")</f>
        <v>diciembre</v>
      </c>
      <c r="C1963" t="s">
        <v>1973</v>
      </c>
      <c r="D1963" t="s">
        <v>5029</v>
      </c>
      <c r="E1963" t="s">
        <v>5033</v>
      </c>
      <c r="F1963" t="s">
        <v>5040</v>
      </c>
      <c r="G1963" s="3">
        <v>8425.19</v>
      </c>
      <c r="H1963" s="3">
        <v>1095.27</v>
      </c>
      <c r="I1963" s="3">
        <f>SUM(Tabla1[[#This Row],[Monto_Base]],H1963)</f>
        <v>9520.4600000000009</v>
      </c>
      <c r="J1963" t="s">
        <v>5042</v>
      </c>
      <c r="K1963" t="s">
        <v>5047</v>
      </c>
      <c r="L1963" t="s">
        <v>5052</v>
      </c>
      <c r="M1963" t="s">
        <v>5054</v>
      </c>
    </row>
    <row r="1964" spans="1:13" x14ac:dyDescent="0.3">
      <c r="A1964" s="1">
        <v>45608</v>
      </c>
      <c r="B1964" s="1" t="str">
        <f>TEXT(Tabla1[[#This Row],[Fecha]],"MMMM")</f>
        <v>noviembre</v>
      </c>
      <c r="C1964" t="s">
        <v>1974</v>
      </c>
      <c r="D1964" t="s">
        <v>5019</v>
      </c>
      <c r="E1964" t="s">
        <v>5033</v>
      </c>
      <c r="F1964" t="s">
        <v>5037</v>
      </c>
      <c r="G1964" s="3">
        <v>2786.46</v>
      </c>
      <c r="H1964" s="3">
        <v>362.24</v>
      </c>
      <c r="I1964" s="3">
        <f>SUM(Tabla1[[#This Row],[Monto_Base]],H1964)</f>
        <v>3148.7</v>
      </c>
      <c r="J1964" t="s">
        <v>5044</v>
      </c>
      <c r="K1964" t="s">
        <v>5047</v>
      </c>
      <c r="L1964" t="s">
        <v>5051</v>
      </c>
      <c r="M1964" t="s">
        <v>5054</v>
      </c>
    </row>
    <row r="1965" spans="1:13" x14ac:dyDescent="0.3">
      <c r="A1965" s="1">
        <v>45623</v>
      </c>
      <c r="B1965" s="1" t="str">
        <f>TEXT(Tabla1[[#This Row],[Fecha]],"MMMM")</f>
        <v>noviembre</v>
      </c>
      <c r="C1965" t="s">
        <v>1975</v>
      </c>
      <c r="D1965" t="s">
        <v>5024</v>
      </c>
      <c r="E1965" t="s">
        <v>5032</v>
      </c>
      <c r="F1965" t="s">
        <v>5034</v>
      </c>
      <c r="G1965" s="3">
        <v>1046.7</v>
      </c>
      <c r="H1965" s="3">
        <v>0</v>
      </c>
      <c r="I1965" s="3">
        <f>SUM(Tabla1[[#This Row],[Monto_Base]],H1965)</f>
        <v>1046.7</v>
      </c>
      <c r="J1965" t="s">
        <v>5045</v>
      </c>
      <c r="K1965" t="s">
        <v>5049</v>
      </c>
      <c r="L1965" t="s">
        <v>5053</v>
      </c>
      <c r="M1965" t="s">
        <v>5055</v>
      </c>
    </row>
    <row r="1966" spans="1:13" x14ac:dyDescent="0.3">
      <c r="A1966" s="1">
        <v>45295</v>
      </c>
      <c r="B1966" s="1" t="str">
        <f>TEXT(Tabla1[[#This Row],[Fecha]],"MMMM")</f>
        <v>enero</v>
      </c>
      <c r="C1966" t="s">
        <v>1976</v>
      </c>
      <c r="D1966" t="s">
        <v>5025</v>
      </c>
      <c r="E1966" t="s">
        <v>5032</v>
      </c>
      <c r="F1966" t="s">
        <v>5036</v>
      </c>
      <c r="G1966" s="3">
        <v>12423.71</v>
      </c>
      <c r="H1966" s="3">
        <v>0</v>
      </c>
      <c r="I1966" s="3">
        <f>SUM(Tabla1[[#This Row],[Monto_Base]],H1966)</f>
        <v>12423.71</v>
      </c>
      <c r="J1966" t="s">
        <v>5043</v>
      </c>
      <c r="K1966" t="s">
        <v>5049</v>
      </c>
      <c r="L1966" t="s">
        <v>5051</v>
      </c>
      <c r="M1966" t="s">
        <v>5054</v>
      </c>
    </row>
    <row r="1967" spans="1:13" x14ac:dyDescent="0.3">
      <c r="A1967" s="1">
        <v>45629</v>
      </c>
      <c r="B1967" s="1" t="str">
        <f>TEXT(Tabla1[[#This Row],[Fecha]],"MMMM")</f>
        <v>diciembre</v>
      </c>
      <c r="C1967" t="s">
        <v>1977</v>
      </c>
      <c r="D1967" t="s">
        <v>5030</v>
      </c>
      <c r="E1967" t="s">
        <v>5032</v>
      </c>
      <c r="F1967" t="s">
        <v>5039</v>
      </c>
      <c r="G1967" s="3">
        <v>252.6</v>
      </c>
      <c r="H1967" s="3">
        <v>0</v>
      </c>
      <c r="I1967" s="3">
        <f>SUM(Tabla1[[#This Row],[Monto_Base]],H1967)</f>
        <v>252.6</v>
      </c>
      <c r="J1967" t="s">
        <v>5045</v>
      </c>
      <c r="K1967" t="s">
        <v>5047</v>
      </c>
      <c r="L1967" t="s">
        <v>5050</v>
      </c>
      <c r="M1967" t="s">
        <v>5054</v>
      </c>
    </row>
    <row r="1968" spans="1:13" x14ac:dyDescent="0.3">
      <c r="A1968" s="1">
        <v>45534</v>
      </c>
      <c r="B1968" s="1" t="str">
        <f>TEXT(Tabla1[[#This Row],[Fecha]],"MMMM")</f>
        <v>agosto</v>
      </c>
      <c r="C1968" t="s">
        <v>1978</v>
      </c>
      <c r="D1968" t="s">
        <v>5022</v>
      </c>
      <c r="E1968" t="s">
        <v>5032</v>
      </c>
      <c r="F1968" t="s">
        <v>5037</v>
      </c>
      <c r="G1968" s="3">
        <v>3477.12</v>
      </c>
      <c r="H1968" s="3">
        <v>0</v>
      </c>
      <c r="I1968" s="3">
        <f>SUM(Tabla1[[#This Row],[Monto_Base]],H1968)</f>
        <v>3477.12</v>
      </c>
      <c r="J1968" t="s">
        <v>5044</v>
      </c>
      <c r="K1968" t="s">
        <v>5048</v>
      </c>
      <c r="L1968" t="s">
        <v>5053</v>
      </c>
      <c r="M1968" t="s">
        <v>5055</v>
      </c>
    </row>
    <row r="1969" spans="1:13" x14ac:dyDescent="0.3">
      <c r="A1969" s="1">
        <v>45583</v>
      </c>
      <c r="B1969" s="1" t="str">
        <f>TEXT(Tabla1[[#This Row],[Fecha]],"MMMM")</f>
        <v>octubre</v>
      </c>
      <c r="C1969" t="s">
        <v>1979</v>
      </c>
      <c r="D1969" t="s">
        <v>5025</v>
      </c>
      <c r="E1969" t="s">
        <v>5033</v>
      </c>
      <c r="F1969" t="s">
        <v>5040</v>
      </c>
      <c r="G1969" s="3">
        <v>4810.3900000000003</v>
      </c>
      <c r="H1969" s="3">
        <v>625.35</v>
      </c>
      <c r="I1969" s="3">
        <f>SUM(Tabla1[[#This Row],[Monto_Base]],H1969)</f>
        <v>5435.7400000000007</v>
      </c>
      <c r="J1969" t="s">
        <v>5045</v>
      </c>
      <c r="K1969" t="s">
        <v>5047</v>
      </c>
      <c r="L1969" t="s">
        <v>5053</v>
      </c>
      <c r="M1969" t="s">
        <v>5055</v>
      </c>
    </row>
    <row r="1970" spans="1:13" x14ac:dyDescent="0.3">
      <c r="A1970" s="1">
        <v>45636</v>
      </c>
      <c r="B1970" s="1" t="str">
        <f>TEXT(Tabla1[[#This Row],[Fecha]],"MMMM")</f>
        <v>diciembre</v>
      </c>
      <c r="C1970" t="s">
        <v>1980</v>
      </c>
      <c r="D1970" t="s">
        <v>5027</v>
      </c>
      <c r="E1970" t="s">
        <v>5032</v>
      </c>
      <c r="F1970" t="s">
        <v>5036</v>
      </c>
      <c r="G1970" s="3">
        <v>1208.52</v>
      </c>
      <c r="H1970" s="3">
        <v>0</v>
      </c>
      <c r="I1970" s="3">
        <f>SUM(Tabla1[[#This Row],[Monto_Base]],H1970)</f>
        <v>1208.52</v>
      </c>
      <c r="J1970" t="s">
        <v>5044</v>
      </c>
      <c r="K1970" t="s">
        <v>5048</v>
      </c>
      <c r="L1970" t="s">
        <v>5050</v>
      </c>
      <c r="M1970" t="s">
        <v>5055</v>
      </c>
    </row>
    <row r="1971" spans="1:13" x14ac:dyDescent="0.3">
      <c r="A1971" s="1">
        <v>45400</v>
      </c>
      <c r="B1971" s="1" t="str">
        <f>TEXT(Tabla1[[#This Row],[Fecha]],"MMMM")</f>
        <v>abril</v>
      </c>
      <c r="C1971" t="s">
        <v>1981</v>
      </c>
      <c r="D1971" t="s">
        <v>5031</v>
      </c>
      <c r="E1971" t="s">
        <v>5033</v>
      </c>
      <c r="F1971" t="s">
        <v>5037</v>
      </c>
      <c r="G1971" s="3">
        <v>8906.75</v>
      </c>
      <c r="H1971" s="3">
        <v>1157.8800000000001</v>
      </c>
      <c r="I1971" s="3">
        <f>SUM(Tabla1[[#This Row],[Monto_Base]],H1971)</f>
        <v>10064.630000000001</v>
      </c>
      <c r="J1971" t="s">
        <v>5042</v>
      </c>
      <c r="K1971" t="s">
        <v>5048</v>
      </c>
      <c r="L1971" t="s">
        <v>5050</v>
      </c>
      <c r="M1971" t="s">
        <v>5055</v>
      </c>
    </row>
    <row r="1972" spans="1:13" x14ac:dyDescent="0.3">
      <c r="A1972" s="1">
        <v>45362</v>
      </c>
      <c r="B1972" s="1" t="str">
        <f>TEXT(Tabla1[[#This Row],[Fecha]],"MMMM")</f>
        <v>marzo</v>
      </c>
      <c r="C1972" t="s">
        <v>1982</v>
      </c>
      <c r="D1972" t="s">
        <v>5028</v>
      </c>
      <c r="E1972" t="s">
        <v>5033</v>
      </c>
      <c r="F1972" t="s">
        <v>5041</v>
      </c>
      <c r="G1972" s="3">
        <v>12061.25</v>
      </c>
      <c r="H1972" s="3">
        <v>1567.96</v>
      </c>
      <c r="I1972" s="3">
        <f>SUM(Tabla1[[#This Row],[Monto_Base]],H1972)</f>
        <v>13629.21</v>
      </c>
      <c r="J1972" t="s">
        <v>5045</v>
      </c>
      <c r="K1972" t="s">
        <v>5048</v>
      </c>
      <c r="L1972" t="s">
        <v>5052</v>
      </c>
      <c r="M1972" t="s">
        <v>5055</v>
      </c>
    </row>
    <row r="1973" spans="1:13" x14ac:dyDescent="0.3">
      <c r="A1973" s="1">
        <v>45630</v>
      </c>
      <c r="B1973" s="1" t="str">
        <f>TEXT(Tabla1[[#This Row],[Fecha]],"MMMM")</f>
        <v>diciembre</v>
      </c>
      <c r="C1973" t="s">
        <v>1983</v>
      </c>
      <c r="D1973" t="s">
        <v>5012</v>
      </c>
      <c r="E1973" t="s">
        <v>5033</v>
      </c>
      <c r="F1973" t="s">
        <v>5041</v>
      </c>
      <c r="G1973" s="3">
        <v>1486.61</v>
      </c>
      <c r="H1973" s="3">
        <v>193.26</v>
      </c>
      <c r="I1973" s="3">
        <f>SUM(Tabla1[[#This Row],[Monto_Base]],H1973)</f>
        <v>1679.87</v>
      </c>
      <c r="J1973" t="s">
        <v>5045</v>
      </c>
      <c r="K1973" t="s">
        <v>5047</v>
      </c>
      <c r="L1973" t="s">
        <v>5051</v>
      </c>
      <c r="M1973" t="s">
        <v>5054</v>
      </c>
    </row>
    <row r="1974" spans="1:13" x14ac:dyDescent="0.3">
      <c r="A1974" s="1">
        <v>45609</v>
      </c>
      <c r="B1974" s="1" t="str">
        <f>TEXT(Tabla1[[#This Row],[Fecha]],"MMMM")</f>
        <v>noviembre</v>
      </c>
      <c r="C1974" t="s">
        <v>1984</v>
      </c>
      <c r="D1974" t="s">
        <v>5031</v>
      </c>
      <c r="E1974" t="s">
        <v>5033</v>
      </c>
      <c r="F1974" t="s">
        <v>5037</v>
      </c>
      <c r="G1974" s="3">
        <v>13593.76</v>
      </c>
      <c r="H1974" s="3">
        <v>1767.19</v>
      </c>
      <c r="I1974" s="3">
        <f>SUM(Tabla1[[#This Row],[Monto_Base]],H1974)</f>
        <v>15360.95</v>
      </c>
      <c r="J1974" t="s">
        <v>5043</v>
      </c>
      <c r="K1974" t="s">
        <v>5048</v>
      </c>
      <c r="L1974" t="s">
        <v>5050</v>
      </c>
      <c r="M1974" t="s">
        <v>5055</v>
      </c>
    </row>
    <row r="1975" spans="1:13" x14ac:dyDescent="0.3">
      <c r="A1975" s="1">
        <v>45510</v>
      </c>
      <c r="B1975" s="1" t="str">
        <f>TEXT(Tabla1[[#This Row],[Fecha]],"MMMM")</f>
        <v>agosto</v>
      </c>
      <c r="C1975" t="s">
        <v>1985</v>
      </c>
      <c r="D1975" t="s">
        <v>5031</v>
      </c>
      <c r="E1975" t="s">
        <v>5032</v>
      </c>
      <c r="F1975" t="s">
        <v>5034</v>
      </c>
      <c r="G1975" s="3">
        <v>1159.19</v>
      </c>
      <c r="H1975" s="3">
        <v>0</v>
      </c>
      <c r="I1975" s="3">
        <f>SUM(Tabla1[[#This Row],[Monto_Base]],H1975)</f>
        <v>1159.19</v>
      </c>
      <c r="J1975" t="s">
        <v>5043</v>
      </c>
      <c r="K1975" t="s">
        <v>5048</v>
      </c>
      <c r="L1975" t="s">
        <v>5052</v>
      </c>
      <c r="M1975" t="s">
        <v>5054</v>
      </c>
    </row>
    <row r="1976" spans="1:13" x14ac:dyDescent="0.3">
      <c r="A1976" s="1">
        <v>45306</v>
      </c>
      <c r="B1976" s="1" t="str">
        <f>TEXT(Tabla1[[#This Row],[Fecha]],"MMMM")</f>
        <v>enero</v>
      </c>
      <c r="C1976" t="s">
        <v>1986</v>
      </c>
      <c r="D1976" t="s">
        <v>5026</v>
      </c>
      <c r="E1976" t="s">
        <v>5032</v>
      </c>
      <c r="F1976" t="s">
        <v>5037</v>
      </c>
      <c r="G1976" s="3">
        <v>10140.5</v>
      </c>
      <c r="H1976" s="3">
        <v>0</v>
      </c>
      <c r="I1976" s="3">
        <f>SUM(Tabla1[[#This Row],[Monto_Base]],H1976)</f>
        <v>10140.5</v>
      </c>
      <c r="J1976" t="s">
        <v>5043</v>
      </c>
      <c r="K1976" t="s">
        <v>5048</v>
      </c>
      <c r="L1976" t="s">
        <v>5050</v>
      </c>
      <c r="M1976" t="s">
        <v>5055</v>
      </c>
    </row>
    <row r="1977" spans="1:13" x14ac:dyDescent="0.3">
      <c r="A1977" s="1">
        <v>45600</v>
      </c>
      <c r="B1977" s="1" t="str">
        <f>TEXT(Tabla1[[#This Row],[Fecha]],"MMMM")</f>
        <v>noviembre</v>
      </c>
      <c r="C1977" t="s">
        <v>1987</v>
      </c>
      <c r="D1977" t="s">
        <v>5024</v>
      </c>
      <c r="E1977" t="s">
        <v>5033</v>
      </c>
      <c r="F1977" t="s">
        <v>5038</v>
      </c>
      <c r="G1977" s="3">
        <v>3085.08</v>
      </c>
      <c r="H1977" s="3">
        <v>401.06</v>
      </c>
      <c r="I1977" s="3">
        <f>SUM(Tabla1[[#This Row],[Monto_Base]],H1977)</f>
        <v>3486.14</v>
      </c>
      <c r="J1977" t="s">
        <v>5045</v>
      </c>
      <c r="K1977" t="s">
        <v>5049</v>
      </c>
      <c r="L1977" t="s">
        <v>5050</v>
      </c>
      <c r="M1977" t="s">
        <v>5055</v>
      </c>
    </row>
    <row r="1978" spans="1:13" x14ac:dyDescent="0.3">
      <c r="A1978" s="1">
        <v>45355</v>
      </c>
      <c r="B1978" s="1" t="str">
        <f>TEXT(Tabla1[[#This Row],[Fecha]],"MMMM")</f>
        <v>marzo</v>
      </c>
      <c r="C1978" t="s">
        <v>1988</v>
      </c>
      <c r="D1978" t="s">
        <v>5024</v>
      </c>
      <c r="E1978" t="s">
        <v>5033</v>
      </c>
      <c r="F1978" t="s">
        <v>5040</v>
      </c>
      <c r="G1978" s="3">
        <v>2766.25</v>
      </c>
      <c r="H1978" s="3">
        <v>359.61</v>
      </c>
      <c r="I1978" s="3">
        <f>SUM(Tabla1[[#This Row],[Monto_Base]],H1978)</f>
        <v>3125.86</v>
      </c>
      <c r="J1978" t="s">
        <v>5046</v>
      </c>
      <c r="K1978" t="s">
        <v>5047</v>
      </c>
      <c r="L1978" t="s">
        <v>5052</v>
      </c>
      <c r="M1978" t="s">
        <v>5054</v>
      </c>
    </row>
    <row r="1979" spans="1:13" x14ac:dyDescent="0.3">
      <c r="A1979" s="1">
        <v>45485</v>
      </c>
      <c r="B1979" s="1" t="str">
        <f>TEXT(Tabla1[[#This Row],[Fecha]],"MMMM")</f>
        <v>julio</v>
      </c>
      <c r="C1979" t="s">
        <v>1989</v>
      </c>
      <c r="D1979" t="s">
        <v>5015</v>
      </c>
      <c r="E1979" t="s">
        <v>5033</v>
      </c>
      <c r="F1979" t="s">
        <v>5040</v>
      </c>
      <c r="G1979" s="3">
        <v>7320.03</v>
      </c>
      <c r="H1979" s="3">
        <v>951.6</v>
      </c>
      <c r="I1979" s="3">
        <f>SUM(Tabla1[[#This Row],[Monto_Base]],H1979)</f>
        <v>8271.6299999999992</v>
      </c>
      <c r="J1979" t="s">
        <v>5044</v>
      </c>
      <c r="K1979" t="s">
        <v>5048</v>
      </c>
      <c r="L1979" t="s">
        <v>5050</v>
      </c>
      <c r="M1979" t="s">
        <v>5055</v>
      </c>
    </row>
    <row r="1980" spans="1:13" x14ac:dyDescent="0.3">
      <c r="A1980" s="1">
        <v>45579</v>
      </c>
      <c r="B1980" s="1" t="str">
        <f>TEXT(Tabla1[[#This Row],[Fecha]],"MMMM")</f>
        <v>octubre</v>
      </c>
      <c r="C1980" t="s">
        <v>1990</v>
      </c>
      <c r="D1980" t="s">
        <v>5022</v>
      </c>
      <c r="E1980" t="s">
        <v>5033</v>
      </c>
      <c r="F1980" t="s">
        <v>5035</v>
      </c>
      <c r="G1980" s="3">
        <v>2147.19</v>
      </c>
      <c r="H1980" s="3">
        <v>279.13</v>
      </c>
      <c r="I1980" s="3">
        <f>SUM(Tabla1[[#This Row],[Monto_Base]],H1980)</f>
        <v>2426.3200000000002</v>
      </c>
      <c r="J1980" t="s">
        <v>5043</v>
      </c>
      <c r="K1980" t="s">
        <v>5048</v>
      </c>
      <c r="L1980" t="s">
        <v>5051</v>
      </c>
      <c r="M1980" t="s">
        <v>5055</v>
      </c>
    </row>
    <row r="1981" spans="1:13" x14ac:dyDescent="0.3">
      <c r="A1981" s="1">
        <v>45595</v>
      </c>
      <c r="B1981" s="1" t="str">
        <f>TEXT(Tabla1[[#This Row],[Fecha]],"MMMM")</f>
        <v>octubre</v>
      </c>
      <c r="C1981" t="s">
        <v>1991</v>
      </c>
      <c r="D1981" t="s">
        <v>5025</v>
      </c>
      <c r="E1981" t="s">
        <v>5032</v>
      </c>
      <c r="F1981" t="s">
        <v>5038</v>
      </c>
      <c r="G1981" s="3">
        <v>8607.32</v>
      </c>
      <c r="H1981" s="3">
        <v>0</v>
      </c>
      <c r="I1981" s="3">
        <f>SUM(Tabla1[[#This Row],[Monto_Base]],H1981)</f>
        <v>8607.32</v>
      </c>
      <c r="J1981" t="s">
        <v>5043</v>
      </c>
      <c r="K1981" t="s">
        <v>5048</v>
      </c>
      <c r="L1981" t="s">
        <v>5053</v>
      </c>
      <c r="M1981" t="s">
        <v>5055</v>
      </c>
    </row>
    <row r="1982" spans="1:13" x14ac:dyDescent="0.3">
      <c r="A1982" s="1">
        <v>45309</v>
      </c>
      <c r="B1982" s="1" t="str">
        <f>TEXT(Tabla1[[#This Row],[Fecha]],"MMMM")</f>
        <v>enero</v>
      </c>
      <c r="C1982" t="s">
        <v>1992</v>
      </c>
      <c r="D1982" t="s">
        <v>5027</v>
      </c>
      <c r="E1982" t="s">
        <v>5032</v>
      </c>
      <c r="F1982" t="s">
        <v>5037</v>
      </c>
      <c r="G1982" s="3">
        <v>10374.86</v>
      </c>
      <c r="H1982" s="3">
        <v>0</v>
      </c>
      <c r="I1982" s="3">
        <f>SUM(Tabla1[[#This Row],[Monto_Base]],H1982)</f>
        <v>10374.86</v>
      </c>
      <c r="J1982" t="s">
        <v>5044</v>
      </c>
      <c r="K1982" t="s">
        <v>5048</v>
      </c>
      <c r="L1982" t="s">
        <v>5053</v>
      </c>
      <c r="M1982" t="s">
        <v>5054</v>
      </c>
    </row>
    <row r="1983" spans="1:13" x14ac:dyDescent="0.3">
      <c r="A1983" s="1">
        <v>45532</v>
      </c>
      <c r="B1983" s="1" t="str">
        <f>TEXT(Tabla1[[#This Row],[Fecha]],"MMMM")</f>
        <v>agosto</v>
      </c>
      <c r="C1983" t="s">
        <v>1993</v>
      </c>
      <c r="D1983" t="s">
        <v>5024</v>
      </c>
      <c r="E1983" t="s">
        <v>5032</v>
      </c>
      <c r="F1983" t="s">
        <v>5040</v>
      </c>
      <c r="G1983" s="3">
        <v>10500.52</v>
      </c>
      <c r="H1983" s="3">
        <v>0</v>
      </c>
      <c r="I1983" s="3">
        <f>SUM(Tabla1[[#This Row],[Monto_Base]],H1983)</f>
        <v>10500.52</v>
      </c>
      <c r="J1983" t="s">
        <v>5046</v>
      </c>
      <c r="K1983" t="s">
        <v>5047</v>
      </c>
      <c r="L1983" t="s">
        <v>5050</v>
      </c>
      <c r="M1983" t="s">
        <v>5055</v>
      </c>
    </row>
    <row r="1984" spans="1:13" x14ac:dyDescent="0.3">
      <c r="A1984" s="1">
        <v>45348</v>
      </c>
      <c r="B1984" s="1" t="str">
        <f>TEXT(Tabla1[[#This Row],[Fecha]],"MMMM")</f>
        <v>febrero</v>
      </c>
      <c r="C1984" t="s">
        <v>1994</v>
      </c>
      <c r="D1984" t="s">
        <v>5014</v>
      </c>
      <c r="E1984" t="s">
        <v>5033</v>
      </c>
      <c r="F1984" t="s">
        <v>5041</v>
      </c>
      <c r="G1984" s="3">
        <v>6648.62</v>
      </c>
      <c r="H1984" s="3">
        <v>864.32</v>
      </c>
      <c r="I1984" s="3">
        <f>SUM(Tabla1[[#This Row],[Monto_Base]],H1984)</f>
        <v>7512.94</v>
      </c>
      <c r="J1984" t="s">
        <v>5042</v>
      </c>
      <c r="K1984" t="s">
        <v>5049</v>
      </c>
      <c r="L1984" t="s">
        <v>5051</v>
      </c>
      <c r="M1984" t="s">
        <v>5054</v>
      </c>
    </row>
    <row r="1985" spans="1:13" x14ac:dyDescent="0.3">
      <c r="A1985" s="1">
        <v>45481</v>
      </c>
      <c r="B1985" s="1" t="str">
        <f>TEXT(Tabla1[[#This Row],[Fecha]],"MMMM")</f>
        <v>julio</v>
      </c>
      <c r="C1985" t="s">
        <v>1995</v>
      </c>
      <c r="D1985" t="s">
        <v>5024</v>
      </c>
      <c r="E1985" t="s">
        <v>5032</v>
      </c>
      <c r="F1985" t="s">
        <v>5034</v>
      </c>
      <c r="G1985" s="3">
        <v>790.7</v>
      </c>
      <c r="H1985" s="3">
        <v>0</v>
      </c>
      <c r="I1985" s="3">
        <f>SUM(Tabla1[[#This Row],[Monto_Base]],H1985)</f>
        <v>790.7</v>
      </c>
      <c r="J1985" t="s">
        <v>5042</v>
      </c>
      <c r="K1985" t="s">
        <v>5048</v>
      </c>
      <c r="L1985" t="s">
        <v>5053</v>
      </c>
      <c r="M1985" t="s">
        <v>5054</v>
      </c>
    </row>
    <row r="1986" spans="1:13" x14ac:dyDescent="0.3">
      <c r="A1986" s="1">
        <v>45528</v>
      </c>
      <c r="B1986" s="1" t="str">
        <f>TEXT(Tabla1[[#This Row],[Fecha]],"MMMM")</f>
        <v>agosto</v>
      </c>
      <c r="C1986" t="s">
        <v>1996</v>
      </c>
      <c r="D1986" t="s">
        <v>5020</v>
      </c>
      <c r="E1986" t="s">
        <v>5033</v>
      </c>
      <c r="F1986" t="s">
        <v>5039</v>
      </c>
      <c r="G1986" s="3">
        <v>7958.79</v>
      </c>
      <c r="H1986" s="3">
        <v>1034.6400000000001</v>
      </c>
      <c r="I1986" s="3">
        <f>SUM(Tabla1[[#This Row],[Monto_Base]],H1986)</f>
        <v>8993.43</v>
      </c>
      <c r="J1986" t="s">
        <v>5043</v>
      </c>
      <c r="K1986" t="s">
        <v>5049</v>
      </c>
      <c r="L1986" t="s">
        <v>5052</v>
      </c>
      <c r="M1986" t="s">
        <v>5055</v>
      </c>
    </row>
    <row r="1987" spans="1:13" x14ac:dyDescent="0.3">
      <c r="A1987" s="1">
        <v>45560</v>
      </c>
      <c r="B1987" s="1" t="str">
        <f>TEXT(Tabla1[[#This Row],[Fecha]],"MMMM")</f>
        <v>septiembre</v>
      </c>
      <c r="C1987" t="s">
        <v>1997</v>
      </c>
      <c r="D1987" t="s">
        <v>5024</v>
      </c>
      <c r="E1987" t="s">
        <v>5033</v>
      </c>
      <c r="F1987" t="s">
        <v>5040</v>
      </c>
      <c r="G1987" s="3">
        <v>9230.52</v>
      </c>
      <c r="H1987" s="3">
        <v>1199.97</v>
      </c>
      <c r="I1987" s="3">
        <f>SUM(Tabla1[[#This Row],[Monto_Base]],H1987)</f>
        <v>10430.49</v>
      </c>
      <c r="J1987" t="s">
        <v>5042</v>
      </c>
      <c r="K1987" t="s">
        <v>5049</v>
      </c>
      <c r="L1987" t="s">
        <v>5051</v>
      </c>
      <c r="M1987" t="s">
        <v>5055</v>
      </c>
    </row>
    <row r="1988" spans="1:13" x14ac:dyDescent="0.3">
      <c r="A1988" s="1">
        <v>45461</v>
      </c>
      <c r="B1988" s="1" t="str">
        <f>TEXT(Tabla1[[#This Row],[Fecha]],"MMMM")</f>
        <v>junio</v>
      </c>
      <c r="C1988" t="s">
        <v>1998</v>
      </c>
      <c r="D1988" t="s">
        <v>5029</v>
      </c>
      <c r="E1988" t="s">
        <v>5032</v>
      </c>
      <c r="F1988" t="s">
        <v>5037</v>
      </c>
      <c r="G1988" s="3">
        <v>3757.8</v>
      </c>
      <c r="H1988" s="3">
        <v>0</v>
      </c>
      <c r="I1988" s="3">
        <f>SUM(Tabla1[[#This Row],[Monto_Base]],H1988)</f>
        <v>3757.8</v>
      </c>
      <c r="J1988" t="s">
        <v>5044</v>
      </c>
      <c r="K1988" t="s">
        <v>5048</v>
      </c>
      <c r="L1988" t="s">
        <v>5052</v>
      </c>
      <c r="M1988" t="s">
        <v>5055</v>
      </c>
    </row>
    <row r="1989" spans="1:13" x14ac:dyDescent="0.3">
      <c r="A1989" s="1">
        <v>45600</v>
      </c>
      <c r="B1989" s="1" t="str">
        <f>TEXT(Tabla1[[#This Row],[Fecha]],"MMMM")</f>
        <v>noviembre</v>
      </c>
      <c r="C1989" t="s">
        <v>1999</v>
      </c>
      <c r="D1989" t="s">
        <v>5030</v>
      </c>
      <c r="E1989" t="s">
        <v>5032</v>
      </c>
      <c r="F1989" t="s">
        <v>5036</v>
      </c>
      <c r="G1989" s="3">
        <v>5963.05</v>
      </c>
      <c r="H1989" s="3">
        <v>0</v>
      </c>
      <c r="I1989" s="3">
        <f>SUM(Tabla1[[#This Row],[Monto_Base]],H1989)</f>
        <v>5963.05</v>
      </c>
      <c r="J1989" t="s">
        <v>5042</v>
      </c>
      <c r="K1989" t="s">
        <v>5047</v>
      </c>
      <c r="L1989" t="s">
        <v>5052</v>
      </c>
      <c r="M1989" t="s">
        <v>5055</v>
      </c>
    </row>
    <row r="1990" spans="1:13" x14ac:dyDescent="0.3">
      <c r="A1990" s="1">
        <v>45430</v>
      </c>
      <c r="B1990" s="1" t="str">
        <f>TEXT(Tabla1[[#This Row],[Fecha]],"MMMM")</f>
        <v>mayo</v>
      </c>
      <c r="C1990" t="s">
        <v>2000</v>
      </c>
      <c r="D1990" t="s">
        <v>5014</v>
      </c>
      <c r="E1990" t="s">
        <v>5032</v>
      </c>
      <c r="F1990" t="s">
        <v>5038</v>
      </c>
      <c r="G1990" s="3">
        <v>3434.9</v>
      </c>
      <c r="H1990" s="3">
        <v>0</v>
      </c>
      <c r="I1990" s="3">
        <f>SUM(Tabla1[[#This Row],[Monto_Base]],H1990)</f>
        <v>3434.9</v>
      </c>
      <c r="J1990" t="s">
        <v>5043</v>
      </c>
      <c r="K1990" t="s">
        <v>5048</v>
      </c>
      <c r="L1990" t="s">
        <v>5053</v>
      </c>
      <c r="M1990" t="s">
        <v>5054</v>
      </c>
    </row>
    <row r="1991" spans="1:13" x14ac:dyDescent="0.3">
      <c r="A1991" s="1">
        <v>45357</v>
      </c>
      <c r="B1991" s="1" t="str">
        <f>TEXT(Tabla1[[#This Row],[Fecha]],"MMMM")</f>
        <v>marzo</v>
      </c>
      <c r="C1991" t="s">
        <v>2001</v>
      </c>
      <c r="D1991" t="s">
        <v>5017</v>
      </c>
      <c r="E1991" t="s">
        <v>5033</v>
      </c>
      <c r="F1991" t="s">
        <v>5040</v>
      </c>
      <c r="G1991" s="3">
        <v>7532.54</v>
      </c>
      <c r="H1991" s="3">
        <v>979.23</v>
      </c>
      <c r="I1991" s="3">
        <f>SUM(Tabla1[[#This Row],[Monto_Base]],H1991)</f>
        <v>8511.77</v>
      </c>
      <c r="J1991" t="s">
        <v>5042</v>
      </c>
      <c r="K1991" t="s">
        <v>5049</v>
      </c>
      <c r="L1991" t="s">
        <v>5050</v>
      </c>
      <c r="M1991" t="s">
        <v>5054</v>
      </c>
    </row>
    <row r="1992" spans="1:13" x14ac:dyDescent="0.3">
      <c r="A1992" s="1">
        <v>45296</v>
      </c>
      <c r="B1992" s="1" t="str">
        <f>TEXT(Tabla1[[#This Row],[Fecha]],"MMMM")</f>
        <v>enero</v>
      </c>
      <c r="C1992" t="s">
        <v>2002</v>
      </c>
      <c r="D1992" t="s">
        <v>5030</v>
      </c>
      <c r="E1992" t="s">
        <v>5033</v>
      </c>
      <c r="F1992" t="s">
        <v>5039</v>
      </c>
      <c r="G1992" s="3">
        <v>1598.99</v>
      </c>
      <c r="H1992" s="3">
        <v>207.87</v>
      </c>
      <c r="I1992" s="3">
        <f>SUM(Tabla1[[#This Row],[Monto_Base]],H1992)</f>
        <v>1806.8600000000001</v>
      </c>
      <c r="J1992" t="s">
        <v>5042</v>
      </c>
      <c r="K1992" t="s">
        <v>5048</v>
      </c>
      <c r="L1992" t="s">
        <v>5052</v>
      </c>
      <c r="M1992" t="s">
        <v>5054</v>
      </c>
    </row>
    <row r="1993" spans="1:13" x14ac:dyDescent="0.3">
      <c r="A1993" s="1">
        <v>45446</v>
      </c>
      <c r="B1993" s="1" t="str">
        <f>TEXT(Tabla1[[#This Row],[Fecha]],"MMMM")</f>
        <v>junio</v>
      </c>
      <c r="C1993" t="s">
        <v>2003</v>
      </c>
      <c r="D1993" t="s">
        <v>5013</v>
      </c>
      <c r="E1993" t="s">
        <v>5032</v>
      </c>
      <c r="F1993" t="s">
        <v>5035</v>
      </c>
      <c r="G1993" s="3">
        <v>7210.01</v>
      </c>
      <c r="H1993" s="3">
        <v>0</v>
      </c>
      <c r="I1993" s="3">
        <f>SUM(Tabla1[[#This Row],[Monto_Base]],H1993)</f>
        <v>7210.01</v>
      </c>
      <c r="J1993" t="s">
        <v>5042</v>
      </c>
      <c r="K1993" t="s">
        <v>5048</v>
      </c>
      <c r="L1993" t="s">
        <v>5052</v>
      </c>
      <c r="M1993" t="s">
        <v>5055</v>
      </c>
    </row>
    <row r="1994" spans="1:13" x14ac:dyDescent="0.3">
      <c r="A1994" s="1">
        <v>45359</v>
      </c>
      <c r="B1994" s="1" t="str">
        <f>TEXT(Tabla1[[#This Row],[Fecha]],"MMMM")</f>
        <v>marzo</v>
      </c>
      <c r="C1994" t="s">
        <v>2004</v>
      </c>
      <c r="D1994" t="s">
        <v>5020</v>
      </c>
      <c r="E1994" t="s">
        <v>5032</v>
      </c>
      <c r="F1994" t="s">
        <v>5041</v>
      </c>
      <c r="G1994" s="3">
        <v>12015.28</v>
      </c>
      <c r="H1994" s="3">
        <v>0</v>
      </c>
      <c r="I1994" s="3">
        <f>SUM(Tabla1[[#This Row],[Monto_Base]],H1994)</f>
        <v>12015.28</v>
      </c>
      <c r="J1994" t="s">
        <v>5046</v>
      </c>
      <c r="K1994" t="s">
        <v>5047</v>
      </c>
      <c r="L1994" t="s">
        <v>5052</v>
      </c>
      <c r="M1994" t="s">
        <v>5054</v>
      </c>
    </row>
    <row r="1995" spans="1:13" x14ac:dyDescent="0.3">
      <c r="A1995" s="1">
        <v>45487</v>
      </c>
      <c r="B1995" s="1" t="str">
        <f>TEXT(Tabla1[[#This Row],[Fecha]],"MMMM")</f>
        <v>julio</v>
      </c>
      <c r="C1995" t="s">
        <v>2005</v>
      </c>
      <c r="D1995" t="s">
        <v>5021</v>
      </c>
      <c r="E1995" t="s">
        <v>5032</v>
      </c>
      <c r="F1995" t="s">
        <v>5037</v>
      </c>
      <c r="G1995" s="3">
        <v>12731.44</v>
      </c>
      <c r="H1995" s="3">
        <v>0</v>
      </c>
      <c r="I1995" s="3">
        <f>SUM(Tabla1[[#This Row],[Monto_Base]],H1995)</f>
        <v>12731.44</v>
      </c>
      <c r="J1995" t="s">
        <v>5045</v>
      </c>
      <c r="K1995" t="s">
        <v>5047</v>
      </c>
      <c r="L1995" t="s">
        <v>5052</v>
      </c>
      <c r="M1995" t="s">
        <v>5054</v>
      </c>
    </row>
    <row r="1996" spans="1:13" x14ac:dyDescent="0.3">
      <c r="A1996" s="1">
        <v>45350</v>
      </c>
      <c r="B1996" s="1" t="str">
        <f>TEXT(Tabla1[[#This Row],[Fecha]],"MMMM")</f>
        <v>febrero</v>
      </c>
      <c r="C1996" t="s">
        <v>2006</v>
      </c>
      <c r="D1996" t="s">
        <v>5026</v>
      </c>
      <c r="E1996" t="s">
        <v>5032</v>
      </c>
      <c r="F1996" t="s">
        <v>5036</v>
      </c>
      <c r="G1996" s="3">
        <v>2088.59</v>
      </c>
      <c r="H1996" s="3">
        <v>0</v>
      </c>
      <c r="I1996" s="3">
        <f>SUM(Tabla1[[#This Row],[Monto_Base]],H1996)</f>
        <v>2088.59</v>
      </c>
      <c r="J1996" t="s">
        <v>5046</v>
      </c>
      <c r="K1996" t="s">
        <v>5049</v>
      </c>
      <c r="L1996" t="s">
        <v>5050</v>
      </c>
      <c r="M1996" t="s">
        <v>5055</v>
      </c>
    </row>
    <row r="1997" spans="1:13" x14ac:dyDescent="0.3">
      <c r="A1997" s="1">
        <v>45464</v>
      </c>
      <c r="B1997" s="1" t="str">
        <f>TEXT(Tabla1[[#This Row],[Fecha]],"MMMM")</f>
        <v>junio</v>
      </c>
      <c r="C1997" t="s">
        <v>2007</v>
      </c>
      <c r="D1997" t="s">
        <v>5020</v>
      </c>
      <c r="E1997" t="s">
        <v>5032</v>
      </c>
      <c r="F1997" t="s">
        <v>5034</v>
      </c>
      <c r="G1997" s="3">
        <v>4994.97</v>
      </c>
      <c r="H1997" s="3">
        <v>0</v>
      </c>
      <c r="I1997" s="3">
        <f>SUM(Tabla1[[#This Row],[Monto_Base]],H1997)</f>
        <v>4994.97</v>
      </c>
      <c r="J1997" t="s">
        <v>5043</v>
      </c>
      <c r="K1997" t="s">
        <v>5047</v>
      </c>
      <c r="L1997" t="s">
        <v>5050</v>
      </c>
      <c r="M1997" t="s">
        <v>5054</v>
      </c>
    </row>
    <row r="1998" spans="1:13" x14ac:dyDescent="0.3">
      <c r="A1998" s="1">
        <v>45388</v>
      </c>
      <c r="B1998" s="1" t="str">
        <f>TEXT(Tabla1[[#This Row],[Fecha]],"MMMM")</f>
        <v>abril</v>
      </c>
      <c r="C1998" t="s">
        <v>2008</v>
      </c>
      <c r="D1998" t="s">
        <v>5013</v>
      </c>
      <c r="E1998" t="s">
        <v>5032</v>
      </c>
      <c r="F1998" t="s">
        <v>5040</v>
      </c>
      <c r="G1998" s="3">
        <v>8310.6299999999992</v>
      </c>
      <c r="H1998" s="3">
        <v>0</v>
      </c>
      <c r="I1998" s="3">
        <f>SUM(Tabla1[[#This Row],[Monto_Base]],H1998)</f>
        <v>8310.6299999999992</v>
      </c>
      <c r="J1998" t="s">
        <v>5044</v>
      </c>
      <c r="K1998" t="s">
        <v>5049</v>
      </c>
      <c r="L1998" t="s">
        <v>5051</v>
      </c>
      <c r="M1998" t="s">
        <v>5055</v>
      </c>
    </row>
    <row r="1999" spans="1:13" x14ac:dyDescent="0.3">
      <c r="A1999" s="1">
        <v>45569</v>
      </c>
      <c r="B1999" s="1" t="str">
        <f>TEXT(Tabla1[[#This Row],[Fecha]],"MMMM")</f>
        <v>octubre</v>
      </c>
      <c r="C1999" t="s">
        <v>2009</v>
      </c>
      <c r="D1999" t="s">
        <v>5024</v>
      </c>
      <c r="E1999" t="s">
        <v>5033</v>
      </c>
      <c r="F1999" t="s">
        <v>5036</v>
      </c>
      <c r="G1999" s="3">
        <v>3381.19</v>
      </c>
      <c r="H1999" s="3">
        <v>439.55</v>
      </c>
      <c r="I1999" s="3">
        <f>SUM(Tabla1[[#This Row],[Monto_Base]],H1999)</f>
        <v>3820.7400000000002</v>
      </c>
      <c r="J1999" t="s">
        <v>5042</v>
      </c>
      <c r="K1999" t="s">
        <v>5048</v>
      </c>
      <c r="L1999" t="s">
        <v>5053</v>
      </c>
      <c r="M1999" t="s">
        <v>5054</v>
      </c>
    </row>
    <row r="2000" spans="1:13" x14ac:dyDescent="0.3">
      <c r="A2000" s="1">
        <v>45635</v>
      </c>
      <c r="B2000" s="1" t="str">
        <f>TEXT(Tabla1[[#This Row],[Fecha]],"MMMM")</f>
        <v>diciembre</v>
      </c>
      <c r="C2000" t="s">
        <v>2010</v>
      </c>
      <c r="D2000" t="s">
        <v>5028</v>
      </c>
      <c r="E2000" t="s">
        <v>5033</v>
      </c>
      <c r="F2000" t="s">
        <v>5037</v>
      </c>
      <c r="G2000" s="3">
        <v>2405.69</v>
      </c>
      <c r="H2000" s="3">
        <v>312.74</v>
      </c>
      <c r="I2000" s="3">
        <f>SUM(Tabla1[[#This Row],[Monto_Base]],H2000)</f>
        <v>2718.4300000000003</v>
      </c>
      <c r="J2000" t="s">
        <v>5046</v>
      </c>
      <c r="K2000" t="s">
        <v>5047</v>
      </c>
      <c r="L2000" t="s">
        <v>5052</v>
      </c>
      <c r="M2000" t="s">
        <v>5054</v>
      </c>
    </row>
    <row r="2001" spans="1:13" x14ac:dyDescent="0.3">
      <c r="A2001" s="1">
        <v>45398</v>
      </c>
      <c r="B2001" s="1" t="str">
        <f>TEXT(Tabla1[[#This Row],[Fecha]],"MMMM")</f>
        <v>abril</v>
      </c>
      <c r="C2001" t="s">
        <v>2011</v>
      </c>
      <c r="D2001" t="s">
        <v>5025</v>
      </c>
      <c r="E2001" t="s">
        <v>5032</v>
      </c>
      <c r="F2001" t="s">
        <v>5039</v>
      </c>
      <c r="G2001" s="3">
        <v>4013.59</v>
      </c>
      <c r="H2001" s="3">
        <v>0</v>
      </c>
      <c r="I2001" s="3">
        <f>SUM(Tabla1[[#This Row],[Monto_Base]],H2001)</f>
        <v>4013.59</v>
      </c>
      <c r="J2001" t="s">
        <v>5045</v>
      </c>
      <c r="K2001" t="s">
        <v>5047</v>
      </c>
      <c r="L2001" t="s">
        <v>5051</v>
      </c>
      <c r="M2001" t="s">
        <v>5054</v>
      </c>
    </row>
    <row r="2002" spans="1:13" x14ac:dyDescent="0.3">
      <c r="A2002" s="1">
        <v>45568</v>
      </c>
      <c r="B2002" s="1" t="str">
        <f>TEXT(Tabla1[[#This Row],[Fecha]],"MMMM")</f>
        <v>octubre</v>
      </c>
      <c r="C2002" t="s">
        <v>2012</v>
      </c>
      <c r="D2002" t="s">
        <v>5014</v>
      </c>
      <c r="E2002" t="s">
        <v>5032</v>
      </c>
      <c r="F2002" t="s">
        <v>5037</v>
      </c>
      <c r="G2002" s="3">
        <v>11732.39</v>
      </c>
      <c r="H2002" s="3">
        <v>0</v>
      </c>
      <c r="I2002" s="3">
        <f>SUM(Tabla1[[#This Row],[Monto_Base]],H2002)</f>
        <v>11732.39</v>
      </c>
      <c r="J2002" t="s">
        <v>5045</v>
      </c>
      <c r="K2002" t="s">
        <v>5047</v>
      </c>
      <c r="L2002" t="s">
        <v>5051</v>
      </c>
      <c r="M2002" t="s">
        <v>5054</v>
      </c>
    </row>
    <row r="2003" spans="1:13" x14ac:dyDescent="0.3">
      <c r="A2003" s="1">
        <v>45626</v>
      </c>
      <c r="B2003" s="1" t="str">
        <f>TEXT(Tabla1[[#This Row],[Fecha]],"MMMM")</f>
        <v>noviembre</v>
      </c>
      <c r="C2003" t="s">
        <v>2013</v>
      </c>
      <c r="D2003" t="s">
        <v>5019</v>
      </c>
      <c r="E2003" t="s">
        <v>5033</v>
      </c>
      <c r="F2003" t="s">
        <v>5039</v>
      </c>
      <c r="G2003" s="3">
        <v>13297.51</v>
      </c>
      <c r="H2003" s="3">
        <v>1728.68</v>
      </c>
      <c r="I2003" s="3">
        <f>SUM(Tabla1[[#This Row],[Monto_Base]],H2003)</f>
        <v>15026.19</v>
      </c>
      <c r="J2003" t="s">
        <v>5045</v>
      </c>
      <c r="K2003" t="s">
        <v>5049</v>
      </c>
      <c r="L2003" t="s">
        <v>5050</v>
      </c>
      <c r="M2003" t="s">
        <v>5055</v>
      </c>
    </row>
    <row r="2004" spans="1:13" x14ac:dyDescent="0.3">
      <c r="A2004" s="1">
        <v>45311</v>
      </c>
      <c r="B2004" s="1" t="str">
        <f>TEXT(Tabla1[[#This Row],[Fecha]],"MMMM")</f>
        <v>enero</v>
      </c>
      <c r="C2004" t="s">
        <v>2014</v>
      </c>
      <c r="D2004" t="s">
        <v>5030</v>
      </c>
      <c r="E2004" t="s">
        <v>5032</v>
      </c>
      <c r="F2004" t="s">
        <v>5038</v>
      </c>
      <c r="G2004" s="3">
        <v>2865.44</v>
      </c>
      <c r="H2004" s="3">
        <v>0</v>
      </c>
      <c r="I2004" s="3">
        <f>SUM(Tabla1[[#This Row],[Monto_Base]],H2004)</f>
        <v>2865.44</v>
      </c>
      <c r="J2004" t="s">
        <v>5044</v>
      </c>
      <c r="K2004" t="s">
        <v>5047</v>
      </c>
      <c r="L2004" t="s">
        <v>5051</v>
      </c>
      <c r="M2004" t="s">
        <v>5054</v>
      </c>
    </row>
    <row r="2005" spans="1:13" x14ac:dyDescent="0.3">
      <c r="A2005" s="1">
        <v>45578</v>
      </c>
      <c r="B2005" s="1" t="str">
        <f>TEXT(Tabla1[[#This Row],[Fecha]],"MMMM")</f>
        <v>octubre</v>
      </c>
      <c r="C2005" t="s">
        <v>2015</v>
      </c>
      <c r="D2005" t="s">
        <v>5017</v>
      </c>
      <c r="E2005" t="s">
        <v>5032</v>
      </c>
      <c r="F2005" t="s">
        <v>5035</v>
      </c>
      <c r="G2005" s="3">
        <v>2492.37</v>
      </c>
      <c r="H2005" s="3">
        <v>0</v>
      </c>
      <c r="I2005" s="3">
        <f>SUM(Tabla1[[#This Row],[Monto_Base]],H2005)</f>
        <v>2492.37</v>
      </c>
      <c r="J2005" t="s">
        <v>5042</v>
      </c>
      <c r="K2005" t="s">
        <v>5048</v>
      </c>
      <c r="L2005" t="s">
        <v>5050</v>
      </c>
      <c r="M2005" t="s">
        <v>5055</v>
      </c>
    </row>
    <row r="2006" spans="1:13" x14ac:dyDescent="0.3">
      <c r="A2006" s="1">
        <v>45373</v>
      </c>
      <c r="B2006" s="1" t="str">
        <f>TEXT(Tabla1[[#This Row],[Fecha]],"MMMM")</f>
        <v>marzo</v>
      </c>
      <c r="C2006" t="s">
        <v>2016</v>
      </c>
      <c r="D2006" t="s">
        <v>5028</v>
      </c>
      <c r="E2006" t="s">
        <v>5032</v>
      </c>
      <c r="F2006" t="s">
        <v>5040</v>
      </c>
      <c r="G2006" s="3">
        <v>10961</v>
      </c>
      <c r="H2006" s="3">
        <v>0</v>
      </c>
      <c r="I2006" s="3">
        <f>SUM(Tabla1[[#This Row],[Monto_Base]],H2006)</f>
        <v>10961</v>
      </c>
      <c r="J2006" t="s">
        <v>5046</v>
      </c>
      <c r="K2006" t="s">
        <v>5047</v>
      </c>
      <c r="L2006" t="s">
        <v>5052</v>
      </c>
      <c r="M2006" t="s">
        <v>5054</v>
      </c>
    </row>
    <row r="2007" spans="1:13" x14ac:dyDescent="0.3">
      <c r="A2007" s="1">
        <v>45497</v>
      </c>
      <c r="B2007" s="1" t="str">
        <f>TEXT(Tabla1[[#This Row],[Fecha]],"MMMM")</f>
        <v>julio</v>
      </c>
      <c r="C2007" t="s">
        <v>2017</v>
      </c>
      <c r="D2007" t="s">
        <v>5012</v>
      </c>
      <c r="E2007" t="s">
        <v>5033</v>
      </c>
      <c r="F2007" t="s">
        <v>5035</v>
      </c>
      <c r="G2007" s="3">
        <v>2059.91</v>
      </c>
      <c r="H2007" s="3">
        <v>267.79000000000002</v>
      </c>
      <c r="I2007" s="3">
        <f>SUM(Tabla1[[#This Row],[Monto_Base]],H2007)</f>
        <v>2327.6999999999998</v>
      </c>
      <c r="J2007" t="s">
        <v>5042</v>
      </c>
      <c r="K2007" t="s">
        <v>5047</v>
      </c>
      <c r="L2007" t="s">
        <v>5052</v>
      </c>
      <c r="M2007" t="s">
        <v>5054</v>
      </c>
    </row>
    <row r="2008" spans="1:13" x14ac:dyDescent="0.3">
      <c r="A2008" s="1">
        <v>45501</v>
      </c>
      <c r="B2008" s="1" t="str">
        <f>TEXT(Tabla1[[#This Row],[Fecha]],"MMMM")</f>
        <v>julio</v>
      </c>
      <c r="C2008" t="s">
        <v>2018</v>
      </c>
      <c r="D2008" t="s">
        <v>5017</v>
      </c>
      <c r="E2008" t="s">
        <v>5033</v>
      </c>
      <c r="F2008" t="s">
        <v>5034</v>
      </c>
      <c r="G2008" s="3">
        <v>2999.17</v>
      </c>
      <c r="H2008" s="3">
        <v>389.89</v>
      </c>
      <c r="I2008" s="3">
        <f>SUM(Tabla1[[#This Row],[Monto_Base]],H2008)</f>
        <v>3389.06</v>
      </c>
      <c r="J2008" t="s">
        <v>5043</v>
      </c>
      <c r="K2008" t="s">
        <v>5048</v>
      </c>
      <c r="L2008" t="s">
        <v>5053</v>
      </c>
      <c r="M2008" t="s">
        <v>5054</v>
      </c>
    </row>
    <row r="2009" spans="1:13" x14ac:dyDescent="0.3">
      <c r="A2009" s="1">
        <v>45510</v>
      </c>
      <c r="B2009" s="1" t="str">
        <f>TEXT(Tabla1[[#This Row],[Fecha]],"MMMM")</f>
        <v>agosto</v>
      </c>
      <c r="C2009" t="s">
        <v>2019</v>
      </c>
      <c r="D2009" t="s">
        <v>5025</v>
      </c>
      <c r="E2009" t="s">
        <v>5032</v>
      </c>
      <c r="F2009" t="s">
        <v>5035</v>
      </c>
      <c r="G2009" s="3">
        <v>6591.22</v>
      </c>
      <c r="H2009" s="3">
        <v>0</v>
      </c>
      <c r="I2009" s="3">
        <f>SUM(Tabla1[[#This Row],[Monto_Base]],H2009)</f>
        <v>6591.22</v>
      </c>
      <c r="J2009" t="s">
        <v>5046</v>
      </c>
      <c r="K2009" t="s">
        <v>5048</v>
      </c>
      <c r="L2009" t="s">
        <v>5051</v>
      </c>
      <c r="M2009" t="s">
        <v>5055</v>
      </c>
    </row>
    <row r="2010" spans="1:13" x14ac:dyDescent="0.3">
      <c r="A2010" s="1">
        <v>45399</v>
      </c>
      <c r="B2010" s="1" t="str">
        <f>TEXT(Tabla1[[#This Row],[Fecha]],"MMMM")</f>
        <v>abril</v>
      </c>
      <c r="C2010" t="s">
        <v>2020</v>
      </c>
      <c r="D2010" t="s">
        <v>5012</v>
      </c>
      <c r="E2010" t="s">
        <v>5033</v>
      </c>
      <c r="F2010" t="s">
        <v>5038</v>
      </c>
      <c r="G2010" s="3">
        <v>9644.24</v>
      </c>
      <c r="H2010" s="3">
        <v>1253.75</v>
      </c>
      <c r="I2010" s="3">
        <f>SUM(Tabla1[[#This Row],[Monto_Base]],H2010)</f>
        <v>10897.99</v>
      </c>
      <c r="J2010" t="s">
        <v>5045</v>
      </c>
      <c r="K2010" t="s">
        <v>5047</v>
      </c>
      <c r="L2010" t="s">
        <v>5052</v>
      </c>
      <c r="M2010" t="s">
        <v>5054</v>
      </c>
    </row>
    <row r="2011" spans="1:13" x14ac:dyDescent="0.3">
      <c r="A2011" s="1">
        <v>45430</v>
      </c>
      <c r="B2011" s="1" t="str">
        <f>TEXT(Tabla1[[#This Row],[Fecha]],"MMMM")</f>
        <v>mayo</v>
      </c>
      <c r="C2011" t="s">
        <v>2021</v>
      </c>
      <c r="D2011" t="s">
        <v>5025</v>
      </c>
      <c r="E2011" t="s">
        <v>5033</v>
      </c>
      <c r="F2011" t="s">
        <v>5034</v>
      </c>
      <c r="G2011" s="3">
        <v>484.2</v>
      </c>
      <c r="H2011" s="3">
        <v>62.95</v>
      </c>
      <c r="I2011" s="3">
        <f>SUM(Tabla1[[#This Row],[Monto_Base]],H2011)</f>
        <v>547.15</v>
      </c>
      <c r="J2011" t="s">
        <v>5046</v>
      </c>
      <c r="K2011" t="s">
        <v>5047</v>
      </c>
      <c r="L2011" t="s">
        <v>5052</v>
      </c>
      <c r="M2011" t="s">
        <v>5055</v>
      </c>
    </row>
    <row r="2012" spans="1:13" x14ac:dyDescent="0.3">
      <c r="A2012" s="1">
        <v>45375</v>
      </c>
      <c r="B2012" s="1" t="str">
        <f>TEXT(Tabla1[[#This Row],[Fecha]],"MMMM")</f>
        <v>marzo</v>
      </c>
      <c r="C2012" t="s">
        <v>2022</v>
      </c>
      <c r="D2012" t="s">
        <v>5030</v>
      </c>
      <c r="E2012" t="s">
        <v>5033</v>
      </c>
      <c r="F2012" t="s">
        <v>5036</v>
      </c>
      <c r="G2012" s="3">
        <v>6840.57</v>
      </c>
      <c r="H2012" s="3">
        <v>889.27</v>
      </c>
      <c r="I2012" s="3">
        <f>SUM(Tabla1[[#This Row],[Monto_Base]],H2012)</f>
        <v>7729.84</v>
      </c>
      <c r="J2012" t="s">
        <v>5046</v>
      </c>
      <c r="K2012" t="s">
        <v>5049</v>
      </c>
      <c r="L2012" t="s">
        <v>5052</v>
      </c>
      <c r="M2012" t="s">
        <v>5055</v>
      </c>
    </row>
    <row r="2013" spans="1:13" x14ac:dyDescent="0.3">
      <c r="A2013" s="1">
        <v>45503</v>
      </c>
      <c r="B2013" s="1" t="str">
        <f>TEXT(Tabla1[[#This Row],[Fecha]],"MMMM")</f>
        <v>julio</v>
      </c>
      <c r="C2013" t="s">
        <v>2023</v>
      </c>
      <c r="D2013" t="s">
        <v>5015</v>
      </c>
      <c r="E2013" t="s">
        <v>5033</v>
      </c>
      <c r="F2013" t="s">
        <v>5041</v>
      </c>
      <c r="G2013" s="3">
        <v>12224.15</v>
      </c>
      <c r="H2013" s="3">
        <v>1589.14</v>
      </c>
      <c r="I2013" s="3">
        <f>SUM(Tabla1[[#This Row],[Monto_Base]],H2013)</f>
        <v>13813.289999999999</v>
      </c>
      <c r="J2013" t="s">
        <v>5044</v>
      </c>
      <c r="K2013" t="s">
        <v>5049</v>
      </c>
      <c r="L2013" t="s">
        <v>5050</v>
      </c>
      <c r="M2013" t="s">
        <v>5054</v>
      </c>
    </row>
    <row r="2014" spans="1:13" x14ac:dyDescent="0.3">
      <c r="A2014" s="1">
        <v>45610</v>
      </c>
      <c r="B2014" s="1" t="str">
        <f>TEXT(Tabla1[[#This Row],[Fecha]],"MMMM")</f>
        <v>noviembre</v>
      </c>
      <c r="C2014" t="s">
        <v>2024</v>
      </c>
      <c r="D2014" t="s">
        <v>5025</v>
      </c>
      <c r="E2014" t="s">
        <v>5032</v>
      </c>
      <c r="F2014" t="s">
        <v>5038</v>
      </c>
      <c r="G2014" s="3">
        <v>6238.1</v>
      </c>
      <c r="H2014" s="3">
        <v>0</v>
      </c>
      <c r="I2014" s="3">
        <f>SUM(Tabla1[[#This Row],[Monto_Base]],H2014)</f>
        <v>6238.1</v>
      </c>
      <c r="J2014" t="s">
        <v>5042</v>
      </c>
      <c r="K2014" t="s">
        <v>5047</v>
      </c>
      <c r="L2014" t="s">
        <v>5051</v>
      </c>
      <c r="M2014" t="s">
        <v>5054</v>
      </c>
    </row>
    <row r="2015" spans="1:13" x14ac:dyDescent="0.3">
      <c r="A2015" s="1">
        <v>45638</v>
      </c>
      <c r="B2015" s="1" t="str">
        <f>TEXT(Tabla1[[#This Row],[Fecha]],"MMMM")</f>
        <v>diciembre</v>
      </c>
      <c r="C2015" t="s">
        <v>2025</v>
      </c>
      <c r="D2015" t="s">
        <v>5020</v>
      </c>
      <c r="E2015" t="s">
        <v>5033</v>
      </c>
      <c r="F2015" t="s">
        <v>5041</v>
      </c>
      <c r="G2015" s="3">
        <v>2353.59</v>
      </c>
      <c r="H2015" s="3">
        <v>305.97000000000003</v>
      </c>
      <c r="I2015" s="3">
        <f>SUM(Tabla1[[#This Row],[Monto_Base]],H2015)</f>
        <v>2659.5600000000004</v>
      </c>
      <c r="J2015" t="s">
        <v>5043</v>
      </c>
      <c r="K2015" t="s">
        <v>5049</v>
      </c>
      <c r="L2015" t="s">
        <v>5052</v>
      </c>
      <c r="M2015" t="s">
        <v>5055</v>
      </c>
    </row>
    <row r="2016" spans="1:13" x14ac:dyDescent="0.3">
      <c r="A2016" s="1">
        <v>45591</v>
      </c>
      <c r="B2016" s="1" t="str">
        <f>TEXT(Tabla1[[#This Row],[Fecha]],"MMMM")</f>
        <v>octubre</v>
      </c>
      <c r="C2016" t="s">
        <v>2026</v>
      </c>
      <c r="D2016" t="s">
        <v>5026</v>
      </c>
      <c r="E2016" t="s">
        <v>5033</v>
      </c>
      <c r="F2016" t="s">
        <v>5040</v>
      </c>
      <c r="G2016" s="3">
        <v>9002.02</v>
      </c>
      <c r="H2016" s="3">
        <v>1170.26</v>
      </c>
      <c r="I2016" s="3">
        <f>SUM(Tabla1[[#This Row],[Monto_Base]],H2016)</f>
        <v>10172.280000000001</v>
      </c>
      <c r="J2016" t="s">
        <v>5044</v>
      </c>
      <c r="K2016" t="s">
        <v>5048</v>
      </c>
      <c r="L2016" t="s">
        <v>5050</v>
      </c>
      <c r="M2016" t="s">
        <v>5055</v>
      </c>
    </row>
    <row r="2017" spans="1:13" x14ac:dyDescent="0.3">
      <c r="A2017" s="1">
        <v>45613</v>
      </c>
      <c r="B2017" s="1" t="str">
        <f>TEXT(Tabla1[[#This Row],[Fecha]],"MMMM")</f>
        <v>noviembre</v>
      </c>
      <c r="C2017" t="s">
        <v>2027</v>
      </c>
      <c r="D2017" t="s">
        <v>5016</v>
      </c>
      <c r="E2017" t="s">
        <v>5033</v>
      </c>
      <c r="F2017" t="s">
        <v>5034</v>
      </c>
      <c r="G2017" s="3">
        <v>7307.74</v>
      </c>
      <c r="H2017" s="3">
        <v>950.01</v>
      </c>
      <c r="I2017" s="3">
        <f>SUM(Tabla1[[#This Row],[Monto_Base]],H2017)</f>
        <v>8257.75</v>
      </c>
      <c r="J2017" t="s">
        <v>5046</v>
      </c>
      <c r="K2017" t="s">
        <v>5048</v>
      </c>
      <c r="L2017" t="s">
        <v>5053</v>
      </c>
      <c r="M2017" t="s">
        <v>5054</v>
      </c>
    </row>
    <row r="2018" spans="1:13" x14ac:dyDescent="0.3">
      <c r="A2018" s="1">
        <v>45353</v>
      </c>
      <c r="B2018" s="1" t="str">
        <f>TEXT(Tabla1[[#This Row],[Fecha]],"MMMM")</f>
        <v>marzo</v>
      </c>
      <c r="C2018" t="s">
        <v>2028</v>
      </c>
      <c r="D2018" t="s">
        <v>5026</v>
      </c>
      <c r="E2018" t="s">
        <v>5033</v>
      </c>
      <c r="F2018" t="s">
        <v>5036</v>
      </c>
      <c r="G2018" s="3">
        <v>14690.93</v>
      </c>
      <c r="H2018" s="3">
        <v>1909.82</v>
      </c>
      <c r="I2018" s="3">
        <f>SUM(Tabla1[[#This Row],[Monto_Base]],H2018)</f>
        <v>16600.75</v>
      </c>
      <c r="J2018" t="s">
        <v>5042</v>
      </c>
      <c r="K2018" t="s">
        <v>5048</v>
      </c>
      <c r="L2018" t="s">
        <v>5053</v>
      </c>
      <c r="M2018" t="s">
        <v>5054</v>
      </c>
    </row>
    <row r="2019" spans="1:13" x14ac:dyDescent="0.3">
      <c r="A2019" s="1">
        <v>45329</v>
      </c>
      <c r="B2019" s="1" t="str">
        <f>TEXT(Tabla1[[#This Row],[Fecha]],"MMMM")</f>
        <v>febrero</v>
      </c>
      <c r="C2019" t="s">
        <v>2029</v>
      </c>
      <c r="D2019" t="s">
        <v>5016</v>
      </c>
      <c r="E2019" t="s">
        <v>5032</v>
      </c>
      <c r="F2019" t="s">
        <v>5035</v>
      </c>
      <c r="G2019" s="3">
        <v>10060.66</v>
      </c>
      <c r="H2019" s="3">
        <v>0</v>
      </c>
      <c r="I2019" s="3">
        <f>SUM(Tabla1[[#This Row],[Monto_Base]],H2019)</f>
        <v>10060.66</v>
      </c>
      <c r="J2019" t="s">
        <v>5043</v>
      </c>
      <c r="K2019" t="s">
        <v>5047</v>
      </c>
      <c r="L2019" t="s">
        <v>5050</v>
      </c>
      <c r="M2019" t="s">
        <v>5055</v>
      </c>
    </row>
    <row r="2020" spans="1:13" x14ac:dyDescent="0.3">
      <c r="A2020" s="1">
        <v>45609</v>
      </c>
      <c r="B2020" s="1" t="str">
        <f>TEXT(Tabla1[[#This Row],[Fecha]],"MMMM")</f>
        <v>noviembre</v>
      </c>
      <c r="C2020" t="s">
        <v>2030</v>
      </c>
      <c r="D2020" t="s">
        <v>5017</v>
      </c>
      <c r="E2020" t="s">
        <v>5033</v>
      </c>
      <c r="F2020" t="s">
        <v>5040</v>
      </c>
      <c r="G2020" s="3">
        <v>1598.36</v>
      </c>
      <c r="H2020" s="3">
        <v>207.79</v>
      </c>
      <c r="I2020" s="3">
        <f>SUM(Tabla1[[#This Row],[Monto_Base]],H2020)</f>
        <v>1806.1499999999999</v>
      </c>
      <c r="J2020" t="s">
        <v>5042</v>
      </c>
      <c r="K2020" t="s">
        <v>5048</v>
      </c>
      <c r="L2020" t="s">
        <v>5051</v>
      </c>
      <c r="M2020" t="s">
        <v>5054</v>
      </c>
    </row>
    <row r="2021" spans="1:13" x14ac:dyDescent="0.3">
      <c r="A2021" s="1">
        <v>45364</v>
      </c>
      <c r="B2021" s="1" t="str">
        <f>TEXT(Tabla1[[#This Row],[Fecha]],"MMMM")</f>
        <v>marzo</v>
      </c>
      <c r="C2021" t="s">
        <v>2031</v>
      </c>
      <c r="D2021" t="s">
        <v>5030</v>
      </c>
      <c r="E2021" t="s">
        <v>5032</v>
      </c>
      <c r="F2021" t="s">
        <v>5036</v>
      </c>
      <c r="G2021" s="3">
        <v>2631.32</v>
      </c>
      <c r="H2021" s="3">
        <v>0</v>
      </c>
      <c r="I2021" s="3">
        <f>SUM(Tabla1[[#This Row],[Monto_Base]],H2021)</f>
        <v>2631.32</v>
      </c>
      <c r="J2021" t="s">
        <v>5043</v>
      </c>
      <c r="K2021" t="s">
        <v>5048</v>
      </c>
      <c r="L2021" t="s">
        <v>5051</v>
      </c>
      <c r="M2021" t="s">
        <v>5054</v>
      </c>
    </row>
    <row r="2022" spans="1:13" x14ac:dyDescent="0.3">
      <c r="A2022" s="1">
        <v>45476</v>
      </c>
      <c r="B2022" s="1" t="str">
        <f>TEXT(Tabla1[[#This Row],[Fecha]],"MMMM")</f>
        <v>julio</v>
      </c>
      <c r="C2022" t="s">
        <v>2032</v>
      </c>
      <c r="D2022" t="s">
        <v>5023</v>
      </c>
      <c r="E2022" t="s">
        <v>5032</v>
      </c>
      <c r="F2022" t="s">
        <v>5039</v>
      </c>
      <c r="G2022" s="3">
        <v>2495.0700000000002</v>
      </c>
      <c r="H2022" s="3">
        <v>0</v>
      </c>
      <c r="I2022" s="3">
        <f>SUM(Tabla1[[#This Row],[Monto_Base]],H2022)</f>
        <v>2495.0700000000002</v>
      </c>
      <c r="J2022" t="s">
        <v>5044</v>
      </c>
      <c r="K2022" t="s">
        <v>5047</v>
      </c>
      <c r="L2022" t="s">
        <v>5052</v>
      </c>
      <c r="M2022" t="s">
        <v>5054</v>
      </c>
    </row>
    <row r="2023" spans="1:13" x14ac:dyDescent="0.3">
      <c r="A2023" s="1">
        <v>45425</v>
      </c>
      <c r="B2023" s="1" t="str">
        <f>TEXT(Tabla1[[#This Row],[Fecha]],"MMMM")</f>
        <v>mayo</v>
      </c>
      <c r="C2023" t="s">
        <v>2033</v>
      </c>
      <c r="D2023" t="s">
        <v>5028</v>
      </c>
      <c r="E2023" t="s">
        <v>5032</v>
      </c>
      <c r="F2023" t="s">
        <v>5040</v>
      </c>
      <c r="G2023" s="3">
        <v>10292.23</v>
      </c>
      <c r="H2023" s="3">
        <v>0</v>
      </c>
      <c r="I2023" s="3">
        <f>SUM(Tabla1[[#This Row],[Monto_Base]],H2023)</f>
        <v>10292.23</v>
      </c>
      <c r="J2023" t="s">
        <v>5042</v>
      </c>
      <c r="K2023" t="s">
        <v>5049</v>
      </c>
      <c r="L2023" t="s">
        <v>5050</v>
      </c>
      <c r="M2023" t="s">
        <v>5054</v>
      </c>
    </row>
    <row r="2024" spans="1:13" x14ac:dyDescent="0.3">
      <c r="A2024" s="1">
        <v>45442</v>
      </c>
      <c r="B2024" s="1" t="str">
        <f>TEXT(Tabla1[[#This Row],[Fecha]],"MMMM")</f>
        <v>mayo</v>
      </c>
      <c r="C2024" t="s">
        <v>2034</v>
      </c>
      <c r="D2024" t="s">
        <v>5012</v>
      </c>
      <c r="E2024" t="s">
        <v>5033</v>
      </c>
      <c r="F2024" t="s">
        <v>5034</v>
      </c>
      <c r="G2024" s="3">
        <v>14643.62</v>
      </c>
      <c r="H2024" s="3">
        <v>1903.67</v>
      </c>
      <c r="I2024" s="3">
        <f>SUM(Tabla1[[#This Row],[Monto_Base]],H2024)</f>
        <v>16547.29</v>
      </c>
      <c r="J2024" t="s">
        <v>5044</v>
      </c>
      <c r="K2024" t="s">
        <v>5048</v>
      </c>
      <c r="L2024" t="s">
        <v>5053</v>
      </c>
      <c r="M2024" t="s">
        <v>5055</v>
      </c>
    </row>
    <row r="2025" spans="1:13" x14ac:dyDescent="0.3">
      <c r="A2025" s="1">
        <v>45302</v>
      </c>
      <c r="B2025" s="1" t="str">
        <f>TEXT(Tabla1[[#This Row],[Fecha]],"MMMM")</f>
        <v>enero</v>
      </c>
      <c r="C2025" t="s">
        <v>2035</v>
      </c>
      <c r="D2025" t="s">
        <v>5016</v>
      </c>
      <c r="E2025" t="s">
        <v>5032</v>
      </c>
      <c r="F2025" t="s">
        <v>5035</v>
      </c>
      <c r="G2025" s="3">
        <v>4100.88</v>
      </c>
      <c r="H2025" s="3">
        <v>0</v>
      </c>
      <c r="I2025" s="3">
        <f>SUM(Tabla1[[#This Row],[Monto_Base]],H2025)</f>
        <v>4100.88</v>
      </c>
      <c r="J2025" t="s">
        <v>5046</v>
      </c>
      <c r="K2025" t="s">
        <v>5047</v>
      </c>
      <c r="L2025" t="s">
        <v>5051</v>
      </c>
      <c r="M2025" t="s">
        <v>5055</v>
      </c>
    </row>
    <row r="2026" spans="1:13" x14ac:dyDescent="0.3">
      <c r="A2026" s="1">
        <v>45521</v>
      </c>
      <c r="B2026" s="1" t="str">
        <f>TEXT(Tabla1[[#This Row],[Fecha]],"MMMM")</f>
        <v>agosto</v>
      </c>
      <c r="C2026" t="s">
        <v>2036</v>
      </c>
      <c r="D2026" t="s">
        <v>5030</v>
      </c>
      <c r="E2026" t="s">
        <v>5032</v>
      </c>
      <c r="F2026" t="s">
        <v>5034</v>
      </c>
      <c r="G2026" s="3">
        <v>11830.94</v>
      </c>
      <c r="H2026" s="3">
        <v>0</v>
      </c>
      <c r="I2026" s="3">
        <f>SUM(Tabla1[[#This Row],[Monto_Base]],H2026)</f>
        <v>11830.94</v>
      </c>
      <c r="J2026" t="s">
        <v>5043</v>
      </c>
      <c r="K2026" t="s">
        <v>5048</v>
      </c>
      <c r="L2026" t="s">
        <v>5052</v>
      </c>
      <c r="M2026" t="s">
        <v>5055</v>
      </c>
    </row>
    <row r="2027" spans="1:13" x14ac:dyDescent="0.3">
      <c r="A2027" s="1">
        <v>45429</v>
      </c>
      <c r="B2027" s="1" t="str">
        <f>TEXT(Tabla1[[#This Row],[Fecha]],"MMMM")</f>
        <v>mayo</v>
      </c>
      <c r="C2027" t="s">
        <v>2037</v>
      </c>
      <c r="D2027" t="s">
        <v>5024</v>
      </c>
      <c r="E2027" t="s">
        <v>5033</v>
      </c>
      <c r="F2027" t="s">
        <v>5040</v>
      </c>
      <c r="G2027" s="3">
        <v>6241.02</v>
      </c>
      <c r="H2027" s="3">
        <v>811.33</v>
      </c>
      <c r="I2027" s="3">
        <f>SUM(Tabla1[[#This Row],[Monto_Base]],H2027)</f>
        <v>7052.35</v>
      </c>
      <c r="J2027" t="s">
        <v>5046</v>
      </c>
      <c r="K2027" t="s">
        <v>5048</v>
      </c>
      <c r="L2027" t="s">
        <v>5050</v>
      </c>
      <c r="M2027" t="s">
        <v>5055</v>
      </c>
    </row>
    <row r="2028" spans="1:13" x14ac:dyDescent="0.3">
      <c r="A2028" s="1">
        <v>45300</v>
      </c>
      <c r="B2028" s="1" t="str">
        <f>TEXT(Tabla1[[#This Row],[Fecha]],"MMMM")</f>
        <v>enero</v>
      </c>
      <c r="C2028" t="s">
        <v>2038</v>
      </c>
      <c r="D2028" t="s">
        <v>5028</v>
      </c>
      <c r="E2028" t="s">
        <v>5033</v>
      </c>
      <c r="F2028" t="s">
        <v>5040</v>
      </c>
      <c r="G2028" s="3">
        <v>8530.2199999999993</v>
      </c>
      <c r="H2028" s="3">
        <v>1108.93</v>
      </c>
      <c r="I2028" s="3">
        <f>SUM(Tabla1[[#This Row],[Monto_Base]],H2028)</f>
        <v>9639.15</v>
      </c>
      <c r="J2028" t="s">
        <v>5043</v>
      </c>
      <c r="K2028" t="s">
        <v>5047</v>
      </c>
      <c r="L2028" t="s">
        <v>5050</v>
      </c>
      <c r="M2028" t="s">
        <v>5055</v>
      </c>
    </row>
    <row r="2029" spans="1:13" x14ac:dyDescent="0.3">
      <c r="A2029" s="1">
        <v>45585</v>
      </c>
      <c r="B2029" s="1" t="str">
        <f>TEXT(Tabla1[[#This Row],[Fecha]],"MMMM")</f>
        <v>octubre</v>
      </c>
      <c r="C2029" t="s">
        <v>2039</v>
      </c>
      <c r="D2029" t="s">
        <v>5026</v>
      </c>
      <c r="E2029" t="s">
        <v>5033</v>
      </c>
      <c r="F2029" t="s">
        <v>5035</v>
      </c>
      <c r="G2029" s="3">
        <v>9829.09</v>
      </c>
      <c r="H2029" s="3">
        <v>1277.78</v>
      </c>
      <c r="I2029" s="3">
        <f>SUM(Tabla1[[#This Row],[Monto_Base]],H2029)</f>
        <v>11106.87</v>
      </c>
      <c r="J2029" t="s">
        <v>5046</v>
      </c>
      <c r="K2029" t="s">
        <v>5047</v>
      </c>
      <c r="L2029" t="s">
        <v>5051</v>
      </c>
      <c r="M2029" t="s">
        <v>5054</v>
      </c>
    </row>
    <row r="2030" spans="1:13" x14ac:dyDescent="0.3">
      <c r="A2030" s="1">
        <v>45594</v>
      </c>
      <c r="B2030" s="1" t="str">
        <f>TEXT(Tabla1[[#This Row],[Fecha]],"MMMM")</f>
        <v>octubre</v>
      </c>
      <c r="C2030" t="s">
        <v>2040</v>
      </c>
      <c r="D2030" t="s">
        <v>5015</v>
      </c>
      <c r="E2030" t="s">
        <v>5032</v>
      </c>
      <c r="F2030" t="s">
        <v>5034</v>
      </c>
      <c r="G2030" s="3">
        <v>678.52</v>
      </c>
      <c r="H2030" s="3">
        <v>0</v>
      </c>
      <c r="I2030" s="3">
        <f>SUM(Tabla1[[#This Row],[Monto_Base]],H2030)</f>
        <v>678.52</v>
      </c>
      <c r="J2030" t="s">
        <v>5044</v>
      </c>
      <c r="K2030" t="s">
        <v>5048</v>
      </c>
      <c r="L2030" t="s">
        <v>5050</v>
      </c>
      <c r="M2030" t="s">
        <v>5054</v>
      </c>
    </row>
    <row r="2031" spans="1:13" x14ac:dyDescent="0.3">
      <c r="A2031" s="1">
        <v>45380</v>
      </c>
      <c r="B2031" s="1" t="str">
        <f>TEXT(Tabla1[[#This Row],[Fecha]],"MMMM")</f>
        <v>marzo</v>
      </c>
      <c r="C2031" t="s">
        <v>2041</v>
      </c>
      <c r="D2031" t="s">
        <v>5024</v>
      </c>
      <c r="E2031" t="s">
        <v>5032</v>
      </c>
      <c r="F2031" t="s">
        <v>5039</v>
      </c>
      <c r="G2031" s="3">
        <v>9704</v>
      </c>
      <c r="H2031" s="3">
        <v>0</v>
      </c>
      <c r="I2031" s="3">
        <f>SUM(Tabla1[[#This Row],[Monto_Base]],H2031)</f>
        <v>9704</v>
      </c>
      <c r="J2031" t="s">
        <v>5042</v>
      </c>
      <c r="K2031" t="s">
        <v>5049</v>
      </c>
      <c r="L2031" t="s">
        <v>5051</v>
      </c>
      <c r="M2031" t="s">
        <v>5054</v>
      </c>
    </row>
    <row r="2032" spans="1:13" x14ac:dyDescent="0.3">
      <c r="A2032" s="1">
        <v>45424</v>
      </c>
      <c r="B2032" s="1" t="str">
        <f>TEXT(Tabla1[[#This Row],[Fecha]],"MMMM")</f>
        <v>mayo</v>
      </c>
      <c r="C2032" t="s">
        <v>2042</v>
      </c>
      <c r="D2032" t="s">
        <v>5027</v>
      </c>
      <c r="E2032" t="s">
        <v>5032</v>
      </c>
      <c r="F2032" t="s">
        <v>5036</v>
      </c>
      <c r="G2032" s="3">
        <v>5061.6099999999997</v>
      </c>
      <c r="H2032" s="3">
        <v>0</v>
      </c>
      <c r="I2032" s="3">
        <f>SUM(Tabla1[[#This Row],[Monto_Base]],H2032)</f>
        <v>5061.6099999999997</v>
      </c>
      <c r="J2032" t="s">
        <v>5042</v>
      </c>
      <c r="K2032" t="s">
        <v>5049</v>
      </c>
      <c r="L2032" t="s">
        <v>5053</v>
      </c>
      <c r="M2032" t="s">
        <v>5055</v>
      </c>
    </row>
    <row r="2033" spans="1:13" x14ac:dyDescent="0.3">
      <c r="A2033" s="1">
        <v>45567</v>
      </c>
      <c r="B2033" s="1" t="str">
        <f>TEXT(Tabla1[[#This Row],[Fecha]],"MMMM")</f>
        <v>octubre</v>
      </c>
      <c r="C2033" t="s">
        <v>2043</v>
      </c>
      <c r="D2033" t="s">
        <v>5017</v>
      </c>
      <c r="E2033" t="s">
        <v>5033</v>
      </c>
      <c r="F2033" t="s">
        <v>5036</v>
      </c>
      <c r="G2033" s="3">
        <v>3384.38</v>
      </c>
      <c r="H2033" s="3">
        <v>439.97</v>
      </c>
      <c r="I2033" s="3">
        <f>SUM(Tabla1[[#This Row],[Monto_Base]],H2033)</f>
        <v>3824.3500000000004</v>
      </c>
      <c r="J2033" t="s">
        <v>5045</v>
      </c>
      <c r="K2033" t="s">
        <v>5047</v>
      </c>
      <c r="L2033" t="s">
        <v>5051</v>
      </c>
      <c r="M2033" t="s">
        <v>5054</v>
      </c>
    </row>
    <row r="2034" spans="1:13" x14ac:dyDescent="0.3">
      <c r="A2034" s="1">
        <v>45340</v>
      </c>
      <c r="B2034" s="1" t="str">
        <f>TEXT(Tabla1[[#This Row],[Fecha]],"MMMM")</f>
        <v>febrero</v>
      </c>
      <c r="C2034" t="s">
        <v>2044</v>
      </c>
      <c r="D2034" t="s">
        <v>5013</v>
      </c>
      <c r="E2034" t="s">
        <v>5033</v>
      </c>
      <c r="F2034" t="s">
        <v>5039</v>
      </c>
      <c r="G2034" s="3">
        <v>12765.03</v>
      </c>
      <c r="H2034" s="3">
        <v>1659.45</v>
      </c>
      <c r="I2034" s="3">
        <f>SUM(Tabla1[[#This Row],[Monto_Base]],H2034)</f>
        <v>14424.480000000001</v>
      </c>
      <c r="J2034" t="s">
        <v>5046</v>
      </c>
      <c r="K2034" t="s">
        <v>5047</v>
      </c>
      <c r="L2034" t="s">
        <v>5051</v>
      </c>
      <c r="M2034" t="s">
        <v>5055</v>
      </c>
    </row>
    <row r="2035" spans="1:13" x14ac:dyDescent="0.3">
      <c r="A2035" s="1">
        <v>45566</v>
      </c>
      <c r="B2035" s="1" t="str">
        <f>TEXT(Tabla1[[#This Row],[Fecha]],"MMMM")</f>
        <v>octubre</v>
      </c>
      <c r="C2035" t="s">
        <v>2045</v>
      </c>
      <c r="D2035" t="s">
        <v>5015</v>
      </c>
      <c r="E2035" t="s">
        <v>5033</v>
      </c>
      <c r="F2035" t="s">
        <v>5037</v>
      </c>
      <c r="G2035" s="3">
        <v>8174.43</v>
      </c>
      <c r="H2035" s="3">
        <v>1062.68</v>
      </c>
      <c r="I2035" s="3">
        <f>SUM(Tabla1[[#This Row],[Monto_Base]],H2035)</f>
        <v>9237.11</v>
      </c>
      <c r="J2035" t="s">
        <v>5043</v>
      </c>
      <c r="K2035" t="s">
        <v>5048</v>
      </c>
      <c r="L2035" t="s">
        <v>5051</v>
      </c>
      <c r="M2035" t="s">
        <v>5054</v>
      </c>
    </row>
    <row r="2036" spans="1:13" x14ac:dyDescent="0.3">
      <c r="A2036" s="1">
        <v>45567</v>
      </c>
      <c r="B2036" s="1" t="str">
        <f>TEXT(Tabla1[[#This Row],[Fecha]],"MMMM")</f>
        <v>octubre</v>
      </c>
      <c r="C2036" t="s">
        <v>2046</v>
      </c>
      <c r="D2036" t="s">
        <v>5031</v>
      </c>
      <c r="E2036" t="s">
        <v>5033</v>
      </c>
      <c r="F2036" t="s">
        <v>5040</v>
      </c>
      <c r="G2036" s="3">
        <v>3969.05</v>
      </c>
      <c r="H2036" s="3">
        <v>515.98</v>
      </c>
      <c r="I2036" s="3">
        <f>SUM(Tabla1[[#This Row],[Monto_Base]],H2036)</f>
        <v>4485.0300000000007</v>
      </c>
      <c r="J2036" t="s">
        <v>5045</v>
      </c>
      <c r="K2036" t="s">
        <v>5048</v>
      </c>
      <c r="L2036" t="s">
        <v>5051</v>
      </c>
      <c r="M2036" t="s">
        <v>5055</v>
      </c>
    </row>
    <row r="2037" spans="1:13" x14ac:dyDescent="0.3">
      <c r="A2037" s="1">
        <v>45549</v>
      </c>
      <c r="B2037" s="1" t="str">
        <f>TEXT(Tabla1[[#This Row],[Fecha]],"MMMM")</f>
        <v>septiembre</v>
      </c>
      <c r="C2037" t="s">
        <v>2047</v>
      </c>
      <c r="D2037" t="s">
        <v>5012</v>
      </c>
      <c r="E2037" t="s">
        <v>5033</v>
      </c>
      <c r="F2037" t="s">
        <v>5037</v>
      </c>
      <c r="G2037" s="3">
        <v>2706.04</v>
      </c>
      <c r="H2037" s="3">
        <v>351.79</v>
      </c>
      <c r="I2037" s="3">
        <f>SUM(Tabla1[[#This Row],[Monto_Base]],H2037)</f>
        <v>3057.83</v>
      </c>
      <c r="J2037" t="s">
        <v>5043</v>
      </c>
      <c r="K2037" t="s">
        <v>5048</v>
      </c>
      <c r="L2037" t="s">
        <v>5050</v>
      </c>
      <c r="M2037" t="s">
        <v>5054</v>
      </c>
    </row>
    <row r="2038" spans="1:13" x14ac:dyDescent="0.3">
      <c r="A2038" s="1">
        <v>45436</v>
      </c>
      <c r="B2038" s="1" t="str">
        <f>TEXT(Tabla1[[#This Row],[Fecha]],"MMMM")</f>
        <v>mayo</v>
      </c>
      <c r="C2038" t="s">
        <v>2048</v>
      </c>
      <c r="D2038" t="s">
        <v>5016</v>
      </c>
      <c r="E2038" t="s">
        <v>5032</v>
      </c>
      <c r="F2038" t="s">
        <v>5037</v>
      </c>
      <c r="G2038" s="3">
        <v>9585.2000000000007</v>
      </c>
      <c r="H2038" s="3">
        <v>0</v>
      </c>
      <c r="I2038" s="3">
        <f>SUM(Tabla1[[#This Row],[Monto_Base]],H2038)</f>
        <v>9585.2000000000007</v>
      </c>
      <c r="J2038" t="s">
        <v>5043</v>
      </c>
      <c r="K2038" t="s">
        <v>5049</v>
      </c>
      <c r="L2038" t="s">
        <v>5051</v>
      </c>
      <c r="M2038" t="s">
        <v>5054</v>
      </c>
    </row>
    <row r="2039" spans="1:13" x14ac:dyDescent="0.3">
      <c r="A2039" s="1">
        <v>45349</v>
      </c>
      <c r="B2039" s="1" t="str">
        <f>TEXT(Tabla1[[#This Row],[Fecha]],"MMMM")</f>
        <v>febrero</v>
      </c>
      <c r="C2039" t="s">
        <v>2049</v>
      </c>
      <c r="D2039" t="s">
        <v>5028</v>
      </c>
      <c r="E2039" t="s">
        <v>5033</v>
      </c>
      <c r="F2039" t="s">
        <v>5038</v>
      </c>
      <c r="G2039" s="3">
        <v>9894.6299999999992</v>
      </c>
      <c r="H2039" s="3">
        <v>1286.3</v>
      </c>
      <c r="I2039" s="3">
        <f>SUM(Tabla1[[#This Row],[Monto_Base]],H2039)</f>
        <v>11180.929999999998</v>
      </c>
      <c r="J2039" t="s">
        <v>5042</v>
      </c>
      <c r="K2039" t="s">
        <v>5047</v>
      </c>
      <c r="L2039" t="s">
        <v>5050</v>
      </c>
      <c r="M2039" t="s">
        <v>5054</v>
      </c>
    </row>
    <row r="2040" spans="1:13" x14ac:dyDescent="0.3">
      <c r="A2040" s="1">
        <v>45645</v>
      </c>
      <c r="B2040" s="1" t="str">
        <f>TEXT(Tabla1[[#This Row],[Fecha]],"MMMM")</f>
        <v>diciembre</v>
      </c>
      <c r="C2040" t="s">
        <v>2050</v>
      </c>
      <c r="D2040" t="s">
        <v>5013</v>
      </c>
      <c r="E2040" t="s">
        <v>5033</v>
      </c>
      <c r="F2040" t="s">
        <v>5039</v>
      </c>
      <c r="G2040" s="3">
        <v>305.76</v>
      </c>
      <c r="H2040" s="3">
        <v>39.75</v>
      </c>
      <c r="I2040" s="3">
        <f>SUM(Tabla1[[#This Row],[Monto_Base]],H2040)</f>
        <v>345.51</v>
      </c>
      <c r="J2040" t="s">
        <v>5045</v>
      </c>
      <c r="K2040" t="s">
        <v>5047</v>
      </c>
      <c r="L2040" t="s">
        <v>5051</v>
      </c>
      <c r="M2040" t="s">
        <v>5054</v>
      </c>
    </row>
    <row r="2041" spans="1:13" x14ac:dyDescent="0.3">
      <c r="A2041" s="1">
        <v>45540</v>
      </c>
      <c r="B2041" s="1" t="str">
        <f>TEXT(Tabla1[[#This Row],[Fecha]],"MMMM")</f>
        <v>septiembre</v>
      </c>
      <c r="C2041" t="s">
        <v>2051</v>
      </c>
      <c r="D2041" t="s">
        <v>5016</v>
      </c>
      <c r="E2041" t="s">
        <v>5033</v>
      </c>
      <c r="F2041" t="s">
        <v>5036</v>
      </c>
      <c r="G2041" s="3">
        <v>4257</v>
      </c>
      <c r="H2041" s="3">
        <v>553.41</v>
      </c>
      <c r="I2041" s="3">
        <f>SUM(Tabla1[[#This Row],[Monto_Base]],H2041)</f>
        <v>4810.41</v>
      </c>
      <c r="J2041" t="s">
        <v>5042</v>
      </c>
      <c r="K2041" t="s">
        <v>5049</v>
      </c>
      <c r="L2041" t="s">
        <v>5053</v>
      </c>
      <c r="M2041" t="s">
        <v>5054</v>
      </c>
    </row>
    <row r="2042" spans="1:13" x14ac:dyDescent="0.3">
      <c r="A2042" s="1">
        <v>45500</v>
      </c>
      <c r="B2042" s="1" t="str">
        <f>TEXT(Tabla1[[#This Row],[Fecha]],"MMMM")</f>
        <v>julio</v>
      </c>
      <c r="C2042" t="s">
        <v>2052</v>
      </c>
      <c r="D2042" t="s">
        <v>5014</v>
      </c>
      <c r="E2042" t="s">
        <v>5032</v>
      </c>
      <c r="F2042" t="s">
        <v>5039</v>
      </c>
      <c r="G2042" s="3">
        <v>12389.47</v>
      </c>
      <c r="H2042" s="3">
        <v>0</v>
      </c>
      <c r="I2042" s="3">
        <f>SUM(Tabla1[[#This Row],[Monto_Base]],H2042)</f>
        <v>12389.47</v>
      </c>
      <c r="J2042" t="s">
        <v>5042</v>
      </c>
      <c r="K2042" t="s">
        <v>5049</v>
      </c>
      <c r="L2042" t="s">
        <v>5051</v>
      </c>
      <c r="M2042" t="s">
        <v>5054</v>
      </c>
    </row>
    <row r="2043" spans="1:13" x14ac:dyDescent="0.3">
      <c r="A2043" s="1">
        <v>45302</v>
      </c>
      <c r="B2043" s="1" t="str">
        <f>TEXT(Tabla1[[#This Row],[Fecha]],"MMMM")</f>
        <v>enero</v>
      </c>
      <c r="C2043" t="s">
        <v>2053</v>
      </c>
      <c r="D2043" t="s">
        <v>5023</v>
      </c>
      <c r="E2043" t="s">
        <v>5033</v>
      </c>
      <c r="F2043" t="s">
        <v>5036</v>
      </c>
      <c r="G2043" s="3">
        <v>11043.57</v>
      </c>
      <c r="H2043" s="3">
        <v>1435.66</v>
      </c>
      <c r="I2043" s="3">
        <f>SUM(Tabla1[[#This Row],[Monto_Base]],H2043)</f>
        <v>12479.23</v>
      </c>
      <c r="J2043" t="s">
        <v>5045</v>
      </c>
      <c r="K2043" t="s">
        <v>5047</v>
      </c>
      <c r="L2043" t="s">
        <v>5050</v>
      </c>
      <c r="M2043" t="s">
        <v>5055</v>
      </c>
    </row>
    <row r="2044" spans="1:13" x14ac:dyDescent="0.3">
      <c r="A2044" s="1">
        <v>45470</v>
      </c>
      <c r="B2044" s="1" t="str">
        <f>TEXT(Tabla1[[#This Row],[Fecha]],"MMMM")</f>
        <v>junio</v>
      </c>
      <c r="C2044" t="s">
        <v>2054</v>
      </c>
      <c r="D2044" t="s">
        <v>5022</v>
      </c>
      <c r="E2044" t="s">
        <v>5033</v>
      </c>
      <c r="F2044" t="s">
        <v>5035</v>
      </c>
      <c r="G2044" s="3">
        <v>982.7</v>
      </c>
      <c r="H2044" s="3">
        <v>127.75</v>
      </c>
      <c r="I2044" s="3">
        <f>SUM(Tabla1[[#This Row],[Monto_Base]],H2044)</f>
        <v>1110.45</v>
      </c>
      <c r="J2044" t="s">
        <v>5046</v>
      </c>
      <c r="K2044" t="s">
        <v>5049</v>
      </c>
      <c r="L2044" t="s">
        <v>5052</v>
      </c>
      <c r="M2044" t="s">
        <v>5055</v>
      </c>
    </row>
    <row r="2045" spans="1:13" x14ac:dyDescent="0.3">
      <c r="A2045" s="1">
        <v>45293</v>
      </c>
      <c r="B2045" s="1" t="str">
        <f>TEXT(Tabla1[[#This Row],[Fecha]],"MMMM")</f>
        <v>enero</v>
      </c>
      <c r="C2045" t="s">
        <v>2055</v>
      </c>
      <c r="D2045" t="s">
        <v>5023</v>
      </c>
      <c r="E2045" t="s">
        <v>5032</v>
      </c>
      <c r="F2045" t="s">
        <v>5034</v>
      </c>
      <c r="G2045" s="3">
        <v>13100.87</v>
      </c>
      <c r="H2045" s="3">
        <v>0</v>
      </c>
      <c r="I2045" s="3">
        <f>SUM(Tabla1[[#This Row],[Monto_Base]],H2045)</f>
        <v>13100.87</v>
      </c>
      <c r="J2045" t="s">
        <v>5044</v>
      </c>
      <c r="K2045" t="s">
        <v>5049</v>
      </c>
      <c r="L2045" t="s">
        <v>5053</v>
      </c>
      <c r="M2045" t="s">
        <v>5055</v>
      </c>
    </row>
    <row r="2046" spans="1:13" x14ac:dyDescent="0.3">
      <c r="A2046" s="1">
        <v>45292</v>
      </c>
      <c r="B2046" s="1" t="str">
        <f>TEXT(Tabla1[[#This Row],[Fecha]],"MMMM")</f>
        <v>enero</v>
      </c>
      <c r="C2046" t="s">
        <v>2056</v>
      </c>
      <c r="D2046" t="s">
        <v>5021</v>
      </c>
      <c r="E2046" t="s">
        <v>5033</v>
      </c>
      <c r="F2046" t="s">
        <v>5034</v>
      </c>
      <c r="G2046" s="3">
        <v>8270.01</v>
      </c>
      <c r="H2046" s="3">
        <v>1075.0999999999999</v>
      </c>
      <c r="I2046" s="3">
        <f>SUM(Tabla1[[#This Row],[Monto_Base]],H2046)</f>
        <v>9345.11</v>
      </c>
      <c r="J2046" t="s">
        <v>5044</v>
      </c>
      <c r="K2046" t="s">
        <v>5049</v>
      </c>
      <c r="L2046" t="s">
        <v>5052</v>
      </c>
      <c r="M2046" t="s">
        <v>5055</v>
      </c>
    </row>
    <row r="2047" spans="1:13" x14ac:dyDescent="0.3">
      <c r="A2047" s="1">
        <v>45565</v>
      </c>
      <c r="B2047" s="1" t="str">
        <f>TEXT(Tabla1[[#This Row],[Fecha]],"MMMM")</f>
        <v>septiembre</v>
      </c>
      <c r="C2047" t="s">
        <v>2057</v>
      </c>
      <c r="D2047" t="s">
        <v>5031</v>
      </c>
      <c r="E2047" t="s">
        <v>5033</v>
      </c>
      <c r="F2047" t="s">
        <v>5035</v>
      </c>
      <c r="G2047" s="3">
        <v>6793.97</v>
      </c>
      <c r="H2047" s="3">
        <v>883.22</v>
      </c>
      <c r="I2047" s="3">
        <f>SUM(Tabla1[[#This Row],[Monto_Base]],H2047)</f>
        <v>7677.1900000000005</v>
      </c>
      <c r="J2047" t="s">
        <v>5043</v>
      </c>
      <c r="K2047" t="s">
        <v>5047</v>
      </c>
      <c r="L2047" t="s">
        <v>5050</v>
      </c>
      <c r="M2047" t="s">
        <v>5055</v>
      </c>
    </row>
    <row r="2048" spans="1:13" x14ac:dyDescent="0.3">
      <c r="A2048" s="1">
        <v>45548</v>
      </c>
      <c r="B2048" s="1" t="str">
        <f>TEXT(Tabla1[[#This Row],[Fecha]],"MMMM")</f>
        <v>septiembre</v>
      </c>
      <c r="C2048" t="s">
        <v>2058</v>
      </c>
      <c r="D2048" t="s">
        <v>5017</v>
      </c>
      <c r="E2048" t="s">
        <v>5033</v>
      </c>
      <c r="F2048" t="s">
        <v>5034</v>
      </c>
      <c r="G2048" s="3">
        <v>13236.11</v>
      </c>
      <c r="H2048" s="3">
        <v>1720.69</v>
      </c>
      <c r="I2048" s="3">
        <f>SUM(Tabla1[[#This Row],[Monto_Base]],H2048)</f>
        <v>14956.800000000001</v>
      </c>
      <c r="J2048" t="s">
        <v>5042</v>
      </c>
      <c r="K2048" t="s">
        <v>5048</v>
      </c>
      <c r="L2048" t="s">
        <v>5052</v>
      </c>
      <c r="M2048" t="s">
        <v>5054</v>
      </c>
    </row>
    <row r="2049" spans="1:13" x14ac:dyDescent="0.3">
      <c r="A2049" s="1">
        <v>45615</v>
      </c>
      <c r="B2049" s="1" t="str">
        <f>TEXT(Tabla1[[#This Row],[Fecha]],"MMMM")</f>
        <v>noviembre</v>
      </c>
      <c r="C2049" t="s">
        <v>2059</v>
      </c>
      <c r="D2049" t="s">
        <v>5019</v>
      </c>
      <c r="E2049" t="s">
        <v>5033</v>
      </c>
      <c r="F2049" t="s">
        <v>5040</v>
      </c>
      <c r="G2049" s="3">
        <v>9543.25</v>
      </c>
      <c r="H2049" s="3">
        <v>1240.6199999999999</v>
      </c>
      <c r="I2049" s="3">
        <f>SUM(Tabla1[[#This Row],[Monto_Base]],H2049)</f>
        <v>10783.869999999999</v>
      </c>
      <c r="J2049" t="s">
        <v>5042</v>
      </c>
      <c r="K2049" t="s">
        <v>5048</v>
      </c>
      <c r="L2049" t="s">
        <v>5052</v>
      </c>
      <c r="M2049" t="s">
        <v>5055</v>
      </c>
    </row>
    <row r="2050" spans="1:13" x14ac:dyDescent="0.3">
      <c r="A2050" s="1">
        <v>45347</v>
      </c>
      <c r="B2050" s="1" t="str">
        <f>TEXT(Tabla1[[#This Row],[Fecha]],"MMMM")</f>
        <v>febrero</v>
      </c>
      <c r="C2050" t="s">
        <v>2060</v>
      </c>
      <c r="D2050" t="s">
        <v>5030</v>
      </c>
      <c r="E2050" t="s">
        <v>5033</v>
      </c>
      <c r="F2050" t="s">
        <v>5037</v>
      </c>
      <c r="G2050" s="3">
        <v>8304.64</v>
      </c>
      <c r="H2050" s="3">
        <v>1079.5999999999999</v>
      </c>
      <c r="I2050" s="3">
        <f>SUM(Tabla1[[#This Row],[Monto_Base]],H2050)</f>
        <v>9384.24</v>
      </c>
      <c r="J2050" t="s">
        <v>5045</v>
      </c>
      <c r="K2050" t="s">
        <v>5047</v>
      </c>
      <c r="L2050" t="s">
        <v>5052</v>
      </c>
      <c r="M2050" t="s">
        <v>5054</v>
      </c>
    </row>
    <row r="2051" spans="1:13" x14ac:dyDescent="0.3">
      <c r="A2051" s="1">
        <v>45568</v>
      </c>
      <c r="B2051" s="1" t="str">
        <f>TEXT(Tabla1[[#This Row],[Fecha]],"MMMM")</f>
        <v>octubre</v>
      </c>
      <c r="C2051" t="s">
        <v>2061</v>
      </c>
      <c r="D2051" t="s">
        <v>5017</v>
      </c>
      <c r="E2051" t="s">
        <v>5033</v>
      </c>
      <c r="F2051" t="s">
        <v>5039</v>
      </c>
      <c r="G2051" s="3">
        <v>1532.28</v>
      </c>
      <c r="H2051" s="3">
        <v>199.2</v>
      </c>
      <c r="I2051" s="3">
        <f>SUM(Tabla1[[#This Row],[Monto_Base]],H2051)</f>
        <v>1731.48</v>
      </c>
      <c r="J2051" t="s">
        <v>5042</v>
      </c>
      <c r="K2051" t="s">
        <v>5049</v>
      </c>
      <c r="L2051" t="s">
        <v>5052</v>
      </c>
      <c r="M2051" t="s">
        <v>5055</v>
      </c>
    </row>
    <row r="2052" spans="1:13" x14ac:dyDescent="0.3">
      <c r="A2052" s="1">
        <v>45650</v>
      </c>
      <c r="B2052" s="1" t="str">
        <f>TEXT(Tabla1[[#This Row],[Fecha]],"MMMM")</f>
        <v>diciembre</v>
      </c>
      <c r="C2052" t="s">
        <v>2062</v>
      </c>
      <c r="D2052" t="s">
        <v>5018</v>
      </c>
      <c r="E2052" t="s">
        <v>5033</v>
      </c>
      <c r="F2052" t="s">
        <v>5041</v>
      </c>
      <c r="G2052" s="3">
        <v>4914.2299999999996</v>
      </c>
      <c r="H2052" s="3">
        <v>638.85</v>
      </c>
      <c r="I2052" s="3">
        <f>SUM(Tabla1[[#This Row],[Monto_Base]],H2052)</f>
        <v>5553.08</v>
      </c>
      <c r="J2052" t="s">
        <v>5045</v>
      </c>
      <c r="K2052" t="s">
        <v>5048</v>
      </c>
      <c r="L2052" t="s">
        <v>5050</v>
      </c>
      <c r="M2052" t="s">
        <v>5055</v>
      </c>
    </row>
    <row r="2053" spans="1:13" x14ac:dyDescent="0.3">
      <c r="A2053" s="1">
        <v>45481</v>
      </c>
      <c r="B2053" s="1" t="str">
        <f>TEXT(Tabla1[[#This Row],[Fecha]],"MMMM")</f>
        <v>julio</v>
      </c>
      <c r="C2053" t="s">
        <v>2063</v>
      </c>
      <c r="D2053" t="s">
        <v>5030</v>
      </c>
      <c r="E2053" t="s">
        <v>5033</v>
      </c>
      <c r="F2053" t="s">
        <v>5037</v>
      </c>
      <c r="G2053" s="3">
        <v>11344.99</v>
      </c>
      <c r="H2053" s="3">
        <v>1474.85</v>
      </c>
      <c r="I2053" s="3">
        <f>SUM(Tabla1[[#This Row],[Monto_Base]],H2053)</f>
        <v>12819.84</v>
      </c>
      <c r="J2053" t="s">
        <v>5042</v>
      </c>
      <c r="K2053" t="s">
        <v>5047</v>
      </c>
      <c r="L2053" t="s">
        <v>5053</v>
      </c>
      <c r="M2053" t="s">
        <v>5054</v>
      </c>
    </row>
    <row r="2054" spans="1:13" x14ac:dyDescent="0.3">
      <c r="A2054" s="1">
        <v>45519</v>
      </c>
      <c r="B2054" s="1" t="str">
        <f>TEXT(Tabla1[[#This Row],[Fecha]],"MMMM")</f>
        <v>agosto</v>
      </c>
      <c r="C2054" t="s">
        <v>2064</v>
      </c>
      <c r="D2054" t="s">
        <v>5024</v>
      </c>
      <c r="E2054" t="s">
        <v>5033</v>
      </c>
      <c r="F2054" t="s">
        <v>5039</v>
      </c>
      <c r="G2054" s="3">
        <v>7032.98</v>
      </c>
      <c r="H2054" s="3">
        <v>914.29</v>
      </c>
      <c r="I2054" s="3">
        <f>SUM(Tabla1[[#This Row],[Monto_Base]],H2054)</f>
        <v>7947.2699999999995</v>
      </c>
      <c r="J2054" t="s">
        <v>5043</v>
      </c>
      <c r="K2054" t="s">
        <v>5047</v>
      </c>
      <c r="L2054" t="s">
        <v>5050</v>
      </c>
      <c r="M2054" t="s">
        <v>5054</v>
      </c>
    </row>
    <row r="2055" spans="1:13" x14ac:dyDescent="0.3">
      <c r="A2055" s="1">
        <v>45445</v>
      </c>
      <c r="B2055" s="1" t="str">
        <f>TEXT(Tabla1[[#This Row],[Fecha]],"MMMM")</f>
        <v>junio</v>
      </c>
      <c r="C2055" t="s">
        <v>2065</v>
      </c>
      <c r="D2055" t="s">
        <v>5014</v>
      </c>
      <c r="E2055" t="s">
        <v>5032</v>
      </c>
      <c r="F2055" t="s">
        <v>5034</v>
      </c>
      <c r="G2055" s="3">
        <v>8138.22</v>
      </c>
      <c r="H2055" s="3">
        <v>0</v>
      </c>
      <c r="I2055" s="3">
        <f>SUM(Tabla1[[#This Row],[Monto_Base]],H2055)</f>
        <v>8138.22</v>
      </c>
      <c r="J2055" t="s">
        <v>5044</v>
      </c>
      <c r="K2055" t="s">
        <v>5049</v>
      </c>
      <c r="L2055" t="s">
        <v>5050</v>
      </c>
      <c r="M2055" t="s">
        <v>5054</v>
      </c>
    </row>
    <row r="2056" spans="1:13" x14ac:dyDescent="0.3">
      <c r="A2056" s="1">
        <v>45496</v>
      </c>
      <c r="B2056" s="1" t="str">
        <f>TEXT(Tabla1[[#This Row],[Fecha]],"MMMM")</f>
        <v>julio</v>
      </c>
      <c r="C2056" t="s">
        <v>2066</v>
      </c>
      <c r="D2056" t="s">
        <v>5026</v>
      </c>
      <c r="E2056" t="s">
        <v>5032</v>
      </c>
      <c r="F2056" t="s">
        <v>5037</v>
      </c>
      <c r="G2056" s="3">
        <v>5561.16</v>
      </c>
      <c r="H2056" s="3">
        <v>0</v>
      </c>
      <c r="I2056" s="3">
        <f>SUM(Tabla1[[#This Row],[Monto_Base]],H2056)</f>
        <v>5561.16</v>
      </c>
      <c r="J2056" t="s">
        <v>5042</v>
      </c>
      <c r="K2056" t="s">
        <v>5048</v>
      </c>
      <c r="L2056" t="s">
        <v>5052</v>
      </c>
      <c r="M2056" t="s">
        <v>5055</v>
      </c>
    </row>
    <row r="2057" spans="1:13" x14ac:dyDescent="0.3">
      <c r="A2057" s="1">
        <v>45607</v>
      </c>
      <c r="B2057" s="1" t="str">
        <f>TEXT(Tabla1[[#This Row],[Fecha]],"MMMM")</f>
        <v>noviembre</v>
      </c>
      <c r="C2057" t="s">
        <v>2067</v>
      </c>
      <c r="D2057" t="s">
        <v>5026</v>
      </c>
      <c r="E2057" t="s">
        <v>5032</v>
      </c>
      <c r="F2057" t="s">
        <v>5041</v>
      </c>
      <c r="G2057" s="3">
        <v>3101.89</v>
      </c>
      <c r="H2057" s="3">
        <v>0</v>
      </c>
      <c r="I2057" s="3">
        <f>SUM(Tabla1[[#This Row],[Monto_Base]],H2057)</f>
        <v>3101.89</v>
      </c>
      <c r="J2057" t="s">
        <v>5042</v>
      </c>
      <c r="K2057" t="s">
        <v>5049</v>
      </c>
      <c r="L2057" t="s">
        <v>5052</v>
      </c>
      <c r="M2057" t="s">
        <v>5055</v>
      </c>
    </row>
    <row r="2058" spans="1:13" x14ac:dyDescent="0.3">
      <c r="A2058" s="1">
        <v>45296</v>
      </c>
      <c r="B2058" s="1" t="str">
        <f>TEXT(Tabla1[[#This Row],[Fecha]],"MMMM")</f>
        <v>enero</v>
      </c>
      <c r="C2058" t="s">
        <v>2068</v>
      </c>
      <c r="D2058" t="s">
        <v>5024</v>
      </c>
      <c r="E2058" t="s">
        <v>5032</v>
      </c>
      <c r="F2058" t="s">
        <v>5037</v>
      </c>
      <c r="G2058" s="3">
        <v>9442.7000000000007</v>
      </c>
      <c r="H2058" s="3">
        <v>0</v>
      </c>
      <c r="I2058" s="3">
        <f>SUM(Tabla1[[#This Row],[Monto_Base]],H2058)</f>
        <v>9442.7000000000007</v>
      </c>
      <c r="J2058" t="s">
        <v>5043</v>
      </c>
      <c r="K2058" t="s">
        <v>5049</v>
      </c>
      <c r="L2058" t="s">
        <v>5051</v>
      </c>
      <c r="M2058" t="s">
        <v>5054</v>
      </c>
    </row>
    <row r="2059" spans="1:13" x14ac:dyDescent="0.3">
      <c r="A2059" s="1">
        <v>45608</v>
      </c>
      <c r="B2059" s="1" t="str">
        <f>TEXT(Tabla1[[#This Row],[Fecha]],"MMMM")</f>
        <v>noviembre</v>
      </c>
      <c r="C2059" t="s">
        <v>2069</v>
      </c>
      <c r="D2059" t="s">
        <v>5018</v>
      </c>
      <c r="E2059" t="s">
        <v>5032</v>
      </c>
      <c r="F2059" t="s">
        <v>5041</v>
      </c>
      <c r="G2059" s="3">
        <v>2183.65</v>
      </c>
      <c r="H2059" s="3">
        <v>0</v>
      </c>
      <c r="I2059" s="3">
        <f>SUM(Tabla1[[#This Row],[Monto_Base]],H2059)</f>
        <v>2183.65</v>
      </c>
      <c r="J2059" t="s">
        <v>5043</v>
      </c>
      <c r="K2059" t="s">
        <v>5048</v>
      </c>
      <c r="L2059" t="s">
        <v>5051</v>
      </c>
      <c r="M2059" t="s">
        <v>5054</v>
      </c>
    </row>
    <row r="2060" spans="1:13" x14ac:dyDescent="0.3">
      <c r="A2060" s="1">
        <v>45293</v>
      </c>
      <c r="B2060" s="1" t="str">
        <f>TEXT(Tabla1[[#This Row],[Fecha]],"MMMM")</f>
        <v>enero</v>
      </c>
      <c r="C2060" t="s">
        <v>2070</v>
      </c>
      <c r="D2060" t="s">
        <v>5014</v>
      </c>
      <c r="E2060" t="s">
        <v>5032</v>
      </c>
      <c r="F2060" t="s">
        <v>5041</v>
      </c>
      <c r="G2060" s="3">
        <v>372.83</v>
      </c>
      <c r="H2060" s="3">
        <v>0</v>
      </c>
      <c r="I2060" s="3">
        <f>SUM(Tabla1[[#This Row],[Monto_Base]],H2060)</f>
        <v>372.83</v>
      </c>
      <c r="J2060" t="s">
        <v>5042</v>
      </c>
      <c r="K2060" t="s">
        <v>5049</v>
      </c>
      <c r="L2060" t="s">
        <v>5050</v>
      </c>
      <c r="M2060" t="s">
        <v>5055</v>
      </c>
    </row>
    <row r="2061" spans="1:13" x14ac:dyDescent="0.3">
      <c r="A2061" s="1">
        <v>45330</v>
      </c>
      <c r="B2061" s="1" t="str">
        <f>TEXT(Tabla1[[#This Row],[Fecha]],"MMMM")</f>
        <v>febrero</v>
      </c>
      <c r="C2061" t="s">
        <v>2071</v>
      </c>
      <c r="D2061" t="s">
        <v>5029</v>
      </c>
      <c r="E2061" t="s">
        <v>5032</v>
      </c>
      <c r="F2061" t="s">
        <v>5038</v>
      </c>
      <c r="G2061" s="3">
        <v>6114.14</v>
      </c>
      <c r="H2061" s="3">
        <v>0</v>
      </c>
      <c r="I2061" s="3">
        <f>SUM(Tabla1[[#This Row],[Monto_Base]],H2061)</f>
        <v>6114.14</v>
      </c>
      <c r="J2061" t="s">
        <v>5042</v>
      </c>
      <c r="K2061" t="s">
        <v>5047</v>
      </c>
      <c r="L2061" t="s">
        <v>5051</v>
      </c>
      <c r="M2061" t="s">
        <v>5054</v>
      </c>
    </row>
    <row r="2062" spans="1:13" x14ac:dyDescent="0.3">
      <c r="A2062" s="1">
        <v>45557</v>
      </c>
      <c r="B2062" s="1" t="str">
        <f>TEXT(Tabla1[[#This Row],[Fecha]],"MMMM")</f>
        <v>septiembre</v>
      </c>
      <c r="C2062" t="s">
        <v>2072</v>
      </c>
      <c r="D2062" t="s">
        <v>5025</v>
      </c>
      <c r="E2062" t="s">
        <v>5033</v>
      </c>
      <c r="F2062" t="s">
        <v>5038</v>
      </c>
      <c r="G2062" s="3">
        <v>12591.49</v>
      </c>
      <c r="H2062" s="3">
        <v>1636.89</v>
      </c>
      <c r="I2062" s="3">
        <f>SUM(Tabla1[[#This Row],[Monto_Base]],H2062)</f>
        <v>14228.38</v>
      </c>
      <c r="J2062" t="s">
        <v>5044</v>
      </c>
      <c r="K2062" t="s">
        <v>5047</v>
      </c>
      <c r="L2062" t="s">
        <v>5050</v>
      </c>
      <c r="M2062" t="s">
        <v>5054</v>
      </c>
    </row>
    <row r="2063" spans="1:13" x14ac:dyDescent="0.3">
      <c r="A2063" s="1">
        <v>45297</v>
      </c>
      <c r="B2063" s="1" t="str">
        <f>TEXT(Tabla1[[#This Row],[Fecha]],"MMMM")</f>
        <v>enero</v>
      </c>
      <c r="C2063" t="s">
        <v>2073</v>
      </c>
      <c r="D2063" t="s">
        <v>5029</v>
      </c>
      <c r="E2063" t="s">
        <v>5033</v>
      </c>
      <c r="F2063" t="s">
        <v>5038</v>
      </c>
      <c r="G2063" s="3">
        <v>4385.74</v>
      </c>
      <c r="H2063" s="3">
        <v>570.15</v>
      </c>
      <c r="I2063" s="3">
        <f>SUM(Tabla1[[#This Row],[Monto_Base]],H2063)</f>
        <v>4955.8899999999994</v>
      </c>
      <c r="J2063" t="s">
        <v>5042</v>
      </c>
      <c r="K2063" t="s">
        <v>5047</v>
      </c>
      <c r="L2063" t="s">
        <v>5050</v>
      </c>
      <c r="M2063" t="s">
        <v>5054</v>
      </c>
    </row>
    <row r="2064" spans="1:13" x14ac:dyDescent="0.3">
      <c r="A2064" s="1">
        <v>45363</v>
      </c>
      <c r="B2064" s="1" t="str">
        <f>TEXT(Tabla1[[#This Row],[Fecha]],"MMMM")</f>
        <v>marzo</v>
      </c>
      <c r="C2064" t="s">
        <v>2074</v>
      </c>
      <c r="D2064" t="s">
        <v>5028</v>
      </c>
      <c r="E2064" t="s">
        <v>5033</v>
      </c>
      <c r="F2064" t="s">
        <v>5035</v>
      </c>
      <c r="G2064" s="3">
        <v>2502.19</v>
      </c>
      <c r="H2064" s="3">
        <v>325.27999999999997</v>
      </c>
      <c r="I2064" s="3">
        <f>SUM(Tabla1[[#This Row],[Monto_Base]],H2064)</f>
        <v>2827.4700000000003</v>
      </c>
      <c r="J2064" t="s">
        <v>5043</v>
      </c>
      <c r="K2064" t="s">
        <v>5047</v>
      </c>
      <c r="L2064" t="s">
        <v>5050</v>
      </c>
      <c r="M2064" t="s">
        <v>5055</v>
      </c>
    </row>
    <row r="2065" spans="1:13" x14ac:dyDescent="0.3">
      <c r="A2065" s="1">
        <v>45383</v>
      </c>
      <c r="B2065" s="1" t="str">
        <f>TEXT(Tabla1[[#This Row],[Fecha]],"MMMM")</f>
        <v>abril</v>
      </c>
      <c r="C2065" t="s">
        <v>2075</v>
      </c>
      <c r="D2065" t="s">
        <v>5016</v>
      </c>
      <c r="E2065" t="s">
        <v>5033</v>
      </c>
      <c r="F2065" t="s">
        <v>5035</v>
      </c>
      <c r="G2065" s="3">
        <v>12606.02</v>
      </c>
      <c r="H2065" s="3">
        <v>1638.78</v>
      </c>
      <c r="I2065" s="3">
        <f>SUM(Tabla1[[#This Row],[Monto_Base]],H2065)</f>
        <v>14244.800000000001</v>
      </c>
      <c r="J2065" t="s">
        <v>5044</v>
      </c>
      <c r="K2065" t="s">
        <v>5049</v>
      </c>
      <c r="L2065" t="s">
        <v>5051</v>
      </c>
      <c r="M2065" t="s">
        <v>5055</v>
      </c>
    </row>
    <row r="2066" spans="1:13" x14ac:dyDescent="0.3">
      <c r="A2066" s="1">
        <v>45313</v>
      </c>
      <c r="B2066" s="1" t="str">
        <f>TEXT(Tabla1[[#This Row],[Fecha]],"MMMM")</f>
        <v>enero</v>
      </c>
      <c r="C2066" t="s">
        <v>2076</v>
      </c>
      <c r="D2066" t="s">
        <v>5017</v>
      </c>
      <c r="E2066" t="s">
        <v>5033</v>
      </c>
      <c r="F2066" t="s">
        <v>5034</v>
      </c>
      <c r="G2066" s="3">
        <v>13130.26</v>
      </c>
      <c r="H2066" s="3">
        <v>1706.93</v>
      </c>
      <c r="I2066" s="3">
        <f>SUM(Tabla1[[#This Row],[Monto_Base]],H2066)</f>
        <v>14837.19</v>
      </c>
      <c r="J2066" t="s">
        <v>5044</v>
      </c>
      <c r="K2066" t="s">
        <v>5048</v>
      </c>
      <c r="L2066" t="s">
        <v>5051</v>
      </c>
      <c r="M2066" t="s">
        <v>5054</v>
      </c>
    </row>
    <row r="2067" spans="1:13" x14ac:dyDescent="0.3">
      <c r="A2067" s="1">
        <v>45413</v>
      </c>
      <c r="B2067" s="1" t="str">
        <f>TEXT(Tabla1[[#This Row],[Fecha]],"MMMM")</f>
        <v>mayo</v>
      </c>
      <c r="C2067" t="s">
        <v>2077</v>
      </c>
      <c r="D2067" t="s">
        <v>5029</v>
      </c>
      <c r="E2067" t="s">
        <v>5033</v>
      </c>
      <c r="F2067" t="s">
        <v>5040</v>
      </c>
      <c r="G2067" s="3">
        <v>6269.11</v>
      </c>
      <c r="H2067" s="3">
        <v>814.98</v>
      </c>
      <c r="I2067" s="3">
        <f>SUM(Tabla1[[#This Row],[Monto_Base]],H2067)</f>
        <v>7084.09</v>
      </c>
      <c r="J2067" t="s">
        <v>5045</v>
      </c>
      <c r="K2067" t="s">
        <v>5047</v>
      </c>
      <c r="L2067" t="s">
        <v>5050</v>
      </c>
      <c r="M2067" t="s">
        <v>5055</v>
      </c>
    </row>
    <row r="2068" spans="1:13" x14ac:dyDescent="0.3">
      <c r="A2068" s="1">
        <v>45468</v>
      </c>
      <c r="B2068" s="1" t="str">
        <f>TEXT(Tabla1[[#This Row],[Fecha]],"MMMM")</f>
        <v>junio</v>
      </c>
      <c r="C2068" t="s">
        <v>2078</v>
      </c>
      <c r="D2068" t="s">
        <v>5012</v>
      </c>
      <c r="E2068" t="s">
        <v>5033</v>
      </c>
      <c r="F2068" t="s">
        <v>5034</v>
      </c>
      <c r="G2068" s="3">
        <v>736.57</v>
      </c>
      <c r="H2068" s="3">
        <v>95.75</v>
      </c>
      <c r="I2068" s="3">
        <f>SUM(Tabla1[[#This Row],[Monto_Base]],H2068)</f>
        <v>832.32</v>
      </c>
      <c r="J2068" t="s">
        <v>5043</v>
      </c>
      <c r="K2068" t="s">
        <v>5049</v>
      </c>
      <c r="L2068" t="s">
        <v>5050</v>
      </c>
      <c r="M2068" t="s">
        <v>5054</v>
      </c>
    </row>
    <row r="2069" spans="1:13" x14ac:dyDescent="0.3">
      <c r="A2069" s="1">
        <v>45341</v>
      </c>
      <c r="B2069" s="1" t="str">
        <f>TEXT(Tabla1[[#This Row],[Fecha]],"MMMM")</f>
        <v>febrero</v>
      </c>
      <c r="C2069" t="s">
        <v>2079</v>
      </c>
      <c r="D2069" t="s">
        <v>5024</v>
      </c>
      <c r="E2069" t="s">
        <v>5033</v>
      </c>
      <c r="F2069" t="s">
        <v>5040</v>
      </c>
      <c r="G2069" s="3">
        <v>5841.67</v>
      </c>
      <c r="H2069" s="3">
        <v>759.42</v>
      </c>
      <c r="I2069" s="3">
        <f>SUM(Tabla1[[#This Row],[Monto_Base]],H2069)</f>
        <v>6601.09</v>
      </c>
      <c r="J2069" t="s">
        <v>5042</v>
      </c>
      <c r="K2069" t="s">
        <v>5048</v>
      </c>
      <c r="L2069" t="s">
        <v>5052</v>
      </c>
      <c r="M2069" t="s">
        <v>5055</v>
      </c>
    </row>
    <row r="2070" spans="1:13" x14ac:dyDescent="0.3">
      <c r="A2070" s="1">
        <v>45537</v>
      </c>
      <c r="B2070" s="1" t="str">
        <f>TEXT(Tabla1[[#This Row],[Fecha]],"MMMM")</f>
        <v>septiembre</v>
      </c>
      <c r="C2070" t="s">
        <v>2080</v>
      </c>
      <c r="D2070" t="s">
        <v>5019</v>
      </c>
      <c r="E2070" t="s">
        <v>5032</v>
      </c>
      <c r="F2070" t="s">
        <v>5035</v>
      </c>
      <c r="G2070" s="3">
        <v>7564.67</v>
      </c>
      <c r="H2070" s="3">
        <v>0</v>
      </c>
      <c r="I2070" s="3">
        <f>SUM(Tabla1[[#This Row],[Monto_Base]],H2070)</f>
        <v>7564.67</v>
      </c>
      <c r="J2070" t="s">
        <v>5045</v>
      </c>
      <c r="K2070" t="s">
        <v>5049</v>
      </c>
      <c r="L2070" t="s">
        <v>5053</v>
      </c>
      <c r="M2070" t="s">
        <v>5055</v>
      </c>
    </row>
    <row r="2071" spans="1:13" x14ac:dyDescent="0.3">
      <c r="A2071" s="1">
        <v>45396</v>
      </c>
      <c r="B2071" s="1" t="str">
        <f>TEXT(Tabla1[[#This Row],[Fecha]],"MMMM")</f>
        <v>abril</v>
      </c>
      <c r="C2071" t="s">
        <v>2081</v>
      </c>
      <c r="D2071" t="s">
        <v>5027</v>
      </c>
      <c r="E2071" t="s">
        <v>5033</v>
      </c>
      <c r="F2071" t="s">
        <v>5035</v>
      </c>
      <c r="G2071" s="3">
        <v>1739.33</v>
      </c>
      <c r="H2071" s="3">
        <v>226.11</v>
      </c>
      <c r="I2071" s="3">
        <f>SUM(Tabla1[[#This Row],[Monto_Base]],H2071)</f>
        <v>1965.44</v>
      </c>
      <c r="J2071" t="s">
        <v>5043</v>
      </c>
      <c r="K2071" t="s">
        <v>5048</v>
      </c>
      <c r="L2071" t="s">
        <v>5053</v>
      </c>
      <c r="M2071" t="s">
        <v>5054</v>
      </c>
    </row>
    <row r="2072" spans="1:13" x14ac:dyDescent="0.3">
      <c r="A2072" s="1">
        <v>45421</v>
      </c>
      <c r="B2072" s="1" t="str">
        <f>TEXT(Tabla1[[#This Row],[Fecha]],"MMMM")</f>
        <v>mayo</v>
      </c>
      <c r="C2072" t="s">
        <v>2082</v>
      </c>
      <c r="D2072" t="s">
        <v>5021</v>
      </c>
      <c r="E2072" t="s">
        <v>5032</v>
      </c>
      <c r="F2072" t="s">
        <v>5038</v>
      </c>
      <c r="G2072" s="3">
        <v>14247.92</v>
      </c>
      <c r="H2072" s="3">
        <v>0</v>
      </c>
      <c r="I2072" s="3">
        <f>SUM(Tabla1[[#This Row],[Monto_Base]],H2072)</f>
        <v>14247.92</v>
      </c>
      <c r="J2072" t="s">
        <v>5046</v>
      </c>
      <c r="K2072" t="s">
        <v>5049</v>
      </c>
      <c r="L2072" t="s">
        <v>5053</v>
      </c>
      <c r="M2072" t="s">
        <v>5055</v>
      </c>
    </row>
    <row r="2073" spans="1:13" x14ac:dyDescent="0.3">
      <c r="A2073" s="1">
        <v>45497</v>
      </c>
      <c r="B2073" s="1" t="str">
        <f>TEXT(Tabla1[[#This Row],[Fecha]],"MMMM")</f>
        <v>julio</v>
      </c>
      <c r="C2073" t="s">
        <v>2083</v>
      </c>
      <c r="D2073" t="s">
        <v>5029</v>
      </c>
      <c r="E2073" t="s">
        <v>5032</v>
      </c>
      <c r="F2073" t="s">
        <v>5037</v>
      </c>
      <c r="G2073" s="3">
        <v>8401.4599999999991</v>
      </c>
      <c r="H2073" s="3">
        <v>0</v>
      </c>
      <c r="I2073" s="3">
        <f>SUM(Tabla1[[#This Row],[Monto_Base]],H2073)</f>
        <v>8401.4599999999991</v>
      </c>
      <c r="J2073" t="s">
        <v>5044</v>
      </c>
      <c r="K2073" t="s">
        <v>5047</v>
      </c>
      <c r="L2073" t="s">
        <v>5051</v>
      </c>
      <c r="M2073" t="s">
        <v>5054</v>
      </c>
    </row>
    <row r="2074" spans="1:13" x14ac:dyDescent="0.3">
      <c r="A2074" s="1">
        <v>45468</v>
      </c>
      <c r="B2074" s="1" t="str">
        <f>TEXT(Tabla1[[#This Row],[Fecha]],"MMMM")</f>
        <v>junio</v>
      </c>
      <c r="C2074" t="s">
        <v>2084</v>
      </c>
      <c r="D2074" t="s">
        <v>5028</v>
      </c>
      <c r="E2074" t="s">
        <v>5033</v>
      </c>
      <c r="F2074" t="s">
        <v>5036</v>
      </c>
      <c r="G2074" s="3">
        <v>4887.93</v>
      </c>
      <c r="H2074" s="3">
        <v>635.42999999999995</v>
      </c>
      <c r="I2074" s="3">
        <f>SUM(Tabla1[[#This Row],[Monto_Base]],H2074)</f>
        <v>5523.3600000000006</v>
      </c>
      <c r="J2074" t="s">
        <v>5042</v>
      </c>
      <c r="K2074" t="s">
        <v>5049</v>
      </c>
      <c r="L2074" t="s">
        <v>5050</v>
      </c>
      <c r="M2074" t="s">
        <v>5055</v>
      </c>
    </row>
    <row r="2075" spans="1:13" x14ac:dyDescent="0.3">
      <c r="A2075" s="1">
        <v>45384</v>
      </c>
      <c r="B2075" s="1" t="str">
        <f>TEXT(Tabla1[[#This Row],[Fecha]],"MMMM")</f>
        <v>abril</v>
      </c>
      <c r="C2075" t="s">
        <v>2085</v>
      </c>
      <c r="D2075" t="s">
        <v>5015</v>
      </c>
      <c r="E2075" t="s">
        <v>5032</v>
      </c>
      <c r="F2075" t="s">
        <v>5039</v>
      </c>
      <c r="G2075" s="3">
        <v>2804.34</v>
      </c>
      <c r="H2075" s="3">
        <v>0</v>
      </c>
      <c r="I2075" s="3">
        <f>SUM(Tabla1[[#This Row],[Monto_Base]],H2075)</f>
        <v>2804.34</v>
      </c>
      <c r="J2075" t="s">
        <v>5045</v>
      </c>
      <c r="K2075" t="s">
        <v>5049</v>
      </c>
      <c r="L2075" t="s">
        <v>5053</v>
      </c>
      <c r="M2075" t="s">
        <v>5055</v>
      </c>
    </row>
    <row r="2076" spans="1:13" x14ac:dyDescent="0.3">
      <c r="A2076" s="1">
        <v>45424</v>
      </c>
      <c r="B2076" s="1" t="str">
        <f>TEXT(Tabla1[[#This Row],[Fecha]],"MMMM")</f>
        <v>mayo</v>
      </c>
      <c r="C2076" t="s">
        <v>2086</v>
      </c>
      <c r="D2076" t="s">
        <v>5017</v>
      </c>
      <c r="E2076" t="s">
        <v>5032</v>
      </c>
      <c r="F2076" t="s">
        <v>5041</v>
      </c>
      <c r="G2076" s="3">
        <v>11907.27</v>
      </c>
      <c r="H2076" s="3">
        <v>0</v>
      </c>
      <c r="I2076" s="3">
        <f>SUM(Tabla1[[#This Row],[Monto_Base]],H2076)</f>
        <v>11907.27</v>
      </c>
      <c r="J2076" t="s">
        <v>5043</v>
      </c>
      <c r="K2076" t="s">
        <v>5048</v>
      </c>
      <c r="L2076" t="s">
        <v>5050</v>
      </c>
      <c r="M2076" t="s">
        <v>5055</v>
      </c>
    </row>
    <row r="2077" spans="1:13" x14ac:dyDescent="0.3">
      <c r="A2077" s="1">
        <v>45406</v>
      </c>
      <c r="B2077" s="1" t="str">
        <f>TEXT(Tabla1[[#This Row],[Fecha]],"MMMM")</f>
        <v>abril</v>
      </c>
      <c r="C2077" t="s">
        <v>2087</v>
      </c>
      <c r="D2077" t="s">
        <v>5016</v>
      </c>
      <c r="E2077" t="s">
        <v>5032</v>
      </c>
      <c r="F2077" t="s">
        <v>5040</v>
      </c>
      <c r="G2077" s="3">
        <v>5616.86</v>
      </c>
      <c r="H2077" s="3">
        <v>0</v>
      </c>
      <c r="I2077" s="3">
        <f>SUM(Tabla1[[#This Row],[Monto_Base]],H2077)</f>
        <v>5616.86</v>
      </c>
      <c r="J2077" t="s">
        <v>5042</v>
      </c>
      <c r="K2077" t="s">
        <v>5048</v>
      </c>
      <c r="L2077" t="s">
        <v>5051</v>
      </c>
      <c r="M2077" t="s">
        <v>5054</v>
      </c>
    </row>
    <row r="2078" spans="1:13" x14ac:dyDescent="0.3">
      <c r="A2078" s="1">
        <v>45333</v>
      </c>
      <c r="B2078" s="1" t="str">
        <f>TEXT(Tabla1[[#This Row],[Fecha]],"MMMM")</f>
        <v>febrero</v>
      </c>
      <c r="C2078" t="s">
        <v>2088</v>
      </c>
      <c r="D2078" t="s">
        <v>5017</v>
      </c>
      <c r="E2078" t="s">
        <v>5033</v>
      </c>
      <c r="F2078" t="s">
        <v>5040</v>
      </c>
      <c r="G2078" s="3">
        <v>141.29</v>
      </c>
      <c r="H2078" s="3">
        <v>18.37</v>
      </c>
      <c r="I2078" s="3">
        <f>SUM(Tabla1[[#This Row],[Monto_Base]],H2078)</f>
        <v>159.66</v>
      </c>
      <c r="J2078" t="s">
        <v>5046</v>
      </c>
      <c r="K2078" t="s">
        <v>5048</v>
      </c>
      <c r="L2078" t="s">
        <v>5051</v>
      </c>
      <c r="M2078" t="s">
        <v>5055</v>
      </c>
    </row>
    <row r="2079" spans="1:13" x14ac:dyDescent="0.3">
      <c r="A2079" s="1">
        <v>45419</v>
      </c>
      <c r="B2079" s="1" t="str">
        <f>TEXT(Tabla1[[#This Row],[Fecha]],"MMMM")</f>
        <v>mayo</v>
      </c>
      <c r="C2079" t="s">
        <v>2089</v>
      </c>
      <c r="D2079" t="s">
        <v>5013</v>
      </c>
      <c r="E2079" t="s">
        <v>5033</v>
      </c>
      <c r="F2079" t="s">
        <v>5035</v>
      </c>
      <c r="G2079" s="3">
        <v>99.7</v>
      </c>
      <c r="H2079" s="3">
        <v>12.96</v>
      </c>
      <c r="I2079" s="3">
        <f>SUM(Tabla1[[#This Row],[Monto_Base]],H2079)</f>
        <v>112.66</v>
      </c>
      <c r="J2079" t="s">
        <v>5043</v>
      </c>
      <c r="K2079" t="s">
        <v>5047</v>
      </c>
      <c r="L2079" t="s">
        <v>5052</v>
      </c>
      <c r="M2079" t="s">
        <v>5054</v>
      </c>
    </row>
    <row r="2080" spans="1:13" x14ac:dyDescent="0.3">
      <c r="A2080" s="1">
        <v>45529</v>
      </c>
      <c r="B2080" s="1" t="str">
        <f>TEXT(Tabla1[[#This Row],[Fecha]],"MMMM")</f>
        <v>agosto</v>
      </c>
      <c r="C2080" t="s">
        <v>2090</v>
      </c>
      <c r="D2080" t="s">
        <v>5018</v>
      </c>
      <c r="E2080" t="s">
        <v>5033</v>
      </c>
      <c r="F2080" t="s">
        <v>5039</v>
      </c>
      <c r="G2080" s="3">
        <v>9517.94</v>
      </c>
      <c r="H2080" s="3">
        <v>1237.33</v>
      </c>
      <c r="I2080" s="3">
        <f>SUM(Tabla1[[#This Row],[Monto_Base]],H2080)</f>
        <v>10755.27</v>
      </c>
      <c r="J2080" t="s">
        <v>5043</v>
      </c>
      <c r="K2080" t="s">
        <v>5047</v>
      </c>
      <c r="L2080" t="s">
        <v>5050</v>
      </c>
      <c r="M2080" t="s">
        <v>5055</v>
      </c>
    </row>
    <row r="2081" spans="1:13" x14ac:dyDescent="0.3">
      <c r="A2081" s="1">
        <v>45456</v>
      </c>
      <c r="B2081" s="1" t="str">
        <f>TEXT(Tabla1[[#This Row],[Fecha]],"MMMM")</f>
        <v>junio</v>
      </c>
      <c r="C2081" t="s">
        <v>2091</v>
      </c>
      <c r="D2081" t="s">
        <v>5031</v>
      </c>
      <c r="E2081" t="s">
        <v>5032</v>
      </c>
      <c r="F2081" t="s">
        <v>5040</v>
      </c>
      <c r="G2081" s="3">
        <v>10699.86</v>
      </c>
      <c r="H2081" s="3">
        <v>0</v>
      </c>
      <c r="I2081" s="3">
        <f>SUM(Tabla1[[#This Row],[Monto_Base]],H2081)</f>
        <v>10699.86</v>
      </c>
      <c r="J2081" t="s">
        <v>5042</v>
      </c>
      <c r="K2081" t="s">
        <v>5048</v>
      </c>
      <c r="L2081" t="s">
        <v>5052</v>
      </c>
      <c r="M2081" t="s">
        <v>5054</v>
      </c>
    </row>
    <row r="2082" spans="1:13" x14ac:dyDescent="0.3">
      <c r="A2082" s="1">
        <v>45452</v>
      </c>
      <c r="B2082" s="1" t="str">
        <f>TEXT(Tabla1[[#This Row],[Fecha]],"MMMM")</f>
        <v>junio</v>
      </c>
      <c r="C2082" t="s">
        <v>2092</v>
      </c>
      <c r="D2082" t="s">
        <v>5028</v>
      </c>
      <c r="E2082" t="s">
        <v>5032</v>
      </c>
      <c r="F2082" t="s">
        <v>5039</v>
      </c>
      <c r="G2082" s="3">
        <v>10706.4</v>
      </c>
      <c r="H2082" s="3">
        <v>0</v>
      </c>
      <c r="I2082" s="3">
        <f>SUM(Tabla1[[#This Row],[Monto_Base]],H2082)</f>
        <v>10706.4</v>
      </c>
      <c r="J2082" t="s">
        <v>5045</v>
      </c>
      <c r="K2082" t="s">
        <v>5048</v>
      </c>
      <c r="L2082" t="s">
        <v>5053</v>
      </c>
      <c r="M2082" t="s">
        <v>5055</v>
      </c>
    </row>
    <row r="2083" spans="1:13" x14ac:dyDescent="0.3">
      <c r="A2083" s="1">
        <v>45464</v>
      </c>
      <c r="B2083" s="1" t="str">
        <f>TEXT(Tabla1[[#This Row],[Fecha]],"MMMM")</f>
        <v>junio</v>
      </c>
      <c r="C2083" t="s">
        <v>2093</v>
      </c>
      <c r="D2083" t="s">
        <v>5020</v>
      </c>
      <c r="E2083" t="s">
        <v>5033</v>
      </c>
      <c r="F2083" t="s">
        <v>5041</v>
      </c>
      <c r="G2083" s="3">
        <v>1045.07</v>
      </c>
      <c r="H2083" s="3">
        <v>135.86000000000001</v>
      </c>
      <c r="I2083" s="3">
        <f>SUM(Tabla1[[#This Row],[Monto_Base]],H2083)</f>
        <v>1180.9299999999998</v>
      </c>
      <c r="J2083" t="s">
        <v>5045</v>
      </c>
      <c r="K2083" t="s">
        <v>5049</v>
      </c>
      <c r="L2083" t="s">
        <v>5053</v>
      </c>
      <c r="M2083" t="s">
        <v>5055</v>
      </c>
    </row>
    <row r="2084" spans="1:13" x14ac:dyDescent="0.3">
      <c r="A2084" s="1">
        <v>45449</v>
      </c>
      <c r="B2084" s="1" t="str">
        <f>TEXT(Tabla1[[#This Row],[Fecha]],"MMMM")</f>
        <v>junio</v>
      </c>
      <c r="C2084" t="s">
        <v>2094</v>
      </c>
      <c r="D2084" t="s">
        <v>5014</v>
      </c>
      <c r="E2084" t="s">
        <v>5033</v>
      </c>
      <c r="F2084" t="s">
        <v>5038</v>
      </c>
      <c r="G2084" s="3">
        <v>6751.14</v>
      </c>
      <c r="H2084" s="3">
        <v>877.65</v>
      </c>
      <c r="I2084" s="3">
        <f>SUM(Tabla1[[#This Row],[Monto_Base]],H2084)</f>
        <v>7628.79</v>
      </c>
      <c r="J2084" t="s">
        <v>5044</v>
      </c>
      <c r="K2084" t="s">
        <v>5048</v>
      </c>
      <c r="L2084" t="s">
        <v>5052</v>
      </c>
      <c r="M2084" t="s">
        <v>5055</v>
      </c>
    </row>
    <row r="2085" spans="1:13" x14ac:dyDescent="0.3">
      <c r="A2085" s="1">
        <v>45562</v>
      </c>
      <c r="B2085" s="1" t="str">
        <f>TEXT(Tabla1[[#This Row],[Fecha]],"MMMM")</f>
        <v>septiembre</v>
      </c>
      <c r="C2085" t="s">
        <v>2095</v>
      </c>
      <c r="D2085" t="s">
        <v>5015</v>
      </c>
      <c r="E2085" t="s">
        <v>5033</v>
      </c>
      <c r="F2085" t="s">
        <v>5038</v>
      </c>
      <c r="G2085" s="3">
        <v>6603.49</v>
      </c>
      <c r="H2085" s="3">
        <v>858.45</v>
      </c>
      <c r="I2085" s="3">
        <f>SUM(Tabla1[[#This Row],[Monto_Base]],H2085)</f>
        <v>7461.94</v>
      </c>
      <c r="J2085" t="s">
        <v>5044</v>
      </c>
      <c r="K2085" t="s">
        <v>5047</v>
      </c>
      <c r="L2085" t="s">
        <v>5050</v>
      </c>
      <c r="M2085" t="s">
        <v>5054</v>
      </c>
    </row>
    <row r="2086" spans="1:13" x14ac:dyDescent="0.3">
      <c r="A2086" s="1">
        <v>45440</v>
      </c>
      <c r="B2086" s="1" t="str">
        <f>TEXT(Tabla1[[#This Row],[Fecha]],"MMMM")</f>
        <v>mayo</v>
      </c>
      <c r="C2086" t="s">
        <v>2096</v>
      </c>
      <c r="D2086" t="s">
        <v>5014</v>
      </c>
      <c r="E2086" t="s">
        <v>5032</v>
      </c>
      <c r="F2086" t="s">
        <v>5041</v>
      </c>
      <c r="G2086" s="3">
        <v>3031.61</v>
      </c>
      <c r="H2086" s="3">
        <v>0</v>
      </c>
      <c r="I2086" s="3">
        <f>SUM(Tabla1[[#This Row],[Monto_Base]],H2086)</f>
        <v>3031.61</v>
      </c>
      <c r="J2086" t="s">
        <v>5042</v>
      </c>
      <c r="K2086" t="s">
        <v>5047</v>
      </c>
      <c r="L2086" t="s">
        <v>5053</v>
      </c>
      <c r="M2086" t="s">
        <v>5055</v>
      </c>
    </row>
    <row r="2087" spans="1:13" x14ac:dyDescent="0.3">
      <c r="A2087" s="1">
        <v>45563</v>
      </c>
      <c r="B2087" s="1" t="str">
        <f>TEXT(Tabla1[[#This Row],[Fecha]],"MMMM")</f>
        <v>septiembre</v>
      </c>
      <c r="C2087" t="s">
        <v>2097</v>
      </c>
      <c r="D2087" t="s">
        <v>5018</v>
      </c>
      <c r="E2087" t="s">
        <v>5033</v>
      </c>
      <c r="F2087" t="s">
        <v>5034</v>
      </c>
      <c r="G2087" s="3">
        <v>2968.77</v>
      </c>
      <c r="H2087" s="3">
        <v>385.94</v>
      </c>
      <c r="I2087" s="3">
        <f>SUM(Tabla1[[#This Row],[Monto_Base]],H2087)</f>
        <v>3354.71</v>
      </c>
      <c r="J2087" t="s">
        <v>5046</v>
      </c>
      <c r="K2087" t="s">
        <v>5048</v>
      </c>
      <c r="L2087" t="s">
        <v>5053</v>
      </c>
      <c r="M2087" t="s">
        <v>5054</v>
      </c>
    </row>
    <row r="2088" spans="1:13" x14ac:dyDescent="0.3">
      <c r="A2088" s="1">
        <v>45554</v>
      </c>
      <c r="B2088" s="1" t="str">
        <f>TEXT(Tabla1[[#This Row],[Fecha]],"MMMM")</f>
        <v>septiembre</v>
      </c>
      <c r="C2088" t="s">
        <v>2098</v>
      </c>
      <c r="D2088" t="s">
        <v>5017</v>
      </c>
      <c r="E2088" t="s">
        <v>5033</v>
      </c>
      <c r="F2088" t="s">
        <v>5037</v>
      </c>
      <c r="G2088" s="3">
        <v>14048.27</v>
      </c>
      <c r="H2088" s="3">
        <v>1826.28</v>
      </c>
      <c r="I2088" s="3">
        <f>SUM(Tabla1[[#This Row],[Monto_Base]],H2088)</f>
        <v>15874.550000000001</v>
      </c>
      <c r="J2088" t="s">
        <v>5043</v>
      </c>
      <c r="K2088" t="s">
        <v>5049</v>
      </c>
      <c r="L2088" t="s">
        <v>5052</v>
      </c>
      <c r="M2088" t="s">
        <v>5054</v>
      </c>
    </row>
    <row r="2089" spans="1:13" x14ac:dyDescent="0.3">
      <c r="A2089" s="1">
        <v>45438</v>
      </c>
      <c r="B2089" s="1" t="str">
        <f>TEXT(Tabla1[[#This Row],[Fecha]],"MMMM")</f>
        <v>mayo</v>
      </c>
      <c r="C2089" t="s">
        <v>2099</v>
      </c>
      <c r="D2089" t="s">
        <v>5028</v>
      </c>
      <c r="E2089" t="s">
        <v>5032</v>
      </c>
      <c r="F2089" t="s">
        <v>5041</v>
      </c>
      <c r="G2089" s="3">
        <v>2984.67</v>
      </c>
      <c r="H2089" s="3">
        <v>0</v>
      </c>
      <c r="I2089" s="3">
        <f>SUM(Tabla1[[#This Row],[Monto_Base]],H2089)</f>
        <v>2984.67</v>
      </c>
      <c r="J2089" t="s">
        <v>5042</v>
      </c>
      <c r="K2089" t="s">
        <v>5048</v>
      </c>
      <c r="L2089" t="s">
        <v>5052</v>
      </c>
      <c r="M2089" t="s">
        <v>5055</v>
      </c>
    </row>
    <row r="2090" spans="1:13" x14ac:dyDescent="0.3">
      <c r="A2090" s="1">
        <v>45448</v>
      </c>
      <c r="B2090" s="1" t="str">
        <f>TEXT(Tabla1[[#This Row],[Fecha]],"MMMM")</f>
        <v>junio</v>
      </c>
      <c r="C2090" t="s">
        <v>2100</v>
      </c>
      <c r="D2090" t="s">
        <v>5015</v>
      </c>
      <c r="E2090" t="s">
        <v>5033</v>
      </c>
      <c r="F2090" t="s">
        <v>5036</v>
      </c>
      <c r="G2090" s="3">
        <v>6705.3</v>
      </c>
      <c r="H2090" s="3">
        <v>871.69</v>
      </c>
      <c r="I2090" s="3">
        <f>SUM(Tabla1[[#This Row],[Monto_Base]],H2090)</f>
        <v>7576.99</v>
      </c>
      <c r="J2090" t="s">
        <v>5043</v>
      </c>
      <c r="K2090" t="s">
        <v>5048</v>
      </c>
      <c r="L2090" t="s">
        <v>5052</v>
      </c>
      <c r="M2090" t="s">
        <v>5055</v>
      </c>
    </row>
    <row r="2091" spans="1:13" x14ac:dyDescent="0.3">
      <c r="A2091" s="1">
        <v>45346</v>
      </c>
      <c r="B2091" s="1" t="str">
        <f>TEXT(Tabla1[[#This Row],[Fecha]],"MMMM")</f>
        <v>febrero</v>
      </c>
      <c r="C2091" t="s">
        <v>2101</v>
      </c>
      <c r="D2091" t="s">
        <v>5018</v>
      </c>
      <c r="E2091" t="s">
        <v>5033</v>
      </c>
      <c r="F2091" t="s">
        <v>5036</v>
      </c>
      <c r="G2091" s="3">
        <v>7702.67</v>
      </c>
      <c r="H2091" s="3">
        <v>1001.35</v>
      </c>
      <c r="I2091" s="3">
        <f>SUM(Tabla1[[#This Row],[Monto_Base]],H2091)</f>
        <v>8704.02</v>
      </c>
      <c r="J2091" t="s">
        <v>5044</v>
      </c>
      <c r="K2091" t="s">
        <v>5048</v>
      </c>
      <c r="L2091" t="s">
        <v>5050</v>
      </c>
      <c r="M2091" t="s">
        <v>5054</v>
      </c>
    </row>
    <row r="2092" spans="1:13" x14ac:dyDescent="0.3">
      <c r="A2092" s="1">
        <v>45537</v>
      </c>
      <c r="B2092" s="1" t="str">
        <f>TEXT(Tabla1[[#This Row],[Fecha]],"MMMM")</f>
        <v>septiembre</v>
      </c>
      <c r="C2092" t="s">
        <v>2102</v>
      </c>
      <c r="D2092" t="s">
        <v>5029</v>
      </c>
      <c r="E2092" t="s">
        <v>5032</v>
      </c>
      <c r="F2092" t="s">
        <v>5041</v>
      </c>
      <c r="G2092" s="3">
        <v>1359.95</v>
      </c>
      <c r="H2092" s="3">
        <v>0</v>
      </c>
      <c r="I2092" s="3">
        <f>SUM(Tabla1[[#This Row],[Monto_Base]],H2092)</f>
        <v>1359.95</v>
      </c>
      <c r="J2092" t="s">
        <v>5043</v>
      </c>
      <c r="K2092" t="s">
        <v>5049</v>
      </c>
      <c r="L2092" t="s">
        <v>5050</v>
      </c>
      <c r="M2092" t="s">
        <v>5054</v>
      </c>
    </row>
    <row r="2093" spans="1:13" x14ac:dyDescent="0.3">
      <c r="A2093" s="1">
        <v>45494</v>
      </c>
      <c r="B2093" s="1" t="str">
        <f>TEXT(Tabla1[[#This Row],[Fecha]],"MMMM")</f>
        <v>julio</v>
      </c>
      <c r="C2093" t="s">
        <v>2103</v>
      </c>
      <c r="D2093" t="s">
        <v>5014</v>
      </c>
      <c r="E2093" t="s">
        <v>5033</v>
      </c>
      <c r="F2093" t="s">
        <v>5038</v>
      </c>
      <c r="G2093" s="3">
        <v>3406.03</v>
      </c>
      <c r="H2093" s="3">
        <v>442.78</v>
      </c>
      <c r="I2093" s="3">
        <f>SUM(Tabla1[[#This Row],[Monto_Base]],H2093)</f>
        <v>3848.8100000000004</v>
      </c>
      <c r="J2093" t="s">
        <v>5046</v>
      </c>
      <c r="K2093" t="s">
        <v>5049</v>
      </c>
      <c r="L2093" t="s">
        <v>5051</v>
      </c>
      <c r="M2093" t="s">
        <v>5055</v>
      </c>
    </row>
    <row r="2094" spans="1:13" x14ac:dyDescent="0.3">
      <c r="A2094" s="1">
        <v>45586</v>
      </c>
      <c r="B2094" s="1" t="str">
        <f>TEXT(Tabla1[[#This Row],[Fecha]],"MMMM")</f>
        <v>octubre</v>
      </c>
      <c r="C2094" t="s">
        <v>2104</v>
      </c>
      <c r="D2094" t="s">
        <v>5029</v>
      </c>
      <c r="E2094" t="s">
        <v>5032</v>
      </c>
      <c r="F2094" t="s">
        <v>5035</v>
      </c>
      <c r="G2094" s="3">
        <v>9163.39</v>
      </c>
      <c r="H2094" s="3">
        <v>0</v>
      </c>
      <c r="I2094" s="3">
        <f>SUM(Tabla1[[#This Row],[Monto_Base]],H2094)</f>
        <v>9163.39</v>
      </c>
      <c r="J2094" t="s">
        <v>5042</v>
      </c>
      <c r="K2094" t="s">
        <v>5047</v>
      </c>
      <c r="L2094" t="s">
        <v>5053</v>
      </c>
      <c r="M2094" t="s">
        <v>5054</v>
      </c>
    </row>
    <row r="2095" spans="1:13" x14ac:dyDescent="0.3">
      <c r="A2095" s="1">
        <v>45300</v>
      </c>
      <c r="B2095" s="1" t="str">
        <f>TEXT(Tabla1[[#This Row],[Fecha]],"MMMM")</f>
        <v>enero</v>
      </c>
      <c r="C2095" t="s">
        <v>2105</v>
      </c>
      <c r="D2095" t="s">
        <v>5023</v>
      </c>
      <c r="E2095" t="s">
        <v>5032</v>
      </c>
      <c r="F2095" t="s">
        <v>5041</v>
      </c>
      <c r="G2095" s="3">
        <v>3456.73</v>
      </c>
      <c r="H2095" s="3">
        <v>0</v>
      </c>
      <c r="I2095" s="3">
        <f>SUM(Tabla1[[#This Row],[Monto_Base]],H2095)</f>
        <v>3456.73</v>
      </c>
      <c r="J2095" t="s">
        <v>5042</v>
      </c>
      <c r="K2095" t="s">
        <v>5047</v>
      </c>
      <c r="L2095" t="s">
        <v>5051</v>
      </c>
      <c r="M2095" t="s">
        <v>5054</v>
      </c>
    </row>
    <row r="2096" spans="1:13" x14ac:dyDescent="0.3">
      <c r="A2096" s="1">
        <v>45379</v>
      </c>
      <c r="B2096" s="1" t="str">
        <f>TEXT(Tabla1[[#This Row],[Fecha]],"MMMM")</f>
        <v>marzo</v>
      </c>
      <c r="C2096" t="s">
        <v>2106</v>
      </c>
      <c r="D2096" t="s">
        <v>5013</v>
      </c>
      <c r="E2096" t="s">
        <v>5032</v>
      </c>
      <c r="F2096" t="s">
        <v>5038</v>
      </c>
      <c r="G2096" s="3">
        <v>13573.8</v>
      </c>
      <c r="H2096" s="3">
        <v>0</v>
      </c>
      <c r="I2096" s="3">
        <f>SUM(Tabla1[[#This Row],[Monto_Base]],H2096)</f>
        <v>13573.8</v>
      </c>
      <c r="J2096" t="s">
        <v>5044</v>
      </c>
      <c r="K2096" t="s">
        <v>5048</v>
      </c>
      <c r="L2096" t="s">
        <v>5051</v>
      </c>
      <c r="M2096" t="s">
        <v>5055</v>
      </c>
    </row>
    <row r="2097" spans="1:13" x14ac:dyDescent="0.3">
      <c r="A2097" s="1">
        <v>45481</v>
      </c>
      <c r="B2097" s="1" t="str">
        <f>TEXT(Tabla1[[#This Row],[Fecha]],"MMMM")</f>
        <v>julio</v>
      </c>
      <c r="C2097" t="s">
        <v>2107</v>
      </c>
      <c r="D2097" t="s">
        <v>5014</v>
      </c>
      <c r="E2097" t="s">
        <v>5032</v>
      </c>
      <c r="F2097" t="s">
        <v>5041</v>
      </c>
      <c r="G2097" s="3">
        <v>2601.91</v>
      </c>
      <c r="H2097" s="3">
        <v>0</v>
      </c>
      <c r="I2097" s="3">
        <f>SUM(Tabla1[[#This Row],[Monto_Base]],H2097)</f>
        <v>2601.91</v>
      </c>
      <c r="J2097" t="s">
        <v>5043</v>
      </c>
      <c r="K2097" t="s">
        <v>5048</v>
      </c>
      <c r="L2097" t="s">
        <v>5051</v>
      </c>
      <c r="M2097" t="s">
        <v>5054</v>
      </c>
    </row>
    <row r="2098" spans="1:13" x14ac:dyDescent="0.3">
      <c r="A2098" s="1">
        <v>45517</v>
      </c>
      <c r="B2098" s="1" t="str">
        <f>TEXT(Tabla1[[#This Row],[Fecha]],"MMMM")</f>
        <v>agosto</v>
      </c>
      <c r="C2098" t="s">
        <v>2108</v>
      </c>
      <c r="D2098" t="s">
        <v>5031</v>
      </c>
      <c r="E2098" t="s">
        <v>5033</v>
      </c>
      <c r="F2098" t="s">
        <v>5039</v>
      </c>
      <c r="G2098" s="3">
        <v>2194.7199999999998</v>
      </c>
      <c r="H2098" s="3">
        <v>285.31</v>
      </c>
      <c r="I2098" s="3">
        <f>SUM(Tabla1[[#This Row],[Monto_Base]],H2098)</f>
        <v>2480.0299999999997</v>
      </c>
      <c r="J2098" t="s">
        <v>5042</v>
      </c>
      <c r="K2098" t="s">
        <v>5048</v>
      </c>
      <c r="L2098" t="s">
        <v>5053</v>
      </c>
      <c r="M2098" t="s">
        <v>5054</v>
      </c>
    </row>
    <row r="2099" spans="1:13" x14ac:dyDescent="0.3">
      <c r="A2099" s="1">
        <v>45528</v>
      </c>
      <c r="B2099" s="1" t="str">
        <f>TEXT(Tabla1[[#This Row],[Fecha]],"MMMM")</f>
        <v>agosto</v>
      </c>
      <c r="C2099" t="s">
        <v>2109</v>
      </c>
      <c r="D2099" t="s">
        <v>5016</v>
      </c>
      <c r="E2099" t="s">
        <v>5033</v>
      </c>
      <c r="F2099" t="s">
        <v>5041</v>
      </c>
      <c r="G2099" s="3">
        <v>13485.77</v>
      </c>
      <c r="H2099" s="3">
        <v>1753.15</v>
      </c>
      <c r="I2099" s="3">
        <f>SUM(Tabla1[[#This Row],[Monto_Base]],H2099)</f>
        <v>15238.92</v>
      </c>
      <c r="J2099" t="s">
        <v>5045</v>
      </c>
      <c r="K2099" t="s">
        <v>5048</v>
      </c>
      <c r="L2099" t="s">
        <v>5051</v>
      </c>
      <c r="M2099" t="s">
        <v>5055</v>
      </c>
    </row>
    <row r="2100" spans="1:13" x14ac:dyDescent="0.3">
      <c r="A2100" s="1">
        <v>45373</v>
      </c>
      <c r="B2100" s="1" t="str">
        <f>TEXT(Tabla1[[#This Row],[Fecha]],"MMMM")</f>
        <v>marzo</v>
      </c>
      <c r="C2100" t="s">
        <v>2110</v>
      </c>
      <c r="D2100" t="s">
        <v>5030</v>
      </c>
      <c r="E2100" t="s">
        <v>5032</v>
      </c>
      <c r="F2100" t="s">
        <v>5034</v>
      </c>
      <c r="G2100" s="3">
        <v>6410.54</v>
      </c>
      <c r="H2100" s="3">
        <v>0</v>
      </c>
      <c r="I2100" s="3">
        <f>SUM(Tabla1[[#This Row],[Monto_Base]],H2100)</f>
        <v>6410.54</v>
      </c>
      <c r="J2100" t="s">
        <v>5042</v>
      </c>
      <c r="K2100" t="s">
        <v>5048</v>
      </c>
      <c r="L2100" t="s">
        <v>5053</v>
      </c>
      <c r="M2100" t="s">
        <v>5054</v>
      </c>
    </row>
    <row r="2101" spans="1:13" x14ac:dyDescent="0.3">
      <c r="A2101" s="1">
        <v>45466</v>
      </c>
      <c r="B2101" s="1" t="str">
        <f>TEXT(Tabla1[[#This Row],[Fecha]],"MMMM")</f>
        <v>junio</v>
      </c>
      <c r="C2101" t="s">
        <v>2111</v>
      </c>
      <c r="D2101" t="s">
        <v>5017</v>
      </c>
      <c r="E2101" t="s">
        <v>5033</v>
      </c>
      <c r="F2101" t="s">
        <v>5034</v>
      </c>
      <c r="G2101" s="3">
        <v>7946.04</v>
      </c>
      <c r="H2101" s="3">
        <v>1032.99</v>
      </c>
      <c r="I2101" s="3">
        <f>SUM(Tabla1[[#This Row],[Monto_Base]],H2101)</f>
        <v>8979.0300000000007</v>
      </c>
      <c r="J2101" t="s">
        <v>5043</v>
      </c>
      <c r="K2101" t="s">
        <v>5049</v>
      </c>
      <c r="L2101" t="s">
        <v>5053</v>
      </c>
      <c r="M2101" t="s">
        <v>5054</v>
      </c>
    </row>
    <row r="2102" spans="1:13" x14ac:dyDescent="0.3">
      <c r="A2102" s="1">
        <v>45464</v>
      </c>
      <c r="B2102" s="1" t="str">
        <f>TEXT(Tabla1[[#This Row],[Fecha]],"MMMM")</f>
        <v>junio</v>
      </c>
      <c r="C2102" t="s">
        <v>2112</v>
      </c>
      <c r="D2102" t="s">
        <v>5031</v>
      </c>
      <c r="E2102" t="s">
        <v>5032</v>
      </c>
      <c r="F2102" t="s">
        <v>5036</v>
      </c>
      <c r="G2102" s="3">
        <v>4162.78</v>
      </c>
      <c r="H2102" s="3">
        <v>0</v>
      </c>
      <c r="I2102" s="3">
        <f>SUM(Tabla1[[#This Row],[Monto_Base]],H2102)</f>
        <v>4162.78</v>
      </c>
      <c r="J2102" t="s">
        <v>5042</v>
      </c>
      <c r="K2102" t="s">
        <v>5047</v>
      </c>
      <c r="L2102" t="s">
        <v>5053</v>
      </c>
      <c r="M2102" t="s">
        <v>5054</v>
      </c>
    </row>
    <row r="2103" spans="1:13" x14ac:dyDescent="0.3">
      <c r="A2103" s="1">
        <v>45367</v>
      </c>
      <c r="B2103" s="1" t="str">
        <f>TEXT(Tabla1[[#This Row],[Fecha]],"MMMM")</f>
        <v>marzo</v>
      </c>
      <c r="C2103" t="s">
        <v>2113</v>
      </c>
      <c r="D2103" t="s">
        <v>5018</v>
      </c>
      <c r="E2103" t="s">
        <v>5032</v>
      </c>
      <c r="F2103" t="s">
        <v>5035</v>
      </c>
      <c r="G2103" s="3">
        <v>5587.58</v>
      </c>
      <c r="H2103" s="3">
        <v>0</v>
      </c>
      <c r="I2103" s="3">
        <f>SUM(Tabla1[[#This Row],[Monto_Base]],H2103)</f>
        <v>5587.58</v>
      </c>
      <c r="J2103" t="s">
        <v>5042</v>
      </c>
      <c r="K2103" t="s">
        <v>5048</v>
      </c>
      <c r="L2103" t="s">
        <v>5050</v>
      </c>
      <c r="M2103" t="s">
        <v>5054</v>
      </c>
    </row>
    <row r="2104" spans="1:13" x14ac:dyDescent="0.3">
      <c r="A2104" s="1">
        <v>45567</v>
      </c>
      <c r="B2104" s="1" t="str">
        <f>TEXT(Tabla1[[#This Row],[Fecha]],"MMMM")</f>
        <v>octubre</v>
      </c>
      <c r="C2104" t="s">
        <v>2114</v>
      </c>
      <c r="D2104" t="s">
        <v>5015</v>
      </c>
      <c r="E2104" t="s">
        <v>5033</v>
      </c>
      <c r="F2104" t="s">
        <v>5040</v>
      </c>
      <c r="G2104" s="3">
        <v>11180.48</v>
      </c>
      <c r="H2104" s="3">
        <v>1453.46</v>
      </c>
      <c r="I2104" s="3">
        <f>SUM(Tabla1[[#This Row],[Monto_Base]],H2104)</f>
        <v>12633.939999999999</v>
      </c>
      <c r="J2104" t="s">
        <v>5045</v>
      </c>
      <c r="K2104" t="s">
        <v>5049</v>
      </c>
      <c r="L2104" t="s">
        <v>5050</v>
      </c>
      <c r="M2104" t="s">
        <v>5054</v>
      </c>
    </row>
    <row r="2105" spans="1:13" x14ac:dyDescent="0.3">
      <c r="A2105" s="1">
        <v>45354</v>
      </c>
      <c r="B2105" s="1" t="str">
        <f>TEXT(Tabla1[[#This Row],[Fecha]],"MMMM")</f>
        <v>marzo</v>
      </c>
      <c r="C2105" t="s">
        <v>2115</v>
      </c>
      <c r="D2105" t="s">
        <v>5024</v>
      </c>
      <c r="E2105" t="s">
        <v>5033</v>
      </c>
      <c r="F2105" t="s">
        <v>5037</v>
      </c>
      <c r="G2105" s="3">
        <v>348.63</v>
      </c>
      <c r="H2105" s="3">
        <v>45.32</v>
      </c>
      <c r="I2105" s="3">
        <f>SUM(Tabla1[[#This Row],[Monto_Base]],H2105)</f>
        <v>393.95</v>
      </c>
      <c r="J2105" t="s">
        <v>5045</v>
      </c>
      <c r="K2105" t="s">
        <v>5049</v>
      </c>
      <c r="L2105" t="s">
        <v>5052</v>
      </c>
      <c r="M2105" t="s">
        <v>5054</v>
      </c>
    </row>
    <row r="2106" spans="1:13" x14ac:dyDescent="0.3">
      <c r="A2106" s="1">
        <v>45622</v>
      </c>
      <c r="B2106" s="1" t="str">
        <f>TEXT(Tabla1[[#This Row],[Fecha]],"MMMM")</f>
        <v>noviembre</v>
      </c>
      <c r="C2106" t="s">
        <v>2116</v>
      </c>
      <c r="D2106" t="s">
        <v>5017</v>
      </c>
      <c r="E2106" t="s">
        <v>5033</v>
      </c>
      <c r="F2106" t="s">
        <v>5041</v>
      </c>
      <c r="G2106" s="3">
        <v>4645.24</v>
      </c>
      <c r="H2106" s="3">
        <v>603.88</v>
      </c>
      <c r="I2106" s="3">
        <f>SUM(Tabla1[[#This Row],[Monto_Base]],H2106)</f>
        <v>5249.12</v>
      </c>
      <c r="J2106" t="s">
        <v>5044</v>
      </c>
      <c r="K2106" t="s">
        <v>5048</v>
      </c>
      <c r="L2106" t="s">
        <v>5053</v>
      </c>
      <c r="M2106" t="s">
        <v>5054</v>
      </c>
    </row>
    <row r="2107" spans="1:13" x14ac:dyDescent="0.3">
      <c r="A2107" s="1">
        <v>45343</v>
      </c>
      <c r="B2107" s="1" t="str">
        <f>TEXT(Tabla1[[#This Row],[Fecha]],"MMMM")</f>
        <v>febrero</v>
      </c>
      <c r="C2107" t="s">
        <v>2117</v>
      </c>
      <c r="D2107" t="s">
        <v>5022</v>
      </c>
      <c r="E2107" t="s">
        <v>5033</v>
      </c>
      <c r="F2107" t="s">
        <v>5040</v>
      </c>
      <c r="G2107" s="3">
        <v>12403.96</v>
      </c>
      <c r="H2107" s="3">
        <v>1612.51</v>
      </c>
      <c r="I2107" s="3">
        <f>SUM(Tabla1[[#This Row],[Monto_Base]],H2107)</f>
        <v>14016.47</v>
      </c>
      <c r="J2107" t="s">
        <v>5042</v>
      </c>
      <c r="K2107" t="s">
        <v>5049</v>
      </c>
      <c r="L2107" t="s">
        <v>5053</v>
      </c>
      <c r="M2107" t="s">
        <v>5054</v>
      </c>
    </row>
    <row r="2108" spans="1:13" x14ac:dyDescent="0.3">
      <c r="A2108" s="1">
        <v>45657</v>
      </c>
      <c r="B2108" s="1" t="str">
        <f>TEXT(Tabla1[[#This Row],[Fecha]],"MMMM")</f>
        <v>diciembre</v>
      </c>
      <c r="C2108" t="s">
        <v>2118</v>
      </c>
      <c r="D2108" t="s">
        <v>5020</v>
      </c>
      <c r="E2108" t="s">
        <v>5033</v>
      </c>
      <c r="F2108" t="s">
        <v>5039</v>
      </c>
      <c r="G2108" s="3">
        <v>4525.09</v>
      </c>
      <c r="H2108" s="3">
        <v>588.26</v>
      </c>
      <c r="I2108" s="3">
        <f>SUM(Tabla1[[#This Row],[Monto_Base]],H2108)</f>
        <v>5113.3500000000004</v>
      </c>
      <c r="J2108" t="s">
        <v>5043</v>
      </c>
      <c r="K2108" t="s">
        <v>5047</v>
      </c>
      <c r="L2108" t="s">
        <v>5050</v>
      </c>
      <c r="M2108" t="s">
        <v>5054</v>
      </c>
    </row>
    <row r="2109" spans="1:13" x14ac:dyDescent="0.3">
      <c r="A2109" s="1">
        <v>45497</v>
      </c>
      <c r="B2109" s="1" t="str">
        <f>TEXT(Tabla1[[#This Row],[Fecha]],"MMMM")</f>
        <v>julio</v>
      </c>
      <c r="C2109" t="s">
        <v>2119</v>
      </c>
      <c r="D2109" t="s">
        <v>5016</v>
      </c>
      <c r="E2109" t="s">
        <v>5032</v>
      </c>
      <c r="F2109" t="s">
        <v>5034</v>
      </c>
      <c r="G2109" s="3">
        <v>5717.76</v>
      </c>
      <c r="H2109" s="3">
        <v>0</v>
      </c>
      <c r="I2109" s="3">
        <f>SUM(Tabla1[[#This Row],[Monto_Base]],H2109)</f>
        <v>5717.76</v>
      </c>
      <c r="J2109" t="s">
        <v>5046</v>
      </c>
      <c r="K2109" t="s">
        <v>5048</v>
      </c>
      <c r="L2109" t="s">
        <v>5053</v>
      </c>
      <c r="M2109" t="s">
        <v>5054</v>
      </c>
    </row>
    <row r="2110" spans="1:13" x14ac:dyDescent="0.3">
      <c r="A2110" s="1">
        <v>45415</v>
      </c>
      <c r="B2110" s="1" t="str">
        <f>TEXT(Tabla1[[#This Row],[Fecha]],"MMMM")</f>
        <v>mayo</v>
      </c>
      <c r="C2110" t="s">
        <v>2120</v>
      </c>
      <c r="D2110" t="s">
        <v>5016</v>
      </c>
      <c r="E2110" t="s">
        <v>5032</v>
      </c>
      <c r="F2110" t="s">
        <v>5034</v>
      </c>
      <c r="G2110" s="3">
        <v>3174.34</v>
      </c>
      <c r="H2110" s="3">
        <v>0</v>
      </c>
      <c r="I2110" s="3">
        <f>SUM(Tabla1[[#This Row],[Monto_Base]],H2110)</f>
        <v>3174.34</v>
      </c>
      <c r="J2110" t="s">
        <v>5042</v>
      </c>
      <c r="K2110" t="s">
        <v>5047</v>
      </c>
      <c r="L2110" t="s">
        <v>5053</v>
      </c>
      <c r="M2110" t="s">
        <v>5055</v>
      </c>
    </row>
    <row r="2111" spans="1:13" x14ac:dyDescent="0.3">
      <c r="A2111" s="1">
        <v>45441</v>
      </c>
      <c r="B2111" s="1" t="str">
        <f>TEXT(Tabla1[[#This Row],[Fecha]],"MMMM")</f>
        <v>mayo</v>
      </c>
      <c r="C2111" t="s">
        <v>2121</v>
      </c>
      <c r="D2111" t="s">
        <v>5019</v>
      </c>
      <c r="E2111" t="s">
        <v>5033</v>
      </c>
      <c r="F2111" t="s">
        <v>5040</v>
      </c>
      <c r="G2111" s="3">
        <v>9511.39</v>
      </c>
      <c r="H2111" s="3">
        <v>1236.48</v>
      </c>
      <c r="I2111" s="3">
        <f>SUM(Tabla1[[#This Row],[Monto_Base]],H2111)</f>
        <v>10747.869999999999</v>
      </c>
      <c r="J2111" t="s">
        <v>5043</v>
      </c>
      <c r="K2111" t="s">
        <v>5049</v>
      </c>
      <c r="L2111" t="s">
        <v>5052</v>
      </c>
      <c r="M2111" t="s">
        <v>5054</v>
      </c>
    </row>
    <row r="2112" spans="1:13" x14ac:dyDescent="0.3">
      <c r="A2112" s="1">
        <v>45582</v>
      </c>
      <c r="B2112" s="1" t="str">
        <f>TEXT(Tabla1[[#This Row],[Fecha]],"MMMM")</f>
        <v>octubre</v>
      </c>
      <c r="C2112" t="s">
        <v>2122</v>
      </c>
      <c r="D2112" t="s">
        <v>5019</v>
      </c>
      <c r="E2112" t="s">
        <v>5032</v>
      </c>
      <c r="F2112" t="s">
        <v>5034</v>
      </c>
      <c r="G2112" s="3">
        <v>8792.51</v>
      </c>
      <c r="H2112" s="3">
        <v>0</v>
      </c>
      <c r="I2112" s="3">
        <f>SUM(Tabla1[[#This Row],[Monto_Base]],H2112)</f>
        <v>8792.51</v>
      </c>
      <c r="J2112" t="s">
        <v>5046</v>
      </c>
      <c r="K2112" t="s">
        <v>5048</v>
      </c>
      <c r="L2112" t="s">
        <v>5051</v>
      </c>
      <c r="M2112" t="s">
        <v>5054</v>
      </c>
    </row>
    <row r="2113" spans="1:13" x14ac:dyDescent="0.3">
      <c r="A2113" s="1">
        <v>45639</v>
      </c>
      <c r="B2113" s="1" t="str">
        <f>TEXT(Tabla1[[#This Row],[Fecha]],"MMMM")</f>
        <v>diciembre</v>
      </c>
      <c r="C2113" t="s">
        <v>2123</v>
      </c>
      <c r="D2113" t="s">
        <v>5027</v>
      </c>
      <c r="E2113" t="s">
        <v>5032</v>
      </c>
      <c r="F2113" t="s">
        <v>5034</v>
      </c>
      <c r="G2113" s="3">
        <v>5923.67</v>
      </c>
      <c r="H2113" s="3">
        <v>0</v>
      </c>
      <c r="I2113" s="3">
        <f>SUM(Tabla1[[#This Row],[Monto_Base]],H2113)</f>
        <v>5923.67</v>
      </c>
      <c r="J2113" t="s">
        <v>5042</v>
      </c>
      <c r="K2113" t="s">
        <v>5047</v>
      </c>
      <c r="L2113" t="s">
        <v>5052</v>
      </c>
      <c r="M2113" t="s">
        <v>5054</v>
      </c>
    </row>
    <row r="2114" spans="1:13" x14ac:dyDescent="0.3">
      <c r="A2114" s="1">
        <v>45373</v>
      </c>
      <c r="B2114" s="1" t="str">
        <f>TEXT(Tabla1[[#This Row],[Fecha]],"MMMM")</f>
        <v>marzo</v>
      </c>
      <c r="C2114" t="s">
        <v>2124</v>
      </c>
      <c r="D2114" t="s">
        <v>5025</v>
      </c>
      <c r="E2114" t="s">
        <v>5033</v>
      </c>
      <c r="F2114" t="s">
        <v>5041</v>
      </c>
      <c r="G2114" s="3">
        <v>471.19</v>
      </c>
      <c r="H2114" s="3">
        <v>61.25</v>
      </c>
      <c r="I2114" s="3">
        <f>SUM(Tabla1[[#This Row],[Monto_Base]],H2114)</f>
        <v>532.44000000000005</v>
      </c>
      <c r="J2114" t="s">
        <v>5042</v>
      </c>
      <c r="K2114" t="s">
        <v>5049</v>
      </c>
      <c r="L2114" t="s">
        <v>5050</v>
      </c>
      <c r="M2114" t="s">
        <v>5055</v>
      </c>
    </row>
    <row r="2115" spans="1:13" x14ac:dyDescent="0.3">
      <c r="A2115" s="1">
        <v>45558</v>
      </c>
      <c r="B2115" s="1" t="str">
        <f>TEXT(Tabla1[[#This Row],[Fecha]],"MMMM")</f>
        <v>septiembre</v>
      </c>
      <c r="C2115" t="s">
        <v>2125</v>
      </c>
      <c r="D2115" t="s">
        <v>5022</v>
      </c>
      <c r="E2115" t="s">
        <v>5032</v>
      </c>
      <c r="F2115" t="s">
        <v>5034</v>
      </c>
      <c r="G2115" s="3">
        <v>4460.03</v>
      </c>
      <c r="H2115" s="3">
        <v>0</v>
      </c>
      <c r="I2115" s="3">
        <f>SUM(Tabla1[[#This Row],[Monto_Base]],H2115)</f>
        <v>4460.03</v>
      </c>
      <c r="J2115" t="s">
        <v>5045</v>
      </c>
      <c r="K2115" t="s">
        <v>5048</v>
      </c>
      <c r="L2115" t="s">
        <v>5051</v>
      </c>
      <c r="M2115" t="s">
        <v>5055</v>
      </c>
    </row>
    <row r="2116" spans="1:13" x14ac:dyDescent="0.3">
      <c r="A2116" s="1">
        <v>45611</v>
      </c>
      <c r="B2116" s="1" t="str">
        <f>TEXT(Tabla1[[#This Row],[Fecha]],"MMMM")</f>
        <v>noviembre</v>
      </c>
      <c r="C2116" t="s">
        <v>2126</v>
      </c>
      <c r="D2116" t="s">
        <v>5027</v>
      </c>
      <c r="E2116" t="s">
        <v>5033</v>
      </c>
      <c r="F2116" t="s">
        <v>5035</v>
      </c>
      <c r="G2116" s="3">
        <v>13404.86</v>
      </c>
      <c r="H2116" s="3">
        <v>1742.63</v>
      </c>
      <c r="I2116" s="3">
        <f>SUM(Tabla1[[#This Row],[Monto_Base]],H2116)</f>
        <v>15147.490000000002</v>
      </c>
      <c r="J2116" t="s">
        <v>5043</v>
      </c>
      <c r="K2116" t="s">
        <v>5048</v>
      </c>
      <c r="L2116" t="s">
        <v>5052</v>
      </c>
      <c r="M2116" t="s">
        <v>5055</v>
      </c>
    </row>
    <row r="2117" spans="1:13" x14ac:dyDescent="0.3">
      <c r="A2117" s="1">
        <v>45355</v>
      </c>
      <c r="B2117" s="1" t="str">
        <f>TEXT(Tabla1[[#This Row],[Fecha]],"MMMM")</f>
        <v>marzo</v>
      </c>
      <c r="C2117" t="s">
        <v>2127</v>
      </c>
      <c r="D2117" t="s">
        <v>5019</v>
      </c>
      <c r="E2117" t="s">
        <v>5032</v>
      </c>
      <c r="F2117" t="s">
        <v>5035</v>
      </c>
      <c r="G2117" s="3">
        <v>14630.93</v>
      </c>
      <c r="H2117" s="3">
        <v>0</v>
      </c>
      <c r="I2117" s="3">
        <f>SUM(Tabla1[[#This Row],[Monto_Base]],H2117)</f>
        <v>14630.93</v>
      </c>
      <c r="J2117" t="s">
        <v>5045</v>
      </c>
      <c r="K2117" t="s">
        <v>5047</v>
      </c>
      <c r="L2117" t="s">
        <v>5053</v>
      </c>
      <c r="M2117" t="s">
        <v>5054</v>
      </c>
    </row>
    <row r="2118" spans="1:13" x14ac:dyDescent="0.3">
      <c r="A2118" s="1">
        <v>45506</v>
      </c>
      <c r="B2118" s="1" t="str">
        <f>TEXT(Tabla1[[#This Row],[Fecha]],"MMMM")</f>
        <v>agosto</v>
      </c>
      <c r="C2118" t="s">
        <v>2128</v>
      </c>
      <c r="D2118" t="s">
        <v>5024</v>
      </c>
      <c r="E2118" t="s">
        <v>5033</v>
      </c>
      <c r="F2118" t="s">
        <v>5038</v>
      </c>
      <c r="G2118" s="3">
        <v>2183.5100000000002</v>
      </c>
      <c r="H2118" s="3">
        <v>283.86</v>
      </c>
      <c r="I2118" s="3">
        <f>SUM(Tabla1[[#This Row],[Monto_Base]],H2118)</f>
        <v>2467.3700000000003</v>
      </c>
      <c r="J2118" t="s">
        <v>5046</v>
      </c>
      <c r="K2118" t="s">
        <v>5048</v>
      </c>
      <c r="L2118" t="s">
        <v>5052</v>
      </c>
      <c r="M2118" t="s">
        <v>5054</v>
      </c>
    </row>
    <row r="2119" spans="1:13" x14ac:dyDescent="0.3">
      <c r="A2119" s="1">
        <v>45588</v>
      </c>
      <c r="B2119" s="1" t="str">
        <f>TEXT(Tabla1[[#This Row],[Fecha]],"MMMM")</f>
        <v>octubre</v>
      </c>
      <c r="C2119" t="s">
        <v>2129</v>
      </c>
      <c r="D2119" t="s">
        <v>5029</v>
      </c>
      <c r="E2119" t="s">
        <v>5032</v>
      </c>
      <c r="F2119" t="s">
        <v>5041</v>
      </c>
      <c r="G2119" s="3">
        <v>1785.09</v>
      </c>
      <c r="H2119" s="3">
        <v>0</v>
      </c>
      <c r="I2119" s="3">
        <f>SUM(Tabla1[[#This Row],[Monto_Base]],H2119)</f>
        <v>1785.09</v>
      </c>
      <c r="J2119" t="s">
        <v>5046</v>
      </c>
      <c r="K2119" t="s">
        <v>5049</v>
      </c>
      <c r="L2119" t="s">
        <v>5051</v>
      </c>
      <c r="M2119" t="s">
        <v>5054</v>
      </c>
    </row>
    <row r="2120" spans="1:13" x14ac:dyDescent="0.3">
      <c r="A2120" s="1">
        <v>45497</v>
      </c>
      <c r="B2120" s="1" t="str">
        <f>TEXT(Tabla1[[#This Row],[Fecha]],"MMMM")</f>
        <v>julio</v>
      </c>
      <c r="C2120" t="s">
        <v>2130</v>
      </c>
      <c r="D2120" t="s">
        <v>5031</v>
      </c>
      <c r="E2120" t="s">
        <v>5032</v>
      </c>
      <c r="F2120" t="s">
        <v>5035</v>
      </c>
      <c r="G2120" s="3">
        <v>6304.92</v>
      </c>
      <c r="H2120" s="3">
        <v>0</v>
      </c>
      <c r="I2120" s="3">
        <f>SUM(Tabla1[[#This Row],[Monto_Base]],H2120)</f>
        <v>6304.92</v>
      </c>
      <c r="J2120" t="s">
        <v>5044</v>
      </c>
      <c r="K2120" t="s">
        <v>5049</v>
      </c>
      <c r="L2120" t="s">
        <v>5053</v>
      </c>
      <c r="M2120" t="s">
        <v>5054</v>
      </c>
    </row>
    <row r="2121" spans="1:13" x14ac:dyDescent="0.3">
      <c r="A2121" s="1">
        <v>45455</v>
      </c>
      <c r="B2121" s="1" t="str">
        <f>TEXT(Tabla1[[#This Row],[Fecha]],"MMMM")</f>
        <v>junio</v>
      </c>
      <c r="C2121" t="s">
        <v>2131</v>
      </c>
      <c r="D2121" t="s">
        <v>5023</v>
      </c>
      <c r="E2121" t="s">
        <v>5032</v>
      </c>
      <c r="F2121" t="s">
        <v>5041</v>
      </c>
      <c r="G2121" s="3">
        <v>11490.65</v>
      </c>
      <c r="H2121" s="3">
        <v>0</v>
      </c>
      <c r="I2121" s="3">
        <f>SUM(Tabla1[[#This Row],[Monto_Base]],H2121)</f>
        <v>11490.65</v>
      </c>
      <c r="J2121" t="s">
        <v>5044</v>
      </c>
      <c r="K2121" t="s">
        <v>5047</v>
      </c>
      <c r="L2121" t="s">
        <v>5052</v>
      </c>
      <c r="M2121" t="s">
        <v>5055</v>
      </c>
    </row>
    <row r="2122" spans="1:13" x14ac:dyDescent="0.3">
      <c r="A2122" s="1">
        <v>45392</v>
      </c>
      <c r="B2122" s="1" t="str">
        <f>TEXT(Tabla1[[#This Row],[Fecha]],"MMMM")</f>
        <v>abril</v>
      </c>
      <c r="C2122" t="s">
        <v>2132</v>
      </c>
      <c r="D2122" t="s">
        <v>5028</v>
      </c>
      <c r="E2122" t="s">
        <v>5032</v>
      </c>
      <c r="F2122" t="s">
        <v>5036</v>
      </c>
      <c r="G2122" s="3">
        <v>6830.02</v>
      </c>
      <c r="H2122" s="3">
        <v>0</v>
      </c>
      <c r="I2122" s="3">
        <f>SUM(Tabla1[[#This Row],[Monto_Base]],H2122)</f>
        <v>6830.02</v>
      </c>
      <c r="J2122" t="s">
        <v>5045</v>
      </c>
      <c r="K2122" t="s">
        <v>5049</v>
      </c>
      <c r="L2122" t="s">
        <v>5050</v>
      </c>
      <c r="M2122" t="s">
        <v>5054</v>
      </c>
    </row>
    <row r="2123" spans="1:13" x14ac:dyDescent="0.3">
      <c r="A2123" s="1">
        <v>45398</v>
      </c>
      <c r="B2123" s="1" t="str">
        <f>TEXT(Tabla1[[#This Row],[Fecha]],"MMMM")</f>
        <v>abril</v>
      </c>
      <c r="C2123" t="s">
        <v>2133</v>
      </c>
      <c r="D2123" t="s">
        <v>5027</v>
      </c>
      <c r="E2123" t="s">
        <v>5032</v>
      </c>
      <c r="F2123" t="s">
        <v>5035</v>
      </c>
      <c r="G2123" s="3">
        <v>3086.27</v>
      </c>
      <c r="H2123" s="3">
        <v>0</v>
      </c>
      <c r="I2123" s="3">
        <f>SUM(Tabla1[[#This Row],[Monto_Base]],H2123)</f>
        <v>3086.27</v>
      </c>
      <c r="J2123" t="s">
        <v>5042</v>
      </c>
      <c r="K2123" t="s">
        <v>5049</v>
      </c>
      <c r="L2123" t="s">
        <v>5053</v>
      </c>
      <c r="M2123" t="s">
        <v>5055</v>
      </c>
    </row>
    <row r="2124" spans="1:13" x14ac:dyDescent="0.3">
      <c r="A2124" s="1">
        <v>45475</v>
      </c>
      <c r="B2124" s="1" t="str">
        <f>TEXT(Tabla1[[#This Row],[Fecha]],"MMMM")</f>
        <v>julio</v>
      </c>
      <c r="C2124" t="s">
        <v>2134</v>
      </c>
      <c r="D2124" t="s">
        <v>5023</v>
      </c>
      <c r="E2124" t="s">
        <v>5032</v>
      </c>
      <c r="F2124" t="s">
        <v>5041</v>
      </c>
      <c r="G2124" s="3">
        <v>9795.9</v>
      </c>
      <c r="H2124" s="3">
        <v>0</v>
      </c>
      <c r="I2124" s="3">
        <f>SUM(Tabla1[[#This Row],[Monto_Base]],H2124)</f>
        <v>9795.9</v>
      </c>
      <c r="J2124" t="s">
        <v>5042</v>
      </c>
      <c r="K2124" t="s">
        <v>5047</v>
      </c>
      <c r="L2124" t="s">
        <v>5052</v>
      </c>
      <c r="M2124" t="s">
        <v>5054</v>
      </c>
    </row>
    <row r="2125" spans="1:13" x14ac:dyDescent="0.3">
      <c r="A2125" s="1">
        <v>45420</v>
      </c>
      <c r="B2125" s="1" t="str">
        <f>TEXT(Tabla1[[#This Row],[Fecha]],"MMMM")</f>
        <v>mayo</v>
      </c>
      <c r="C2125" t="s">
        <v>2135</v>
      </c>
      <c r="D2125" t="s">
        <v>5029</v>
      </c>
      <c r="E2125" t="s">
        <v>5032</v>
      </c>
      <c r="F2125" t="s">
        <v>5041</v>
      </c>
      <c r="G2125" s="3">
        <v>258.17</v>
      </c>
      <c r="H2125" s="3">
        <v>0</v>
      </c>
      <c r="I2125" s="3">
        <f>SUM(Tabla1[[#This Row],[Monto_Base]],H2125)</f>
        <v>258.17</v>
      </c>
      <c r="J2125" t="s">
        <v>5045</v>
      </c>
      <c r="K2125" t="s">
        <v>5047</v>
      </c>
      <c r="L2125" t="s">
        <v>5053</v>
      </c>
      <c r="M2125" t="s">
        <v>5054</v>
      </c>
    </row>
    <row r="2126" spans="1:13" x14ac:dyDescent="0.3">
      <c r="A2126" s="1">
        <v>45387</v>
      </c>
      <c r="B2126" s="1" t="str">
        <f>TEXT(Tabla1[[#This Row],[Fecha]],"MMMM")</f>
        <v>abril</v>
      </c>
      <c r="C2126" t="s">
        <v>2136</v>
      </c>
      <c r="D2126" t="s">
        <v>5015</v>
      </c>
      <c r="E2126" t="s">
        <v>5033</v>
      </c>
      <c r="F2126" t="s">
        <v>5037</v>
      </c>
      <c r="G2126" s="3">
        <v>14541.4</v>
      </c>
      <c r="H2126" s="3">
        <v>1890.38</v>
      </c>
      <c r="I2126" s="3">
        <f>SUM(Tabla1[[#This Row],[Monto_Base]],H2126)</f>
        <v>16431.78</v>
      </c>
      <c r="J2126" t="s">
        <v>5042</v>
      </c>
      <c r="K2126" t="s">
        <v>5047</v>
      </c>
      <c r="L2126" t="s">
        <v>5050</v>
      </c>
      <c r="M2126" t="s">
        <v>5054</v>
      </c>
    </row>
    <row r="2127" spans="1:13" x14ac:dyDescent="0.3">
      <c r="A2127" s="1">
        <v>45326</v>
      </c>
      <c r="B2127" s="1" t="str">
        <f>TEXT(Tabla1[[#This Row],[Fecha]],"MMMM")</f>
        <v>febrero</v>
      </c>
      <c r="C2127" t="s">
        <v>2137</v>
      </c>
      <c r="D2127" t="s">
        <v>5029</v>
      </c>
      <c r="E2127" t="s">
        <v>5033</v>
      </c>
      <c r="F2127" t="s">
        <v>5035</v>
      </c>
      <c r="G2127" s="3">
        <v>13861.25</v>
      </c>
      <c r="H2127" s="3">
        <v>1801.96</v>
      </c>
      <c r="I2127" s="3">
        <f>SUM(Tabla1[[#This Row],[Monto_Base]],H2127)</f>
        <v>15663.21</v>
      </c>
      <c r="J2127" t="s">
        <v>5046</v>
      </c>
      <c r="K2127" t="s">
        <v>5047</v>
      </c>
      <c r="L2127" t="s">
        <v>5053</v>
      </c>
      <c r="M2127" t="s">
        <v>5054</v>
      </c>
    </row>
    <row r="2128" spans="1:13" x14ac:dyDescent="0.3">
      <c r="A2128" s="1">
        <v>45435</v>
      </c>
      <c r="B2128" s="1" t="str">
        <f>TEXT(Tabla1[[#This Row],[Fecha]],"MMMM")</f>
        <v>mayo</v>
      </c>
      <c r="C2128" t="s">
        <v>2138</v>
      </c>
      <c r="D2128" t="s">
        <v>5025</v>
      </c>
      <c r="E2128" t="s">
        <v>5032</v>
      </c>
      <c r="F2128" t="s">
        <v>5039</v>
      </c>
      <c r="G2128" s="3">
        <v>159.47999999999999</v>
      </c>
      <c r="H2128" s="3">
        <v>0</v>
      </c>
      <c r="I2128" s="3">
        <f>SUM(Tabla1[[#This Row],[Monto_Base]],H2128)</f>
        <v>159.47999999999999</v>
      </c>
      <c r="J2128" t="s">
        <v>5045</v>
      </c>
      <c r="K2128" t="s">
        <v>5047</v>
      </c>
      <c r="L2128" t="s">
        <v>5053</v>
      </c>
      <c r="M2128" t="s">
        <v>5055</v>
      </c>
    </row>
    <row r="2129" spans="1:13" x14ac:dyDescent="0.3">
      <c r="A2129" s="1">
        <v>45414</v>
      </c>
      <c r="B2129" s="1" t="str">
        <f>TEXT(Tabla1[[#This Row],[Fecha]],"MMMM")</f>
        <v>mayo</v>
      </c>
      <c r="C2129" t="s">
        <v>2139</v>
      </c>
      <c r="D2129" t="s">
        <v>5030</v>
      </c>
      <c r="E2129" t="s">
        <v>5033</v>
      </c>
      <c r="F2129" t="s">
        <v>5039</v>
      </c>
      <c r="G2129" s="3">
        <v>4097.3</v>
      </c>
      <c r="H2129" s="3">
        <v>532.65</v>
      </c>
      <c r="I2129" s="3">
        <f>SUM(Tabla1[[#This Row],[Monto_Base]],H2129)</f>
        <v>4629.95</v>
      </c>
      <c r="J2129" t="s">
        <v>5042</v>
      </c>
      <c r="K2129" t="s">
        <v>5049</v>
      </c>
      <c r="L2129" t="s">
        <v>5053</v>
      </c>
      <c r="M2129" t="s">
        <v>5054</v>
      </c>
    </row>
    <row r="2130" spans="1:13" x14ac:dyDescent="0.3">
      <c r="A2130" s="1">
        <v>45365</v>
      </c>
      <c r="B2130" s="1" t="str">
        <f>TEXT(Tabla1[[#This Row],[Fecha]],"MMMM")</f>
        <v>marzo</v>
      </c>
      <c r="C2130" t="s">
        <v>2140</v>
      </c>
      <c r="D2130" t="s">
        <v>5014</v>
      </c>
      <c r="E2130" t="s">
        <v>5032</v>
      </c>
      <c r="F2130" t="s">
        <v>5036</v>
      </c>
      <c r="G2130" s="3">
        <v>14323.53</v>
      </c>
      <c r="H2130" s="3">
        <v>0</v>
      </c>
      <c r="I2130" s="3">
        <f>SUM(Tabla1[[#This Row],[Monto_Base]],H2130)</f>
        <v>14323.53</v>
      </c>
      <c r="J2130" t="s">
        <v>5046</v>
      </c>
      <c r="K2130" t="s">
        <v>5048</v>
      </c>
      <c r="L2130" t="s">
        <v>5050</v>
      </c>
      <c r="M2130" t="s">
        <v>5054</v>
      </c>
    </row>
    <row r="2131" spans="1:13" x14ac:dyDescent="0.3">
      <c r="A2131" s="1">
        <v>45586</v>
      </c>
      <c r="B2131" s="1" t="str">
        <f>TEXT(Tabla1[[#This Row],[Fecha]],"MMMM")</f>
        <v>octubre</v>
      </c>
      <c r="C2131" t="s">
        <v>2141</v>
      </c>
      <c r="D2131" t="s">
        <v>5028</v>
      </c>
      <c r="E2131" t="s">
        <v>5032</v>
      </c>
      <c r="F2131" t="s">
        <v>5038</v>
      </c>
      <c r="G2131" s="3">
        <v>12989.97</v>
      </c>
      <c r="H2131" s="3">
        <v>0</v>
      </c>
      <c r="I2131" s="3">
        <f>SUM(Tabla1[[#This Row],[Monto_Base]],H2131)</f>
        <v>12989.97</v>
      </c>
      <c r="J2131" t="s">
        <v>5043</v>
      </c>
      <c r="K2131" t="s">
        <v>5047</v>
      </c>
      <c r="L2131" t="s">
        <v>5052</v>
      </c>
      <c r="M2131" t="s">
        <v>5054</v>
      </c>
    </row>
    <row r="2132" spans="1:13" x14ac:dyDescent="0.3">
      <c r="A2132" s="1">
        <v>45386</v>
      </c>
      <c r="B2132" s="1" t="str">
        <f>TEXT(Tabla1[[#This Row],[Fecha]],"MMMM")</f>
        <v>abril</v>
      </c>
      <c r="C2132" t="s">
        <v>2142</v>
      </c>
      <c r="D2132" t="s">
        <v>5030</v>
      </c>
      <c r="E2132" t="s">
        <v>5032</v>
      </c>
      <c r="F2132" t="s">
        <v>5038</v>
      </c>
      <c r="G2132" s="3">
        <v>11912.09</v>
      </c>
      <c r="H2132" s="3">
        <v>0</v>
      </c>
      <c r="I2132" s="3">
        <f>SUM(Tabla1[[#This Row],[Monto_Base]],H2132)</f>
        <v>11912.09</v>
      </c>
      <c r="J2132" t="s">
        <v>5044</v>
      </c>
      <c r="K2132" t="s">
        <v>5047</v>
      </c>
      <c r="L2132" t="s">
        <v>5051</v>
      </c>
      <c r="M2132" t="s">
        <v>5054</v>
      </c>
    </row>
    <row r="2133" spans="1:13" x14ac:dyDescent="0.3">
      <c r="A2133" s="1">
        <v>45610</v>
      </c>
      <c r="B2133" s="1" t="str">
        <f>TEXT(Tabla1[[#This Row],[Fecha]],"MMMM")</f>
        <v>noviembre</v>
      </c>
      <c r="C2133" t="s">
        <v>2143</v>
      </c>
      <c r="D2133" t="s">
        <v>5027</v>
      </c>
      <c r="E2133" t="s">
        <v>5033</v>
      </c>
      <c r="F2133" t="s">
        <v>5036</v>
      </c>
      <c r="G2133" s="3">
        <v>8026.86</v>
      </c>
      <c r="H2133" s="3">
        <v>1043.49</v>
      </c>
      <c r="I2133" s="3">
        <f>SUM(Tabla1[[#This Row],[Monto_Base]],H2133)</f>
        <v>9070.35</v>
      </c>
      <c r="J2133" t="s">
        <v>5045</v>
      </c>
      <c r="K2133" t="s">
        <v>5047</v>
      </c>
      <c r="L2133" t="s">
        <v>5052</v>
      </c>
      <c r="M2133" t="s">
        <v>5055</v>
      </c>
    </row>
    <row r="2134" spans="1:13" x14ac:dyDescent="0.3">
      <c r="A2134" s="1">
        <v>45402</v>
      </c>
      <c r="B2134" s="1" t="str">
        <f>TEXT(Tabla1[[#This Row],[Fecha]],"MMMM")</f>
        <v>abril</v>
      </c>
      <c r="C2134" t="s">
        <v>2144</v>
      </c>
      <c r="D2134" t="s">
        <v>5016</v>
      </c>
      <c r="E2134" t="s">
        <v>5032</v>
      </c>
      <c r="F2134" t="s">
        <v>5036</v>
      </c>
      <c r="G2134" s="3">
        <v>10328.76</v>
      </c>
      <c r="H2134" s="3">
        <v>0</v>
      </c>
      <c r="I2134" s="3">
        <f>SUM(Tabla1[[#This Row],[Monto_Base]],H2134)</f>
        <v>10328.76</v>
      </c>
      <c r="J2134" t="s">
        <v>5045</v>
      </c>
      <c r="K2134" t="s">
        <v>5048</v>
      </c>
      <c r="L2134" t="s">
        <v>5053</v>
      </c>
      <c r="M2134" t="s">
        <v>5054</v>
      </c>
    </row>
    <row r="2135" spans="1:13" x14ac:dyDescent="0.3">
      <c r="A2135" s="1">
        <v>45369</v>
      </c>
      <c r="B2135" s="1" t="str">
        <f>TEXT(Tabla1[[#This Row],[Fecha]],"MMMM")</f>
        <v>marzo</v>
      </c>
      <c r="C2135" t="s">
        <v>2145</v>
      </c>
      <c r="D2135" t="s">
        <v>5025</v>
      </c>
      <c r="E2135" t="s">
        <v>5033</v>
      </c>
      <c r="F2135" t="s">
        <v>5035</v>
      </c>
      <c r="G2135" s="3">
        <v>14017.04</v>
      </c>
      <c r="H2135" s="3">
        <v>1822.22</v>
      </c>
      <c r="I2135" s="3">
        <f>SUM(Tabla1[[#This Row],[Monto_Base]],H2135)</f>
        <v>15839.26</v>
      </c>
      <c r="J2135" t="s">
        <v>5045</v>
      </c>
      <c r="K2135" t="s">
        <v>5047</v>
      </c>
      <c r="L2135" t="s">
        <v>5051</v>
      </c>
      <c r="M2135" t="s">
        <v>5054</v>
      </c>
    </row>
    <row r="2136" spans="1:13" x14ac:dyDescent="0.3">
      <c r="A2136" s="1">
        <v>45392</v>
      </c>
      <c r="B2136" s="1" t="str">
        <f>TEXT(Tabla1[[#This Row],[Fecha]],"MMMM")</f>
        <v>abril</v>
      </c>
      <c r="C2136" t="s">
        <v>2146</v>
      </c>
      <c r="D2136" t="s">
        <v>5019</v>
      </c>
      <c r="E2136" t="s">
        <v>5033</v>
      </c>
      <c r="F2136" t="s">
        <v>5036</v>
      </c>
      <c r="G2136" s="3">
        <v>8590.06</v>
      </c>
      <c r="H2136" s="3">
        <v>1116.71</v>
      </c>
      <c r="I2136" s="3">
        <f>SUM(Tabla1[[#This Row],[Monto_Base]],H2136)</f>
        <v>9706.77</v>
      </c>
      <c r="J2136" t="s">
        <v>5043</v>
      </c>
      <c r="K2136" t="s">
        <v>5049</v>
      </c>
      <c r="L2136" t="s">
        <v>5053</v>
      </c>
      <c r="M2136" t="s">
        <v>5054</v>
      </c>
    </row>
    <row r="2137" spans="1:13" x14ac:dyDescent="0.3">
      <c r="A2137" s="1">
        <v>45341</v>
      </c>
      <c r="B2137" s="1" t="str">
        <f>TEXT(Tabla1[[#This Row],[Fecha]],"MMMM")</f>
        <v>febrero</v>
      </c>
      <c r="C2137" t="s">
        <v>2147</v>
      </c>
      <c r="D2137" t="s">
        <v>5025</v>
      </c>
      <c r="E2137" t="s">
        <v>5032</v>
      </c>
      <c r="F2137" t="s">
        <v>5040</v>
      </c>
      <c r="G2137" s="3">
        <v>498.87</v>
      </c>
      <c r="H2137" s="3">
        <v>0</v>
      </c>
      <c r="I2137" s="3">
        <f>SUM(Tabla1[[#This Row],[Monto_Base]],H2137)</f>
        <v>498.87</v>
      </c>
      <c r="J2137" t="s">
        <v>5043</v>
      </c>
      <c r="K2137" t="s">
        <v>5047</v>
      </c>
      <c r="L2137" t="s">
        <v>5052</v>
      </c>
      <c r="M2137" t="s">
        <v>5055</v>
      </c>
    </row>
    <row r="2138" spans="1:13" x14ac:dyDescent="0.3">
      <c r="A2138" s="1">
        <v>45337</v>
      </c>
      <c r="B2138" s="1" t="str">
        <f>TEXT(Tabla1[[#This Row],[Fecha]],"MMMM")</f>
        <v>febrero</v>
      </c>
      <c r="C2138" t="s">
        <v>2148</v>
      </c>
      <c r="D2138" t="s">
        <v>5012</v>
      </c>
      <c r="E2138" t="s">
        <v>5032</v>
      </c>
      <c r="F2138" t="s">
        <v>5034</v>
      </c>
      <c r="G2138" s="3">
        <v>9249.27</v>
      </c>
      <c r="H2138" s="3">
        <v>0</v>
      </c>
      <c r="I2138" s="3">
        <f>SUM(Tabla1[[#This Row],[Monto_Base]],H2138)</f>
        <v>9249.27</v>
      </c>
      <c r="J2138" t="s">
        <v>5046</v>
      </c>
      <c r="K2138" t="s">
        <v>5047</v>
      </c>
      <c r="L2138" t="s">
        <v>5050</v>
      </c>
      <c r="M2138" t="s">
        <v>5054</v>
      </c>
    </row>
    <row r="2139" spans="1:13" x14ac:dyDescent="0.3">
      <c r="A2139" s="1">
        <v>45486</v>
      </c>
      <c r="B2139" s="1" t="str">
        <f>TEXT(Tabla1[[#This Row],[Fecha]],"MMMM")</f>
        <v>julio</v>
      </c>
      <c r="C2139" t="s">
        <v>2149</v>
      </c>
      <c r="D2139" t="s">
        <v>5013</v>
      </c>
      <c r="E2139" t="s">
        <v>5033</v>
      </c>
      <c r="F2139" t="s">
        <v>5034</v>
      </c>
      <c r="G2139" s="3">
        <v>8131.01</v>
      </c>
      <c r="H2139" s="3">
        <v>1057.03</v>
      </c>
      <c r="I2139" s="3">
        <f>SUM(Tabla1[[#This Row],[Monto_Base]],H2139)</f>
        <v>9188.0400000000009</v>
      </c>
      <c r="J2139" t="s">
        <v>5042</v>
      </c>
      <c r="K2139" t="s">
        <v>5047</v>
      </c>
      <c r="L2139" t="s">
        <v>5050</v>
      </c>
      <c r="M2139" t="s">
        <v>5054</v>
      </c>
    </row>
    <row r="2140" spans="1:13" x14ac:dyDescent="0.3">
      <c r="A2140" s="1">
        <v>45421</v>
      </c>
      <c r="B2140" s="1" t="str">
        <f>TEXT(Tabla1[[#This Row],[Fecha]],"MMMM")</f>
        <v>mayo</v>
      </c>
      <c r="C2140" t="s">
        <v>2150</v>
      </c>
      <c r="D2140" t="s">
        <v>5025</v>
      </c>
      <c r="E2140" t="s">
        <v>5033</v>
      </c>
      <c r="F2140" t="s">
        <v>5039</v>
      </c>
      <c r="G2140" s="3">
        <v>1843.26</v>
      </c>
      <c r="H2140" s="3">
        <v>239.62</v>
      </c>
      <c r="I2140" s="3">
        <f>SUM(Tabla1[[#This Row],[Monto_Base]],H2140)</f>
        <v>2082.88</v>
      </c>
      <c r="J2140" t="s">
        <v>5044</v>
      </c>
      <c r="K2140" t="s">
        <v>5049</v>
      </c>
      <c r="L2140" t="s">
        <v>5051</v>
      </c>
      <c r="M2140" t="s">
        <v>5055</v>
      </c>
    </row>
    <row r="2141" spans="1:13" x14ac:dyDescent="0.3">
      <c r="A2141" s="1">
        <v>45327</v>
      </c>
      <c r="B2141" s="1" t="str">
        <f>TEXT(Tabla1[[#This Row],[Fecha]],"MMMM")</f>
        <v>febrero</v>
      </c>
      <c r="C2141" t="s">
        <v>2151</v>
      </c>
      <c r="D2141" t="s">
        <v>5018</v>
      </c>
      <c r="E2141" t="s">
        <v>5033</v>
      </c>
      <c r="F2141" t="s">
        <v>5039</v>
      </c>
      <c r="G2141" s="3">
        <v>8230.01</v>
      </c>
      <c r="H2141" s="3">
        <v>1069.9000000000001</v>
      </c>
      <c r="I2141" s="3">
        <f>SUM(Tabla1[[#This Row],[Monto_Base]],H2141)</f>
        <v>9299.91</v>
      </c>
      <c r="J2141" t="s">
        <v>5043</v>
      </c>
      <c r="K2141" t="s">
        <v>5047</v>
      </c>
      <c r="L2141" t="s">
        <v>5050</v>
      </c>
      <c r="M2141" t="s">
        <v>5055</v>
      </c>
    </row>
    <row r="2142" spans="1:13" x14ac:dyDescent="0.3">
      <c r="A2142" s="1">
        <v>45366</v>
      </c>
      <c r="B2142" s="1" t="str">
        <f>TEXT(Tabla1[[#This Row],[Fecha]],"MMMM")</f>
        <v>marzo</v>
      </c>
      <c r="C2142" t="s">
        <v>2152</v>
      </c>
      <c r="D2142" t="s">
        <v>5024</v>
      </c>
      <c r="E2142" t="s">
        <v>5032</v>
      </c>
      <c r="F2142" t="s">
        <v>5035</v>
      </c>
      <c r="G2142" s="3">
        <v>14749.59</v>
      </c>
      <c r="H2142" s="3">
        <v>0</v>
      </c>
      <c r="I2142" s="3">
        <f>SUM(Tabla1[[#This Row],[Monto_Base]],H2142)</f>
        <v>14749.59</v>
      </c>
      <c r="J2142" t="s">
        <v>5046</v>
      </c>
      <c r="K2142" t="s">
        <v>5048</v>
      </c>
      <c r="L2142" t="s">
        <v>5051</v>
      </c>
      <c r="M2142" t="s">
        <v>5054</v>
      </c>
    </row>
    <row r="2143" spans="1:13" x14ac:dyDescent="0.3">
      <c r="A2143" s="1">
        <v>45299</v>
      </c>
      <c r="B2143" s="1" t="str">
        <f>TEXT(Tabla1[[#This Row],[Fecha]],"MMMM")</f>
        <v>enero</v>
      </c>
      <c r="C2143" t="s">
        <v>2153</v>
      </c>
      <c r="D2143" t="s">
        <v>5015</v>
      </c>
      <c r="E2143" t="s">
        <v>5033</v>
      </c>
      <c r="F2143" t="s">
        <v>5036</v>
      </c>
      <c r="G2143" s="3">
        <v>9736.7900000000009</v>
      </c>
      <c r="H2143" s="3">
        <v>1265.78</v>
      </c>
      <c r="I2143" s="3">
        <f>SUM(Tabla1[[#This Row],[Monto_Base]],H2143)</f>
        <v>11002.570000000002</v>
      </c>
      <c r="J2143" t="s">
        <v>5046</v>
      </c>
      <c r="K2143" t="s">
        <v>5048</v>
      </c>
      <c r="L2143" t="s">
        <v>5052</v>
      </c>
      <c r="M2143" t="s">
        <v>5054</v>
      </c>
    </row>
    <row r="2144" spans="1:13" x14ac:dyDescent="0.3">
      <c r="A2144" s="1">
        <v>45448</v>
      </c>
      <c r="B2144" s="1" t="str">
        <f>TEXT(Tabla1[[#This Row],[Fecha]],"MMMM")</f>
        <v>junio</v>
      </c>
      <c r="C2144" t="s">
        <v>2154</v>
      </c>
      <c r="D2144" t="s">
        <v>5030</v>
      </c>
      <c r="E2144" t="s">
        <v>5033</v>
      </c>
      <c r="F2144" t="s">
        <v>5035</v>
      </c>
      <c r="G2144" s="3">
        <v>8770.9500000000007</v>
      </c>
      <c r="H2144" s="3">
        <v>1140.22</v>
      </c>
      <c r="I2144" s="3">
        <f>SUM(Tabla1[[#This Row],[Monto_Base]],H2144)</f>
        <v>9911.17</v>
      </c>
      <c r="J2144" t="s">
        <v>5043</v>
      </c>
      <c r="K2144" t="s">
        <v>5048</v>
      </c>
      <c r="L2144" t="s">
        <v>5052</v>
      </c>
      <c r="M2144" t="s">
        <v>5055</v>
      </c>
    </row>
    <row r="2145" spans="1:13" x14ac:dyDescent="0.3">
      <c r="A2145" s="1">
        <v>45472</v>
      </c>
      <c r="B2145" s="1" t="str">
        <f>TEXT(Tabla1[[#This Row],[Fecha]],"MMMM")</f>
        <v>junio</v>
      </c>
      <c r="C2145" t="s">
        <v>2155</v>
      </c>
      <c r="D2145" t="s">
        <v>5017</v>
      </c>
      <c r="E2145" t="s">
        <v>5033</v>
      </c>
      <c r="F2145" t="s">
        <v>5037</v>
      </c>
      <c r="G2145" s="3">
        <v>9641.2099999999991</v>
      </c>
      <c r="H2145" s="3">
        <v>1253.3599999999999</v>
      </c>
      <c r="I2145" s="3">
        <f>SUM(Tabla1[[#This Row],[Monto_Base]],H2145)</f>
        <v>10894.57</v>
      </c>
      <c r="J2145" t="s">
        <v>5044</v>
      </c>
      <c r="K2145" t="s">
        <v>5047</v>
      </c>
      <c r="L2145" t="s">
        <v>5052</v>
      </c>
      <c r="M2145" t="s">
        <v>5054</v>
      </c>
    </row>
    <row r="2146" spans="1:13" x14ac:dyDescent="0.3">
      <c r="A2146" s="1">
        <v>45445</v>
      </c>
      <c r="B2146" s="1" t="str">
        <f>TEXT(Tabla1[[#This Row],[Fecha]],"MMMM")</f>
        <v>junio</v>
      </c>
      <c r="C2146" t="s">
        <v>2156</v>
      </c>
      <c r="D2146" t="s">
        <v>5019</v>
      </c>
      <c r="E2146" t="s">
        <v>5033</v>
      </c>
      <c r="F2146" t="s">
        <v>5041</v>
      </c>
      <c r="G2146" s="3">
        <v>9060.0300000000007</v>
      </c>
      <c r="H2146" s="3">
        <v>1177.8</v>
      </c>
      <c r="I2146" s="3">
        <f>SUM(Tabla1[[#This Row],[Monto_Base]],H2146)</f>
        <v>10237.83</v>
      </c>
      <c r="J2146" t="s">
        <v>5042</v>
      </c>
      <c r="K2146" t="s">
        <v>5047</v>
      </c>
      <c r="L2146" t="s">
        <v>5052</v>
      </c>
      <c r="M2146" t="s">
        <v>5055</v>
      </c>
    </row>
    <row r="2147" spans="1:13" x14ac:dyDescent="0.3">
      <c r="A2147" s="1">
        <v>45359</v>
      </c>
      <c r="B2147" s="1" t="str">
        <f>TEXT(Tabla1[[#This Row],[Fecha]],"MMMM")</f>
        <v>marzo</v>
      </c>
      <c r="C2147" t="s">
        <v>2157</v>
      </c>
      <c r="D2147" t="s">
        <v>5020</v>
      </c>
      <c r="E2147" t="s">
        <v>5032</v>
      </c>
      <c r="F2147" t="s">
        <v>5036</v>
      </c>
      <c r="G2147" s="3">
        <v>5764.86</v>
      </c>
      <c r="H2147" s="3">
        <v>0</v>
      </c>
      <c r="I2147" s="3">
        <f>SUM(Tabla1[[#This Row],[Monto_Base]],H2147)</f>
        <v>5764.86</v>
      </c>
      <c r="J2147" t="s">
        <v>5045</v>
      </c>
      <c r="K2147" t="s">
        <v>5047</v>
      </c>
      <c r="L2147" t="s">
        <v>5053</v>
      </c>
      <c r="M2147" t="s">
        <v>5055</v>
      </c>
    </row>
    <row r="2148" spans="1:13" x14ac:dyDescent="0.3">
      <c r="A2148" s="1">
        <v>45651</v>
      </c>
      <c r="B2148" s="1" t="str">
        <f>TEXT(Tabla1[[#This Row],[Fecha]],"MMMM")</f>
        <v>diciembre</v>
      </c>
      <c r="C2148" t="s">
        <v>2158</v>
      </c>
      <c r="D2148" t="s">
        <v>5026</v>
      </c>
      <c r="E2148" t="s">
        <v>5032</v>
      </c>
      <c r="F2148" t="s">
        <v>5037</v>
      </c>
      <c r="G2148" s="3">
        <v>14900.85</v>
      </c>
      <c r="H2148" s="3">
        <v>0</v>
      </c>
      <c r="I2148" s="3">
        <f>SUM(Tabla1[[#This Row],[Monto_Base]],H2148)</f>
        <v>14900.85</v>
      </c>
      <c r="J2148" t="s">
        <v>5044</v>
      </c>
      <c r="K2148" t="s">
        <v>5049</v>
      </c>
      <c r="L2148" t="s">
        <v>5050</v>
      </c>
      <c r="M2148" t="s">
        <v>5055</v>
      </c>
    </row>
    <row r="2149" spans="1:13" x14ac:dyDescent="0.3">
      <c r="A2149" s="1">
        <v>45529</v>
      </c>
      <c r="B2149" s="1" t="str">
        <f>TEXT(Tabla1[[#This Row],[Fecha]],"MMMM")</f>
        <v>agosto</v>
      </c>
      <c r="C2149" t="s">
        <v>2159</v>
      </c>
      <c r="D2149" t="s">
        <v>5016</v>
      </c>
      <c r="E2149" t="s">
        <v>5032</v>
      </c>
      <c r="F2149" t="s">
        <v>5037</v>
      </c>
      <c r="G2149" s="3">
        <v>1947.18</v>
      </c>
      <c r="H2149" s="3">
        <v>0</v>
      </c>
      <c r="I2149" s="3">
        <f>SUM(Tabla1[[#This Row],[Monto_Base]],H2149)</f>
        <v>1947.18</v>
      </c>
      <c r="J2149" t="s">
        <v>5043</v>
      </c>
      <c r="K2149" t="s">
        <v>5047</v>
      </c>
      <c r="L2149" t="s">
        <v>5053</v>
      </c>
      <c r="M2149" t="s">
        <v>5055</v>
      </c>
    </row>
    <row r="2150" spans="1:13" x14ac:dyDescent="0.3">
      <c r="A2150" s="1">
        <v>45410</v>
      </c>
      <c r="B2150" s="1" t="str">
        <f>TEXT(Tabla1[[#This Row],[Fecha]],"MMMM")</f>
        <v>abril</v>
      </c>
      <c r="C2150" t="s">
        <v>2160</v>
      </c>
      <c r="D2150" t="s">
        <v>5025</v>
      </c>
      <c r="E2150" t="s">
        <v>5032</v>
      </c>
      <c r="F2150" t="s">
        <v>5035</v>
      </c>
      <c r="G2150" s="3">
        <v>7692.02</v>
      </c>
      <c r="H2150" s="3">
        <v>0</v>
      </c>
      <c r="I2150" s="3">
        <f>SUM(Tabla1[[#This Row],[Monto_Base]],H2150)</f>
        <v>7692.02</v>
      </c>
      <c r="J2150" t="s">
        <v>5043</v>
      </c>
      <c r="K2150" t="s">
        <v>5049</v>
      </c>
      <c r="L2150" t="s">
        <v>5053</v>
      </c>
      <c r="M2150" t="s">
        <v>5054</v>
      </c>
    </row>
    <row r="2151" spans="1:13" x14ac:dyDescent="0.3">
      <c r="A2151" s="1">
        <v>45445</v>
      </c>
      <c r="B2151" s="1" t="str">
        <f>TEXT(Tabla1[[#This Row],[Fecha]],"MMMM")</f>
        <v>junio</v>
      </c>
      <c r="C2151" t="s">
        <v>2161</v>
      </c>
      <c r="D2151" t="s">
        <v>5018</v>
      </c>
      <c r="E2151" t="s">
        <v>5032</v>
      </c>
      <c r="F2151" t="s">
        <v>5039</v>
      </c>
      <c r="G2151" s="3">
        <v>1332.02</v>
      </c>
      <c r="H2151" s="3">
        <v>0</v>
      </c>
      <c r="I2151" s="3">
        <f>SUM(Tabla1[[#This Row],[Monto_Base]],H2151)</f>
        <v>1332.02</v>
      </c>
      <c r="J2151" t="s">
        <v>5045</v>
      </c>
      <c r="K2151" t="s">
        <v>5047</v>
      </c>
      <c r="L2151" t="s">
        <v>5050</v>
      </c>
      <c r="M2151" t="s">
        <v>5054</v>
      </c>
    </row>
    <row r="2152" spans="1:13" x14ac:dyDescent="0.3">
      <c r="A2152" s="1">
        <v>45409</v>
      </c>
      <c r="B2152" s="1" t="str">
        <f>TEXT(Tabla1[[#This Row],[Fecha]],"MMMM")</f>
        <v>abril</v>
      </c>
      <c r="C2152" t="s">
        <v>2162</v>
      </c>
      <c r="D2152" t="s">
        <v>5014</v>
      </c>
      <c r="E2152" t="s">
        <v>5033</v>
      </c>
      <c r="F2152" t="s">
        <v>5034</v>
      </c>
      <c r="G2152" s="3">
        <v>11792.07</v>
      </c>
      <c r="H2152" s="3">
        <v>1532.97</v>
      </c>
      <c r="I2152" s="3">
        <f>SUM(Tabla1[[#This Row],[Monto_Base]],H2152)</f>
        <v>13325.039999999999</v>
      </c>
      <c r="J2152" t="s">
        <v>5044</v>
      </c>
      <c r="K2152" t="s">
        <v>5049</v>
      </c>
      <c r="L2152" t="s">
        <v>5051</v>
      </c>
      <c r="M2152" t="s">
        <v>5055</v>
      </c>
    </row>
    <row r="2153" spans="1:13" x14ac:dyDescent="0.3">
      <c r="A2153" s="1">
        <v>45585</v>
      </c>
      <c r="B2153" s="1" t="str">
        <f>TEXT(Tabla1[[#This Row],[Fecha]],"MMMM")</f>
        <v>octubre</v>
      </c>
      <c r="C2153" t="s">
        <v>2163</v>
      </c>
      <c r="D2153" t="s">
        <v>5025</v>
      </c>
      <c r="E2153" t="s">
        <v>5033</v>
      </c>
      <c r="F2153" t="s">
        <v>5039</v>
      </c>
      <c r="G2153" s="3">
        <v>1803.16</v>
      </c>
      <c r="H2153" s="3">
        <v>234.41</v>
      </c>
      <c r="I2153" s="3">
        <f>SUM(Tabla1[[#This Row],[Monto_Base]],H2153)</f>
        <v>2037.5700000000002</v>
      </c>
      <c r="J2153" t="s">
        <v>5042</v>
      </c>
      <c r="K2153" t="s">
        <v>5048</v>
      </c>
      <c r="L2153" t="s">
        <v>5051</v>
      </c>
      <c r="M2153" t="s">
        <v>5055</v>
      </c>
    </row>
    <row r="2154" spans="1:13" x14ac:dyDescent="0.3">
      <c r="A2154" s="1">
        <v>45377</v>
      </c>
      <c r="B2154" s="1" t="str">
        <f>TEXT(Tabla1[[#This Row],[Fecha]],"MMMM")</f>
        <v>marzo</v>
      </c>
      <c r="C2154" t="s">
        <v>2164</v>
      </c>
      <c r="D2154" t="s">
        <v>5028</v>
      </c>
      <c r="E2154" t="s">
        <v>5033</v>
      </c>
      <c r="F2154" t="s">
        <v>5035</v>
      </c>
      <c r="G2154" s="3">
        <v>2564.1799999999998</v>
      </c>
      <c r="H2154" s="3">
        <v>333.34</v>
      </c>
      <c r="I2154" s="3">
        <f>SUM(Tabla1[[#This Row],[Monto_Base]],H2154)</f>
        <v>2897.52</v>
      </c>
      <c r="J2154" t="s">
        <v>5046</v>
      </c>
      <c r="K2154" t="s">
        <v>5049</v>
      </c>
      <c r="L2154" t="s">
        <v>5050</v>
      </c>
      <c r="M2154" t="s">
        <v>5054</v>
      </c>
    </row>
    <row r="2155" spans="1:13" x14ac:dyDescent="0.3">
      <c r="A2155" s="1">
        <v>45403</v>
      </c>
      <c r="B2155" s="1" t="str">
        <f>TEXT(Tabla1[[#This Row],[Fecha]],"MMMM")</f>
        <v>abril</v>
      </c>
      <c r="C2155" t="s">
        <v>2165</v>
      </c>
      <c r="D2155" t="s">
        <v>5015</v>
      </c>
      <c r="E2155" t="s">
        <v>5032</v>
      </c>
      <c r="F2155" t="s">
        <v>5035</v>
      </c>
      <c r="G2155" s="3">
        <v>13185.81</v>
      </c>
      <c r="H2155" s="3">
        <v>0</v>
      </c>
      <c r="I2155" s="3">
        <f>SUM(Tabla1[[#This Row],[Monto_Base]],H2155)</f>
        <v>13185.81</v>
      </c>
      <c r="J2155" t="s">
        <v>5045</v>
      </c>
      <c r="K2155" t="s">
        <v>5047</v>
      </c>
      <c r="L2155" t="s">
        <v>5053</v>
      </c>
      <c r="M2155" t="s">
        <v>5054</v>
      </c>
    </row>
    <row r="2156" spans="1:13" x14ac:dyDescent="0.3">
      <c r="A2156" s="1">
        <v>45595</v>
      </c>
      <c r="B2156" s="1" t="str">
        <f>TEXT(Tabla1[[#This Row],[Fecha]],"MMMM")</f>
        <v>octubre</v>
      </c>
      <c r="C2156" t="s">
        <v>2166</v>
      </c>
      <c r="D2156" t="s">
        <v>5024</v>
      </c>
      <c r="E2156" t="s">
        <v>5032</v>
      </c>
      <c r="F2156" t="s">
        <v>5037</v>
      </c>
      <c r="G2156" s="3">
        <v>6828.88</v>
      </c>
      <c r="H2156" s="3">
        <v>0</v>
      </c>
      <c r="I2156" s="3">
        <f>SUM(Tabla1[[#This Row],[Monto_Base]],H2156)</f>
        <v>6828.88</v>
      </c>
      <c r="J2156" t="s">
        <v>5045</v>
      </c>
      <c r="K2156" t="s">
        <v>5049</v>
      </c>
      <c r="L2156" t="s">
        <v>5053</v>
      </c>
      <c r="M2156" t="s">
        <v>5054</v>
      </c>
    </row>
    <row r="2157" spans="1:13" x14ac:dyDescent="0.3">
      <c r="A2157" s="1">
        <v>45293</v>
      </c>
      <c r="B2157" s="1" t="str">
        <f>TEXT(Tabla1[[#This Row],[Fecha]],"MMMM")</f>
        <v>enero</v>
      </c>
      <c r="C2157" t="s">
        <v>2167</v>
      </c>
      <c r="D2157" t="s">
        <v>5013</v>
      </c>
      <c r="E2157" t="s">
        <v>5032</v>
      </c>
      <c r="F2157" t="s">
        <v>5036</v>
      </c>
      <c r="G2157" s="3">
        <v>6122.6</v>
      </c>
      <c r="H2157" s="3">
        <v>0</v>
      </c>
      <c r="I2157" s="3">
        <f>SUM(Tabla1[[#This Row],[Monto_Base]],H2157)</f>
        <v>6122.6</v>
      </c>
      <c r="J2157" t="s">
        <v>5045</v>
      </c>
      <c r="K2157" t="s">
        <v>5049</v>
      </c>
      <c r="L2157" t="s">
        <v>5053</v>
      </c>
      <c r="M2157" t="s">
        <v>5055</v>
      </c>
    </row>
    <row r="2158" spans="1:13" x14ac:dyDescent="0.3">
      <c r="A2158" s="1">
        <v>45525</v>
      </c>
      <c r="B2158" s="1" t="str">
        <f>TEXT(Tabla1[[#This Row],[Fecha]],"MMMM")</f>
        <v>agosto</v>
      </c>
      <c r="C2158" t="s">
        <v>2168</v>
      </c>
      <c r="D2158" t="s">
        <v>5017</v>
      </c>
      <c r="E2158" t="s">
        <v>5033</v>
      </c>
      <c r="F2158" t="s">
        <v>5041</v>
      </c>
      <c r="G2158" s="3">
        <v>3063.05</v>
      </c>
      <c r="H2158" s="3">
        <v>398.2</v>
      </c>
      <c r="I2158" s="3">
        <f>SUM(Tabla1[[#This Row],[Monto_Base]],H2158)</f>
        <v>3461.25</v>
      </c>
      <c r="J2158" t="s">
        <v>5042</v>
      </c>
      <c r="K2158" t="s">
        <v>5049</v>
      </c>
      <c r="L2158" t="s">
        <v>5050</v>
      </c>
      <c r="M2158" t="s">
        <v>5054</v>
      </c>
    </row>
    <row r="2159" spans="1:13" x14ac:dyDescent="0.3">
      <c r="A2159" s="1">
        <v>45334</v>
      </c>
      <c r="B2159" s="1" t="str">
        <f>TEXT(Tabla1[[#This Row],[Fecha]],"MMMM")</f>
        <v>febrero</v>
      </c>
      <c r="C2159" t="s">
        <v>2169</v>
      </c>
      <c r="D2159" t="s">
        <v>5022</v>
      </c>
      <c r="E2159" t="s">
        <v>5032</v>
      </c>
      <c r="F2159" t="s">
        <v>5038</v>
      </c>
      <c r="G2159" s="3">
        <v>8172.73</v>
      </c>
      <c r="H2159" s="3">
        <v>0</v>
      </c>
      <c r="I2159" s="3">
        <f>SUM(Tabla1[[#This Row],[Monto_Base]],H2159)</f>
        <v>8172.73</v>
      </c>
      <c r="J2159" t="s">
        <v>5042</v>
      </c>
      <c r="K2159" t="s">
        <v>5048</v>
      </c>
      <c r="L2159" t="s">
        <v>5050</v>
      </c>
      <c r="M2159" t="s">
        <v>5055</v>
      </c>
    </row>
    <row r="2160" spans="1:13" x14ac:dyDescent="0.3">
      <c r="A2160" s="1">
        <v>45597</v>
      </c>
      <c r="B2160" s="1" t="str">
        <f>TEXT(Tabla1[[#This Row],[Fecha]],"MMMM")</f>
        <v>noviembre</v>
      </c>
      <c r="C2160" t="s">
        <v>2170</v>
      </c>
      <c r="D2160" t="s">
        <v>5024</v>
      </c>
      <c r="E2160" t="s">
        <v>5033</v>
      </c>
      <c r="F2160" t="s">
        <v>5035</v>
      </c>
      <c r="G2160" s="3">
        <v>394.71</v>
      </c>
      <c r="H2160" s="3">
        <v>51.31</v>
      </c>
      <c r="I2160" s="3">
        <f>SUM(Tabla1[[#This Row],[Monto_Base]],H2160)</f>
        <v>446.02</v>
      </c>
      <c r="J2160" t="s">
        <v>5042</v>
      </c>
      <c r="K2160" t="s">
        <v>5049</v>
      </c>
      <c r="L2160" t="s">
        <v>5051</v>
      </c>
      <c r="M2160" t="s">
        <v>5054</v>
      </c>
    </row>
    <row r="2161" spans="1:13" x14ac:dyDescent="0.3">
      <c r="A2161" s="1">
        <v>45417</v>
      </c>
      <c r="B2161" s="1" t="str">
        <f>TEXT(Tabla1[[#This Row],[Fecha]],"MMMM")</f>
        <v>mayo</v>
      </c>
      <c r="C2161" t="s">
        <v>2171</v>
      </c>
      <c r="D2161" t="s">
        <v>5027</v>
      </c>
      <c r="E2161" t="s">
        <v>5033</v>
      </c>
      <c r="F2161" t="s">
        <v>5036</v>
      </c>
      <c r="G2161" s="3">
        <v>10859.04</v>
      </c>
      <c r="H2161" s="3">
        <v>1411.68</v>
      </c>
      <c r="I2161" s="3">
        <f>SUM(Tabla1[[#This Row],[Monto_Base]],H2161)</f>
        <v>12270.720000000001</v>
      </c>
      <c r="J2161" t="s">
        <v>5043</v>
      </c>
      <c r="K2161" t="s">
        <v>5047</v>
      </c>
      <c r="L2161" t="s">
        <v>5053</v>
      </c>
      <c r="M2161" t="s">
        <v>5054</v>
      </c>
    </row>
    <row r="2162" spans="1:13" x14ac:dyDescent="0.3">
      <c r="A2162" s="1">
        <v>45364</v>
      </c>
      <c r="B2162" s="1" t="str">
        <f>TEXT(Tabla1[[#This Row],[Fecha]],"MMMM")</f>
        <v>marzo</v>
      </c>
      <c r="C2162" t="s">
        <v>2172</v>
      </c>
      <c r="D2162" t="s">
        <v>5030</v>
      </c>
      <c r="E2162" t="s">
        <v>5032</v>
      </c>
      <c r="F2162" t="s">
        <v>5038</v>
      </c>
      <c r="G2162" s="3">
        <v>4979.41</v>
      </c>
      <c r="H2162" s="3">
        <v>0</v>
      </c>
      <c r="I2162" s="3">
        <f>SUM(Tabla1[[#This Row],[Monto_Base]],H2162)</f>
        <v>4979.41</v>
      </c>
      <c r="J2162" t="s">
        <v>5042</v>
      </c>
      <c r="K2162" t="s">
        <v>5048</v>
      </c>
      <c r="L2162" t="s">
        <v>5052</v>
      </c>
      <c r="M2162" t="s">
        <v>5054</v>
      </c>
    </row>
    <row r="2163" spans="1:13" x14ac:dyDescent="0.3">
      <c r="A2163" s="1">
        <v>45457</v>
      </c>
      <c r="B2163" s="1" t="str">
        <f>TEXT(Tabla1[[#This Row],[Fecha]],"MMMM")</f>
        <v>junio</v>
      </c>
      <c r="C2163" t="s">
        <v>2173</v>
      </c>
      <c r="D2163" t="s">
        <v>5021</v>
      </c>
      <c r="E2163" t="s">
        <v>5033</v>
      </c>
      <c r="F2163" t="s">
        <v>5036</v>
      </c>
      <c r="G2163" s="3">
        <v>5477.13</v>
      </c>
      <c r="H2163" s="3">
        <v>712.03</v>
      </c>
      <c r="I2163" s="3">
        <f>SUM(Tabla1[[#This Row],[Monto_Base]],H2163)</f>
        <v>6189.16</v>
      </c>
      <c r="J2163" t="s">
        <v>5046</v>
      </c>
      <c r="K2163" t="s">
        <v>5048</v>
      </c>
      <c r="L2163" t="s">
        <v>5050</v>
      </c>
      <c r="M2163" t="s">
        <v>5055</v>
      </c>
    </row>
    <row r="2164" spans="1:13" x14ac:dyDescent="0.3">
      <c r="A2164" s="1">
        <v>45602</v>
      </c>
      <c r="B2164" s="1" t="str">
        <f>TEXT(Tabla1[[#This Row],[Fecha]],"MMMM")</f>
        <v>noviembre</v>
      </c>
      <c r="C2164" t="s">
        <v>2174</v>
      </c>
      <c r="D2164" t="s">
        <v>5018</v>
      </c>
      <c r="E2164" t="s">
        <v>5032</v>
      </c>
      <c r="F2164" t="s">
        <v>5037</v>
      </c>
      <c r="G2164" s="3">
        <v>14154.57</v>
      </c>
      <c r="H2164" s="3">
        <v>0</v>
      </c>
      <c r="I2164" s="3">
        <f>SUM(Tabla1[[#This Row],[Monto_Base]],H2164)</f>
        <v>14154.57</v>
      </c>
      <c r="J2164" t="s">
        <v>5042</v>
      </c>
      <c r="K2164" t="s">
        <v>5048</v>
      </c>
      <c r="L2164" t="s">
        <v>5051</v>
      </c>
      <c r="M2164" t="s">
        <v>5055</v>
      </c>
    </row>
    <row r="2165" spans="1:13" x14ac:dyDescent="0.3">
      <c r="A2165" s="1">
        <v>45340</v>
      </c>
      <c r="B2165" s="1" t="str">
        <f>TEXT(Tabla1[[#This Row],[Fecha]],"MMMM")</f>
        <v>febrero</v>
      </c>
      <c r="C2165" t="s">
        <v>2175</v>
      </c>
      <c r="D2165" t="s">
        <v>5019</v>
      </c>
      <c r="E2165" t="s">
        <v>5032</v>
      </c>
      <c r="F2165" t="s">
        <v>5039</v>
      </c>
      <c r="G2165" s="3">
        <v>10755.9</v>
      </c>
      <c r="H2165" s="3">
        <v>0</v>
      </c>
      <c r="I2165" s="3">
        <f>SUM(Tabla1[[#This Row],[Monto_Base]],H2165)</f>
        <v>10755.9</v>
      </c>
      <c r="J2165" t="s">
        <v>5045</v>
      </c>
      <c r="K2165" t="s">
        <v>5049</v>
      </c>
      <c r="L2165" t="s">
        <v>5052</v>
      </c>
      <c r="M2165" t="s">
        <v>5055</v>
      </c>
    </row>
    <row r="2166" spans="1:13" x14ac:dyDescent="0.3">
      <c r="A2166" s="1">
        <v>45626</v>
      </c>
      <c r="B2166" s="1" t="str">
        <f>TEXT(Tabla1[[#This Row],[Fecha]],"MMMM")</f>
        <v>noviembre</v>
      </c>
      <c r="C2166" t="s">
        <v>2176</v>
      </c>
      <c r="D2166" t="s">
        <v>5026</v>
      </c>
      <c r="E2166" t="s">
        <v>5033</v>
      </c>
      <c r="F2166" t="s">
        <v>5039</v>
      </c>
      <c r="G2166" s="3">
        <v>13813.73</v>
      </c>
      <c r="H2166" s="3">
        <v>1795.78</v>
      </c>
      <c r="I2166" s="3">
        <f>SUM(Tabla1[[#This Row],[Monto_Base]],H2166)</f>
        <v>15609.51</v>
      </c>
      <c r="J2166" t="s">
        <v>5046</v>
      </c>
      <c r="K2166" t="s">
        <v>5049</v>
      </c>
      <c r="L2166" t="s">
        <v>5050</v>
      </c>
      <c r="M2166" t="s">
        <v>5055</v>
      </c>
    </row>
    <row r="2167" spans="1:13" x14ac:dyDescent="0.3">
      <c r="A2167" s="1">
        <v>45469</v>
      </c>
      <c r="B2167" s="1" t="str">
        <f>TEXT(Tabla1[[#This Row],[Fecha]],"MMMM")</f>
        <v>junio</v>
      </c>
      <c r="C2167" t="s">
        <v>2177</v>
      </c>
      <c r="D2167" t="s">
        <v>5026</v>
      </c>
      <c r="E2167" t="s">
        <v>5032</v>
      </c>
      <c r="F2167" t="s">
        <v>5039</v>
      </c>
      <c r="G2167" s="3">
        <v>553.53</v>
      </c>
      <c r="H2167" s="3">
        <v>0</v>
      </c>
      <c r="I2167" s="3">
        <f>SUM(Tabla1[[#This Row],[Monto_Base]],H2167)</f>
        <v>553.53</v>
      </c>
      <c r="J2167" t="s">
        <v>5042</v>
      </c>
      <c r="K2167" t="s">
        <v>5047</v>
      </c>
      <c r="L2167" t="s">
        <v>5050</v>
      </c>
      <c r="M2167" t="s">
        <v>5055</v>
      </c>
    </row>
    <row r="2168" spans="1:13" x14ac:dyDescent="0.3">
      <c r="A2168" s="1">
        <v>45475</v>
      </c>
      <c r="B2168" s="1" t="str">
        <f>TEXT(Tabla1[[#This Row],[Fecha]],"MMMM")</f>
        <v>julio</v>
      </c>
      <c r="C2168" t="s">
        <v>2178</v>
      </c>
      <c r="D2168" t="s">
        <v>5028</v>
      </c>
      <c r="E2168" t="s">
        <v>5032</v>
      </c>
      <c r="F2168" t="s">
        <v>5034</v>
      </c>
      <c r="G2168" s="3">
        <v>11855.55</v>
      </c>
      <c r="H2168" s="3">
        <v>0</v>
      </c>
      <c r="I2168" s="3">
        <f>SUM(Tabla1[[#This Row],[Monto_Base]],H2168)</f>
        <v>11855.55</v>
      </c>
      <c r="J2168" t="s">
        <v>5046</v>
      </c>
      <c r="K2168" t="s">
        <v>5048</v>
      </c>
      <c r="L2168" t="s">
        <v>5051</v>
      </c>
      <c r="M2168" t="s">
        <v>5054</v>
      </c>
    </row>
    <row r="2169" spans="1:13" x14ac:dyDescent="0.3">
      <c r="A2169" s="1">
        <v>45336</v>
      </c>
      <c r="B2169" s="1" t="str">
        <f>TEXT(Tabla1[[#This Row],[Fecha]],"MMMM")</f>
        <v>febrero</v>
      </c>
      <c r="C2169" t="s">
        <v>2179</v>
      </c>
      <c r="D2169" t="s">
        <v>5015</v>
      </c>
      <c r="E2169" t="s">
        <v>5032</v>
      </c>
      <c r="F2169" t="s">
        <v>5035</v>
      </c>
      <c r="G2169" s="3">
        <v>175.9</v>
      </c>
      <c r="H2169" s="3">
        <v>0</v>
      </c>
      <c r="I2169" s="3">
        <f>SUM(Tabla1[[#This Row],[Monto_Base]],H2169)</f>
        <v>175.9</v>
      </c>
      <c r="J2169" t="s">
        <v>5046</v>
      </c>
      <c r="K2169" t="s">
        <v>5049</v>
      </c>
      <c r="L2169" t="s">
        <v>5053</v>
      </c>
      <c r="M2169" t="s">
        <v>5054</v>
      </c>
    </row>
    <row r="2170" spans="1:13" x14ac:dyDescent="0.3">
      <c r="A2170" s="1">
        <v>45613</v>
      </c>
      <c r="B2170" s="1" t="str">
        <f>TEXT(Tabla1[[#This Row],[Fecha]],"MMMM")</f>
        <v>noviembre</v>
      </c>
      <c r="C2170" t="s">
        <v>2180</v>
      </c>
      <c r="D2170" t="s">
        <v>5030</v>
      </c>
      <c r="E2170" t="s">
        <v>5033</v>
      </c>
      <c r="F2170" t="s">
        <v>5037</v>
      </c>
      <c r="G2170" s="3">
        <v>14077.11</v>
      </c>
      <c r="H2170" s="3">
        <v>1830.02</v>
      </c>
      <c r="I2170" s="3">
        <f>SUM(Tabla1[[#This Row],[Monto_Base]],H2170)</f>
        <v>15907.130000000001</v>
      </c>
      <c r="J2170" t="s">
        <v>5046</v>
      </c>
      <c r="K2170" t="s">
        <v>5049</v>
      </c>
      <c r="L2170" t="s">
        <v>5051</v>
      </c>
      <c r="M2170" t="s">
        <v>5055</v>
      </c>
    </row>
    <row r="2171" spans="1:13" x14ac:dyDescent="0.3">
      <c r="A2171" s="1">
        <v>45323</v>
      </c>
      <c r="B2171" s="1" t="str">
        <f>TEXT(Tabla1[[#This Row],[Fecha]],"MMMM")</f>
        <v>febrero</v>
      </c>
      <c r="C2171" t="s">
        <v>2181</v>
      </c>
      <c r="D2171" t="s">
        <v>5021</v>
      </c>
      <c r="E2171" t="s">
        <v>5032</v>
      </c>
      <c r="F2171" t="s">
        <v>5036</v>
      </c>
      <c r="G2171" s="3">
        <v>13256.37</v>
      </c>
      <c r="H2171" s="3">
        <v>0</v>
      </c>
      <c r="I2171" s="3">
        <f>SUM(Tabla1[[#This Row],[Monto_Base]],H2171)</f>
        <v>13256.37</v>
      </c>
      <c r="J2171" t="s">
        <v>5043</v>
      </c>
      <c r="K2171" t="s">
        <v>5049</v>
      </c>
      <c r="L2171" t="s">
        <v>5052</v>
      </c>
      <c r="M2171" t="s">
        <v>5054</v>
      </c>
    </row>
    <row r="2172" spans="1:13" x14ac:dyDescent="0.3">
      <c r="A2172" s="1">
        <v>45335</v>
      </c>
      <c r="B2172" s="1" t="str">
        <f>TEXT(Tabla1[[#This Row],[Fecha]],"MMMM")</f>
        <v>febrero</v>
      </c>
      <c r="C2172" t="s">
        <v>2182</v>
      </c>
      <c r="D2172" t="s">
        <v>5021</v>
      </c>
      <c r="E2172" t="s">
        <v>5032</v>
      </c>
      <c r="F2172" t="s">
        <v>5037</v>
      </c>
      <c r="G2172" s="3">
        <v>401.8</v>
      </c>
      <c r="H2172" s="3">
        <v>0</v>
      </c>
      <c r="I2172" s="3">
        <f>SUM(Tabla1[[#This Row],[Monto_Base]],H2172)</f>
        <v>401.8</v>
      </c>
      <c r="J2172" t="s">
        <v>5046</v>
      </c>
      <c r="K2172" t="s">
        <v>5049</v>
      </c>
      <c r="L2172" t="s">
        <v>5052</v>
      </c>
      <c r="M2172" t="s">
        <v>5054</v>
      </c>
    </row>
    <row r="2173" spans="1:13" x14ac:dyDescent="0.3">
      <c r="A2173" s="1">
        <v>45381</v>
      </c>
      <c r="B2173" s="1" t="str">
        <f>TEXT(Tabla1[[#This Row],[Fecha]],"MMMM")</f>
        <v>marzo</v>
      </c>
      <c r="C2173" t="s">
        <v>2183</v>
      </c>
      <c r="D2173" t="s">
        <v>5030</v>
      </c>
      <c r="E2173" t="s">
        <v>5033</v>
      </c>
      <c r="F2173" t="s">
        <v>5036</v>
      </c>
      <c r="G2173" s="3">
        <v>10864.92</v>
      </c>
      <c r="H2173" s="3">
        <v>1412.44</v>
      </c>
      <c r="I2173" s="3">
        <f>SUM(Tabla1[[#This Row],[Monto_Base]],H2173)</f>
        <v>12277.36</v>
      </c>
      <c r="J2173" t="s">
        <v>5046</v>
      </c>
      <c r="K2173" t="s">
        <v>5047</v>
      </c>
      <c r="L2173" t="s">
        <v>5050</v>
      </c>
      <c r="M2173" t="s">
        <v>5054</v>
      </c>
    </row>
    <row r="2174" spans="1:13" x14ac:dyDescent="0.3">
      <c r="A2174" s="1">
        <v>45427</v>
      </c>
      <c r="B2174" s="1" t="str">
        <f>TEXT(Tabla1[[#This Row],[Fecha]],"MMMM")</f>
        <v>mayo</v>
      </c>
      <c r="C2174" t="s">
        <v>2184</v>
      </c>
      <c r="D2174" t="s">
        <v>5030</v>
      </c>
      <c r="E2174" t="s">
        <v>5033</v>
      </c>
      <c r="F2174" t="s">
        <v>5035</v>
      </c>
      <c r="G2174" s="3">
        <v>9840.2199999999993</v>
      </c>
      <c r="H2174" s="3">
        <v>1279.23</v>
      </c>
      <c r="I2174" s="3">
        <f>SUM(Tabla1[[#This Row],[Monto_Base]],H2174)</f>
        <v>11119.449999999999</v>
      </c>
      <c r="J2174" t="s">
        <v>5042</v>
      </c>
      <c r="K2174" t="s">
        <v>5049</v>
      </c>
      <c r="L2174" t="s">
        <v>5051</v>
      </c>
      <c r="M2174" t="s">
        <v>5054</v>
      </c>
    </row>
    <row r="2175" spans="1:13" x14ac:dyDescent="0.3">
      <c r="A2175" s="1">
        <v>45424</v>
      </c>
      <c r="B2175" s="1" t="str">
        <f>TEXT(Tabla1[[#This Row],[Fecha]],"MMMM")</f>
        <v>mayo</v>
      </c>
      <c r="C2175" t="s">
        <v>2185</v>
      </c>
      <c r="D2175" t="s">
        <v>5019</v>
      </c>
      <c r="E2175" t="s">
        <v>5032</v>
      </c>
      <c r="F2175" t="s">
        <v>5040</v>
      </c>
      <c r="G2175" s="3">
        <v>3404.61</v>
      </c>
      <c r="H2175" s="3">
        <v>0</v>
      </c>
      <c r="I2175" s="3">
        <f>SUM(Tabla1[[#This Row],[Monto_Base]],H2175)</f>
        <v>3404.61</v>
      </c>
      <c r="J2175" t="s">
        <v>5044</v>
      </c>
      <c r="K2175" t="s">
        <v>5048</v>
      </c>
      <c r="L2175" t="s">
        <v>5053</v>
      </c>
      <c r="M2175" t="s">
        <v>5055</v>
      </c>
    </row>
    <row r="2176" spans="1:13" x14ac:dyDescent="0.3">
      <c r="A2176" s="1">
        <v>45616</v>
      </c>
      <c r="B2176" s="1" t="str">
        <f>TEXT(Tabla1[[#This Row],[Fecha]],"MMMM")</f>
        <v>noviembre</v>
      </c>
      <c r="C2176" t="s">
        <v>2186</v>
      </c>
      <c r="D2176" t="s">
        <v>5026</v>
      </c>
      <c r="E2176" t="s">
        <v>5032</v>
      </c>
      <c r="F2176" t="s">
        <v>5037</v>
      </c>
      <c r="G2176" s="3">
        <v>14814.26</v>
      </c>
      <c r="H2176" s="3">
        <v>0</v>
      </c>
      <c r="I2176" s="3">
        <f>SUM(Tabla1[[#This Row],[Monto_Base]],H2176)</f>
        <v>14814.26</v>
      </c>
      <c r="J2176" t="s">
        <v>5044</v>
      </c>
      <c r="K2176" t="s">
        <v>5048</v>
      </c>
      <c r="L2176" t="s">
        <v>5053</v>
      </c>
      <c r="M2176" t="s">
        <v>5054</v>
      </c>
    </row>
    <row r="2177" spans="1:13" x14ac:dyDescent="0.3">
      <c r="A2177" s="1">
        <v>45612</v>
      </c>
      <c r="B2177" s="1" t="str">
        <f>TEXT(Tabla1[[#This Row],[Fecha]],"MMMM")</f>
        <v>noviembre</v>
      </c>
      <c r="C2177" t="s">
        <v>2187</v>
      </c>
      <c r="D2177" t="s">
        <v>5015</v>
      </c>
      <c r="E2177" t="s">
        <v>5033</v>
      </c>
      <c r="F2177" t="s">
        <v>5035</v>
      </c>
      <c r="G2177" s="3">
        <v>5520.97</v>
      </c>
      <c r="H2177" s="3">
        <v>717.73</v>
      </c>
      <c r="I2177" s="3">
        <f>SUM(Tabla1[[#This Row],[Monto_Base]],H2177)</f>
        <v>6238.7000000000007</v>
      </c>
      <c r="J2177" t="s">
        <v>5046</v>
      </c>
      <c r="K2177" t="s">
        <v>5049</v>
      </c>
      <c r="L2177" t="s">
        <v>5051</v>
      </c>
      <c r="M2177" t="s">
        <v>5055</v>
      </c>
    </row>
    <row r="2178" spans="1:13" x14ac:dyDescent="0.3">
      <c r="A2178" s="1">
        <v>45507</v>
      </c>
      <c r="B2178" s="1" t="str">
        <f>TEXT(Tabla1[[#This Row],[Fecha]],"MMMM")</f>
        <v>agosto</v>
      </c>
      <c r="C2178" t="s">
        <v>2188</v>
      </c>
      <c r="D2178" t="s">
        <v>5021</v>
      </c>
      <c r="E2178" t="s">
        <v>5033</v>
      </c>
      <c r="F2178" t="s">
        <v>5040</v>
      </c>
      <c r="G2178" s="3">
        <v>8397.1</v>
      </c>
      <c r="H2178" s="3">
        <v>1091.6199999999999</v>
      </c>
      <c r="I2178" s="3">
        <f>SUM(Tabla1[[#This Row],[Monto_Base]],H2178)</f>
        <v>9488.7200000000012</v>
      </c>
      <c r="J2178" t="s">
        <v>5045</v>
      </c>
      <c r="K2178" t="s">
        <v>5048</v>
      </c>
      <c r="L2178" t="s">
        <v>5050</v>
      </c>
      <c r="M2178" t="s">
        <v>5054</v>
      </c>
    </row>
    <row r="2179" spans="1:13" x14ac:dyDescent="0.3">
      <c r="A2179" s="1">
        <v>45634</v>
      </c>
      <c r="B2179" s="1" t="str">
        <f>TEXT(Tabla1[[#This Row],[Fecha]],"MMMM")</f>
        <v>diciembre</v>
      </c>
      <c r="C2179" t="s">
        <v>2189</v>
      </c>
      <c r="D2179" t="s">
        <v>5015</v>
      </c>
      <c r="E2179" t="s">
        <v>5033</v>
      </c>
      <c r="F2179" t="s">
        <v>5039</v>
      </c>
      <c r="G2179" s="3">
        <v>12399.45</v>
      </c>
      <c r="H2179" s="3">
        <v>1611.93</v>
      </c>
      <c r="I2179" s="3">
        <f>SUM(Tabla1[[#This Row],[Monto_Base]],H2179)</f>
        <v>14011.380000000001</v>
      </c>
      <c r="J2179" t="s">
        <v>5046</v>
      </c>
      <c r="K2179" t="s">
        <v>5048</v>
      </c>
      <c r="L2179" t="s">
        <v>5050</v>
      </c>
      <c r="M2179" t="s">
        <v>5054</v>
      </c>
    </row>
    <row r="2180" spans="1:13" x14ac:dyDescent="0.3">
      <c r="A2180" s="1">
        <v>45496</v>
      </c>
      <c r="B2180" s="1" t="str">
        <f>TEXT(Tabla1[[#This Row],[Fecha]],"MMMM")</f>
        <v>julio</v>
      </c>
      <c r="C2180" t="s">
        <v>2190</v>
      </c>
      <c r="D2180" t="s">
        <v>5019</v>
      </c>
      <c r="E2180" t="s">
        <v>5032</v>
      </c>
      <c r="F2180" t="s">
        <v>5040</v>
      </c>
      <c r="G2180" s="3">
        <v>13981.64</v>
      </c>
      <c r="H2180" s="3">
        <v>0</v>
      </c>
      <c r="I2180" s="3">
        <f>SUM(Tabla1[[#This Row],[Monto_Base]],H2180)</f>
        <v>13981.64</v>
      </c>
      <c r="J2180" t="s">
        <v>5046</v>
      </c>
      <c r="K2180" t="s">
        <v>5047</v>
      </c>
      <c r="L2180" t="s">
        <v>5051</v>
      </c>
      <c r="M2180" t="s">
        <v>5054</v>
      </c>
    </row>
    <row r="2181" spans="1:13" x14ac:dyDescent="0.3">
      <c r="A2181" s="1">
        <v>45442</v>
      </c>
      <c r="B2181" s="1" t="str">
        <f>TEXT(Tabla1[[#This Row],[Fecha]],"MMMM")</f>
        <v>mayo</v>
      </c>
      <c r="C2181" t="s">
        <v>2191</v>
      </c>
      <c r="D2181" t="s">
        <v>5019</v>
      </c>
      <c r="E2181" t="s">
        <v>5032</v>
      </c>
      <c r="F2181" t="s">
        <v>5038</v>
      </c>
      <c r="G2181" s="3">
        <v>11862.1</v>
      </c>
      <c r="H2181" s="3">
        <v>0</v>
      </c>
      <c r="I2181" s="3">
        <f>SUM(Tabla1[[#This Row],[Monto_Base]],H2181)</f>
        <v>11862.1</v>
      </c>
      <c r="J2181" t="s">
        <v>5043</v>
      </c>
      <c r="K2181" t="s">
        <v>5048</v>
      </c>
      <c r="L2181" t="s">
        <v>5053</v>
      </c>
      <c r="M2181" t="s">
        <v>5054</v>
      </c>
    </row>
    <row r="2182" spans="1:13" x14ac:dyDescent="0.3">
      <c r="A2182" s="1">
        <v>45347</v>
      </c>
      <c r="B2182" s="1" t="str">
        <f>TEXT(Tabla1[[#This Row],[Fecha]],"MMMM")</f>
        <v>febrero</v>
      </c>
      <c r="C2182" t="s">
        <v>2192</v>
      </c>
      <c r="D2182" t="s">
        <v>5017</v>
      </c>
      <c r="E2182" t="s">
        <v>5032</v>
      </c>
      <c r="F2182" t="s">
        <v>5035</v>
      </c>
      <c r="G2182" s="3">
        <v>595.66999999999996</v>
      </c>
      <c r="H2182" s="3">
        <v>0</v>
      </c>
      <c r="I2182" s="3">
        <f>SUM(Tabla1[[#This Row],[Monto_Base]],H2182)</f>
        <v>595.66999999999996</v>
      </c>
      <c r="J2182" t="s">
        <v>5042</v>
      </c>
      <c r="K2182" t="s">
        <v>5048</v>
      </c>
      <c r="L2182" t="s">
        <v>5050</v>
      </c>
      <c r="M2182" t="s">
        <v>5055</v>
      </c>
    </row>
    <row r="2183" spans="1:13" x14ac:dyDescent="0.3">
      <c r="A2183" s="1">
        <v>45399</v>
      </c>
      <c r="B2183" s="1" t="str">
        <f>TEXT(Tabla1[[#This Row],[Fecha]],"MMMM")</f>
        <v>abril</v>
      </c>
      <c r="C2183" t="s">
        <v>2193</v>
      </c>
      <c r="D2183" t="s">
        <v>5026</v>
      </c>
      <c r="E2183" t="s">
        <v>5033</v>
      </c>
      <c r="F2183" t="s">
        <v>5040</v>
      </c>
      <c r="G2183" s="3">
        <v>12968.21</v>
      </c>
      <c r="H2183" s="3">
        <v>1685.87</v>
      </c>
      <c r="I2183" s="3">
        <f>SUM(Tabla1[[#This Row],[Monto_Base]],H2183)</f>
        <v>14654.079999999998</v>
      </c>
      <c r="J2183" t="s">
        <v>5044</v>
      </c>
      <c r="K2183" t="s">
        <v>5047</v>
      </c>
      <c r="L2183" t="s">
        <v>5051</v>
      </c>
      <c r="M2183" t="s">
        <v>5055</v>
      </c>
    </row>
    <row r="2184" spans="1:13" x14ac:dyDescent="0.3">
      <c r="A2184" s="1">
        <v>45464</v>
      </c>
      <c r="B2184" s="1" t="str">
        <f>TEXT(Tabla1[[#This Row],[Fecha]],"MMMM")</f>
        <v>junio</v>
      </c>
      <c r="C2184" t="s">
        <v>2194</v>
      </c>
      <c r="D2184" t="s">
        <v>5016</v>
      </c>
      <c r="E2184" t="s">
        <v>5033</v>
      </c>
      <c r="F2184" t="s">
        <v>5036</v>
      </c>
      <c r="G2184" s="3">
        <v>2304.6999999999998</v>
      </c>
      <c r="H2184" s="3">
        <v>299.61</v>
      </c>
      <c r="I2184" s="3">
        <f>SUM(Tabla1[[#This Row],[Monto_Base]],H2184)</f>
        <v>2604.31</v>
      </c>
      <c r="J2184" t="s">
        <v>5043</v>
      </c>
      <c r="K2184" t="s">
        <v>5048</v>
      </c>
      <c r="L2184" t="s">
        <v>5051</v>
      </c>
      <c r="M2184" t="s">
        <v>5054</v>
      </c>
    </row>
    <row r="2185" spans="1:13" x14ac:dyDescent="0.3">
      <c r="A2185" s="1">
        <v>45629</v>
      </c>
      <c r="B2185" s="1" t="str">
        <f>TEXT(Tabla1[[#This Row],[Fecha]],"MMMM")</f>
        <v>diciembre</v>
      </c>
      <c r="C2185" t="s">
        <v>2195</v>
      </c>
      <c r="D2185" t="s">
        <v>5029</v>
      </c>
      <c r="E2185" t="s">
        <v>5033</v>
      </c>
      <c r="F2185" t="s">
        <v>5035</v>
      </c>
      <c r="G2185" s="3">
        <v>14549.95</v>
      </c>
      <c r="H2185" s="3">
        <v>1891.49</v>
      </c>
      <c r="I2185" s="3">
        <f>SUM(Tabla1[[#This Row],[Monto_Base]],H2185)</f>
        <v>16441.440000000002</v>
      </c>
      <c r="J2185" t="s">
        <v>5044</v>
      </c>
      <c r="K2185" t="s">
        <v>5048</v>
      </c>
      <c r="L2185" t="s">
        <v>5053</v>
      </c>
      <c r="M2185" t="s">
        <v>5054</v>
      </c>
    </row>
    <row r="2186" spans="1:13" x14ac:dyDescent="0.3">
      <c r="A2186" s="1">
        <v>45333</v>
      </c>
      <c r="B2186" s="1" t="str">
        <f>TEXT(Tabla1[[#This Row],[Fecha]],"MMMM")</f>
        <v>febrero</v>
      </c>
      <c r="C2186" t="s">
        <v>2196</v>
      </c>
      <c r="D2186" t="s">
        <v>5031</v>
      </c>
      <c r="E2186" t="s">
        <v>5032</v>
      </c>
      <c r="F2186" t="s">
        <v>5034</v>
      </c>
      <c r="G2186" s="3">
        <v>8223.19</v>
      </c>
      <c r="H2186" s="3">
        <v>0</v>
      </c>
      <c r="I2186" s="3">
        <f>SUM(Tabla1[[#This Row],[Monto_Base]],H2186)</f>
        <v>8223.19</v>
      </c>
      <c r="J2186" t="s">
        <v>5042</v>
      </c>
      <c r="K2186" t="s">
        <v>5047</v>
      </c>
      <c r="L2186" t="s">
        <v>5050</v>
      </c>
      <c r="M2186" t="s">
        <v>5054</v>
      </c>
    </row>
    <row r="2187" spans="1:13" x14ac:dyDescent="0.3">
      <c r="A2187" s="1">
        <v>45638</v>
      </c>
      <c r="B2187" s="1" t="str">
        <f>TEXT(Tabla1[[#This Row],[Fecha]],"MMMM")</f>
        <v>diciembre</v>
      </c>
      <c r="C2187" t="s">
        <v>2197</v>
      </c>
      <c r="D2187" t="s">
        <v>5027</v>
      </c>
      <c r="E2187" t="s">
        <v>5033</v>
      </c>
      <c r="F2187" t="s">
        <v>5038</v>
      </c>
      <c r="G2187" s="3">
        <v>3418.94</v>
      </c>
      <c r="H2187" s="3">
        <v>444.46</v>
      </c>
      <c r="I2187" s="3">
        <f>SUM(Tabla1[[#This Row],[Monto_Base]],H2187)</f>
        <v>3863.4</v>
      </c>
      <c r="J2187" t="s">
        <v>5042</v>
      </c>
      <c r="K2187" t="s">
        <v>5048</v>
      </c>
      <c r="L2187" t="s">
        <v>5052</v>
      </c>
      <c r="M2187" t="s">
        <v>5054</v>
      </c>
    </row>
    <row r="2188" spans="1:13" x14ac:dyDescent="0.3">
      <c r="A2188" s="1">
        <v>45499</v>
      </c>
      <c r="B2188" s="1" t="str">
        <f>TEXT(Tabla1[[#This Row],[Fecha]],"MMMM")</f>
        <v>julio</v>
      </c>
      <c r="C2188" t="s">
        <v>2198</v>
      </c>
      <c r="D2188" t="s">
        <v>5014</v>
      </c>
      <c r="E2188" t="s">
        <v>5032</v>
      </c>
      <c r="F2188" t="s">
        <v>5035</v>
      </c>
      <c r="G2188" s="3">
        <v>14896.43</v>
      </c>
      <c r="H2188" s="3">
        <v>0</v>
      </c>
      <c r="I2188" s="3">
        <f>SUM(Tabla1[[#This Row],[Monto_Base]],H2188)</f>
        <v>14896.43</v>
      </c>
      <c r="J2188" t="s">
        <v>5044</v>
      </c>
      <c r="K2188" t="s">
        <v>5047</v>
      </c>
      <c r="L2188" t="s">
        <v>5051</v>
      </c>
      <c r="M2188" t="s">
        <v>5054</v>
      </c>
    </row>
    <row r="2189" spans="1:13" x14ac:dyDescent="0.3">
      <c r="A2189" s="1">
        <v>45481</v>
      </c>
      <c r="B2189" s="1" t="str">
        <f>TEXT(Tabla1[[#This Row],[Fecha]],"MMMM")</f>
        <v>julio</v>
      </c>
      <c r="C2189" t="s">
        <v>2199</v>
      </c>
      <c r="D2189" t="s">
        <v>5012</v>
      </c>
      <c r="E2189" t="s">
        <v>5033</v>
      </c>
      <c r="F2189" t="s">
        <v>5036</v>
      </c>
      <c r="G2189" s="3">
        <v>2456.92</v>
      </c>
      <c r="H2189" s="3">
        <v>319.39999999999998</v>
      </c>
      <c r="I2189" s="3">
        <f>SUM(Tabla1[[#This Row],[Monto_Base]],H2189)</f>
        <v>2776.32</v>
      </c>
      <c r="J2189" t="s">
        <v>5044</v>
      </c>
      <c r="K2189" t="s">
        <v>5047</v>
      </c>
      <c r="L2189" t="s">
        <v>5051</v>
      </c>
      <c r="M2189" t="s">
        <v>5054</v>
      </c>
    </row>
    <row r="2190" spans="1:13" x14ac:dyDescent="0.3">
      <c r="A2190" s="1">
        <v>45318</v>
      </c>
      <c r="B2190" s="1" t="str">
        <f>TEXT(Tabla1[[#This Row],[Fecha]],"MMMM")</f>
        <v>enero</v>
      </c>
      <c r="C2190" t="s">
        <v>2200</v>
      </c>
      <c r="D2190" t="s">
        <v>5017</v>
      </c>
      <c r="E2190" t="s">
        <v>5033</v>
      </c>
      <c r="F2190" t="s">
        <v>5036</v>
      </c>
      <c r="G2190" s="3">
        <v>10638.08</v>
      </c>
      <c r="H2190" s="3">
        <v>1382.95</v>
      </c>
      <c r="I2190" s="3">
        <f>SUM(Tabla1[[#This Row],[Monto_Base]],H2190)</f>
        <v>12021.03</v>
      </c>
      <c r="J2190" t="s">
        <v>5044</v>
      </c>
      <c r="K2190" t="s">
        <v>5049</v>
      </c>
      <c r="L2190" t="s">
        <v>5050</v>
      </c>
      <c r="M2190" t="s">
        <v>5054</v>
      </c>
    </row>
    <row r="2191" spans="1:13" x14ac:dyDescent="0.3">
      <c r="A2191" s="1">
        <v>45620</v>
      </c>
      <c r="B2191" s="1" t="str">
        <f>TEXT(Tabla1[[#This Row],[Fecha]],"MMMM")</f>
        <v>noviembre</v>
      </c>
      <c r="C2191" t="s">
        <v>2201</v>
      </c>
      <c r="D2191" t="s">
        <v>5018</v>
      </c>
      <c r="E2191" t="s">
        <v>5033</v>
      </c>
      <c r="F2191" t="s">
        <v>5036</v>
      </c>
      <c r="G2191" s="3">
        <v>10717.27</v>
      </c>
      <c r="H2191" s="3">
        <v>1393.25</v>
      </c>
      <c r="I2191" s="3">
        <f>SUM(Tabla1[[#This Row],[Monto_Base]],H2191)</f>
        <v>12110.52</v>
      </c>
      <c r="J2191" t="s">
        <v>5042</v>
      </c>
      <c r="K2191" t="s">
        <v>5048</v>
      </c>
      <c r="L2191" t="s">
        <v>5053</v>
      </c>
      <c r="M2191" t="s">
        <v>5054</v>
      </c>
    </row>
    <row r="2192" spans="1:13" x14ac:dyDescent="0.3">
      <c r="A2192" s="1">
        <v>45520</v>
      </c>
      <c r="B2192" s="1" t="str">
        <f>TEXT(Tabla1[[#This Row],[Fecha]],"MMMM")</f>
        <v>agosto</v>
      </c>
      <c r="C2192" t="s">
        <v>2202</v>
      </c>
      <c r="D2192" t="s">
        <v>5026</v>
      </c>
      <c r="E2192" t="s">
        <v>5033</v>
      </c>
      <c r="F2192" t="s">
        <v>5034</v>
      </c>
      <c r="G2192" s="3">
        <v>1620.27</v>
      </c>
      <c r="H2192" s="3">
        <v>210.64</v>
      </c>
      <c r="I2192" s="3">
        <f>SUM(Tabla1[[#This Row],[Monto_Base]],H2192)</f>
        <v>1830.9099999999999</v>
      </c>
      <c r="J2192" t="s">
        <v>5042</v>
      </c>
      <c r="K2192" t="s">
        <v>5049</v>
      </c>
      <c r="L2192" t="s">
        <v>5053</v>
      </c>
      <c r="M2192" t="s">
        <v>5054</v>
      </c>
    </row>
    <row r="2193" spans="1:13" x14ac:dyDescent="0.3">
      <c r="A2193" s="1">
        <v>45535</v>
      </c>
      <c r="B2193" s="1" t="str">
        <f>TEXT(Tabla1[[#This Row],[Fecha]],"MMMM")</f>
        <v>agosto</v>
      </c>
      <c r="C2193" t="s">
        <v>2203</v>
      </c>
      <c r="D2193" t="s">
        <v>5021</v>
      </c>
      <c r="E2193" t="s">
        <v>5033</v>
      </c>
      <c r="F2193" t="s">
        <v>5035</v>
      </c>
      <c r="G2193" s="3">
        <v>3187.36</v>
      </c>
      <c r="H2193" s="3">
        <v>414.36</v>
      </c>
      <c r="I2193" s="3">
        <f>SUM(Tabla1[[#This Row],[Monto_Base]],H2193)</f>
        <v>3601.7200000000003</v>
      </c>
      <c r="J2193" t="s">
        <v>5045</v>
      </c>
      <c r="K2193" t="s">
        <v>5047</v>
      </c>
      <c r="L2193" t="s">
        <v>5053</v>
      </c>
      <c r="M2193" t="s">
        <v>5055</v>
      </c>
    </row>
    <row r="2194" spans="1:13" x14ac:dyDescent="0.3">
      <c r="A2194" s="1">
        <v>45345</v>
      </c>
      <c r="B2194" s="1" t="str">
        <f>TEXT(Tabla1[[#This Row],[Fecha]],"MMMM")</f>
        <v>febrero</v>
      </c>
      <c r="C2194" t="s">
        <v>2204</v>
      </c>
      <c r="D2194" t="s">
        <v>5031</v>
      </c>
      <c r="E2194" t="s">
        <v>5032</v>
      </c>
      <c r="F2194" t="s">
        <v>5037</v>
      </c>
      <c r="G2194" s="3">
        <v>731.53</v>
      </c>
      <c r="H2194" s="3">
        <v>0</v>
      </c>
      <c r="I2194" s="3">
        <f>SUM(Tabla1[[#This Row],[Monto_Base]],H2194)</f>
        <v>731.53</v>
      </c>
      <c r="J2194" t="s">
        <v>5043</v>
      </c>
      <c r="K2194" t="s">
        <v>5047</v>
      </c>
      <c r="L2194" t="s">
        <v>5051</v>
      </c>
      <c r="M2194" t="s">
        <v>5054</v>
      </c>
    </row>
    <row r="2195" spans="1:13" x14ac:dyDescent="0.3">
      <c r="A2195" s="1">
        <v>45460</v>
      </c>
      <c r="B2195" s="1" t="str">
        <f>TEXT(Tabla1[[#This Row],[Fecha]],"MMMM")</f>
        <v>junio</v>
      </c>
      <c r="C2195" t="s">
        <v>2205</v>
      </c>
      <c r="D2195" t="s">
        <v>5030</v>
      </c>
      <c r="E2195" t="s">
        <v>5032</v>
      </c>
      <c r="F2195" t="s">
        <v>5041</v>
      </c>
      <c r="G2195" s="3">
        <v>12331.06</v>
      </c>
      <c r="H2195" s="3">
        <v>0</v>
      </c>
      <c r="I2195" s="3">
        <f>SUM(Tabla1[[#This Row],[Monto_Base]],H2195)</f>
        <v>12331.06</v>
      </c>
      <c r="J2195" t="s">
        <v>5044</v>
      </c>
      <c r="K2195" t="s">
        <v>5047</v>
      </c>
      <c r="L2195" t="s">
        <v>5053</v>
      </c>
      <c r="M2195" t="s">
        <v>5054</v>
      </c>
    </row>
    <row r="2196" spans="1:13" x14ac:dyDescent="0.3">
      <c r="A2196" s="1">
        <v>45376</v>
      </c>
      <c r="B2196" s="1" t="str">
        <f>TEXT(Tabla1[[#This Row],[Fecha]],"MMMM")</f>
        <v>marzo</v>
      </c>
      <c r="C2196" t="s">
        <v>2206</v>
      </c>
      <c r="D2196" t="s">
        <v>5018</v>
      </c>
      <c r="E2196" t="s">
        <v>5032</v>
      </c>
      <c r="F2196" t="s">
        <v>5034</v>
      </c>
      <c r="G2196" s="3">
        <v>5098.57</v>
      </c>
      <c r="H2196" s="3">
        <v>0</v>
      </c>
      <c r="I2196" s="3">
        <f>SUM(Tabla1[[#This Row],[Monto_Base]],H2196)</f>
        <v>5098.57</v>
      </c>
      <c r="J2196" t="s">
        <v>5045</v>
      </c>
      <c r="K2196" t="s">
        <v>5047</v>
      </c>
      <c r="L2196" t="s">
        <v>5050</v>
      </c>
      <c r="M2196" t="s">
        <v>5054</v>
      </c>
    </row>
    <row r="2197" spans="1:13" x14ac:dyDescent="0.3">
      <c r="A2197" s="1">
        <v>45531</v>
      </c>
      <c r="B2197" s="1" t="str">
        <f>TEXT(Tabla1[[#This Row],[Fecha]],"MMMM")</f>
        <v>agosto</v>
      </c>
      <c r="C2197" t="s">
        <v>2207</v>
      </c>
      <c r="D2197" t="s">
        <v>5016</v>
      </c>
      <c r="E2197" t="s">
        <v>5033</v>
      </c>
      <c r="F2197" t="s">
        <v>5041</v>
      </c>
      <c r="G2197" s="3">
        <v>2107.15</v>
      </c>
      <c r="H2197" s="3">
        <v>273.93</v>
      </c>
      <c r="I2197" s="3">
        <f>SUM(Tabla1[[#This Row],[Monto_Base]],H2197)</f>
        <v>2381.08</v>
      </c>
      <c r="J2197" t="s">
        <v>5042</v>
      </c>
      <c r="K2197" t="s">
        <v>5047</v>
      </c>
      <c r="L2197" t="s">
        <v>5052</v>
      </c>
      <c r="M2197" t="s">
        <v>5055</v>
      </c>
    </row>
    <row r="2198" spans="1:13" x14ac:dyDescent="0.3">
      <c r="A2198" s="1">
        <v>45645</v>
      </c>
      <c r="B2198" s="1" t="str">
        <f>TEXT(Tabla1[[#This Row],[Fecha]],"MMMM")</f>
        <v>diciembre</v>
      </c>
      <c r="C2198" t="s">
        <v>2208</v>
      </c>
      <c r="D2198" t="s">
        <v>5027</v>
      </c>
      <c r="E2198" t="s">
        <v>5033</v>
      </c>
      <c r="F2198" t="s">
        <v>5037</v>
      </c>
      <c r="G2198" s="3">
        <v>460.98</v>
      </c>
      <c r="H2198" s="3">
        <v>59.93</v>
      </c>
      <c r="I2198" s="3">
        <f>SUM(Tabla1[[#This Row],[Monto_Base]],H2198)</f>
        <v>520.91</v>
      </c>
      <c r="J2198" t="s">
        <v>5042</v>
      </c>
      <c r="K2198" t="s">
        <v>5047</v>
      </c>
      <c r="L2198" t="s">
        <v>5050</v>
      </c>
      <c r="M2198" t="s">
        <v>5054</v>
      </c>
    </row>
    <row r="2199" spans="1:13" x14ac:dyDescent="0.3">
      <c r="A2199" s="1">
        <v>45353</v>
      </c>
      <c r="B2199" s="1" t="str">
        <f>TEXT(Tabla1[[#This Row],[Fecha]],"MMMM")</f>
        <v>marzo</v>
      </c>
      <c r="C2199" t="s">
        <v>2209</v>
      </c>
      <c r="D2199" t="s">
        <v>5017</v>
      </c>
      <c r="E2199" t="s">
        <v>5032</v>
      </c>
      <c r="F2199" t="s">
        <v>5038</v>
      </c>
      <c r="G2199" s="3">
        <v>7242.77</v>
      </c>
      <c r="H2199" s="3">
        <v>0</v>
      </c>
      <c r="I2199" s="3">
        <f>SUM(Tabla1[[#This Row],[Monto_Base]],H2199)</f>
        <v>7242.77</v>
      </c>
      <c r="J2199" t="s">
        <v>5042</v>
      </c>
      <c r="K2199" t="s">
        <v>5047</v>
      </c>
      <c r="L2199" t="s">
        <v>5050</v>
      </c>
      <c r="M2199" t="s">
        <v>5055</v>
      </c>
    </row>
    <row r="2200" spans="1:13" x14ac:dyDescent="0.3">
      <c r="A2200" s="1">
        <v>45346</v>
      </c>
      <c r="B2200" s="1" t="str">
        <f>TEXT(Tabla1[[#This Row],[Fecha]],"MMMM")</f>
        <v>febrero</v>
      </c>
      <c r="C2200" t="s">
        <v>2210</v>
      </c>
      <c r="D2200" t="s">
        <v>5012</v>
      </c>
      <c r="E2200" t="s">
        <v>5032</v>
      </c>
      <c r="F2200" t="s">
        <v>5037</v>
      </c>
      <c r="G2200" s="3">
        <v>8416.89</v>
      </c>
      <c r="H2200" s="3">
        <v>0</v>
      </c>
      <c r="I2200" s="3">
        <f>SUM(Tabla1[[#This Row],[Monto_Base]],H2200)</f>
        <v>8416.89</v>
      </c>
      <c r="J2200" t="s">
        <v>5045</v>
      </c>
      <c r="K2200" t="s">
        <v>5047</v>
      </c>
      <c r="L2200" t="s">
        <v>5051</v>
      </c>
      <c r="M2200" t="s">
        <v>5054</v>
      </c>
    </row>
    <row r="2201" spans="1:13" x14ac:dyDescent="0.3">
      <c r="A2201" s="1">
        <v>45625</v>
      </c>
      <c r="B2201" s="1" t="str">
        <f>TEXT(Tabla1[[#This Row],[Fecha]],"MMMM")</f>
        <v>noviembre</v>
      </c>
      <c r="C2201" t="s">
        <v>2211</v>
      </c>
      <c r="D2201" t="s">
        <v>5020</v>
      </c>
      <c r="E2201" t="s">
        <v>5032</v>
      </c>
      <c r="F2201" t="s">
        <v>5035</v>
      </c>
      <c r="G2201" s="3">
        <v>270.22000000000003</v>
      </c>
      <c r="H2201" s="3">
        <v>0</v>
      </c>
      <c r="I2201" s="3">
        <f>SUM(Tabla1[[#This Row],[Monto_Base]],H2201)</f>
        <v>270.22000000000003</v>
      </c>
      <c r="J2201" t="s">
        <v>5044</v>
      </c>
      <c r="K2201" t="s">
        <v>5049</v>
      </c>
      <c r="L2201" t="s">
        <v>5051</v>
      </c>
      <c r="M2201" t="s">
        <v>5054</v>
      </c>
    </row>
    <row r="2202" spans="1:13" x14ac:dyDescent="0.3">
      <c r="A2202" s="1">
        <v>45354</v>
      </c>
      <c r="B2202" s="1" t="str">
        <f>TEXT(Tabla1[[#This Row],[Fecha]],"MMMM")</f>
        <v>marzo</v>
      </c>
      <c r="C2202" t="s">
        <v>2212</v>
      </c>
      <c r="D2202" t="s">
        <v>5017</v>
      </c>
      <c r="E2202" t="s">
        <v>5032</v>
      </c>
      <c r="F2202" t="s">
        <v>5039</v>
      </c>
      <c r="G2202" s="3">
        <v>2475.9299999999998</v>
      </c>
      <c r="H2202" s="3">
        <v>0</v>
      </c>
      <c r="I2202" s="3">
        <f>SUM(Tabla1[[#This Row],[Monto_Base]],H2202)</f>
        <v>2475.9299999999998</v>
      </c>
      <c r="J2202" t="s">
        <v>5043</v>
      </c>
      <c r="K2202" t="s">
        <v>5049</v>
      </c>
      <c r="L2202" t="s">
        <v>5053</v>
      </c>
      <c r="M2202" t="s">
        <v>5055</v>
      </c>
    </row>
    <row r="2203" spans="1:13" x14ac:dyDescent="0.3">
      <c r="A2203" s="1">
        <v>45633</v>
      </c>
      <c r="B2203" s="1" t="str">
        <f>TEXT(Tabla1[[#This Row],[Fecha]],"MMMM")</f>
        <v>diciembre</v>
      </c>
      <c r="C2203" t="s">
        <v>2213</v>
      </c>
      <c r="D2203" t="s">
        <v>5016</v>
      </c>
      <c r="E2203" t="s">
        <v>5032</v>
      </c>
      <c r="F2203" t="s">
        <v>5041</v>
      </c>
      <c r="G2203" s="3">
        <v>3930.74</v>
      </c>
      <c r="H2203" s="3">
        <v>0</v>
      </c>
      <c r="I2203" s="3">
        <f>SUM(Tabla1[[#This Row],[Monto_Base]],H2203)</f>
        <v>3930.74</v>
      </c>
      <c r="J2203" t="s">
        <v>5043</v>
      </c>
      <c r="K2203" t="s">
        <v>5047</v>
      </c>
      <c r="L2203" t="s">
        <v>5050</v>
      </c>
      <c r="M2203" t="s">
        <v>5055</v>
      </c>
    </row>
    <row r="2204" spans="1:13" x14ac:dyDescent="0.3">
      <c r="A2204" s="1">
        <v>45478</v>
      </c>
      <c r="B2204" s="1" t="str">
        <f>TEXT(Tabla1[[#This Row],[Fecha]],"MMMM")</f>
        <v>julio</v>
      </c>
      <c r="C2204" t="s">
        <v>2214</v>
      </c>
      <c r="D2204" t="s">
        <v>5030</v>
      </c>
      <c r="E2204" t="s">
        <v>5032</v>
      </c>
      <c r="F2204" t="s">
        <v>5036</v>
      </c>
      <c r="G2204" s="3">
        <v>3726.32</v>
      </c>
      <c r="H2204" s="3">
        <v>0</v>
      </c>
      <c r="I2204" s="3">
        <f>SUM(Tabla1[[#This Row],[Monto_Base]],H2204)</f>
        <v>3726.32</v>
      </c>
      <c r="J2204" t="s">
        <v>5046</v>
      </c>
      <c r="K2204" t="s">
        <v>5047</v>
      </c>
      <c r="L2204" t="s">
        <v>5051</v>
      </c>
      <c r="M2204" t="s">
        <v>5054</v>
      </c>
    </row>
    <row r="2205" spans="1:13" x14ac:dyDescent="0.3">
      <c r="A2205" s="1">
        <v>45294</v>
      </c>
      <c r="B2205" s="1" t="str">
        <f>TEXT(Tabla1[[#This Row],[Fecha]],"MMMM")</f>
        <v>enero</v>
      </c>
      <c r="C2205" t="s">
        <v>2215</v>
      </c>
      <c r="D2205" t="s">
        <v>5027</v>
      </c>
      <c r="E2205" t="s">
        <v>5032</v>
      </c>
      <c r="F2205" t="s">
        <v>5039</v>
      </c>
      <c r="G2205" s="3">
        <v>5856.51</v>
      </c>
      <c r="H2205" s="3">
        <v>0</v>
      </c>
      <c r="I2205" s="3">
        <f>SUM(Tabla1[[#This Row],[Monto_Base]],H2205)</f>
        <v>5856.51</v>
      </c>
      <c r="J2205" t="s">
        <v>5043</v>
      </c>
      <c r="K2205" t="s">
        <v>5047</v>
      </c>
      <c r="L2205" t="s">
        <v>5052</v>
      </c>
      <c r="M2205" t="s">
        <v>5054</v>
      </c>
    </row>
    <row r="2206" spans="1:13" x14ac:dyDescent="0.3">
      <c r="A2206" s="1">
        <v>45400</v>
      </c>
      <c r="B2206" s="1" t="str">
        <f>TEXT(Tabla1[[#This Row],[Fecha]],"MMMM")</f>
        <v>abril</v>
      </c>
      <c r="C2206" t="s">
        <v>2216</v>
      </c>
      <c r="D2206" t="s">
        <v>5022</v>
      </c>
      <c r="E2206" t="s">
        <v>5032</v>
      </c>
      <c r="F2206" t="s">
        <v>5039</v>
      </c>
      <c r="G2206" s="3">
        <v>4266.9399999999996</v>
      </c>
      <c r="H2206" s="3">
        <v>0</v>
      </c>
      <c r="I2206" s="3">
        <f>SUM(Tabla1[[#This Row],[Monto_Base]],H2206)</f>
        <v>4266.9399999999996</v>
      </c>
      <c r="J2206" t="s">
        <v>5045</v>
      </c>
      <c r="K2206" t="s">
        <v>5049</v>
      </c>
      <c r="L2206" t="s">
        <v>5052</v>
      </c>
      <c r="M2206" t="s">
        <v>5054</v>
      </c>
    </row>
    <row r="2207" spans="1:13" x14ac:dyDescent="0.3">
      <c r="A2207" s="1">
        <v>45297</v>
      </c>
      <c r="B2207" s="1" t="str">
        <f>TEXT(Tabla1[[#This Row],[Fecha]],"MMMM")</f>
        <v>enero</v>
      </c>
      <c r="C2207" t="s">
        <v>2217</v>
      </c>
      <c r="D2207" t="s">
        <v>5016</v>
      </c>
      <c r="E2207" t="s">
        <v>5032</v>
      </c>
      <c r="F2207" t="s">
        <v>5036</v>
      </c>
      <c r="G2207" s="3">
        <v>3344.84</v>
      </c>
      <c r="H2207" s="3">
        <v>0</v>
      </c>
      <c r="I2207" s="3">
        <f>SUM(Tabla1[[#This Row],[Monto_Base]],H2207)</f>
        <v>3344.84</v>
      </c>
      <c r="J2207" t="s">
        <v>5044</v>
      </c>
      <c r="K2207" t="s">
        <v>5047</v>
      </c>
      <c r="L2207" t="s">
        <v>5050</v>
      </c>
      <c r="M2207" t="s">
        <v>5054</v>
      </c>
    </row>
    <row r="2208" spans="1:13" x14ac:dyDescent="0.3">
      <c r="A2208" s="1">
        <v>45480</v>
      </c>
      <c r="B2208" s="1" t="str">
        <f>TEXT(Tabla1[[#This Row],[Fecha]],"MMMM")</f>
        <v>julio</v>
      </c>
      <c r="C2208" t="s">
        <v>2218</v>
      </c>
      <c r="D2208" t="s">
        <v>5015</v>
      </c>
      <c r="E2208" t="s">
        <v>5033</v>
      </c>
      <c r="F2208" t="s">
        <v>5035</v>
      </c>
      <c r="G2208" s="3">
        <v>2253.0300000000002</v>
      </c>
      <c r="H2208" s="3">
        <v>292.89</v>
      </c>
      <c r="I2208" s="3">
        <f>SUM(Tabla1[[#This Row],[Monto_Base]],H2208)</f>
        <v>2545.92</v>
      </c>
      <c r="J2208" t="s">
        <v>5045</v>
      </c>
      <c r="K2208" t="s">
        <v>5048</v>
      </c>
      <c r="L2208" t="s">
        <v>5050</v>
      </c>
      <c r="M2208" t="s">
        <v>5055</v>
      </c>
    </row>
    <row r="2209" spans="1:13" x14ac:dyDescent="0.3">
      <c r="A2209" s="1">
        <v>45606</v>
      </c>
      <c r="B2209" s="1" t="str">
        <f>TEXT(Tabla1[[#This Row],[Fecha]],"MMMM")</f>
        <v>noviembre</v>
      </c>
      <c r="C2209" t="s">
        <v>2219</v>
      </c>
      <c r="D2209" t="s">
        <v>5029</v>
      </c>
      <c r="E2209" t="s">
        <v>5032</v>
      </c>
      <c r="F2209" t="s">
        <v>5034</v>
      </c>
      <c r="G2209" s="3">
        <v>3504.77</v>
      </c>
      <c r="H2209" s="3">
        <v>0</v>
      </c>
      <c r="I2209" s="3">
        <f>SUM(Tabla1[[#This Row],[Monto_Base]],H2209)</f>
        <v>3504.77</v>
      </c>
      <c r="J2209" t="s">
        <v>5044</v>
      </c>
      <c r="K2209" t="s">
        <v>5047</v>
      </c>
      <c r="L2209" t="s">
        <v>5051</v>
      </c>
      <c r="M2209" t="s">
        <v>5054</v>
      </c>
    </row>
    <row r="2210" spans="1:13" x14ac:dyDescent="0.3">
      <c r="A2210" s="1">
        <v>45433</v>
      </c>
      <c r="B2210" s="1" t="str">
        <f>TEXT(Tabla1[[#This Row],[Fecha]],"MMMM")</f>
        <v>mayo</v>
      </c>
      <c r="C2210" t="s">
        <v>2220</v>
      </c>
      <c r="D2210" t="s">
        <v>5012</v>
      </c>
      <c r="E2210" t="s">
        <v>5032</v>
      </c>
      <c r="F2210" t="s">
        <v>5035</v>
      </c>
      <c r="G2210" s="3">
        <v>12311.77</v>
      </c>
      <c r="H2210" s="3">
        <v>0</v>
      </c>
      <c r="I2210" s="3">
        <f>SUM(Tabla1[[#This Row],[Monto_Base]],H2210)</f>
        <v>12311.77</v>
      </c>
      <c r="J2210" t="s">
        <v>5043</v>
      </c>
      <c r="K2210" t="s">
        <v>5048</v>
      </c>
      <c r="L2210" t="s">
        <v>5051</v>
      </c>
      <c r="M2210" t="s">
        <v>5054</v>
      </c>
    </row>
    <row r="2211" spans="1:13" x14ac:dyDescent="0.3">
      <c r="A2211" s="1">
        <v>45418</v>
      </c>
      <c r="B2211" s="1" t="str">
        <f>TEXT(Tabla1[[#This Row],[Fecha]],"MMMM")</f>
        <v>mayo</v>
      </c>
      <c r="C2211" t="s">
        <v>2221</v>
      </c>
      <c r="D2211" t="s">
        <v>5016</v>
      </c>
      <c r="E2211" t="s">
        <v>5032</v>
      </c>
      <c r="F2211" t="s">
        <v>5036</v>
      </c>
      <c r="G2211" s="3">
        <v>4834.8599999999997</v>
      </c>
      <c r="H2211" s="3">
        <v>0</v>
      </c>
      <c r="I2211" s="3">
        <f>SUM(Tabla1[[#This Row],[Monto_Base]],H2211)</f>
        <v>4834.8599999999997</v>
      </c>
      <c r="J2211" t="s">
        <v>5042</v>
      </c>
      <c r="K2211" t="s">
        <v>5048</v>
      </c>
      <c r="L2211" t="s">
        <v>5051</v>
      </c>
      <c r="M2211" t="s">
        <v>5054</v>
      </c>
    </row>
    <row r="2212" spans="1:13" x14ac:dyDescent="0.3">
      <c r="A2212" s="1">
        <v>45460</v>
      </c>
      <c r="B2212" s="1" t="str">
        <f>TEXT(Tabla1[[#This Row],[Fecha]],"MMMM")</f>
        <v>junio</v>
      </c>
      <c r="C2212" t="s">
        <v>2222</v>
      </c>
      <c r="D2212" t="s">
        <v>5023</v>
      </c>
      <c r="E2212" t="s">
        <v>5033</v>
      </c>
      <c r="F2212" t="s">
        <v>5041</v>
      </c>
      <c r="G2212" s="3">
        <v>13618.73</v>
      </c>
      <c r="H2212" s="3">
        <v>1770.43</v>
      </c>
      <c r="I2212" s="3">
        <f>SUM(Tabla1[[#This Row],[Monto_Base]],H2212)</f>
        <v>15389.16</v>
      </c>
      <c r="J2212" t="s">
        <v>5045</v>
      </c>
      <c r="K2212" t="s">
        <v>5047</v>
      </c>
      <c r="L2212" t="s">
        <v>5052</v>
      </c>
      <c r="M2212" t="s">
        <v>5055</v>
      </c>
    </row>
    <row r="2213" spans="1:13" x14ac:dyDescent="0.3">
      <c r="A2213" s="1">
        <v>45371</v>
      </c>
      <c r="B2213" s="1" t="str">
        <f>TEXT(Tabla1[[#This Row],[Fecha]],"MMMM")</f>
        <v>marzo</v>
      </c>
      <c r="C2213" t="s">
        <v>2223</v>
      </c>
      <c r="D2213" t="s">
        <v>5016</v>
      </c>
      <c r="E2213" t="s">
        <v>5033</v>
      </c>
      <c r="F2213" t="s">
        <v>5040</v>
      </c>
      <c r="G2213" s="3">
        <v>5466.09</v>
      </c>
      <c r="H2213" s="3">
        <v>710.59</v>
      </c>
      <c r="I2213" s="3">
        <f>SUM(Tabla1[[#This Row],[Monto_Base]],H2213)</f>
        <v>6176.68</v>
      </c>
      <c r="J2213" t="s">
        <v>5043</v>
      </c>
      <c r="K2213" t="s">
        <v>5049</v>
      </c>
      <c r="L2213" t="s">
        <v>5053</v>
      </c>
      <c r="M2213" t="s">
        <v>5055</v>
      </c>
    </row>
    <row r="2214" spans="1:13" x14ac:dyDescent="0.3">
      <c r="A2214" s="1">
        <v>45441</v>
      </c>
      <c r="B2214" s="1" t="str">
        <f>TEXT(Tabla1[[#This Row],[Fecha]],"MMMM")</f>
        <v>mayo</v>
      </c>
      <c r="C2214" t="s">
        <v>2224</v>
      </c>
      <c r="D2214" t="s">
        <v>5017</v>
      </c>
      <c r="E2214" t="s">
        <v>5032</v>
      </c>
      <c r="F2214" t="s">
        <v>5035</v>
      </c>
      <c r="G2214" s="3">
        <v>2344.9499999999998</v>
      </c>
      <c r="H2214" s="3">
        <v>0</v>
      </c>
      <c r="I2214" s="3">
        <f>SUM(Tabla1[[#This Row],[Monto_Base]],H2214)</f>
        <v>2344.9499999999998</v>
      </c>
      <c r="J2214" t="s">
        <v>5043</v>
      </c>
      <c r="K2214" t="s">
        <v>5049</v>
      </c>
      <c r="L2214" t="s">
        <v>5051</v>
      </c>
      <c r="M2214" t="s">
        <v>5055</v>
      </c>
    </row>
    <row r="2215" spans="1:13" x14ac:dyDescent="0.3">
      <c r="A2215" s="1">
        <v>45325</v>
      </c>
      <c r="B2215" s="1" t="str">
        <f>TEXT(Tabla1[[#This Row],[Fecha]],"MMMM")</f>
        <v>febrero</v>
      </c>
      <c r="C2215" t="s">
        <v>2225</v>
      </c>
      <c r="D2215" t="s">
        <v>5025</v>
      </c>
      <c r="E2215" t="s">
        <v>5032</v>
      </c>
      <c r="F2215" t="s">
        <v>5039</v>
      </c>
      <c r="G2215" s="3">
        <v>598.34</v>
      </c>
      <c r="H2215" s="3">
        <v>0</v>
      </c>
      <c r="I2215" s="3">
        <f>SUM(Tabla1[[#This Row],[Monto_Base]],H2215)</f>
        <v>598.34</v>
      </c>
      <c r="J2215" t="s">
        <v>5043</v>
      </c>
      <c r="K2215" t="s">
        <v>5047</v>
      </c>
      <c r="L2215" t="s">
        <v>5053</v>
      </c>
      <c r="M2215" t="s">
        <v>5055</v>
      </c>
    </row>
    <row r="2216" spans="1:13" x14ac:dyDescent="0.3">
      <c r="A2216" s="1">
        <v>45426</v>
      </c>
      <c r="B2216" s="1" t="str">
        <f>TEXT(Tabla1[[#This Row],[Fecha]],"MMMM")</f>
        <v>mayo</v>
      </c>
      <c r="C2216" t="s">
        <v>2226</v>
      </c>
      <c r="D2216" t="s">
        <v>5012</v>
      </c>
      <c r="E2216" t="s">
        <v>5032</v>
      </c>
      <c r="F2216" t="s">
        <v>5036</v>
      </c>
      <c r="G2216" s="3">
        <v>5456.72</v>
      </c>
      <c r="H2216" s="3">
        <v>0</v>
      </c>
      <c r="I2216" s="3">
        <f>SUM(Tabla1[[#This Row],[Monto_Base]],H2216)</f>
        <v>5456.72</v>
      </c>
      <c r="J2216" t="s">
        <v>5043</v>
      </c>
      <c r="K2216" t="s">
        <v>5049</v>
      </c>
      <c r="L2216" t="s">
        <v>5052</v>
      </c>
      <c r="M2216" t="s">
        <v>5055</v>
      </c>
    </row>
    <row r="2217" spans="1:13" x14ac:dyDescent="0.3">
      <c r="A2217" s="1">
        <v>45408</v>
      </c>
      <c r="B2217" s="1" t="str">
        <f>TEXT(Tabla1[[#This Row],[Fecha]],"MMMM")</f>
        <v>abril</v>
      </c>
      <c r="C2217" t="s">
        <v>2227</v>
      </c>
      <c r="D2217" t="s">
        <v>5017</v>
      </c>
      <c r="E2217" t="s">
        <v>5033</v>
      </c>
      <c r="F2217" t="s">
        <v>5041</v>
      </c>
      <c r="G2217" s="3">
        <v>4804.8500000000004</v>
      </c>
      <c r="H2217" s="3">
        <v>624.63</v>
      </c>
      <c r="I2217" s="3">
        <f>SUM(Tabla1[[#This Row],[Monto_Base]],H2217)</f>
        <v>5429.4800000000005</v>
      </c>
      <c r="J2217" t="s">
        <v>5042</v>
      </c>
      <c r="K2217" t="s">
        <v>5047</v>
      </c>
      <c r="L2217" t="s">
        <v>5052</v>
      </c>
      <c r="M2217" t="s">
        <v>5055</v>
      </c>
    </row>
    <row r="2218" spans="1:13" x14ac:dyDescent="0.3">
      <c r="A2218" s="1">
        <v>45635</v>
      </c>
      <c r="B2218" s="1" t="str">
        <f>TEXT(Tabla1[[#This Row],[Fecha]],"MMMM")</f>
        <v>diciembre</v>
      </c>
      <c r="C2218" t="s">
        <v>2228</v>
      </c>
      <c r="D2218" t="s">
        <v>5030</v>
      </c>
      <c r="E2218" t="s">
        <v>5032</v>
      </c>
      <c r="F2218" t="s">
        <v>5040</v>
      </c>
      <c r="G2218" s="3">
        <v>10599.88</v>
      </c>
      <c r="H2218" s="3">
        <v>0</v>
      </c>
      <c r="I2218" s="3">
        <f>SUM(Tabla1[[#This Row],[Monto_Base]],H2218)</f>
        <v>10599.88</v>
      </c>
      <c r="J2218" t="s">
        <v>5046</v>
      </c>
      <c r="K2218" t="s">
        <v>5048</v>
      </c>
      <c r="L2218" t="s">
        <v>5053</v>
      </c>
      <c r="M2218" t="s">
        <v>5054</v>
      </c>
    </row>
    <row r="2219" spans="1:13" x14ac:dyDescent="0.3">
      <c r="A2219" s="1">
        <v>45498</v>
      </c>
      <c r="B2219" s="1" t="str">
        <f>TEXT(Tabla1[[#This Row],[Fecha]],"MMMM")</f>
        <v>julio</v>
      </c>
      <c r="C2219" t="s">
        <v>2229</v>
      </c>
      <c r="D2219" t="s">
        <v>5015</v>
      </c>
      <c r="E2219" t="s">
        <v>5032</v>
      </c>
      <c r="F2219" t="s">
        <v>5037</v>
      </c>
      <c r="G2219" s="3">
        <v>10294.51</v>
      </c>
      <c r="H2219" s="3">
        <v>0</v>
      </c>
      <c r="I2219" s="3">
        <f>SUM(Tabla1[[#This Row],[Monto_Base]],H2219)</f>
        <v>10294.51</v>
      </c>
      <c r="J2219" t="s">
        <v>5046</v>
      </c>
      <c r="K2219" t="s">
        <v>5048</v>
      </c>
      <c r="L2219" t="s">
        <v>5052</v>
      </c>
      <c r="M2219" t="s">
        <v>5055</v>
      </c>
    </row>
    <row r="2220" spans="1:13" x14ac:dyDescent="0.3">
      <c r="A2220" s="1">
        <v>45297</v>
      </c>
      <c r="B2220" s="1" t="str">
        <f>TEXT(Tabla1[[#This Row],[Fecha]],"MMMM")</f>
        <v>enero</v>
      </c>
      <c r="C2220" t="s">
        <v>2230</v>
      </c>
      <c r="D2220" t="s">
        <v>5018</v>
      </c>
      <c r="E2220" t="s">
        <v>5032</v>
      </c>
      <c r="F2220" t="s">
        <v>5037</v>
      </c>
      <c r="G2220" s="3">
        <v>3797.54</v>
      </c>
      <c r="H2220" s="3">
        <v>0</v>
      </c>
      <c r="I2220" s="3">
        <f>SUM(Tabla1[[#This Row],[Monto_Base]],H2220)</f>
        <v>3797.54</v>
      </c>
      <c r="J2220" t="s">
        <v>5043</v>
      </c>
      <c r="K2220" t="s">
        <v>5049</v>
      </c>
      <c r="L2220" t="s">
        <v>5050</v>
      </c>
      <c r="M2220" t="s">
        <v>5054</v>
      </c>
    </row>
    <row r="2221" spans="1:13" x14ac:dyDescent="0.3">
      <c r="A2221" s="1">
        <v>45398</v>
      </c>
      <c r="B2221" s="1" t="str">
        <f>TEXT(Tabla1[[#This Row],[Fecha]],"MMMM")</f>
        <v>abril</v>
      </c>
      <c r="C2221" t="s">
        <v>2231</v>
      </c>
      <c r="D2221" t="s">
        <v>5018</v>
      </c>
      <c r="E2221" t="s">
        <v>5033</v>
      </c>
      <c r="F2221" t="s">
        <v>5034</v>
      </c>
      <c r="G2221" s="3">
        <v>14149.03</v>
      </c>
      <c r="H2221" s="3">
        <v>1839.37</v>
      </c>
      <c r="I2221" s="3">
        <f>SUM(Tabla1[[#This Row],[Monto_Base]],H2221)</f>
        <v>15988.400000000001</v>
      </c>
      <c r="J2221" t="s">
        <v>5042</v>
      </c>
      <c r="K2221" t="s">
        <v>5048</v>
      </c>
      <c r="L2221" t="s">
        <v>5050</v>
      </c>
      <c r="M2221" t="s">
        <v>5055</v>
      </c>
    </row>
    <row r="2222" spans="1:13" x14ac:dyDescent="0.3">
      <c r="A2222" s="1">
        <v>45512</v>
      </c>
      <c r="B2222" s="1" t="str">
        <f>TEXT(Tabla1[[#This Row],[Fecha]],"MMMM")</f>
        <v>agosto</v>
      </c>
      <c r="C2222" t="s">
        <v>2232</v>
      </c>
      <c r="D2222" t="s">
        <v>5015</v>
      </c>
      <c r="E2222" t="s">
        <v>5033</v>
      </c>
      <c r="F2222" t="s">
        <v>5034</v>
      </c>
      <c r="G2222" s="3">
        <v>13402.09</v>
      </c>
      <c r="H2222" s="3">
        <v>1742.27</v>
      </c>
      <c r="I2222" s="3">
        <f>SUM(Tabla1[[#This Row],[Monto_Base]],H2222)</f>
        <v>15144.36</v>
      </c>
      <c r="J2222" t="s">
        <v>5042</v>
      </c>
      <c r="K2222" t="s">
        <v>5048</v>
      </c>
      <c r="L2222" t="s">
        <v>5053</v>
      </c>
      <c r="M2222" t="s">
        <v>5055</v>
      </c>
    </row>
    <row r="2223" spans="1:13" x14ac:dyDescent="0.3">
      <c r="A2223" s="1">
        <v>45647</v>
      </c>
      <c r="B2223" s="1" t="str">
        <f>TEXT(Tabla1[[#This Row],[Fecha]],"MMMM")</f>
        <v>diciembre</v>
      </c>
      <c r="C2223" t="s">
        <v>2233</v>
      </c>
      <c r="D2223" t="s">
        <v>5021</v>
      </c>
      <c r="E2223" t="s">
        <v>5032</v>
      </c>
      <c r="F2223" t="s">
        <v>5034</v>
      </c>
      <c r="G2223" s="3">
        <v>2686.66</v>
      </c>
      <c r="H2223" s="3">
        <v>0</v>
      </c>
      <c r="I2223" s="3">
        <f>SUM(Tabla1[[#This Row],[Monto_Base]],H2223)</f>
        <v>2686.66</v>
      </c>
      <c r="J2223" t="s">
        <v>5044</v>
      </c>
      <c r="K2223" t="s">
        <v>5048</v>
      </c>
      <c r="L2223" t="s">
        <v>5052</v>
      </c>
      <c r="M2223" t="s">
        <v>5055</v>
      </c>
    </row>
    <row r="2224" spans="1:13" x14ac:dyDescent="0.3">
      <c r="A2224" s="1">
        <v>45587</v>
      </c>
      <c r="B2224" s="1" t="str">
        <f>TEXT(Tabla1[[#This Row],[Fecha]],"MMMM")</f>
        <v>octubre</v>
      </c>
      <c r="C2224" t="s">
        <v>2234</v>
      </c>
      <c r="D2224" t="s">
        <v>5015</v>
      </c>
      <c r="E2224" t="s">
        <v>5033</v>
      </c>
      <c r="F2224" t="s">
        <v>5039</v>
      </c>
      <c r="G2224" s="3">
        <v>7140.27</v>
      </c>
      <c r="H2224" s="3">
        <v>928.24</v>
      </c>
      <c r="I2224" s="3">
        <f>SUM(Tabla1[[#This Row],[Monto_Base]],H2224)</f>
        <v>8068.51</v>
      </c>
      <c r="J2224" t="s">
        <v>5043</v>
      </c>
      <c r="K2224" t="s">
        <v>5049</v>
      </c>
      <c r="L2224" t="s">
        <v>5053</v>
      </c>
      <c r="M2224" t="s">
        <v>5055</v>
      </c>
    </row>
    <row r="2225" spans="1:13" x14ac:dyDescent="0.3">
      <c r="A2225" s="1">
        <v>45641</v>
      </c>
      <c r="B2225" s="1" t="str">
        <f>TEXT(Tabla1[[#This Row],[Fecha]],"MMMM")</f>
        <v>diciembre</v>
      </c>
      <c r="C2225" t="s">
        <v>2235</v>
      </c>
      <c r="D2225" t="s">
        <v>5019</v>
      </c>
      <c r="E2225" t="s">
        <v>5032</v>
      </c>
      <c r="F2225" t="s">
        <v>5035</v>
      </c>
      <c r="G2225" s="3">
        <v>4748.3500000000004</v>
      </c>
      <c r="H2225" s="3">
        <v>0</v>
      </c>
      <c r="I2225" s="3">
        <f>SUM(Tabla1[[#This Row],[Monto_Base]],H2225)</f>
        <v>4748.3500000000004</v>
      </c>
      <c r="J2225" t="s">
        <v>5044</v>
      </c>
      <c r="K2225" t="s">
        <v>5048</v>
      </c>
      <c r="L2225" t="s">
        <v>5050</v>
      </c>
      <c r="M2225" t="s">
        <v>5054</v>
      </c>
    </row>
    <row r="2226" spans="1:13" x14ac:dyDescent="0.3">
      <c r="A2226" s="1">
        <v>45468</v>
      </c>
      <c r="B2226" s="1" t="str">
        <f>TEXT(Tabla1[[#This Row],[Fecha]],"MMMM")</f>
        <v>junio</v>
      </c>
      <c r="C2226" t="s">
        <v>2236</v>
      </c>
      <c r="D2226" t="s">
        <v>5016</v>
      </c>
      <c r="E2226" t="s">
        <v>5032</v>
      </c>
      <c r="F2226" t="s">
        <v>5041</v>
      </c>
      <c r="G2226" s="3">
        <v>10674.67</v>
      </c>
      <c r="H2226" s="3">
        <v>0</v>
      </c>
      <c r="I2226" s="3">
        <f>SUM(Tabla1[[#This Row],[Monto_Base]],H2226)</f>
        <v>10674.67</v>
      </c>
      <c r="J2226" t="s">
        <v>5044</v>
      </c>
      <c r="K2226" t="s">
        <v>5047</v>
      </c>
      <c r="L2226" t="s">
        <v>5050</v>
      </c>
      <c r="M2226" t="s">
        <v>5054</v>
      </c>
    </row>
    <row r="2227" spans="1:13" x14ac:dyDescent="0.3">
      <c r="A2227" s="1">
        <v>45536</v>
      </c>
      <c r="B2227" s="1" t="str">
        <f>TEXT(Tabla1[[#This Row],[Fecha]],"MMMM")</f>
        <v>septiembre</v>
      </c>
      <c r="C2227" t="s">
        <v>2237</v>
      </c>
      <c r="D2227" t="s">
        <v>5017</v>
      </c>
      <c r="E2227" t="s">
        <v>5032</v>
      </c>
      <c r="F2227" t="s">
        <v>5039</v>
      </c>
      <c r="G2227" s="3">
        <v>12683.92</v>
      </c>
      <c r="H2227" s="3">
        <v>0</v>
      </c>
      <c r="I2227" s="3">
        <f>SUM(Tabla1[[#This Row],[Monto_Base]],H2227)</f>
        <v>12683.92</v>
      </c>
      <c r="J2227" t="s">
        <v>5046</v>
      </c>
      <c r="K2227" t="s">
        <v>5048</v>
      </c>
      <c r="L2227" t="s">
        <v>5052</v>
      </c>
      <c r="M2227" t="s">
        <v>5055</v>
      </c>
    </row>
    <row r="2228" spans="1:13" x14ac:dyDescent="0.3">
      <c r="A2228" s="1">
        <v>45621</v>
      </c>
      <c r="B2228" s="1" t="str">
        <f>TEXT(Tabla1[[#This Row],[Fecha]],"MMMM")</f>
        <v>noviembre</v>
      </c>
      <c r="C2228" t="s">
        <v>2238</v>
      </c>
      <c r="D2228" t="s">
        <v>5026</v>
      </c>
      <c r="E2228" t="s">
        <v>5033</v>
      </c>
      <c r="F2228" t="s">
        <v>5039</v>
      </c>
      <c r="G2228" s="3">
        <v>2672.85</v>
      </c>
      <c r="H2228" s="3">
        <v>347.47</v>
      </c>
      <c r="I2228" s="3">
        <f>SUM(Tabla1[[#This Row],[Monto_Base]],H2228)</f>
        <v>3020.3199999999997</v>
      </c>
      <c r="J2228" t="s">
        <v>5046</v>
      </c>
      <c r="K2228" t="s">
        <v>5048</v>
      </c>
      <c r="L2228" t="s">
        <v>5053</v>
      </c>
      <c r="M2228" t="s">
        <v>5054</v>
      </c>
    </row>
    <row r="2229" spans="1:13" x14ac:dyDescent="0.3">
      <c r="A2229" s="1">
        <v>45353</v>
      </c>
      <c r="B2229" s="1" t="str">
        <f>TEXT(Tabla1[[#This Row],[Fecha]],"MMMM")</f>
        <v>marzo</v>
      </c>
      <c r="C2229" t="s">
        <v>2239</v>
      </c>
      <c r="D2229" t="s">
        <v>5018</v>
      </c>
      <c r="E2229" t="s">
        <v>5032</v>
      </c>
      <c r="F2229" t="s">
        <v>5041</v>
      </c>
      <c r="G2229" s="3">
        <v>6417.6</v>
      </c>
      <c r="H2229" s="3">
        <v>0</v>
      </c>
      <c r="I2229" s="3">
        <f>SUM(Tabla1[[#This Row],[Monto_Base]],H2229)</f>
        <v>6417.6</v>
      </c>
      <c r="J2229" t="s">
        <v>5043</v>
      </c>
      <c r="K2229" t="s">
        <v>5047</v>
      </c>
      <c r="L2229" t="s">
        <v>5050</v>
      </c>
      <c r="M2229" t="s">
        <v>5054</v>
      </c>
    </row>
    <row r="2230" spans="1:13" x14ac:dyDescent="0.3">
      <c r="A2230" s="1">
        <v>45429</v>
      </c>
      <c r="B2230" s="1" t="str">
        <f>TEXT(Tabla1[[#This Row],[Fecha]],"MMMM")</f>
        <v>mayo</v>
      </c>
      <c r="C2230" t="s">
        <v>2240</v>
      </c>
      <c r="D2230" t="s">
        <v>5021</v>
      </c>
      <c r="E2230" t="s">
        <v>5033</v>
      </c>
      <c r="F2230" t="s">
        <v>5040</v>
      </c>
      <c r="G2230" s="3">
        <v>1754.6</v>
      </c>
      <c r="H2230" s="3">
        <v>228.1</v>
      </c>
      <c r="I2230" s="3">
        <f>SUM(Tabla1[[#This Row],[Monto_Base]],H2230)</f>
        <v>1982.6999999999998</v>
      </c>
      <c r="J2230" t="s">
        <v>5042</v>
      </c>
      <c r="K2230" t="s">
        <v>5048</v>
      </c>
      <c r="L2230" t="s">
        <v>5052</v>
      </c>
      <c r="M2230" t="s">
        <v>5054</v>
      </c>
    </row>
    <row r="2231" spans="1:13" x14ac:dyDescent="0.3">
      <c r="A2231" s="1">
        <v>45296</v>
      </c>
      <c r="B2231" s="1" t="str">
        <f>TEXT(Tabla1[[#This Row],[Fecha]],"MMMM")</f>
        <v>enero</v>
      </c>
      <c r="C2231" t="s">
        <v>2241</v>
      </c>
      <c r="D2231" t="s">
        <v>5028</v>
      </c>
      <c r="E2231" t="s">
        <v>5033</v>
      </c>
      <c r="F2231" t="s">
        <v>5037</v>
      </c>
      <c r="G2231" s="3">
        <v>14332.54</v>
      </c>
      <c r="H2231" s="3">
        <v>1863.23</v>
      </c>
      <c r="I2231" s="3">
        <f>SUM(Tabla1[[#This Row],[Monto_Base]],H2231)</f>
        <v>16195.77</v>
      </c>
      <c r="J2231" t="s">
        <v>5046</v>
      </c>
      <c r="K2231" t="s">
        <v>5049</v>
      </c>
      <c r="L2231" t="s">
        <v>5052</v>
      </c>
      <c r="M2231" t="s">
        <v>5054</v>
      </c>
    </row>
    <row r="2232" spans="1:13" x14ac:dyDescent="0.3">
      <c r="A2232" s="1">
        <v>45428</v>
      </c>
      <c r="B2232" s="1" t="str">
        <f>TEXT(Tabla1[[#This Row],[Fecha]],"MMMM")</f>
        <v>mayo</v>
      </c>
      <c r="C2232" t="s">
        <v>2242</v>
      </c>
      <c r="D2232" t="s">
        <v>5026</v>
      </c>
      <c r="E2232" t="s">
        <v>5032</v>
      </c>
      <c r="F2232" t="s">
        <v>5035</v>
      </c>
      <c r="G2232" s="3">
        <v>1480.05</v>
      </c>
      <c r="H2232" s="3">
        <v>0</v>
      </c>
      <c r="I2232" s="3">
        <f>SUM(Tabla1[[#This Row],[Monto_Base]],H2232)</f>
        <v>1480.05</v>
      </c>
      <c r="J2232" t="s">
        <v>5046</v>
      </c>
      <c r="K2232" t="s">
        <v>5049</v>
      </c>
      <c r="L2232" t="s">
        <v>5050</v>
      </c>
      <c r="M2232" t="s">
        <v>5055</v>
      </c>
    </row>
    <row r="2233" spans="1:13" x14ac:dyDescent="0.3">
      <c r="A2233" s="1">
        <v>45328</v>
      </c>
      <c r="B2233" s="1" t="str">
        <f>TEXT(Tabla1[[#This Row],[Fecha]],"MMMM")</f>
        <v>febrero</v>
      </c>
      <c r="C2233" t="s">
        <v>2243</v>
      </c>
      <c r="D2233" t="s">
        <v>5030</v>
      </c>
      <c r="E2233" t="s">
        <v>5033</v>
      </c>
      <c r="F2233" t="s">
        <v>5037</v>
      </c>
      <c r="G2233" s="3">
        <v>8218.19</v>
      </c>
      <c r="H2233" s="3">
        <v>1068.3599999999999</v>
      </c>
      <c r="I2233" s="3">
        <f>SUM(Tabla1[[#This Row],[Monto_Base]],H2233)</f>
        <v>9286.5500000000011</v>
      </c>
      <c r="J2233" t="s">
        <v>5043</v>
      </c>
      <c r="K2233" t="s">
        <v>5048</v>
      </c>
      <c r="L2233" t="s">
        <v>5053</v>
      </c>
      <c r="M2233" t="s">
        <v>5054</v>
      </c>
    </row>
    <row r="2234" spans="1:13" x14ac:dyDescent="0.3">
      <c r="A2234" s="1">
        <v>45312</v>
      </c>
      <c r="B2234" s="1" t="str">
        <f>TEXT(Tabla1[[#This Row],[Fecha]],"MMMM")</f>
        <v>enero</v>
      </c>
      <c r="C2234" t="s">
        <v>2244</v>
      </c>
      <c r="D2234" t="s">
        <v>5027</v>
      </c>
      <c r="E2234" t="s">
        <v>5033</v>
      </c>
      <c r="F2234" t="s">
        <v>5041</v>
      </c>
      <c r="G2234" s="3">
        <v>13312.05</v>
      </c>
      <c r="H2234" s="3">
        <v>1730.57</v>
      </c>
      <c r="I2234" s="3">
        <f>SUM(Tabla1[[#This Row],[Monto_Base]],H2234)</f>
        <v>15042.619999999999</v>
      </c>
      <c r="J2234" t="s">
        <v>5044</v>
      </c>
      <c r="K2234" t="s">
        <v>5049</v>
      </c>
      <c r="L2234" t="s">
        <v>5053</v>
      </c>
      <c r="M2234" t="s">
        <v>5054</v>
      </c>
    </row>
    <row r="2235" spans="1:13" x14ac:dyDescent="0.3">
      <c r="A2235" s="1">
        <v>45526</v>
      </c>
      <c r="B2235" s="1" t="str">
        <f>TEXT(Tabla1[[#This Row],[Fecha]],"MMMM")</f>
        <v>agosto</v>
      </c>
      <c r="C2235" t="s">
        <v>2245</v>
      </c>
      <c r="D2235" t="s">
        <v>5014</v>
      </c>
      <c r="E2235" t="s">
        <v>5033</v>
      </c>
      <c r="F2235" t="s">
        <v>5034</v>
      </c>
      <c r="G2235" s="3">
        <v>2812.01</v>
      </c>
      <c r="H2235" s="3">
        <v>365.56</v>
      </c>
      <c r="I2235" s="3">
        <f>SUM(Tabla1[[#This Row],[Monto_Base]],H2235)</f>
        <v>3177.57</v>
      </c>
      <c r="J2235" t="s">
        <v>5046</v>
      </c>
      <c r="K2235" t="s">
        <v>5048</v>
      </c>
      <c r="L2235" t="s">
        <v>5051</v>
      </c>
      <c r="M2235" t="s">
        <v>5055</v>
      </c>
    </row>
    <row r="2236" spans="1:13" x14ac:dyDescent="0.3">
      <c r="A2236" s="1">
        <v>45519</v>
      </c>
      <c r="B2236" s="1" t="str">
        <f>TEXT(Tabla1[[#This Row],[Fecha]],"MMMM")</f>
        <v>agosto</v>
      </c>
      <c r="C2236" t="s">
        <v>2246</v>
      </c>
      <c r="D2236" t="s">
        <v>5013</v>
      </c>
      <c r="E2236" t="s">
        <v>5032</v>
      </c>
      <c r="F2236" t="s">
        <v>5039</v>
      </c>
      <c r="G2236" s="3">
        <v>8469.86</v>
      </c>
      <c r="H2236" s="3">
        <v>0</v>
      </c>
      <c r="I2236" s="3">
        <f>SUM(Tabla1[[#This Row],[Monto_Base]],H2236)</f>
        <v>8469.86</v>
      </c>
      <c r="J2236" t="s">
        <v>5043</v>
      </c>
      <c r="K2236" t="s">
        <v>5047</v>
      </c>
      <c r="L2236" t="s">
        <v>5053</v>
      </c>
      <c r="M2236" t="s">
        <v>5054</v>
      </c>
    </row>
    <row r="2237" spans="1:13" x14ac:dyDescent="0.3">
      <c r="A2237" s="1">
        <v>45471</v>
      </c>
      <c r="B2237" s="1" t="str">
        <f>TEXT(Tabla1[[#This Row],[Fecha]],"MMMM")</f>
        <v>junio</v>
      </c>
      <c r="C2237" t="s">
        <v>2247</v>
      </c>
      <c r="D2237" t="s">
        <v>5027</v>
      </c>
      <c r="E2237" t="s">
        <v>5032</v>
      </c>
      <c r="F2237" t="s">
        <v>5038</v>
      </c>
      <c r="G2237" s="3">
        <v>959.94</v>
      </c>
      <c r="H2237" s="3">
        <v>0</v>
      </c>
      <c r="I2237" s="3">
        <f>SUM(Tabla1[[#This Row],[Monto_Base]],H2237)</f>
        <v>959.94</v>
      </c>
      <c r="J2237" t="s">
        <v>5042</v>
      </c>
      <c r="K2237" t="s">
        <v>5049</v>
      </c>
      <c r="L2237" t="s">
        <v>5051</v>
      </c>
      <c r="M2237" t="s">
        <v>5054</v>
      </c>
    </row>
    <row r="2238" spans="1:13" x14ac:dyDescent="0.3">
      <c r="A2238" s="1">
        <v>45372</v>
      </c>
      <c r="B2238" s="1" t="str">
        <f>TEXT(Tabla1[[#This Row],[Fecha]],"MMMM")</f>
        <v>marzo</v>
      </c>
      <c r="C2238" t="s">
        <v>2248</v>
      </c>
      <c r="D2238" t="s">
        <v>5031</v>
      </c>
      <c r="E2238" t="s">
        <v>5033</v>
      </c>
      <c r="F2238" t="s">
        <v>5039</v>
      </c>
      <c r="G2238" s="3">
        <v>6957.16</v>
      </c>
      <c r="H2238" s="3">
        <v>904.43</v>
      </c>
      <c r="I2238" s="3">
        <f>SUM(Tabla1[[#This Row],[Monto_Base]],H2238)</f>
        <v>7861.59</v>
      </c>
      <c r="J2238" t="s">
        <v>5043</v>
      </c>
      <c r="K2238" t="s">
        <v>5047</v>
      </c>
      <c r="L2238" t="s">
        <v>5053</v>
      </c>
      <c r="M2238" t="s">
        <v>5054</v>
      </c>
    </row>
    <row r="2239" spans="1:13" x14ac:dyDescent="0.3">
      <c r="A2239" s="1">
        <v>45444</v>
      </c>
      <c r="B2239" s="1" t="str">
        <f>TEXT(Tabla1[[#This Row],[Fecha]],"MMMM")</f>
        <v>junio</v>
      </c>
      <c r="C2239" t="s">
        <v>2249</v>
      </c>
      <c r="D2239" t="s">
        <v>5027</v>
      </c>
      <c r="E2239" t="s">
        <v>5033</v>
      </c>
      <c r="F2239" t="s">
        <v>5040</v>
      </c>
      <c r="G2239" s="3">
        <v>9800.65</v>
      </c>
      <c r="H2239" s="3">
        <v>1274.08</v>
      </c>
      <c r="I2239" s="3">
        <f>SUM(Tabla1[[#This Row],[Monto_Base]],H2239)</f>
        <v>11074.73</v>
      </c>
      <c r="J2239" t="s">
        <v>5042</v>
      </c>
      <c r="K2239" t="s">
        <v>5048</v>
      </c>
      <c r="L2239" t="s">
        <v>5053</v>
      </c>
      <c r="M2239" t="s">
        <v>5054</v>
      </c>
    </row>
    <row r="2240" spans="1:13" x14ac:dyDescent="0.3">
      <c r="A2240" s="1">
        <v>45379</v>
      </c>
      <c r="B2240" s="1" t="str">
        <f>TEXT(Tabla1[[#This Row],[Fecha]],"MMMM")</f>
        <v>marzo</v>
      </c>
      <c r="C2240" t="s">
        <v>2250</v>
      </c>
      <c r="D2240" t="s">
        <v>5019</v>
      </c>
      <c r="E2240" t="s">
        <v>5032</v>
      </c>
      <c r="F2240" t="s">
        <v>5037</v>
      </c>
      <c r="G2240" s="3">
        <v>9705.93</v>
      </c>
      <c r="H2240" s="3">
        <v>0</v>
      </c>
      <c r="I2240" s="3">
        <f>SUM(Tabla1[[#This Row],[Monto_Base]],H2240)</f>
        <v>9705.93</v>
      </c>
      <c r="J2240" t="s">
        <v>5043</v>
      </c>
      <c r="K2240" t="s">
        <v>5047</v>
      </c>
      <c r="L2240" t="s">
        <v>5051</v>
      </c>
      <c r="M2240" t="s">
        <v>5055</v>
      </c>
    </row>
    <row r="2241" spans="1:13" x14ac:dyDescent="0.3">
      <c r="A2241" s="1">
        <v>45612</v>
      </c>
      <c r="B2241" s="1" t="str">
        <f>TEXT(Tabla1[[#This Row],[Fecha]],"MMMM")</f>
        <v>noviembre</v>
      </c>
      <c r="C2241" t="s">
        <v>2251</v>
      </c>
      <c r="D2241" t="s">
        <v>5031</v>
      </c>
      <c r="E2241" t="s">
        <v>5032</v>
      </c>
      <c r="F2241" t="s">
        <v>5038</v>
      </c>
      <c r="G2241" s="3">
        <v>9370.26</v>
      </c>
      <c r="H2241" s="3">
        <v>0</v>
      </c>
      <c r="I2241" s="3">
        <f>SUM(Tabla1[[#This Row],[Monto_Base]],H2241)</f>
        <v>9370.26</v>
      </c>
      <c r="J2241" t="s">
        <v>5042</v>
      </c>
      <c r="K2241" t="s">
        <v>5048</v>
      </c>
      <c r="L2241" t="s">
        <v>5053</v>
      </c>
      <c r="M2241" t="s">
        <v>5055</v>
      </c>
    </row>
    <row r="2242" spans="1:13" x14ac:dyDescent="0.3">
      <c r="A2242" s="1">
        <v>45506</v>
      </c>
      <c r="B2242" s="1" t="str">
        <f>TEXT(Tabla1[[#This Row],[Fecha]],"MMMM")</f>
        <v>agosto</v>
      </c>
      <c r="C2242" t="s">
        <v>2252</v>
      </c>
      <c r="D2242" t="s">
        <v>5023</v>
      </c>
      <c r="E2242" t="s">
        <v>5032</v>
      </c>
      <c r="F2242" t="s">
        <v>5038</v>
      </c>
      <c r="G2242" s="3">
        <v>12250.16</v>
      </c>
      <c r="H2242" s="3">
        <v>0</v>
      </c>
      <c r="I2242" s="3">
        <f>SUM(Tabla1[[#This Row],[Monto_Base]],H2242)</f>
        <v>12250.16</v>
      </c>
      <c r="J2242" t="s">
        <v>5043</v>
      </c>
      <c r="K2242" t="s">
        <v>5048</v>
      </c>
      <c r="L2242" t="s">
        <v>5050</v>
      </c>
      <c r="M2242" t="s">
        <v>5054</v>
      </c>
    </row>
    <row r="2243" spans="1:13" x14ac:dyDescent="0.3">
      <c r="A2243" s="1">
        <v>45379</v>
      </c>
      <c r="B2243" s="1" t="str">
        <f>TEXT(Tabla1[[#This Row],[Fecha]],"MMMM")</f>
        <v>marzo</v>
      </c>
      <c r="C2243" t="s">
        <v>2253</v>
      </c>
      <c r="D2243" t="s">
        <v>5012</v>
      </c>
      <c r="E2243" t="s">
        <v>5033</v>
      </c>
      <c r="F2243" t="s">
        <v>5036</v>
      </c>
      <c r="G2243" s="3">
        <v>8497.42</v>
      </c>
      <c r="H2243" s="3">
        <v>1104.6600000000001</v>
      </c>
      <c r="I2243" s="3">
        <f>SUM(Tabla1[[#This Row],[Monto_Base]],H2243)</f>
        <v>9602.08</v>
      </c>
      <c r="J2243" t="s">
        <v>5042</v>
      </c>
      <c r="K2243" t="s">
        <v>5047</v>
      </c>
      <c r="L2243" t="s">
        <v>5052</v>
      </c>
      <c r="M2243" t="s">
        <v>5054</v>
      </c>
    </row>
    <row r="2244" spans="1:13" x14ac:dyDescent="0.3">
      <c r="A2244" s="1">
        <v>45435</v>
      </c>
      <c r="B2244" s="1" t="str">
        <f>TEXT(Tabla1[[#This Row],[Fecha]],"MMMM")</f>
        <v>mayo</v>
      </c>
      <c r="C2244" t="s">
        <v>2254</v>
      </c>
      <c r="D2244" t="s">
        <v>5015</v>
      </c>
      <c r="E2244" t="s">
        <v>5032</v>
      </c>
      <c r="F2244" t="s">
        <v>5034</v>
      </c>
      <c r="G2244" s="3">
        <v>9314.4599999999991</v>
      </c>
      <c r="H2244" s="3">
        <v>0</v>
      </c>
      <c r="I2244" s="3">
        <f>SUM(Tabla1[[#This Row],[Monto_Base]],H2244)</f>
        <v>9314.4599999999991</v>
      </c>
      <c r="J2244" t="s">
        <v>5044</v>
      </c>
      <c r="K2244" t="s">
        <v>5049</v>
      </c>
      <c r="L2244" t="s">
        <v>5053</v>
      </c>
      <c r="M2244" t="s">
        <v>5054</v>
      </c>
    </row>
    <row r="2245" spans="1:13" x14ac:dyDescent="0.3">
      <c r="A2245" s="1">
        <v>45380</v>
      </c>
      <c r="B2245" s="1" t="str">
        <f>TEXT(Tabla1[[#This Row],[Fecha]],"MMMM")</f>
        <v>marzo</v>
      </c>
      <c r="C2245" t="s">
        <v>2255</v>
      </c>
      <c r="D2245" t="s">
        <v>5026</v>
      </c>
      <c r="E2245" t="s">
        <v>5032</v>
      </c>
      <c r="F2245" t="s">
        <v>5034</v>
      </c>
      <c r="G2245" s="3">
        <v>3746.63</v>
      </c>
      <c r="H2245" s="3">
        <v>0</v>
      </c>
      <c r="I2245" s="3">
        <f>SUM(Tabla1[[#This Row],[Monto_Base]],H2245)</f>
        <v>3746.63</v>
      </c>
      <c r="J2245" t="s">
        <v>5045</v>
      </c>
      <c r="K2245" t="s">
        <v>5047</v>
      </c>
      <c r="L2245" t="s">
        <v>5052</v>
      </c>
      <c r="M2245" t="s">
        <v>5055</v>
      </c>
    </row>
    <row r="2246" spans="1:13" x14ac:dyDescent="0.3">
      <c r="A2246" s="1">
        <v>45461</v>
      </c>
      <c r="B2246" s="1" t="str">
        <f>TEXT(Tabla1[[#This Row],[Fecha]],"MMMM")</f>
        <v>junio</v>
      </c>
      <c r="C2246" t="s">
        <v>2256</v>
      </c>
      <c r="D2246" t="s">
        <v>5012</v>
      </c>
      <c r="E2246" t="s">
        <v>5033</v>
      </c>
      <c r="F2246" t="s">
        <v>5040</v>
      </c>
      <c r="G2246" s="3">
        <v>13592.73</v>
      </c>
      <c r="H2246" s="3">
        <v>1767.05</v>
      </c>
      <c r="I2246" s="3">
        <f>SUM(Tabla1[[#This Row],[Monto_Base]],H2246)</f>
        <v>15359.779999999999</v>
      </c>
      <c r="J2246" t="s">
        <v>5044</v>
      </c>
      <c r="K2246" t="s">
        <v>5047</v>
      </c>
      <c r="L2246" t="s">
        <v>5053</v>
      </c>
      <c r="M2246" t="s">
        <v>5054</v>
      </c>
    </row>
    <row r="2247" spans="1:13" x14ac:dyDescent="0.3">
      <c r="A2247" s="1">
        <v>45499</v>
      </c>
      <c r="B2247" s="1" t="str">
        <f>TEXT(Tabla1[[#This Row],[Fecha]],"MMMM")</f>
        <v>julio</v>
      </c>
      <c r="C2247" t="s">
        <v>2257</v>
      </c>
      <c r="D2247" t="s">
        <v>5029</v>
      </c>
      <c r="E2247" t="s">
        <v>5032</v>
      </c>
      <c r="F2247" t="s">
        <v>5035</v>
      </c>
      <c r="G2247" s="3">
        <v>3429.24</v>
      </c>
      <c r="H2247" s="3">
        <v>0</v>
      </c>
      <c r="I2247" s="3">
        <f>SUM(Tabla1[[#This Row],[Monto_Base]],H2247)</f>
        <v>3429.24</v>
      </c>
      <c r="J2247" t="s">
        <v>5042</v>
      </c>
      <c r="K2247" t="s">
        <v>5049</v>
      </c>
      <c r="L2247" t="s">
        <v>5051</v>
      </c>
      <c r="M2247" t="s">
        <v>5054</v>
      </c>
    </row>
    <row r="2248" spans="1:13" x14ac:dyDescent="0.3">
      <c r="A2248" s="1">
        <v>45418</v>
      </c>
      <c r="B2248" s="1" t="str">
        <f>TEXT(Tabla1[[#This Row],[Fecha]],"MMMM")</f>
        <v>mayo</v>
      </c>
      <c r="C2248" t="s">
        <v>2258</v>
      </c>
      <c r="D2248" t="s">
        <v>5017</v>
      </c>
      <c r="E2248" t="s">
        <v>5033</v>
      </c>
      <c r="F2248" t="s">
        <v>5039</v>
      </c>
      <c r="G2248" s="3">
        <v>4453.42</v>
      </c>
      <c r="H2248" s="3">
        <v>578.94000000000005</v>
      </c>
      <c r="I2248" s="3">
        <f>SUM(Tabla1[[#This Row],[Monto_Base]],H2248)</f>
        <v>5032.3600000000006</v>
      </c>
      <c r="J2248" t="s">
        <v>5043</v>
      </c>
      <c r="K2248" t="s">
        <v>5047</v>
      </c>
      <c r="L2248" t="s">
        <v>5050</v>
      </c>
      <c r="M2248" t="s">
        <v>5054</v>
      </c>
    </row>
    <row r="2249" spans="1:13" x14ac:dyDescent="0.3">
      <c r="A2249" s="1">
        <v>45567</v>
      </c>
      <c r="B2249" s="1" t="str">
        <f>TEXT(Tabla1[[#This Row],[Fecha]],"MMMM")</f>
        <v>octubre</v>
      </c>
      <c r="C2249" t="s">
        <v>2259</v>
      </c>
      <c r="D2249" t="s">
        <v>5023</v>
      </c>
      <c r="E2249" t="s">
        <v>5033</v>
      </c>
      <c r="F2249" t="s">
        <v>5040</v>
      </c>
      <c r="G2249" s="3">
        <v>8486.74</v>
      </c>
      <c r="H2249" s="3">
        <v>1103.28</v>
      </c>
      <c r="I2249" s="3">
        <f>SUM(Tabla1[[#This Row],[Monto_Base]],H2249)</f>
        <v>9590.02</v>
      </c>
      <c r="J2249" t="s">
        <v>5046</v>
      </c>
      <c r="K2249" t="s">
        <v>5047</v>
      </c>
      <c r="L2249" t="s">
        <v>5052</v>
      </c>
      <c r="M2249" t="s">
        <v>5055</v>
      </c>
    </row>
    <row r="2250" spans="1:13" x14ac:dyDescent="0.3">
      <c r="A2250" s="1">
        <v>45462</v>
      </c>
      <c r="B2250" s="1" t="str">
        <f>TEXT(Tabla1[[#This Row],[Fecha]],"MMMM")</f>
        <v>junio</v>
      </c>
      <c r="C2250" t="s">
        <v>2260</v>
      </c>
      <c r="D2250" t="s">
        <v>5030</v>
      </c>
      <c r="E2250" t="s">
        <v>5033</v>
      </c>
      <c r="F2250" t="s">
        <v>5035</v>
      </c>
      <c r="G2250" s="3">
        <v>6692.75</v>
      </c>
      <c r="H2250" s="3">
        <v>870.06</v>
      </c>
      <c r="I2250" s="3">
        <f>SUM(Tabla1[[#This Row],[Monto_Base]],H2250)</f>
        <v>7562.8099999999995</v>
      </c>
      <c r="J2250" t="s">
        <v>5042</v>
      </c>
      <c r="K2250" t="s">
        <v>5048</v>
      </c>
      <c r="L2250" t="s">
        <v>5051</v>
      </c>
      <c r="M2250" t="s">
        <v>5054</v>
      </c>
    </row>
    <row r="2251" spans="1:13" x14ac:dyDescent="0.3">
      <c r="A2251" s="1">
        <v>45497</v>
      </c>
      <c r="B2251" s="1" t="str">
        <f>TEXT(Tabla1[[#This Row],[Fecha]],"MMMM")</f>
        <v>julio</v>
      </c>
      <c r="C2251" t="s">
        <v>2261</v>
      </c>
      <c r="D2251" t="s">
        <v>5013</v>
      </c>
      <c r="E2251" t="s">
        <v>5033</v>
      </c>
      <c r="F2251" t="s">
        <v>5034</v>
      </c>
      <c r="G2251" s="3">
        <v>14506.36</v>
      </c>
      <c r="H2251" s="3">
        <v>1885.83</v>
      </c>
      <c r="I2251" s="3">
        <f>SUM(Tabla1[[#This Row],[Monto_Base]],H2251)</f>
        <v>16392.190000000002</v>
      </c>
      <c r="J2251" t="s">
        <v>5046</v>
      </c>
      <c r="K2251" t="s">
        <v>5047</v>
      </c>
      <c r="L2251" t="s">
        <v>5050</v>
      </c>
      <c r="M2251" t="s">
        <v>5055</v>
      </c>
    </row>
    <row r="2252" spans="1:13" x14ac:dyDescent="0.3">
      <c r="A2252" s="1">
        <v>45299</v>
      </c>
      <c r="B2252" s="1" t="str">
        <f>TEXT(Tabla1[[#This Row],[Fecha]],"MMMM")</f>
        <v>enero</v>
      </c>
      <c r="C2252" t="s">
        <v>2262</v>
      </c>
      <c r="D2252" t="s">
        <v>5014</v>
      </c>
      <c r="E2252" t="s">
        <v>5032</v>
      </c>
      <c r="F2252" t="s">
        <v>5038</v>
      </c>
      <c r="G2252" s="3">
        <v>2442.79</v>
      </c>
      <c r="H2252" s="3">
        <v>0</v>
      </c>
      <c r="I2252" s="3">
        <f>SUM(Tabla1[[#This Row],[Monto_Base]],H2252)</f>
        <v>2442.79</v>
      </c>
      <c r="J2252" t="s">
        <v>5043</v>
      </c>
      <c r="K2252" t="s">
        <v>5047</v>
      </c>
      <c r="L2252" t="s">
        <v>5051</v>
      </c>
      <c r="M2252" t="s">
        <v>5054</v>
      </c>
    </row>
    <row r="2253" spans="1:13" x14ac:dyDescent="0.3">
      <c r="A2253" s="1">
        <v>45384</v>
      </c>
      <c r="B2253" s="1" t="str">
        <f>TEXT(Tabla1[[#This Row],[Fecha]],"MMMM")</f>
        <v>abril</v>
      </c>
      <c r="C2253" t="s">
        <v>2263</v>
      </c>
      <c r="D2253" t="s">
        <v>5018</v>
      </c>
      <c r="E2253" t="s">
        <v>5032</v>
      </c>
      <c r="F2253" t="s">
        <v>5036</v>
      </c>
      <c r="G2253" s="3">
        <v>8810.06</v>
      </c>
      <c r="H2253" s="3">
        <v>0</v>
      </c>
      <c r="I2253" s="3">
        <f>SUM(Tabla1[[#This Row],[Monto_Base]],H2253)</f>
        <v>8810.06</v>
      </c>
      <c r="J2253" t="s">
        <v>5043</v>
      </c>
      <c r="K2253" t="s">
        <v>5048</v>
      </c>
      <c r="L2253" t="s">
        <v>5053</v>
      </c>
      <c r="M2253" t="s">
        <v>5054</v>
      </c>
    </row>
    <row r="2254" spans="1:13" x14ac:dyDescent="0.3">
      <c r="A2254" s="1">
        <v>45357</v>
      </c>
      <c r="B2254" s="1" t="str">
        <f>TEXT(Tabla1[[#This Row],[Fecha]],"MMMM")</f>
        <v>marzo</v>
      </c>
      <c r="C2254" t="s">
        <v>2264</v>
      </c>
      <c r="D2254" t="s">
        <v>5018</v>
      </c>
      <c r="E2254" t="s">
        <v>5032</v>
      </c>
      <c r="F2254" t="s">
        <v>5034</v>
      </c>
      <c r="G2254" s="3">
        <v>10852.08</v>
      </c>
      <c r="H2254" s="3">
        <v>0</v>
      </c>
      <c r="I2254" s="3">
        <f>SUM(Tabla1[[#This Row],[Monto_Base]],H2254)</f>
        <v>10852.08</v>
      </c>
      <c r="J2254" t="s">
        <v>5043</v>
      </c>
      <c r="K2254" t="s">
        <v>5048</v>
      </c>
      <c r="L2254" t="s">
        <v>5050</v>
      </c>
      <c r="M2254" t="s">
        <v>5055</v>
      </c>
    </row>
    <row r="2255" spans="1:13" x14ac:dyDescent="0.3">
      <c r="A2255" s="1">
        <v>45364</v>
      </c>
      <c r="B2255" s="1" t="str">
        <f>TEXT(Tabla1[[#This Row],[Fecha]],"MMMM")</f>
        <v>marzo</v>
      </c>
      <c r="C2255" t="s">
        <v>2265</v>
      </c>
      <c r="D2255" t="s">
        <v>5023</v>
      </c>
      <c r="E2255" t="s">
        <v>5032</v>
      </c>
      <c r="F2255" t="s">
        <v>5038</v>
      </c>
      <c r="G2255" s="3">
        <v>5777.27</v>
      </c>
      <c r="H2255" s="3">
        <v>0</v>
      </c>
      <c r="I2255" s="3">
        <f>SUM(Tabla1[[#This Row],[Monto_Base]],H2255)</f>
        <v>5777.27</v>
      </c>
      <c r="J2255" t="s">
        <v>5045</v>
      </c>
      <c r="K2255" t="s">
        <v>5049</v>
      </c>
      <c r="L2255" t="s">
        <v>5050</v>
      </c>
      <c r="M2255" t="s">
        <v>5054</v>
      </c>
    </row>
    <row r="2256" spans="1:13" x14ac:dyDescent="0.3">
      <c r="A2256" s="1">
        <v>45373</v>
      </c>
      <c r="B2256" s="1" t="str">
        <f>TEXT(Tabla1[[#This Row],[Fecha]],"MMMM")</f>
        <v>marzo</v>
      </c>
      <c r="C2256" t="s">
        <v>2266</v>
      </c>
      <c r="D2256" t="s">
        <v>5024</v>
      </c>
      <c r="E2256" t="s">
        <v>5033</v>
      </c>
      <c r="F2256" t="s">
        <v>5035</v>
      </c>
      <c r="G2256" s="3">
        <v>8587.67</v>
      </c>
      <c r="H2256" s="3">
        <v>1116.4000000000001</v>
      </c>
      <c r="I2256" s="3">
        <f>SUM(Tabla1[[#This Row],[Monto_Base]],H2256)</f>
        <v>9704.07</v>
      </c>
      <c r="J2256" t="s">
        <v>5042</v>
      </c>
      <c r="K2256" t="s">
        <v>5048</v>
      </c>
      <c r="L2256" t="s">
        <v>5051</v>
      </c>
      <c r="M2256" t="s">
        <v>5054</v>
      </c>
    </row>
    <row r="2257" spans="1:13" x14ac:dyDescent="0.3">
      <c r="A2257" s="1">
        <v>45324</v>
      </c>
      <c r="B2257" s="1" t="str">
        <f>TEXT(Tabla1[[#This Row],[Fecha]],"MMMM")</f>
        <v>febrero</v>
      </c>
      <c r="C2257" t="s">
        <v>2267</v>
      </c>
      <c r="D2257" t="s">
        <v>5022</v>
      </c>
      <c r="E2257" t="s">
        <v>5033</v>
      </c>
      <c r="F2257" t="s">
        <v>5039</v>
      </c>
      <c r="G2257" s="3">
        <v>10592</v>
      </c>
      <c r="H2257" s="3">
        <v>1376.96</v>
      </c>
      <c r="I2257" s="3">
        <f>SUM(Tabla1[[#This Row],[Monto_Base]],H2257)</f>
        <v>11968.96</v>
      </c>
      <c r="J2257" t="s">
        <v>5044</v>
      </c>
      <c r="K2257" t="s">
        <v>5049</v>
      </c>
      <c r="L2257" t="s">
        <v>5052</v>
      </c>
      <c r="M2257" t="s">
        <v>5055</v>
      </c>
    </row>
    <row r="2258" spans="1:13" x14ac:dyDescent="0.3">
      <c r="A2258" s="1">
        <v>45363</v>
      </c>
      <c r="B2258" s="1" t="str">
        <f>TEXT(Tabla1[[#This Row],[Fecha]],"MMMM")</f>
        <v>marzo</v>
      </c>
      <c r="C2258" t="s">
        <v>2268</v>
      </c>
      <c r="D2258" t="s">
        <v>5022</v>
      </c>
      <c r="E2258" t="s">
        <v>5032</v>
      </c>
      <c r="F2258" t="s">
        <v>5036</v>
      </c>
      <c r="G2258" s="3">
        <v>4100.04</v>
      </c>
      <c r="H2258" s="3">
        <v>0</v>
      </c>
      <c r="I2258" s="3">
        <f>SUM(Tabla1[[#This Row],[Monto_Base]],H2258)</f>
        <v>4100.04</v>
      </c>
      <c r="J2258" t="s">
        <v>5045</v>
      </c>
      <c r="K2258" t="s">
        <v>5049</v>
      </c>
      <c r="L2258" t="s">
        <v>5053</v>
      </c>
      <c r="M2258" t="s">
        <v>5055</v>
      </c>
    </row>
    <row r="2259" spans="1:13" x14ac:dyDescent="0.3">
      <c r="A2259" s="1">
        <v>45528</v>
      </c>
      <c r="B2259" s="1" t="str">
        <f>TEXT(Tabla1[[#This Row],[Fecha]],"MMMM")</f>
        <v>agosto</v>
      </c>
      <c r="C2259" t="s">
        <v>2269</v>
      </c>
      <c r="D2259" t="s">
        <v>5012</v>
      </c>
      <c r="E2259" t="s">
        <v>5032</v>
      </c>
      <c r="F2259" t="s">
        <v>5041</v>
      </c>
      <c r="G2259" s="3">
        <v>13764.01</v>
      </c>
      <c r="H2259" s="3">
        <v>0</v>
      </c>
      <c r="I2259" s="3">
        <f>SUM(Tabla1[[#This Row],[Monto_Base]],H2259)</f>
        <v>13764.01</v>
      </c>
      <c r="J2259" t="s">
        <v>5046</v>
      </c>
      <c r="K2259" t="s">
        <v>5048</v>
      </c>
      <c r="L2259" t="s">
        <v>5050</v>
      </c>
      <c r="M2259" t="s">
        <v>5054</v>
      </c>
    </row>
    <row r="2260" spans="1:13" x14ac:dyDescent="0.3">
      <c r="A2260" s="1">
        <v>45548</v>
      </c>
      <c r="B2260" s="1" t="str">
        <f>TEXT(Tabla1[[#This Row],[Fecha]],"MMMM")</f>
        <v>septiembre</v>
      </c>
      <c r="C2260" t="s">
        <v>2270</v>
      </c>
      <c r="D2260" t="s">
        <v>5029</v>
      </c>
      <c r="E2260" t="s">
        <v>5033</v>
      </c>
      <c r="F2260" t="s">
        <v>5039</v>
      </c>
      <c r="G2260" s="3">
        <v>14562.68</v>
      </c>
      <c r="H2260" s="3">
        <v>1893.15</v>
      </c>
      <c r="I2260" s="3">
        <f>SUM(Tabla1[[#This Row],[Monto_Base]],H2260)</f>
        <v>16455.830000000002</v>
      </c>
      <c r="J2260" t="s">
        <v>5042</v>
      </c>
      <c r="K2260" t="s">
        <v>5047</v>
      </c>
      <c r="L2260" t="s">
        <v>5051</v>
      </c>
      <c r="M2260" t="s">
        <v>5055</v>
      </c>
    </row>
    <row r="2261" spans="1:13" x14ac:dyDescent="0.3">
      <c r="A2261" s="1">
        <v>45569</v>
      </c>
      <c r="B2261" s="1" t="str">
        <f>TEXT(Tabla1[[#This Row],[Fecha]],"MMMM")</f>
        <v>octubre</v>
      </c>
      <c r="C2261" t="s">
        <v>2271</v>
      </c>
      <c r="D2261" t="s">
        <v>5031</v>
      </c>
      <c r="E2261" t="s">
        <v>5033</v>
      </c>
      <c r="F2261" t="s">
        <v>5035</v>
      </c>
      <c r="G2261" s="3">
        <v>4572.54</v>
      </c>
      <c r="H2261" s="3">
        <v>594.42999999999995</v>
      </c>
      <c r="I2261" s="3">
        <f>SUM(Tabla1[[#This Row],[Monto_Base]],H2261)</f>
        <v>5166.97</v>
      </c>
      <c r="J2261" t="s">
        <v>5043</v>
      </c>
      <c r="K2261" t="s">
        <v>5048</v>
      </c>
      <c r="L2261" t="s">
        <v>5053</v>
      </c>
      <c r="M2261" t="s">
        <v>5055</v>
      </c>
    </row>
    <row r="2262" spans="1:13" x14ac:dyDescent="0.3">
      <c r="A2262" s="1">
        <v>45379</v>
      </c>
      <c r="B2262" s="1" t="str">
        <f>TEXT(Tabla1[[#This Row],[Fecha]],"MMMM")</f>
        <v>marzo</v>
      </c>
      <c r="C2262" t="s">
        <v>2272</v>
      </c>
      <c r="D2262" t="s">
        <v>5019</v>
      </c>
      <c r="E2262" t="s">
        <v>5033</v>
      </c>
      <c r="F2262" t="s">
        <v>5034</v>
      </c>
      <c r="G2262" s="3">
        <v>13215.38</v>
      </c>
      <c r="H2262" s="3">
        <v>1718</v>
      </c>
      <c r="I2262" s="3">
        <f>SUM(Tabla1[[#This Row],[Monto_Base]],H2262)</f>
        <v>14933.38</v>
      </c>
      <c r="J2262" t="s">
        <v>5042</v>
      </c>
      <c r="K2262" t="s">
        <v>5049</v>
      </c>
      <c r="L2262" t="s">
        <v>5050</v>
      </c>
      <c r="M2262" t="s">
        <v>5055</v>
      </c>
    </row>
    <row r="2263" spans="1:13" x14ac:dyDescent="0.3">
      <c r="A2263" s="1">
        <v>45569</v>
      </c>
      <c r="B2263" s="1" t="str">
        <f>TEXT(Tabla1[[#This Row],[Fecha]],"MMMM")</f>
        <v>octubre</v>
      </c>
      <c r="C2263" t="s">
        <v>2273</v>
      </c>
      <c r="D2263" t="s">
        <v>5015</v>
      </c>
      <c r="E2263" t="s">
        <v>5033</v>
      </c>
      <c r="F2263" t="s">
        <v>5039</v>
      </c>
      <c r="G2263" s="3">
        <v>5137.38</v>
      </c>
      <c r="H2263" s="3">
        <v>667.86</v>
      </c>
      <c r="I2263" s="3">
        <f>SUM(Tabla1[[#This Row],[Monto_Base]],H2263)</f>
        <v>5805.24</v>
      </c>
      <c r="J2263" t="s">
        <v>5044</v>
      </c>
      <c r="K2263" t="s">
        <v>5048</v>
      </c>
      <c r="L2263" t="s">
        <v>5051</v>
      </c>
      <c r="M2263" t="s">
        <v>5054</v>
      </c>
    </row>
    <row r="2264" spans="1:13" x14ac:dyDescent="0.3">
      <c r="A2264" s="1">
        <v>45569</v>
      </c>
      <c r="B2264" s="1" t="str">
        <f>TEXT(Tabla1[[#This Row],[Fecha]],"MMMM")</f>
        <v>octubre</v>
      </c>
      <c r="C2264" t="s">
        <v>2274</v>
      </c>
      <c r="D2264" t="s">
        <v>5016</v>
      </c>
      <c r="E2264" t="s">
        <v>5032</v>
      </c>
      <c r="F2264" t="s">
        <v>5034</v>
      </c>
      <c r="G2264" s="3">
        <v>12451.66</v>
      </c>
      <c r="H2264" s="3">
        <v>0</v>
      </c>
      <c r="I2264" s="3">
        <f>SUM(Tabla1[[#This Row],[Monto_Base]],H2264)</f>
        <v>12451.66</v>
      </c>
      <c r="J2264" t="s">
        <v>5046</v>
      </c>
      <c r="K2264" t="s">
        <v>5048</v>
      </c>
      <c r="L2264" t="s">
        <v>5050</v>
      </c>
      <c r="M2264" t="s">
        <v>5055</v>
      </c>
    </row>
    <row r="2265" spans="1:13" x14ac:dyDescent="0.3">
      <c r="A2265" s="1">
        <v>45428</v>
      </c>
      <c r="B2265" s="1" t="str">
        <f>TEXT(Tabla1[[#This Row],[Fecha]],"MMMM")</f>
        <v>mayo</v>
      </c>
      <c r="C2265" t="s">
        <v>2275</v>
      </c>
      <c r="D2265" t="s">
        <v>5027</v>
      </c>
      <c r="E2265" t="s">
        <v>5033</v>
      </c>
      <c r="F2265" t="s">
        <v>5035</v>
      </c>
      <c r="G2265" s="3">
        <v>11107.86</v>
      </c>
      <c r="H2265" s="3">
        <v>1444.02</v>
      </c>
      <c r="I2265" s="3">
        <f>SUM(Tabla1[[#This Row],[Monto_Base]],H2265)</f>
        <v>12551.880000000001</v>
      </c>
      <c r="J2265" t="s">
        <v>5043</v>
      </c>
      <c r="K2265" t="s">
        <v>5048</v>
      </c>
      <c r="L2265" t="s">
        <v>5052</v>
      </c>
      <c r="M2265" t="s">
        <v>5054</v>
      </c>
    </row>
    <row r="2266" spans="1:13" x14ac:dyDescent="0.3">
      <c r="A2266" s="1">
        <v>45333</v>
      </c>
      <c r="B2266" s="1" t="str">
        <f>TEXT(Tabla1[[#This Row],[Fecha]],"MMMM")</f>
        <v>febrero</v>
      </c>
      <c r="C2266" t="s">
        <v>2276</v>
      </c>
      <c r="D2266" t="s">
        <v>5029</v>
      </c>
      <c r="E2266" t="s">
        <v>5033</v>
      </c>
      <c r="F2266" t="s">
        <v>5040</v>
      </c>
      <c r="G2266" s="3">
        <v>11069.85</v>
      </c>
      <c r="H2266" s="3">
        <v>1439.08</v>
      </c>
      <c r="I2266" s="3">
        <f>SUM(Tabla1[[#This Row],[Monto_Base]],H2266)</f>
        <v>12508.93</v>
      </c>
      <c r="J2266" t="s">
        <v>5042</v>
      </c>
      <c r="K2266" t="s">
        <v>5048</v>
      </c>
      <c r="L2266" t="s">
        <v>5052</v>
      </c>
      <c r="M2266" t="s">
        <v>5054</v>
      </c>
    </row>
    <row r="2267" spans="1:13" x14ac:dyDescent="0.3">
      <c r="A2267" s="1">
        <v>45565</v>
      </c>
      <c r="B2267" s="1" t="str">
        <f>TEXT(Tabla1[[#This Row],[Fecha]],"MMMM")</f>
        <v>septiembre</v>
      </c>
      <c r="C2267" t="s">
        <v>2277</v>
      </c>
      <c r="D2267" t="s">
        <v>5026</v>
      </c>
      <c r="E2267" t="s">
        <v>5032</v>
      </c>
      <c r="F2267" t="s">
        <v>5035</v>
      </c>
      <c r="G2267" s="3">
        <v>11336.98</v>
      </c>
      <c r="H2267" s="3">
        <v>0</v>
      </c>
      <c r="I2267" s="3">
        <f>SUM(Tabla1[[#This Row],[Monto_Base]],H2267)</f>
        <v>11336.98</v>
      </c>
      <c r="J2267" t="s">
        <v>5046</v>
      </c>
      <c r="K2267" t="s">
        <v>5048</v>
      </c>
      <c r="L2267" t="s">
        <v>5050</v>
      </c>
      <c r="M2267" t="s">
        <v>5054</v>
      </c>
    </row>
    <row r="2268" spans="1:13" x14ac:dyDescent="0.3">
      <c r="A2268" s="1">
        <v>45420</v>
      </c>
      <c r="B2268" s="1" t="str">
        <f>TEXT(Tabla1[[#This Row],[Fecha]],"MMMM")</f>
        <v>mayo</v>
      </c>
      <c r="C2268" t="s">
        <v>2278</v>
      </c>
      <c r="D2268" t="s">
        <v>5025</v>
      </c>
      <c r="E2268" t="s">
        <v>5033</v>
      </c>
      <c r="F2268" t="s">
        <v>5037</v>
      </c>
      <c r="G2268" s="3">
        <v>2871.11</v>
      </c>
      <c r="H2268" s="3">
        <v>373.24</v>
      </c>
      <c r="I2268" s="3">
        <f>SUM(Tabla1[[#This Row],[Monto_Base]],H2268)</f>
        <v>3244.3500000000004</v>
      </c>
      <c r="J2268" t="s">
        <v>5046</v>
      </c>
      <c r="K2268" t="s">
        <v>5049</v>
      </c>
      <c r="L2268" t="s">
        <v>5053</v>
      </c>
      <c r="M2268" t="s">
        <v>5054</v>
      </c>
    </row>
    <row r="2269" spans="1:13" x14ac:dyDescent="0.3">
      <c r="A2269" s="1">
        <v>45583</v>
      </c>
      <c r="B2269" s="1" t="str">
        <f>TEXT(Tabla1[[#This Row],[Fecha]],"MMMM")</f>
        <v>octubre</v>
      </c>
      <c r="C2269" t="s">
        <v>2279</v>
      </c>
      <c r="D2269" t="s">
        <v>5026</v>
      </c>
      <c r="E2269" t="s">
        <v>5033</v>
      </c>
      <c r="F2269" t="s">
        <v>5038</v>
      </c>
      <c r="G2269" s="3">
        <v>1353.48</v>
      </c>
      <c r="H2269" s="3">
        <v>175.95</v>
      </c>
      <c r="I2269" s="3">
        <f>SUM(Tabla1[[#This Row],[Monto_Base]],H2269)</f>
        <v>1529.43</v>
      </c>
      <c r="J2269" t="s">
        <v>5042</v>
      </c>
      <c r="K2269" t="s">
        <v>5047</v>
      </c>
      <c r="L2269" t="s">
        <v>5053</v>
      </c>
      <c r="M2269" t="s">
        <v>5054</v>
      </c>
    </row>
    <row r="2270" spans="1:13" x14ac:dyDescent="0.3">
      <c r="A2270" s="1">
        <v>45501</v>
      </c>
      <c r="B2270" s="1" t="str">
        <f>TEXT(Tabla1[[#This Row],[Fecha]],"MMMM")</f>
        <v>julio</v>
      </c>
      <c r="C2270" t="s">
        <v>2280</v>
      </c>
      <c r="D2270" t="s">
        <v>5019</v>
      </c>
      <c r="E2270" t="s">
        <v>5033</v>
      </c>
      <c r="F2270" t="s">
        <v>5041</v>
      </c>
      <c r="G2270" s="3">
        <v>644.37</v>
      </c>
      <c r="H2270" s="3">
        <v>83.77</v>
      </c>
      <c r="I2270" s="3">
        <f>SUM(Tabla1[[#This Row],[Monto_Base]],H2270)</f>
        <v>728.14</v>
      </c>
      <c r="J2270" t="s">
        <v>5043</v>
      </c>
      <c r="K2270" t="s">
        <v>5047</v>
      </c>
      <c r="L2270" t="s">
        <v>5051</v>
      </c>
      <c r="M2270" t="s">
        <v>5055</v>
      </c>
    </row>
    <row r="2271" spans="1:13" x14ac:dyDescent="0.3">
      <c r="A2271" s="1">
        <v>45326</v>
      </c>
      <c r="B2271" s="1" t="str">
        <f>TEXT(Tabla1[[#This Row],[Fecha]],"MMMM")</f>
        <v>febrero</v>
      </c>
      <c r="C2271" t="s">
        <v>2281</v>
      </c>
      <c r="D2271" t="s">
        <v>5031</v>
      </c>
      <c r="E2271" t="s">
        <v>5032</v>
      </c>
      <c r="F2271" t="s">
        <v>5037</v>
      </c>
      <c r="G2271" s="3">
        <v>2953.37</v>
      </c>
      <c r="H2271" s="3">
        <v>0</v>
      </c>
      <c r="I2271" s="3">
        <f>SUM(Tabla1[[#This Row],[Monto_Base]],H2271)</f>
        <v>2953.37</v>
      </c>
      <c r="J2271" t="s">
        <v>5043</v>
      </c>
      <c r="K2271" t="s">
        <v>5048</v>
      </c>
      <c r="L2271" t="s">
        <v>5053</v>
      </c>
      <c r="M2271" t="s">
        <v>5054</v>
      </c>
    </row>
    <row r="2272" spans="1:13" x14ac:dyDescent="0.3">
      <c r="A2272" s="1">
        <v>45335</v>
      </c>
      <c r="B2272" s="1" t="str">
        <f>TEXT(Tabla1[[#This Row],[Fecha]],"MMMM")</f>
        <v>febrero</v>
      </c>
      <c r="C2272" t="s">
        <v>2282</v>
      </c>
      <c r="D2272" t="s">
        <v>5031</v>
      </c>
      <c r="E2272" t="s">
        <v>5033</v>
      </c>
      <c r="F2272" t="s">
        <v>5035</v>
      </c>
      <c r="G2272" s="3">
        <v>11072.99</v>
      </c>
      <c r="H2272" s="3">
        <v>1439.49</v>
      </c>
      <c r="I2272" s="3">
        <f>SUM(Tabla1[[#This Row],[Monto_Base]],H2272)</f>
        <v>12512.48</v>
      </c>
      <c r="J2272" t="s">
        <v>5042</v>
      </c>
      <c r="K2272" t="s">
        <v>5047</v>
      </c>
      <c r="L2272" t="s">
        <v>5052</v>
      </c>
      <c r="M2272" t="s">
        <v>5055</v>
      </c>
    </row>
    <row r="2273" spans="1:13" x14ac:dyDescent="0.3">
      <c r="A2273" s="1">
        <v>45529</v>
      </c>
      <c r="B2273" s="1" t="str">
        <f>TEXT(Tabla1[[#This Row],[Fecha]],"MMMM")</f>
        <v>agosto</v>
      </c>
      <c r="C2273" t="s">
        <v>2283</v>
      </c>
      <c r="D2273" t="s">
        <v>5023</v>
      </c>
      <c r="E2273" t="s">
        <v>5033</v>
      </c>
      <c r="F2273" t="s">
        <v>5039</v>
      </c>
      <c r="G2273" s="3">
        <v>2446.8200000000002</v>
      </c>
      <c r="H2273" s="3">
        <v>318.08999999999997</v>
      </c>
      <c r="I2273" s="3">
        <f>SUM(Tabla1[[#This Row],[Monto_Base]],H2273)</f>
        <v>2764.9100000000003</v>
      </c>
      <c r="J2273" t="s">
        <v>5045</v>
      </c>
      <c r="K2273" t="s">
        <v>5047</v>
      </c>
      <c r="L2273" t="s">
        <v>5052</v>
      </c>
      <c r="M2273" t="s">
        <v>5055</v>
      </c>
    </row>
    <row r="2274" spans="1:13" x14ac:dyDescent="0.3">
      <c r="A2274" s="1">
        <v>45365</v>
      </c>
      <c r="B2274" s="1" t="str">
        <f>TEXT(Tabla1[[#This Row],[Fecha]],"MMMM")</f>
        <v>marzo</v>
      </c>
      <c r="C2274" t="s">
        <v>2284</v>
      </c>
      <c r="D2274" t="s">
        <v>5012</v>
      </c>
      <c r="E2274" t="s">
        <v>5032</v>
      </c>
      <c r="F2274" t="s">
        <v>5035</v>
      </c>
      <c r="G2274" s="3">
        <v>13979.88</v>
      </c>
      <c r="H2274" s="3">
        <v>0</v>
      </c>
      <c r="I2274" s="3">
        <f>SUM(Tabla1[[#This Row],[Monto_Base]],H2274)</f>
        <v>13979.88</v>
      </c>
      <c r="J2274" t="s">
        <v>5043</v>
      </c>
      <c r="K2274" t="s">
        <v>5048</v>
      </c>
      <c r="L2274" t="s">
        <v>5053</v>
      </c>
      <c r="M2274" t="s">
        <v>5055</v>
      </c>
    </row>
    <row r="2275" spans="1:13" x14ac:dyDescent="0.3">
      <c r="A2275" s="1">
        <v>45506</v>
      </c>
      <c r="B2275" s="1" t="str">
        <f>TEXT(Tabla1[[#This Row],[Fecha]],"MMMM")</f>
        <v>agosto</v>
      </c>
      <c r="C2275" t="s">
        <v>2285</v>
      </c>
      <c r="D2275" t="s">
        <v>5029</v>
      </c>
      <c r="E2275" t="s">
        <v>5032</v>
      </c>
      <c r="F2275" t="s">
        <v>5036</v>
      </c>
      <c r="G2275" s="3">
        <v>13855.86</v>
      </c>
      <c r="H2275" s="3">
        <v>0</v>
      </c>
      <c r="I2275" s="3">
        <f>SUM(Tabla1[[#This Row],[Monto_Base]],H2275)</f>
        <v>13855.86</v>
      </c>
      <c r="J2275" t="s">
        <v>5045</v>
      </c>
      <c r="K2275" t="s">
        <v>5048</v>
      </c>
      <c r="L2275" t="s">
        <v>5050</v>
      </c>
      <c r="M2275" t="s">
        <v>5054</v>
      </c>
    </row>
    <row r="2276" spans="1:13" x14ac:dyDescent="0.3">
      <c r="A2276" s="1">
        <v>45585</v>
      </c>
      <c r="B2276" s="1" t="str">
        <f>TEXT(Tabla1[[#This Row],[Fecha]],"MMMM")</f>
        <v>octubre</v>
      </c>
      <c r="C2276" t="s">
        <v>2286</v>
      </c>
      <c r="D2276" t="s">
        <v>5029</v>
      </c>
      <c r="E2276" t="s">
        <v>5033</v>
      </c>
      <c r="F2276" t="s">
        <v>5040</v>
      </c>
      <c r="G2276" s="3">
        <v>204.33</v>
      </c>
      <c r="H2276" s="3">
        <v>26.56</v>
      </c>
      <c r="I2276" s="3">
        <f>SUM(Tabla1[[#This Row],[Monto_Base]],H2276)</f>
        <v>230.89000000000001</v>
      </c>
      <c r="J2276" t="s">
        <v>5044</v>
      </c>
      <c r="K2276" t="s">
        <v>5047</v>
      </c>
      <c r="L2276" t="s">
        <v>5050</v>
      </c>
      <c r="M2276" t="s">
        <v>5054</v>
      </c>
    </row>
    <row r="2277" spans="1:13" x14ac:dyDescent="0.3">
      <c r="A2277" s="1">
        <v>45509</v>
      </c>
      <c r="B2277" s="1" t="str">
        <f>TEXT(Tabla1[[#This Row],[Fecha]],"MMMM")</f>
        <v>agosto</v>
      </c>
      <c r="C2277" t="s">
        <v>2287</v>
      </c>
      <c r="D2277" t="s">
        <v>5021</v>
      </c>
      <c r="E2277" t="s">
        <v>5032</v>
      </c>
      <c r="F2277" t="s">
        <v>5036</v>
      </c>
      <c r="G2277" s="3">
        <v>6698.16</v>
      </c>
      <c r="H2277" s="3">
        <v>0</v>
      </c>
      <c r="I2277" s="3">
        <f>SUM(Tabla1[[#This Row],[Monto_Base]],H2277)</f>
        <v>6698.16</v>
      </c>
      <c r="J2277" t="s">
        <v>5046</v>
      </c>
      <c r="K2277" t="s">
        <v>5047</v>
      </c>
      <c r="L2277" t="s">
        <v>5053</v>
      </c>
      <c r="M2277" t="s">
        <v>5054</v>
      </c>
    </row>
    <row r="2278" spans="1:13" x14ac:dyDescent="0.3">
      <c r="A2278" s="1">
        <v>45608</v>
      </c>
      <c r="B2278" s="1" t="str">
        <f>TEXT(Tabla1[[#This Row],[Fecha]],"MMMM")</f>
        <v>noviembre</v>
      </c>
      <c r="C2278" t="s">
        <v>2288</v>
      </c>
      <c r="D2278" t="s">
        <v>5027</v>
      </c>
      <c r="E2278" t="s">
        <v>5033</v>
      </c>
      <c r="F2278" t="s">
        <v>5035</v>
      </c>
      <c r="G2278" s="3">
        <v>9661.57</v>
      </c>
      <c r="H2278" s="3">
        <v>1256</v>
      </c>
      <c r="I2278" s="3">
        <f>SUM(Tabla1[[#This Row],[Monto_Base]],H2278)</f>
        <v>10917.57</v>
      </c>
      <c r="J2278" t="s">
        <v>5044</v>
      </c>
      <c r="K2278" t="s">
        <v>5048</v>
      </c>
      <c r="L2278" t="s">
        <v>5053</v>
      </c>
      <c r="M2278" t="s">
        <v>5055</v>
      </c>
    </row>
    <row r="2279" spans="1:13" x14ac:dyDescent="0.3">
      <c r="A2279" s="1">
        <v>45433</v>
      </c>
      <c r="B2279" s="1" t="str">
        <f>TEXT(Tabla1[[#This Row],[Fecha]],"MMMM")</f>
        <v>mayo</v>
      </c>
      <c r="C2279" t="s">
        <v>2289</v>
      </c>
      <c r="D2279" t="s">
        <v>5028</v>
      </c>
      <c r="E2279" t="s">
        <v>5033</v>
      </c>
      <c r="F2279" t="s">
        <v>5036</v>
      </c>
      <c r="G2279" s="3">
        <v>5866.89</v>
      </c>
      <c r="H2279" s="3">
        <v>762.7</v>
      </c>
      <c r="I2279" s="3">
        <f>SUM(Tabla1[[#This Row],[Monto_Base]],H2279)</f>
        <v>6629.59</v>
      </c>
      <c r="J2279" t="s">
        <v>5044</v>
      </c>
      <c r="K2279" t="s">
        <v>5047</v>
      </c>
      <c r="L2279" t="s">
        <v>5052</v>
      </c>
      <c r="M2279" t="s">
        <v>5055</v>
      </c>
    </row>
    <row r="2280" spans="1:13" x14ac:dyDescent="0.3">
      <c r="A2280" s="1">
        <v>45536</v>
      </c>
      <c r="B2280" s="1" t="str">
        <f>TEXT(Tabla1[[#This Row],[Fecha]],"MMMM")</f>
        <v>septiembre</v>
      </c>
      <c r="C2280" t="s">
        <v>2290</v>
      </c>
      <c r="D2280" t="s">
        <v>5018</v>
      </c>
      <c r="E2280" t="s">
        <v>5032</v>
      </c>
      <c r="F2280" t="s">
        <v>5037</v>
      </c>
      <c r="G2280" s="3">
        <v>7874.22</v>
      </c>
      <c r="H2280" s="3">
        <v>0</v>
      </c>
      <c r="I2280" s="3">
        <f>SUM(Tabla1[[#This Row],[Monto_Base]],H2280)</f>
        <v>7874.22</v>
      </c>
      <c r="J2280" t="s">
        <v>5043</v>
      </c>
      <c r="K2280" t="s">
        <v>5047</v>
      </c>
      <c r="L2280" t="s">
        <v>5050</v>
      </c>
      <c r="M2280" t="s">
        <v>5054</v>
      </c>
    </row>
    <row r="2281" spans="1:13" x14ac:dyDescent="0.3">
      <c r="A2281" s="1">
        <v>45315</v>
      </c>
      <c r="B2281" s="1" t="str">
        <f>TEXT(Tabla1[[#This Row],[Fecha]],"MMMM")</f>
        <v>enero</v>
      </c>
      <c r="C2281" t="s">
        <v>2291</v>
      </c>
      <c r="D2281" t="s">
        <v>5014</v>
      </c>
      <c r="E2281" t="s">
        <v>5032</v>
      </c>
      <c r="F2281" t="s">
        <v>5039</v>
      </c>
      <c r="G2281" s="3">
        <v>9373.9500000000007</v>
      </c>
      <c r="H2281" s="3">
        <v>0</v>
      </c>
      <c r="I2281" s="3">
        <f>SUM(Tabla1[[#This Row],[Monto_Base]],H2281)</f>
        <v>9373.9500000000007</v>
      </c>
      <c r="J2281" t="s">
        <v>5044</v>
      </c>
      <c r="K2281" t="s">
        <v>5048</v>
      </c>
      <c r="L2281" t="s">
        <v>5053</v>
      </c>
      <c r="M2281" t="s">
        <v>5055</v>
      </c>
    </row>
    <row r="2282" spans="1:13" x14ac:dyDescent="0.3">
      <c r="A2282" s="1">
        <v>45336</v>
      </c>
      <c r="B2282" s="1" t="str">
        <f>TEXT(Tabla1[[#This Row],[Fecha]],"MMMM")</f>
        <v>febrero</v>
      </c>
      <c r="C2282" t="s">
        <v>2292</v>
      </c>
      <c r="D2282" t="s">
        <v>5020</v>
      </c>
      <c r="E2282" t="s">
        <v>5033</v>
      </c>
      <c r="F2282" t="s">
        <v>5041</v>
      </c>
      <c r="G2282" s="3">
        <v>345.6</v>
      </c>
      <c r="H2282" s="3">
        <v>44.93</v>
      </c>
      <c r="I2282" s="3">
        <f>SUM(Tabla1[[#This Row],[Monto_Base]],H2282)</f>
        <v>390.53000000000003</v>
      </c>
      <c r="J2282" t="s">
        <v>5043</v>
      </c>
      <c r="K2282" t="s">
        <v>5049</v>
      </c>
      <c r="L2282" t="s">
        <v>5052</v>
      </c>
      <c r="M2282" t="s">
        <v>5054</v>
      </c>
    </row>
    <row r="2283" spans="1:13" x14ac:dyDescent="0.3">
      <c r="A2283" s="1">
        <v>45404</v>
      </c>
      <c r="B2283" s="1" t="str">
        <f>TEXT(Tabla1[[#This Row],[Fecha]],"MMMM")</f>
        <v>abril</v>
      </c>
      <c r="C2283" t="s">
        <v>2293</v>
      </c>
      <c r="D2283" t="s">
        <v>5028</v>
      </c>
      <c r="E2283" t="s">
        <v>5033</v>
      </c>
      <c r="F2283" t="s">
        <v>5039</v>
      </c>
      <c r="G2283" s="3">
        <v>4341.12</v>
      </c>
      <c r="H2283" s="3">
        <v>564.35</v>
      </c>
      <c r="I2283" s="3">
        <f>SUM(Tabla1[[#This Row],[Monto_Base]],H2283)</f>
        <v>4905.47</v>
      </c>
      <c r="J2283" t="s">
        <v>5043</v>
      </c>
      <c r="K2283" t="s">
        <v>5048</v>
      </c>
      <c r="L2283" t="s">
        <v>5051</v>
      </c>
      <c r="M2283" t="s">
        <v>5055</v>
      </c>
    </row>
    <row r="2284" spans="1:13" x14ac:dyDescent="0.3">
      <c r="A2284" s="1">
        <v>45511</v>
      </c>
      <c r="B2284" s="1" t="str">
        <f>TEXT(Tabla1[[#This Row],[Fecha]],"MMMM")</f>
        <v>agosto</v>
      </c>
      <c r="C2284" t="s">
        <v>2294</v>
      </c>
      <c r="D2284" t="s">
        <v>5018</v>
      </c>
      <c r="E2284" t="s">
        <v>5033</v>
      </c>
      <c r="F2284" t="s">
        <v>5034</v>
      </c>
      <c r="G2284" s="3">
        <v>4066.59</v>
      </c>
      <c r="H2284" s="3">
        <v>528.66</v>
      </c>
      <c r="I2284" s="3">
        <f>SUM(Tabla1[[#This Row],[Monto_Base]],H2284)</f>
        <v>4595.25</v>
      </c>
      <c r="J2284" t="s">
        <v>5044</v>
      </c>
      <c r="K2284" t="s">
        <v>5047</v>
      </c>
      <c r="L2284" t="s">
        <v>5050</v>
      </c>
      <c r="M2284" t="s">
        <v>5055</v>
      </c>
    </row>
    <row r="2285" spans="1:13" x14ac:dyDescent="0.3">
      <c r="A2285" s="1">
        <v>45442</v>
      </c>
      <c r="B2285" s="1" t="str">
        <f>TEXT(Tabla1[[#This Row],[Fecha]],"MMMM")</f>
        <v>mayo</v>
      </c>
      <c r="C2285" t="s">
        <v>2295</v>
      </c>
      <c r="D2285" t="s">
        <v>5014</v>
      </c>
      <c r="E2285" t="s">
        <v>5033</v>
      </c>
      <c r="F2285" t="s">
        <v>5039</v>
      </c>
      <c r="G2285" s="3">
        <v>5416.08</v>
      </c>
      <c r="H2285" s="3">
        <v>704.09</v>
      </c>
      <c r="I2285" s="3">
        <f>SUM(Tabla1[[#This Row],[Monto_Base]],H2285)</f>
        <v>6120.17</v>
      </c>
      <c r="J2285" t="s">
        <v>5042</v>
      </c>
      <c r="K2285" t="s">
        <v>5048</v>
      </c>
      <c r="L2285" t="s">
        <v>5052</v>
      </c>
      <c r="M2285" t="s">
        <v>5055</v>
      </c>
    </row>
    <row r="2286" spans="1:13" x14ac:dyDescent="0.3">
      <c r="A2286" s="1">
        <v>45380</v>
      </c>
      <c r="B2286" s="1" t="str">
        <f>TEXT(Tabla1[[#This Row],[Fecha]],"MMMM")</f>
        <v>marzo</v>
      </c>
      <c r="C2286" t="s">
        <v>2296</v>
      </c>
      <c r="D2286" t="s">
        <v>5027</v>
      </c>
      <c r="E2286" t="s">
        <v>5033</v>
      </c>
      <c r="F2286" t="s">
        <v>5038</v>
      </c>
      <c r="G2286" s="3">
        <v>10338.81</v>
      </c>
      <c r="H2286" s="3">
        <v>1344.05</v>
      </c>
      <c r="I2286" s="3">
        <f>SUM(Tabla1[[#This Row],[Monto_Base]],H2286)</f>
        <v>11682.859999999999</v>
      </c>
      <c r="J2286" t="s">
        <v>5046</v>
      </c>
      <c r="K2286" t="s">
        <v>5049</v>
      </c>
      <c r="L2286" t="s">
        <v>5050</v>
      </c>
      <c r="M2286" t="s">
        <v>5055</v>
      </c>
    </row>
    <row r="2287" spans="1:13" x14ac:dyDescent="0.3">
      <c r="A2287" s="1">
        <v>45464</v>
      </c>
      <c r="B2287" s="1" t="str">
        <f>TEXT(Tabla1[[#This Row],[Fecha]],"MMMM")</f>
        <v>junio</v>
      </c>
      <c r="C2287" t="s">
        <v>2297</v>
      </c>
      <c r="D2287" t="s">
        <v>5012</v>
      </c>
      <c r="E2287" t="s">
        <v>5033</v>
      </c>
      <c r="F2287" t="s">
        <v>5040</v>
      </c>
      <c r="G2287" s="3">
        <v>3445.69</v>
      </c>
      <c r="H2287" s="3">
        <v>447.94</v>
      </c>
      <c r="I2287" s="3">
        <f>SUM(Tabla1[[#This Row],[Monto_Base]],H2287)</f>
        <v>3893.63</v>
      </c>
      <c r="J2287" t="s">
        <v>5044</v>
      </c>
      <c r="K2287" t="s">
        <v>5048</v>
      </c>
      <c r="L2287" t="s">
        <v>5051</v>
      </c>
      <c r="M2287" t="s">
        <v>5054</v>
      </c>
    </row>
    <row r="2288" spans="1:13" x14ac:dyDescent="0.3">
      <c r="A2288" s="1">
        <v>45594</v>
      </c>
      <c r="B2288" s="1" t="str">
        <f>TEXT(Tabla1[[#This Row],[Fecha]],"MMMM")</f>
        <v>octubre</v>
      </c>
      <c r="C2288" t="s">
        <v>2298</v>
      </c>
      <c r="D2288" t="s">
        <v>5027</v>
      </c>
      <c r="E2288" t="s">
        <v>5032</v>
      </c>
      <c r="F2288" t="s">
        <v>5034</v>
      </c>
      <c r="G2288" s="3">
        <v>4853.24</v>
      </c>
      <c r="H2288" s="3">
        <v>0</v>
      </c>
      <c r="I2288" s="3">
        <f>SUM(Tabla1[[#This Row],[Monto_Base]],H2288)</f>
        <v>4853.24</v>
      </c>
      <c r="J2288" t="s">
        <v>5042</v>
      </c>
      <c r="K2288" t="s">
        <v>5047</v>
      </c>
      <c r="L2288" t="s">
        <v>5053</v>
      </c>
      <c r="M2288" t="s">
        <v>5054</v>
      </c>
    </row>
    <row r="2289" spans="1:13" x14ac:dyDescent="0.3">
      <c r="A2289" s="1">
        <v>45317</v>
      </c>
      <c r="B2289" s="1" t="str">
        <f>TEXT(Tabla1[[#This Row],[Fecha]],"MMMM")</f>
        <v>enero</v>
      </c>
      <c r="C2289" t="s">
        <v>2299</v>
      </c>
      <c r="D2289" t="s">
        <v>5016</v>
      </c>
      <c r="E2289" t="s">
        <v>5033</v>
      </c>
      <c r="F2289" t="s">
        <v>5038</v>
      </c>
      <c r="G2289" s="3">
        <v>10095.83</v>
      </c>
      <c r="H2289" s="3">
        <v>1312.46</v>
      </c>
      <c r="I2289" s="3">
        <f>SUM(Tabla1[[#This Row],[Monto_Base]],H2289)</f>
        <v>11408.29</v>
      </c>
      <c r="J2289" t="s">
        <v>5044</v>
      </c>
      <c r="K2289" t="s">
        <v>5048</v>
      </c>
      <c r="L2289" t="s">
        <v>5050</v>
      </c>
      <c r="M2289" t="s">
        <v>5054</v>
      </c>
    </row>
    <row r="2290" spans="1:13" x14ac:dyDescent="0.3">
      <c r="A2290" s="1">
        <v>45526</v>
      </c>
      <c r="B2290" s="1" t="str">
        <f>TEXT(Tabla1[[#This Row],[Fecha]],"MMMM")</f>
        <v>agosto</v>
      </c>
      <c r="C2290" t="s">
        <v>2300</v>
      </c>
      <c r="D2290" t="s">
        <v>5024</v>
      </c>
      <c r="E2290" t="s">
        <v>5032</v>
      </c>
      <c r="F2290" t="s">
        <v>5038</v>
      </c>
      <c r="G2290" s="3">
        <v>4173.32</v>
      </c>
      <c r="H2290" s="3">
        <v>0</v>
      </c>
      <c r="I2290" s="3">
        <f>SUM(Tabla1[[#This Row],[Monto_Base]],H2290)</f>
        <v>4173.32</v>
      </c>
      <c r="J2290" t="s">
        <v>5045</v>
      </c>
      <c r="K2290" t="s">
        <v>5048</v>
      </c>
      <c r="L2290" t="s">
        <v>5050</v>
      </c>
      <c r="M2290" t="s">
        <v>5054</v>
      </c>
    </row>
    <row r="2291" spans="1:13" x14ac:dyDescent="0.3">
      <c r="A2291" s="1">
        <v>45531</v>
      </c>
      <c r="B2291" s="1" t="str">
        <f>TEXT(Tabla1[[#This Row],[Fecha]],"MMMM")</f>
        <v>agosto</v>
      </c>
      <c r="C2291" t="s">
        <v>2301</v>
      </c>
      <c r="D2291" t="s">
        <v>5020</v>
      </c>
      <c r="E2291" t="s">
        <v>5032</v>
      </c>
      <c r="F2291" t="s">
        <v>5038</v>
      </c>
      <c r="G2291" s="3">
        <v>13446.66</v>
      </c>
      <c r="H2291" s="3">
        <v>0</v>
      </c>
      <c r="I2291" s="3">
        <f>SUM(Tabla1[[#This Row],[Monto_Base]],H2291)</f>
        <v>13446.66</v>
      </c>
      <c r="J2291" t="s">
        <v>5046</v>
      </c>
      <c r="K2291" t="s">
        <v>5049</v>
      </c>
      <c r="L2291" t="s">
        <v>5050</v>
      </c>
      <c r="M2291" t="s">
        <v>5054</v>
      </c>
    </row>
    <row r="2292" spans="1:13" x14ac:dyDescent="0.3">
      <c r="A2292" s="1">
        <v>45647</v>
      </c>
      <c r="B2292" s="1" t="str">
        <f>TEXT(Tabla1[[#This Row],[Fecha]],"MMMM")</f>
        <v>diciembre</v>
      </c>
      <c r="C2292" t="s">
        <v>2302</v>
      </c>
      <c r="D2292" t="s">
        <v>5016</v>
      </c>
      <c r="E2292" t="s">
        <v>5033</v>
      </c>
      <c r="F2292" t="s">
        <v>5040</v>
      </c>
      <c r="G2292" s="3">
        <v>9903.8700000000008</v>
      </c>
      <c r="H2292" s="3">
        <v>1287.5</v>
      </c>
      <c r="I2292" s="3">
        <f>SUM(Tabla1[[#This Row],[Monto_Base]],H2292)</f>
        <v>11191.37</v>
      </c>
      <c r="J2292" t="s">
        <v>5045</v>
      </c>
      <c r="K2292" t="s">
        <v>5049</v>
      </c>
      <c r="L2292" t="s">
        <v>5051</v>
      </c>
      <c r="M2292" t="s">
        <v>5054</v>
      </c>
    </row>
    <row r="2293" spans="1:13" x14ac:dyDescent="0.3">
      <c r="A2293" s="1">
        <v>45377</v>
      </c>
      <c r="B2293" s="1" t="str">
        <f>TEXT(Tabla1[[#This Row],[Fecha]],"MMMM")</f>
        <v>marzo</v>
      </c>
      <c r="C2293" t="s">
        <v>2303</v>
      </c>
      <c r="D2293" t="s">
        <v>5026</v>
      </c>
      <c r="E2293" t="s">
        <v>5032</v>
      </c>
      <c r="F2293" t="s">
        <v>5041</v>
      </c>
      <c r="G2293" s="3">
        <v>13871.32</v>
      </c>
      <c r="H2293" s="3">
        <v>0</v>
      </c>
      <c r="I2293" s="3">
        <f>SUM(Tabla1[[#This Row],[Monto_Base]],H2293)</f>
        <v>13871.32</v>
      </c>
      <c r="J2293" t="s">
        <v>5042</v>
      </c>
      <c r="K2293" t="s">
        <v>5047</v>
      </c>
      <c r="L2293" t="s">
        <v>5053</v>
      </c>
      <c r="M2293" t="s">
        <v>5055</v>
      </c>
    </row>
    <row r="2294" spans="1:13" x14ac:dyDescent="0.3">
      <c r="A2294" s="1">
        <v>45412</v>
      </c>
      <c r="B2294" s="1" t="str">
        <f>TEXT(Tabla1[[#This Row],[Fecha]],"MMMM")</f>
        <v>abril</v>
      </c>
      <c r="C2294" t="s">
        <v>2304</v>
      </c>
      <c r="D2294" t="s">
        <v>5022</v>
      </c>
      <c r="E2294" t="s">
        <v>5032</v>
      </c>
      <c r="F2294" t="s">
        <v>5037</v>
      </c>
      <c r="G2294" s="3">
        <v>355.49</v>
      </c>
      <c r="H2294" s="3">
        <v>0</v>
      </c>
      <c r="I2294" s="3">
        <f>SUM(Tabla1[[#This Row],[Monto_Base]],H2294)</f>
        <v>355.49</v>
      </c>
      <c r="J2294" t="s">
        <v>5044</v>
      </c>
      <c r="K2294" t="s">
        <v>5048</v>
      </c>
      <c r="L2294" t="s">
        <v>5050</v>
      </c>
      <c r="M2294" t="s">
        <v>5054</v>
      </c>
    </row>
    <row r="2295" spans="1:13" x14ac:dyDescent="0.3">
      <c r="A2295" s="1">
        <v>45509</v>
      </c>
      <c r="B2295" s="1" t="str">
        <f>TEXT(Tabla1[[#This Row],[Fecha]],"MMMM")</f>
        <v>agosto</v>
      </c>
      <c r="C2295" t="s">
        <v>2305</v>
      </c>
      <c r="D2295" t="s">
        <v>5022</v>
      </c>
      <c r="E2295" t="s">
        <v>5033</v>
      </c>
      <c r="F2295" t="s">
        <v>5034</v>
      </c>
      <c r="G2295" s="3">
        <v>6690.9</v>
      </c>
      <c r="H2295" s="3">
        <v>869.82</v>
      </c>
      <c r="I2295" s="3">
        <f>SUM(Tabla1[[#This Row],[Monto_Base]],H2295)</f>
        <v>7560.7199999999993</v>
      </c>
      <c r="J2295" t="s">
        <v>5042</v>
      </c>
      <c r="K2295" t="s">
        <v>5049</v>
      </c>
      <c r="L2295" t="s">
        <v>5052</v>
      </c>
      <c r="M2295" t="s">
        <v>5054</v>
      </c>
    </row>
    <row r="2296" spans="1:13" x14ac:dyDescent="0.3">
      <c r="A2296" s="1">
        <v>45303</v>
      </c>
      <c r="B2296" s="1" t="str">
        <f>TEXT(Tabla1[[#This Row],[Fecha]],"MMMM")</f>
        <v>enero</v>
      </c>
      <c r="C2296" t="s">
        <v>2306</v>
      </c>
      <c r="D2296" t="s">
        <v>5027</v>
      </c>
      <c r="E2296" t="s">
        <v>5032</v>
      </c>
      <c r="F2296" t="s">
        <v>5041</v>
      </c>
      <c r="G2296" s="3">
        <v>10004.780000000001</v>
      </c>
      <c r="H2296" s="3">
        <v>0</v>
      </c>
      <c r="I2296" s="3">
        <f>SUM(Tabla1[[#This Row],[Monto_Base]],H2296)</f>
        <v>10004.780000000001</v>
      </c>
      <c r="J2296" t="s">
        <v>5043</v>
      </c>
      <c r="K2296" t="s">
        <v>5048</v>
      </c>
      <c r="L2296" t="s">
        <v>5053</v>
      </c>
      <c r="M2296" t="s">
        <v>5054</v>
      </c>
    </row>
    <row r="2297" spans="1:13" x14ac:dyDescent="0.3">
      <c r="A2297" s="1">
        <v>45535</v>
      </c>
      <c r="B2297" s="1" t="str">
        <f>TEXT(Tabla1[[#This Row],[Fecha]],"MMMM")</f>
        <v>agosto</v>
      </c>
      <c r="C2297" t="s">
        <v>2307</v>
      </c>
      <c r="D2297" t="s">
        <v>5026</v>
      </c>
      <c r="E2297" t="s">
        <v>5032</v>
      </c>
      <c r="F2297" t="s">
        <v>5037</v>
      </c>
      <c r="G2297" s="3">
        <v>13323.4</v>
      </c>
      <c r="H2297" s="3">
        <v>0</v>
      </c>
      <c r="I2297" s="3">
        <f>SUM(Tabla1[[#This Row],[Monto_Base]],H2297)</f>
        <v>13323.4</v>
      </c>
      <c r="J2297" t="s">
        <v>5042</v>
      </c>
      <c r="K2297" t="s">
        <v>5049</v>
      </c>
      <c r="L2297" t="s">
        <v>5051</v>
      </c>
      <c r="M2297" t="s">
        <v>5054</v>
      </c>
    </row>
    <row r="2298" spans="1:13" x14ac:dyDescent="0.3">
      <c r="A2298" s="1">
        <v>45549</v>
      </c>
      <c r="B2298" s="1" t="str">
        <f>TEXT(Tabla1[[#This Row],[Fecha]],"MMMM")</f>
        <v>septiembre</v>
      </c>
      <c r="C2298" t="s">
        <v>2308</v>
      </c>
      <c r="D2298" t="s">
        <v>5023</v>
      </c>
      <c r="E2298" t="s">
        <v>5032</v>
      </c>
      <c r="F2298" t="s">
        <v>5037</v>
      </c>
      <c r="G2298" s="3">
        <v>4970</v>
      </c>
      <c r="H2298" s="3">
        <v>0</v>
      </c>
      <c r="I2298" s="3">
        <f>SUM(Tabla1[[#This Row],[Monto_Base]],H2298)</f>
        <v>4970</v>
      </c>
      <c r="J2298" t="s">
        <v>5044</v>
      </c>
      <c r="K2298" t="s">
        <v>5049</v>
      </c>
      <c r="L2298" t="s">
        <v>5053</v>
      </c>
      <c r="M2298" t="s">
        <v>5055</v>
      </c>
    </row>
    <row r="2299" spans="1:13" x14ac:dyDescent="0.3">
      <c r="A2299" s="1">
        <v>45378</v>
      </c>
      <c r="B2299" s="1" t="str">
        <f>TEXT(Tabla1[[#This Row],[Fecha]],"MMMM")</f>
        <v>marzo</v>
      </c>
      <c r="C2299" t="s">
        <v>2309</v>
      </c>
      <c r="D2299" t="s">
        <v>5024</v>
      </c>
      <c r="E2299" t="s">
        <v>5032</v>
      </c>
      <c r="F2299" t="s">
        <v>5034</v>
      </c>
      <c r="G2299" s="3">
        <v>4604.96</v>
      </c>
      <c r="H2299" s="3">
        <v>0</v>
      </c>
      <c r="I2299" s="3">
        <f>SUM(Tabla1[[#This Row],[Monto_Base]],H2299)</f>
        <v>4604.96</v>
      </c>
      <c r="J2299" t="s">
        <v>5042</v>
      </c>
      <c r="K2299" t="s">
        <v>5049</v>
      </c>
      <c r="L2299" t="s">
        <v>5050</v>
      </c>
      <c r="M2299" t="s">
        <v>5055</v>
      </c>
    </row>
    <row r="2300" spans="1:13" x14ac:dyDescent="0.3">
      <c r="A2300" s="1">
        <v>45618</v>
      </c>
      <c r="B2300" s="1" t="str">
        <f>TEXT(Tabla1[[#This Row],[Fecha]],"MMMM")</f>
        <v>noviembre</v>
      </c>
      <c r="C2300" t="s">
        <v>2310</v>
      </c>
      <c r="D2300" t="s">
        <v>5015</v>
      </c>
      <c r="E2300" t="s">
        <v>5032</v>
      </c>
      <c r="F2300" t="s">
        <v>5035</v>
      </c>
      <c r="G2300" s="3">
        <v>12665.45</v>
      </c>
      <c r="H2300" s="3">
        <v>0</v>
      </c>
      <c r="I2300" s="3">
        <f>SUM(Tabla1[[#This Row],[Monto_Base]],H2300)</f>
        <v>12665.45</v>
      </c>
      <c r="J2300" t="s">
        <v>5044</v>
      </c>
      <c r="K2300" t="s">
        <v>5049</v>
      </c>
      <c r="L2300" t="s">
        <v>5052</v>
      </c>
      <c r="M2300" t="s">
        <v>5054</v>
      </c>
    </row>
    <row r="2301" spans="1:13" x14ac:dyDescent="0.3">
      <c r="A2301" s="1">
        <v>45579</v>
      </c>
      <c r="B2301" s="1" t="str">
        <f>TEXT(Tabla1[[#This Row],[Fecha]],"MMMM")</f>
        <v>octubre</v>
      </c>
      <c r="C2301" t="s">
        <v>2311</v>
      </c>
      <c r="D2301" t="s">
        <v>5018</v>
      </c>
      <c r="E2301" t="s">
        <v>5033</v>
      </c>
      <c r="F2301" t="s">
        <v>5038</v>
      </c>
      <c r="G2301" s="3">
        <v>9736.2800000000007</v>
      </c>
      <c r="H2301" s="3">
        <v>1265.72</v>
      </c>
      <c r="I2301" s="3">
        <f>SUM(Tabla1[[#This Row],[Monto_Base]],H2301)</f>
        <v>11002</v>
      </c>
      <c r="J2301" t="s">
        <v>5043</v>
      </c>
      <c r="K2301" t="s">
        <v>5049</v>
      </c>
      <c r="L2301" t="s">
        <v>5053</v>
      </c>
      <c r="M2301" t="s">
        <v>5055</v>
      </c>
    </row>
    <row r="2302" spans="1:13" x14ac:dyDescent="0.3">
      <c r="A2302" s="1">
        <v>45323</v>
      </c>
      <c r="B2302" s="1" t="str">
        <f>TEXT(Tabla1[[#This Row],[Fecha]],"MMMM")</f>
        <v>febrero</v>
      </c>
      <c r="C2302" t="s">
        <v>2312</v>
      </c>
      <c r="D2302" t="s">
        <v>5022</v>
      </c>
      <c r="E2302" t="s">
        <v>5032</v>
      </c>
      <c r="F2302" t="s">
        <v>5037</v>
      </c>
      <c r="G2302" s="3">
        <v>3128.69</v>
      </c>
      <c r="H2302" s="3">
        <v>0</v>
      </c>
      <c r="I2302" s="3">
        <f>SUM(Tabla1[[#This Row],[Monto_Base]],H2302)</f>
        <v>3128.69</v>
      </c>
      <c r="J2302" t="s">
        <v>5045</v>
      </c>
      <c r="K2302" t="s">
        <v>5048</v>
      </c>
      <c r="L2302" t="s">
        <v>5052</v>
      </c>
      <c r="M2302" t="s">
        <v>5054</v>
      </c>
    </row>
    <row r="2303" spans="1:13" x14ac:dyDescent="0.3">
      <c r="A2303" s="1">
        <v>45582</v>
      </c>
      <c r="B2303" s="1" t="str">
        <f>TEXT(Tabla1[[#This Row],[Fecha]],"MMMM")</f>
        <v>octubre</v>
      </c>
      <c r="C2303" t="s">
        <v>2313</v>
      </c>
      <c r="D2303" t="s">
        <v>5024</v>
      </c>
      <c r="E2303" t="s">
        <v>5033</v>
      </c>
      <c r="F2303" t="s">
        <v>5036</v>
      </c>
      <c r="G2303" s="3">
        <v>10109.91</v>
      </c>
      <c r="H2303" s="3">
        <v>1314.29</v>
      </c>
      <c r="I2303" s="3">
        <f>SUM(Tabla1[[#This Row],[Monto_Base]],H2303)</f>
        <v>11424.2</v>
      </c>
      <c r="J2303" t="s">
        <v>5042</v>
      </c>
      <c r="K2303" t="s">
        <v>5047</v>
      </c>
      <c r="L2303" t="s">
        <v>5050</v>
      </c>
      <c r="M2303" t="s">
        <v>5054</v>
      </c>
    </row>
    <row r="2304" spans="1:13" x14ac:dyDescent="0.3">
      <c r="A2304" s="1">
        <v>45411</v>
      </c>
      <c r="B2304" s="1" t="str">
        <f>TEXT(Tabla1[[#This Row],[Fecha]],"MMMM")</f>
        <v>abril</v>
      </c>
      <c r="C2304" t="s">
        <v>2314</v>
      </c>
      <c r="D2304" t="s">
        <v>5027</v>
      </c>
      <c r="E2304" t="s">
        <v>5032</v>
      </c>
      <c r="F2304" t="s">
        <v>5034</v>
      </c>
      <c r="G2304" s="3">
        <v>11600.59</v>
      </c>
      <c r="H2304" s="3">
        <v>0</v>
      </c>
      <c r="I2304" s="3">
        <f>SUM(Tabla1[[#This Row],[Monto_Base]],H2304)</f>
        <v>11600.59</v>
      </c>
      <c r="J2304" t="s">
        <v>5043</v>
      </c>
      <c r="K2304" t="s">
        <v>5047</v>
      </c>
      <c r="L2304" t="s">
        <v>5050</v>
      </c>
      <c r="M2304" t="s">
        <v>5054</v>
      </c>
    </row>
    <row r="2305" spans="1:13" x14ac:dyDescent="0.3">
      <c r="A2305" s="1">
        <v>45441</v>
      </c>
      <c r="B2305" s="1" t="str">
        <f>TEXT(Tabla1[[#This Row],[Fecha]],"MMMM")</f>
        <v>mayo</v>
      </c>
      <c r="C2305" t="s">
        <v>2315</v>
      </c>
      <c r="D2305" t="s">
        <v>5029</v>
      </c>
      <c r="E2305" t="s">
        <v>5032</v>
      </c>
      <c r="F2305" t="s">
        <v>5039</v>
      </c>
      <c r="G2305" s="3">
        <v>6108.12</v>
      </c>
      <c r="H2305" s="3">
        <v>0</v>
      </c>
      <c r="I2305" s="3">
        <f>SUM(Tabla1[[#This Row],[Monto_Base]],H2305)</f>
        <v>6108.12</v>
      </c>
      <c r="J2305" t="s">
        <v>5046</v>
      </c>
      <c r="K2305" t="s">
        <v>5047</v>
      </c>
      <c r="L2305" t="s">
        <v>5052</v>
      </c>
      <c r="M2305" t="s">
        <v>5054</v>
      </c>
    </row>
    <row r="2306" spans="1:13" x14ac:dyDescent="0.3">
      <c r="A2306" s="1">
        <v>45619</v>
      </c>
      <c r="B2306" s="1" t="str">
        <f>TEXT(Tabla1[[#This Row],[Fecha]],"MMMM")</f>
        <v>noviembre</v>
      </c>
      <c r="C2306" t="s">
        <v>2316</v>
      </c>
      <c r="D2306" t="s">
        <v>5017</v>
      </c>
      <c r="E2306" t="s">
        <v>5032</v>
      </c>
      <c r="F2306" t="s">
        <v>5038</v>
      </c>
      <c r="G2306" s="3">
        <v>10321.959999999999</v>
      </c>
      <c r="H2306" s="3">
        <v>0</v>
      </c>
      <c r="I2306" s="3">
        <f>SUM(Tabla1[[#This Row],[Monto_Base]],H2306)</f>
        <v>10321.959999999999</v>
      </c>
      <c r="J2306" t="s">
        <v>5042</v>
      </c>
      <c r="K2306" t="s">
        <v>5049</v>
      </c>
      <c r="L2306" t="s">
        <v>5053</v>
      </c>
      <c r="M2306" t="s">
        <v>5054</v>
      </c>
    </row>
    <row r="2307" spans="1:13" x14ac:dyDescent="0.3">
      <c r="A2307" s="1">
        <v>45486</v>
      </c>
      <c r="B2307" s="1" t="str">
        <f>TEXT(Tabla1[[#This Row],[Fecha]],"MMMM")</f>
        <v>julio</v>
      </c>
      <c r="C2307" t="s">
        <v>2317</v>
      </c>
      <c r="D2307" t="s">
        <v>5020</v>
      </c>
      <c r="E2307" t="s">
        <v>5032</v>
      </c>
      <c r="F2307" t="s">
        <v>5041</v>
      </c>
      <c r="G2307" s="3">
        <v>450.42</v>
      </c>
      <c r="H2307" s="3">
        <v>0</v>
      </c>
      <c r="I2307" s="3">
        <f>SUM(Tabla1[[#This Row],[Monto_Base]],H2307)</f>
        <v>450.42</v>
      </c>
      <c r="J2307" t="s">
        <v>5042</v>
      </c>
      <c r="K2307" t="s">
        <v>5047</v>
      </c>
      <c r="L2307" t="s">
        <v>5053</v>
      </c>
      <c r="M2307" t="s">
        <v>5055</v>
      </c>
    </row>
    <row r="2308" spans="1:13" x14ac:dyDescent="0.3">
      <c r="A2308" s="1">
        <v>45602</v>
      </c>
      <c r="B2308" s="1" t="str">
        <f>TEXT(Tabla1[[#This Row],[Fecha]],"MMMM")</f>
        <v>noviembre</v>
      </c>
      <c r="C2308" t="s">
        <v>2318</v>
      </c>
      <c r="D2308" t="s">
        <v>5024</v>
      </c>
      <c r="E2308" t="s">
        <v>5033</v>
      </c>
      <c r="F2308" t="s">
        <v>5040</v>
      </c>
      <c r="G2308" s="3">
        <v>3914.03</v>
      </c>
      <c r="H2308" s="3">
        <v>508.82</v>
      </c>
      <c r="I2308" s="3">
        <f>SUM(Tabla1[[#This Row],[Monto_Base]],H2308)</f>
        <v>4422.8500000000004</v>
      </c>
      <c r="J2308" t="s">
        <v>5042</v>
      </c>
      <c r="K2308" t="s">
        <v>5047</v>
      </c>
      <c r="L2308" t="s">
        <v>5051</v>
      </c>
      <c r="M2308" t="s">
        <v>5054</v>
      </c>
    </row>
    <row r="2309" spans="1:13" x14ac:dyDescent="0.3">
      <c r="A2309" s="1">
        <v>45647</v>
      </c>
      <c r="B2309" s="1" t="str">
        <f>TEXT(Tabla1[[#This Row],[Fecha]],"MMMM")</f>
        <v>diciembre</v>
      </c>
      <c r="C2309" t="s">
        <v>2319</v>
      </c>
      <c r="D2309" t="s">
        <v>5024</v>
      </c>
      <c r="E2309" t="s">
        <v>5033</v>
      </c>
      <c r="F2309" t="s">
        <v>5039</v>
      </c>
      <c r="G2309" s="3">
        <v>11753.01</v>
      </c>
      <c r="H2309" s="3">
        <v>1527.89</v>
      </c>
      <c r="I2309" s="3">
        <f>SUM(Tabla1[[#This Row],[Monto_Base]],H2309)</f>
        <v>13280.9</v>
      </c>
      <c r="J2309" t="s">
        <v>5045</v>
      </c>
      <c r="K2309" t="s">
        <v>5048</v>
      </c>
      <c r="L2309" t="s">
        <v>5053</v>
      </c>
      <c r="M2309" t="s">
        <v>5055</v>
      </c>
    </row>
    <row r="2310" spans="1:13" x14ac:dyDescent="0.3">
      <c r="A2310" s="1">
        <v>45620</v>
      </c>
      <c r="B2310" s="1" t="str">
        <f>TEXT(Tabla1[[#This Row],[Fecha]],"MMMM")</f>
        <v>noviembre</v>
      </c>
      <c r="C2310" t="s">
        <v>2320</v>
      </c>
      <c r="D2310" t="s">
        <v>5016</v>
      </c>
      <c r="E2310" t="s">
        <v>5033</v>
      </c>
      <c r="F2310" t="s">
        <v>5037</v>
      </c>
      <c r="G2310" s="3">
        <v>9528.56</v>
      </c>
      <c r="H2310" s="3">
        <v>1238.71</v>
      </c>
      <c r="I2310" s="3">
        <f>SUM(Tabla1[[#This Row],[Monto_Base]],H2310)</f>
        <v>10767.27</v>
      </c>
      <c r="J2310" t="s">
        <v>5044</v>
      </c>
      <c r="K2310" t="s">
        <v>5049</v>
      </c>
      <c r="L2310" t="s">
        <v>5052</v>
      </c>
      <c r="M2310" t="s">
        <v>5054</v>
      </c>
    </row>
    <row r="2311" spans="1:13" x14ac:dyDescent="0.3">
      <c r="A2311" s="1">
        <v>45421</v>
      </c>
      <c r="B2311" s="1" t="str">
        <f>TEXT(Tabla1[[#This Row],[Fecha]],"MMMM")</f>
        <v>mayo</v>
      </c>
      <c r="C2311" t="s">
        <v>2321</v>
      </c>
      <c r="D2311" t="s">
        <v>5016</v>
      </c>
      <c r="E2311" t="s">
        <v>5033</v>
      </c>
      <c r="F2311" t="s">
        <v>5036</v>
      </c>
      <c r="G2311" s="3">
        <v>5725.22</v>
      </c>
      <c r="H2311" s="3">
        <v>744.28</v>
      </c>
      <c r="I2311" s="3">
        <f>SUM(Tabla1[[#This Row],[Monto_Base]],H2311)</f>
        <v>6469.5</v>
      </c>
      <c r="J2311" t="s">
        <v>5042</v>
      </c>
      <c r="K2311" t="s">
        <v>5049</v>
      </c>
      <c r="L2311" t="s">
        <v>5052</v>
      </c>
      <c r="M2311" t="s">
        <v>5054</v>
      </c>
    </row>
    <row r="2312" spans="1:13" x14ac:dyDescent="0.3">
      <c r="A2312" s="1">
        <v>45350</v>
      </c>
      <c r="B2312" s="1" t="str">
        <f>TEXT(Tabla1[[#This Row],[Fecha]],"MMMM")</f>
        <v>febrero</v>
      </c>
      <c r="C2312" t="s">
        <v>2322</v>
      </c>
      <c r="D2312" t="s">
        <v>5022</v>
      </c>
      <c r="E2312" t="s">
        <v>5033</v>
      </c>
      <c r="F2312" t="s">
        <v>5041</v>
      </c>
      <c r="G2312" s="3">
        <v>11631.92</v>
      </c>
      <c r="H2312" s="3">
        <v>1512.15</v>
      </c>
      <c r="I2312" s="3">
        <f>SUM(Tabla1[[#This Row],[Monto_Base]],H2312)</f>
        <v>13144.07</v>
      </c>
      <c r="J2312" t="s">
        <v>5043</v>
      </c>
      <c r="K2312" t="s">
        <v>5047</v>
      </c>
      <c r="L2312" t="s">
        <v>5052</v>
      </c>
      <c r="M2312" t="s">
        <v>5055</v>
      </c>
    </row>
    <row r="2313" spans="1:13" x14ac:dyDescent="0.3">
      <c r="A2313" s="1">
        <v>45554</v>
      </c>
      <c r="B2313" s="1" t="str">
        <f>TEXT(Tabla1[[#This Row],[Fecha]],"MMMM")</f>
        <v>septiembre</v>
      </c>
      <c r="C2313" t="s">
        <v>2323</v>
      </c>
      <c r="D2313" t="s">
        <v>5022</v>
      </c>
      <c r="E2313" t="s">
        <v>5032</v>
      </c>
      <c r="F2313" t="s">
        <v>5035</v>
      </c>
      <c r="G2313" s="3">
        <v>3093.63</v>
      </c>
      <c r="H2313" s="3">
        <v>0</v>
      </c>
      <c r="I2313" s="3">
        <f>SUM(Tabla1[[#This Row],[Monto_Base]],H2313)</f>
        <v>3093.63</v>
      </c>
      <c r="J2313" t="s">
        <v>5042</v>
      </c>
      <c r="K2313" t="s">
        <v>5047</v>
      </c>
      <c r="L2313" t="s">
        <v>5053</v>
      </c>
      <c r="M2313" t="s">
        <v>5055</v>
      </c>
    </row>
    <row r="2314" spans="1:13" x14ac:dyDescent="0.3">
      <c r="A2314" s="1">
        <v>45504</v>
      </c>
      <c r="B2314" s="1" t="str">
        <f>TEXT(Tabla1[[#This Row],[Fecha]],"MMMM")</f>
        <v>julio</v>
      </c>
      <c r="C2314" t="s">
        <v>2324</v>
      </c>
      <c r="D2314" t="s">
        <v>5027</v>
      </c>
      <c r="E2314" t="s">
        <v>5033</v>
      </c>
      <c r="F2314" t="s">
        <v>5039</v>
      </c>
      <c r="G2314" s="3">
        <v>9029.5400000000009</v>
      </c>
      <c r="H2314" s="3">
        <v>1173.8399999999999</v>
      </c>
      <c r="I2314" s="3">
        <f>SUM(Tabla1[[#This Row],[Monto_Base]],H2314)</f>
        <v>10203.380000000001</v>
      </c>
      <c r="J2314" t="s">
        <v>5042</v>
      </c>
      <c r="K2314" t="s">
        <v>5047</v>
      </c>
      <c r="L2314" t="s">
        <v>5051</v>
      </c>
      <c r="M2314" t="s">
        <v>5055</v>
      </c>
    </row>
    <row r="2315" spans="1:13" x14ac:dyDescent="0.3">
      <c r="A2315" s="1">
        <v>45551</v>
      </c>
      <c r="B2315" s="1" t="str">
        <f>TEXT(Tabla1[[#This Row],[Fecha]],"MMMM")</f>
        <v>septiembre</v>
      </c>
      <c r="C2315" t="s">
        <v>2325</v>
      </c>
      <c r="D2315" t="s">
        <v>5022</v>
      </c>
      <c r="E2315" t="s">
        <v>5033</v>
      </c>
      <c r="F2315" t="s">
        <v>5041</v>
      </c>
      <c r="G2315" s="3">
        <v>2252.21</v>
      </c>
      <c r="H2315" s="3">
        <v>292.79000000000002</v>
      </c>
      <c r="I2315" s="3">
        <f>SUM(Tabla1[[#This Row],[Monto_Base]],H2315)</f>
        <v>2545</v>
      </c>
      <c r="J2315" t="s">
        <v>5042</v>
      </c>
      <c r="K2315" t="s">
        <v>5048</v>
      </c>
      <c r="L2315" t="s">
        <v>5052</v>
      </c>
      <c r="M2315" t="s">
        <v>5055</v>
      </c>
    </row>
    <row r="2316" spans="1:13" x14ac:dyDescent="0.3">
      <c r="A2316" s="1">
        <v>45508</v>
      </c>
      <c r="B2316" s="1" t="str">
        <f>TEXT(Tabla1[[#This Row],[Fecha]],"MMMM")</f>
        <v>agosto</v>
      </c>
      <c r="C2316" t="s">
        <v>2326</v>
      </c>
      <c r="D2316" t="s">
        <v>5030</v>
      </c>
      <c r="E2316" t="s">
        <v>5033</v>
      </c>
      <c r="F2316" t="s">
        <v>5037</v>
      </c>
      <c r="G2316" s="3">
        <v>8120.56</v>
      </c>
      <c r="H2316" s="3">
        <v>1055.67</v>
      </c>
      <c r="I2316" s="3">
        <f>SUM(Tabla1[[#This Row],[Monto_Base]],H2316)</f>
        <v>9176.23</v>
      </c>
      <c r="J2316" t="s">
        <v>5042</v>
      </c>
      <c r="K2316" t="s">
        <v>5049</v>
      </c>
      <c r="L2316" t="s">
        <v>5053</v>
      </c>
      <c r="M2316" t="s">
        <v>5055</v>
      </c>
    </row>
    <row r="2317" spans="1:13" x14ac:dyDescent="0.3">
      <c r="A2317" s="1">
        <v>45299</v>
      </c>
      <c r="B2317" s="1" t="str">
        <f>TEXT(Tabla1[[#This Row],[Fecha]],"MMMM")</f>
        <v>enero</v>
      </c>
      <c r="C2317" t="s">
        <v>2327</v>
      </c>
      <c r="D2317" t="s">
        <v>5026</v>
      </c>
      <c r="E2317" t="s">
        <v>5032</v>
      </c>
      <c r="F2317" t="s">
        <v>5037</v>
      </c>
      <c r="G2317" s="3">
        <v>5909.1</v>
      </c>
      <c r="H2317" s="3">
        <v>0</v>
      </c>
      <c r="I2317" s="3">
        <f>SUM(Tabla1[[#This Row],[Monto_Base]],H2317)</f>
        <v>5909.1</v>
      </c>
      <c r="J2317" t="s">
        <v>5042</v>
      </c>
      <c r="K2317" t="s">
        <v>5047</v>
      </c>
      <c r="L2317" t="s">
        <v>5052</v>
      </c>
      <c r="M2317" t="s">
        <v>5054</v>
      </c>
    </row>
    <row r="2318" spans="1:13" x14ac:dyDescent="0.3">
      <c r="A2318" s="1">
        <v>45381</v>
      </c>
      <c r="B2318" s="1" t="str">
        <f>TEXT(Tabla1[[#This Row],[Fecha]],"MMMM")</f>
        <v>marzo</v>
      </c>
      <c r="C2318" t="s">
        <v>2328</v>
      </c>
      <c r="D2318" t="s">
        <v>5031</v>
      </c>
      <c r="E2318" t="s">
        <v>5033</v>
      </c>
      <c r="F2318" t="s">
        <v>5041</v>
      </c>
      <c r="G2318" s="3">
        <v>899.44</v>
      </c>
      <c r="H2318" s="3">
        <v>116.93</v>
      </c>
      <c r="I2318" s="3">
        <f>SUM(Tabla1[[#This Row],[Monto_Base]],H2318)</f>
        <v>1016.3700000000001</v>
      </c>
      <c r="J2318" t="s">
        <v>5043</v>
      </c>
      <c r="K2318" t="s">
        <v>5047</v>
      </c>
      <c r="L2318" t="s">
        <v>5051</v>
      </c>
      <c r="M2318" t="s">
        <v>5055</v>
      </c>
    </row>
    <row r="2319" spans="1:13" x14ac:dyDescent="0.3">
      <c r="A2319" s="1">
        <v>45386</v>
      </c>
      <c r="B2319" s="1" t="str">
        <f>TEXT(Tabla1[[#This Row],[Fecha]],"MMMM")</f>
        <v>abril</v>
      </c>
      <c r="C2319" t="s">
        <v>2329</v>
      </c>
      <c r="D2319" t="s">
        <v>5024</v>
      </c>
      <c r="E2319" t="s">
        <v>5032</v>
      </c>
      <c r="F2319" t="s">
        <v>5037</v>
      </c>
      <c r="G2319" s="3">
        <v>9471.7000000000007</v>
      </c>
      <c r="H2319" s="3">
        <v>0</v>
      </c>
      <c r="I2319" s="3">
        <f>SUM(Tabla1[[#This Row],[Monto_Base]],H2319)</f>
        <v>9471.7000000000007</v>
      </c>
      <c r="J2319" t="s">
        <v>5044</v>
      </c>
      <c r="K2319" t="s">
        <v>5048</v>
      </c>
      <c r="L2319" t="s">
        <v>5050</v>
      </c>
      <c r="M2319" t="s">
        <v>5054</v>
      </c>
    </row>
    <row r="2320" spans="1:13" x14ac:dyDescent="0.3">
      <c r="A2320" s="1">
        <v>45628</v>
      </c>
      <c r="B2320" s="1" t="str">
        <f>TEXT(Tabla1[[#This Row],[Fecha]],"MMMM")</f>
        <v>diciembre</v>
      </c>
      <c r="C2320" t="s">
        <v>2330</v>
      </c>
      <c r="D2320" t="s">
        <v>5026</v>
      </c>
      <c r="E2320" t="s">
        <v>5033</v>
      </c>
      <c r="F2320" t="s">
        <v>5038</v>
      </c>
      <c r="G2320" s="3">
        <v>12167.07</v>
      </c>
      <c r="H2320" s="3">
        <v>1581.72</v>
      </c>
      <c r="I2320" s="3">
        <f>SUM(Tabla1[[#This Row],[Monto_Base]],H2320)</f>
        <v>13748.789999999999</v>
      </c>
      <c r="J2320" t="s">
        <v>5046</v>
      </c>
      <c r="K2320" t="s">
        <v>5048</v>
      </c>
      <c r="L2320" t="s">
        <v>5052</v>
      </c>
      <c r="M2320" t="s">
        <v>5055</v>
      </c>
    </row>
    <row r="2321" spans="1:13" x14ac:dyDescent="0.3">
      <c r="A2321" s="1">
        <v>45371</v>
      </c>
      <c r="B2321" s="1" t="str">
        <f>TEXT(Tabla1[[#This Row],[Fecha]],"MMMM")</f>
        <v>marzo</v>
      </c>
      <c r="C2321" t="s">
        <v>2331</v>
      </c>
      <c r="D2321" t="s">
        <v>5027</v>
      </c>
      <c r="E2321" t="s">
        <v>5033</v>
      </c>
      <c r="F2321" t="s">
        <v>5036</v>
      </c>
      <c r="G2321" s="3">
        <v>14084.88</v>
      </c>
      <c r="H2321" s="3">
        <v>1831.03</v>
      </c>
      <c r="I2321" s="3">
        <f>SUM(Tabla1[[#This Row],[Monto_Base]],H2321)</f>
        <v>15915.91</v>
      </c>
      <c r="J2321" t="s">
        <v>5046</v>
      </c>
      <c r="K2321" t="s">
        <v>5048</v>
      </c>
      <c r="L2321" t="s">
        <v>5051</v>
      </c>
      <c r="M2321" t="s">
        <v>5054</v>
      </c>
    </row>
    <row r="2322" spans="1:13" x14ac:dyDescent="0.3">
      <c r="A2322" s="1">
        <v>45652</v>
      </c>
      <c r="B2322" s="1" t="str">
        <f>TEXT(Tabla1[[#This Row],[Fecha]],"MMMM")</f>
        <v>diciembre</v>
      </c>
      <c r="C2322" t="s">
        <v>2332</v>
      </c>
      <c r="D2322" t="s">
        <v>5026</v>
      </c>
      <c r="E2322" t="s">
        <v>5032</v>
      </c>
      <c r="F2322" t="s">
        <v>5041</v>
      </c>
      <c r="G2322" s="3">
        <v>6105.78</v>
      </c>
      <c r="H2322" s="3">
        <v>0</v>
      </c>
      <c r="I2322" s="3">
        <f>SUM(Tabla1[[#This Row],[Monto_Base]],H2322)</f>
        <v>6105.78</v>
      </c>
      <c r="J2322" t="s">
        <v>5045</v>
      </c>
      <c r="K2322" t="s">
        <v>5047</v>
      </c>
      <c r="L2322" t="s">
        <v>5050</v>
      </c>
      <c r="M2322" t="s">
        <v>5055</v>
      </c>
    </row>
    <row r="2323" spans="1:13" x14ac:dyDescent="0.3">
      <c r="A2323" s="1">
        <v>45360</v>
      </c>
      <c r="B2323" s="1" t="str">
        <f>TEXT(Tabla1[[#This Row],[Fecha]],"MMMM")</f>
        <v>marzo</v>
      </c>
      <c r="C2323" t="s">
        <v>2333</v>
      </c>
      <c r="D2323" t="s">
        <v>5026</v>
      </c>
      <c r="E2323" t="s">
        <v>5032</v>
      </c>
      <c r="F2323" t="s">
        <v>5034</v>
      </c>
      <c r="G2323" s="3">
        <v>5662.72</v>
      </c>
      <c r="H2323" s="3">
        <v>0</v>
      </c>
      <c r="I2323" s="3">
        <f>SUM(Tabla1[[#This Row],[Monto_Base]],H2323)</f>
        <v>5662.72</v>
      </c>
      <c r="J2323" t="s">
        <v>5044</v>
      </c>
      <c r="K2323" t="s">
        <v>5047</v>
      </c>
      <c r="L2323" t="s">
        <v>5051</v>
      </c>
      <c r="M2323" t="s">
        <v>5055</v>
      </c>
    </row>
    <row r="2324" spans="1:13" x14ac:dyDescent="0.3">
      <c r="A2324" s="1">
        <v>45517</v>
      </c>
      <c r="B2324" s="1" t="str">
        <f>TEXT(Tabla1[[#This Row],[Fecha]],"MMMM")</f>
        <v>agosto</v>
      </c>
      <c r="C2324" t="s">
        <v>2334</v>
      </c>
      <c r="D2324" t="s">
        <v>5027</v>
      </c>
      <c r="E2324" t="s">
        <v>5032</v>
      </c>
      <c r="F2324" t="s">
        <v>5036</v>
      </c>
      <c r="G2324" s="3">
        <v>10513.69</v>
      </c>
      <c r="H2324" s="3">
        <v>0</v>
      </c>
      <c r="I2324" s="3">
        <f>SUM(Tabla1[[#This Row],[Monto_Base]],H2324)</f>
        <v>10513.69</v>
      </c>
      <c r="J2324" t="s">
        <v>5044</v>
      </c>
      <c r="K2324" t="s">
        <v>5048</v>
      </c>
      <c r="L2324" t="s">
        <v>5053</v>
      </c>
      <c r="M2324" t="s">
        <v>5054</v>
      </c>
    </row>
    <row r="2325" spans="1:13" x14ac:dyDescent="0.3">
      <c r="A2325" s="1">
        <v>45583</v>
      </c>
      <c r="B2325" s="1" t="str">
        <f>TEXT(Tabla1[[#This Row],[Fecha]],"MMMM")</f>
        <v>octubre</v>
      </c>
      <c r="C2325" t="s">
        <v>2335</v>
      </c>
      <c r="D2325" t="s">
        <v>5029</v>
      </c>
      <c r="E2325" t="s">
        <v>5033</v>
      </c>
      <c r="F2325" t="s">
        <v>5036</v>
      </c>
      <c r="G2325" s="3">
        <v>5316.56</v>
      </c>
      <c r="H2325" s="3">
        <v>691.15</v>
      </c>
      <c r="I2325" s="3">
        <f>SUM(Tabla1[[#This Row],[Monto_Base]],H2325)</f>
        <v>6007.71</v>
      </c>
      <c r="J2325" t="s">
        <v>5043</v>
      </c>
      <c r="K2325" t="s">
        <v>5048</v>
      </c>
      <c r="L2325" t="s">
        <v>5052</v>
      </c>
      <c r="M2325" t="s">
        <v>5055</v>
      </c>
    </row>
    <row r="2326" spans="1:13" x14ac:dyDescent="0.3">
      <c r="A2326" s="1">
        <v>45357</v>
      </c>
      <c r="B2326" s="1" t="str">
        <f>TEXT(Tabla1[[#This Row],[Fecha]],"MMMM")</f>
        <v>marzo</v>
      </c>
      <c r="C2326" t="s">
        <v>2336</v>
      </c>
      <c r="D2326" t="s">
        <v>5019</v>
      </c>
      <c r="E2326" t="s">
        <v>5032</v>
      </c>
      <c r="F2326" t="s">
        <v>5039</v>
      </c>
      <c r="G2326" s="3">
        <v>14985.99</v>
      </c>
      <c r="H2326" s="3">
        <v>0</v>
      </c>
      <c r="I2326" s="3">
        <f>SUM(Tabla1[[#This Row],[Monto_Base]],H2326)</f>
        <v>14985.99</v>
      </c>
      <c r="J2326" t="s">
        <v>5046</v>
      </c>
      <c r="K2326" t="s">
        <v>5048</v>
      </c>
      <c r="L2326" t="s">
        <v>5053</v>
      </c>
      <c r="M2326" t="s">
        <v>5055</v>
      </c>
    </row>
    <row r="2327" spans="1:13" x14ac:dyDescent="0.3">
      <c r="A2327" s="1">
        <v>45358</v>
      </c>
      <c r="B2327" s="1" t="str">
        <f>TEXT(Tabla1[[#This Row],[Fecha]],"MMMM")</f>
        <v>marzo</v>
      </c>
      <c r="C2327" t="s">
        <v>2337</v>
      </c>
      <c r="D2327" t="s">
        <v>5025</v>
      </c>
      <c r="E2327" t="s">
        <v>5032</v>
      </c>
      <c r="F2327" t="s">
        <v>5038</v>
      </c>
      <c r="G2327" s="3">
        <v>8800.34</v>
      </c>
      <c r="H2327" s="3">
        <v>0</v>
      </c>
      <c r="I2327" s="3">
        <f>SUM(Tabla1[[#This Row],[Monto_Base]],H2327)</f>
        <v>8800.34</v>
      </c>
      <c r="J2327" t="s">
        <v>5044</v>
      </c>
      <c r="K2327" t="s">
        <v>5049</v>
      </c>
      <c r="L2327" t="s">
        <v>5051</v>
      </c>
      <c r="M2327" t="s">
        <v>5055</v>
      </c>
    </row>
    <row r="2328" spans="1:13" x14ac:dyDescent="0.3">
      <c r="A2328" s="1">
        <v>45560</v>
      </c>
      <c r="B2328" s="1" t="str">
        <f>TEXT(Tabla1[[#This Row],[Fecha]],"MMMM")</f>
        <v>septiembre</v>
      </c>
      <c r="C2328" t="s">
        <v>2338</v>
      </c>
      <c r="D2328" t="s">
        <v>5026</v>
      </c>
      <c r="E2328" t="s">
        <v>5033</v>
      </c>
      <c r="F2328" t="s">
        <v>5038</v>
      </c>
      <c r="G2328" s="3">
        <v>2830.63</v>
      </c>
      <c r="H2328" s="3">
        <v>367.98</v>
      </c>
      <c r="I2328" s="3">
        <f>SUM(Tabla1[[#This Row],[Monto_Base]],H2328)</f>
        <v>3198.61</v>
      </c>
      <c r="J2328" t="s">
        <v>5043</v>
      </c>
      <c r="K2328" t="s">
        <v>5047</v>
      </c>
      <c r="L2328" t="s">
        <v>5052</v>
      </c>
      <c r="M2328" t="s">
        <v>5055</v>
      </c>
    </row>
    <row r="2329" spans="1:13" x14ac:dyDescent="0.3">
      <c r="A2329" s="1">
        <v>45524</v>
      </c>
      <c r="B2329" s="1" t="str">
        <f>TEXT(Tabla1[[#This Row],[Fecha]],"MMMM")</f>
        <v>agosto</v>
      </c>
      <c r="C2329" t="s">
        <v>2339</v>
      </c>
      <c r="D2329" t="s">
        <v>5012</v>
      </c>
      <c r="E2329" t="s">
        <v>5032</v>
      </c>
      <c r="F2329" t="s">
        <v>5037</v>
      </c>
      <c r="G2329" s="3">
        <v>6002.42</v>
      </c>
      <c r="H2329" s="3">
        <v>0</v>
      </c>
      <c r="I2329" s="3">
        <f>SUM(Tabla1[[#This Row],[Monto_Base]],H2329)</f>
        <v>6002.42</v>
      </c>
      <c r="J2329" t="s">
        <v>5042</v>
      </c>
      <c r="K2329" t="s">
        <v>5049</v>
      </c>
      <c r="L2329" t="s">
        <v>5050</v>
      </c>
      <c r="M2329" t="s">
        <v>5054</v>
      </c>
    </row>
    <row r="2330" spans="1:13" x14ac:dyDescent="0.3">
      <c r="A2330" s="1">
        <v>45600</v>
      </c>
      <c r="B2330" s="1" t="str">
        <f>TEXT(Tabla1[[#This Row],[Fecha]],"MMMM")</f>
        <v>noviembre</v>
      </c>
      <c r="C2330" t="s">
        <v>2340</v>
      </c>
      <c r="D2330" t="s">
        <v>5015</v>
      </c>
      <c r="E2330" t="s">
        <v>5032</v>
      </c>
      <c r="F2330" t="s">
        <v>5039</v>
      </c>
      <c r="G2330" s="3">
        <v>8840.42</v>
      </c>
      <c r="H2330" s="3">
        <v>0</v>
      </c>
      <c r="I2330" s="3">
        <f>SUM(Tabla1[[#This Row],[Monto_Base]],H2330)</f>
        <v>8840.42</v>
      </c>
      <c r="J2330" t="s">
        <v>5042</v>
      </c>
      <c r="K2330" t="s">
        <v>5047</v>
      </c>
      <c r="L2330" t="s">
        <v>5052</v>
      </c>
      <c r="M2330" t="s">
        <v>5055</v>
      </c>
    </row>
    <row r="2331" spans="1:13" x14ac:dyDescent="0.3">
      <c r="A2331" s="1">
        <v>45387</v>
      </c>
      <c r="B2331" s="1" t="str">
        <f>TEXT(Tabla1[[#This Row],[Fecha]],"MMMM")</f>
        <v>abril</v>
      </c>
      <c r="C2331" t="s">
        <v>2341</v>
      </c>
      <c r="D2331" t="s">
        <v>5019</v>
      </c>
      <c r="E2331" t="s">
        <v>5032</v>
      </c>
      <c r="F2331" t="s">
        <v>5041</v>
      </c>
      <c r="G2331" s="3">
        <v>6791.55</v>
      </c>
      <c r="H2331" s="3">
        <v>0</v>
      </c>
      <c r="I2331" s="3">
        <f>SUM(Tabla1[[#This Row],[Monto_Base]],H2331)</f>
        <v>6791.55</v>
      </c>
      <c r="J2331" t="s">
        <v>5044</v>
      </c>
      <c r="K2331" t="s">
        <v>5048</v>
      </c>
      <c r="L2331" t="s">
        <v>5053</v>
      </c>
      <c r="M2331" t="s">
        <v>5055</v>
      </c>
    </row>
    <row r="2332" spans="1:13" x14ac:dyDescent="0.3">
      <c r="A2332" s="1">
        <v>45420</v>
      </c>
      <c r="B2332" s="1" t="str">
        <f>TEXT(Tabla1[[#This Row],[Fecha]],"MMMM")</f>
        <v>mayo</v>
      </c>
      <c r="C2332" t="s">
        <v>2342</v>
      </c>
      <c r="D2332" t="s">
        <v>5017</v>
      </c>
      <c r="E2332" t="s">
        <v>5032</v>
      </c>
      <c r="F2332" t="s">
        <v>5039</v>
      </c>
      <c r="G2332" s="3">
        <v>780.39</v>
      </c>
      <c r="H2332" s="3">
        <v>0</v>
      </c>
      <c r="I2332" s="3">
        <f>SUM(Tabla1[[#This Row],[Monto_Base]],H2332)</f>
        <v>780.39</v>
      </c>
      <c r="J2332" t="s">
        <v>5042</v>
      </c>
      <c r="K2332" t="s">
        <v>5047</v>
      </c>
      <c r="L2332" t="s">
        <v>5053</v>
      </c>
      <c r="M2332" t="s">
        <v>5055</v>
      </c>
    </row>
    <row r="2333" spans="1:13" x14ac:dyDescent="0.3">
      <c r="A2333" s="1">
        <v>45356</v>
      </c>
      <c r="B2333" s="1" t="str">
        <f>TEXT(Tabla1[[#This Row],[Fecha]],"MMMM")</f>
        <v>marzo</v>
      </c>
      <c r="C2333" t="s">
        <v>2343</v>
      </c>
      <c r="D2333" t="s">
        <v>5031</v>
      </c>
      <c r="E2333" t="s">
        <v>5033</v>
      </c>
      <c r="F2333" t="s">
        <v>5036</v>
      </c>
      <c r="G2333" s="3">
        <v>2363.63</v>
      </c>
      <c r="H2333" s="3">
        <v>307.27</v>
      </c>
      <c r="I2333" s="3">
        <f>SUM(Tabla1[[#This Row],[Monto_Base]],H2333)</f>
        <v>2670.9</v>
      </c>
      <c r="J2333" t="s">
        <v>5043</v>
      </c>
      <c r="K2333" t="s">
        <v>5047</v>
      </c>
      <c r="L2333" t="s">
        <v>5053</v>
      </c>
      <c r="M2333" t="s">
        <v>5054</v>
      </c>
    </row>
    <row r="2334" spans="1:13" x14ac:dyDescent="0.3">
      <c r="A2334" s="1">
        <v>45629</v>
      </c>
      <c r="B2334" s="1" t="str">
        <f>TEXT(Tabla1[[#This Row],[Fecha]],"MMMM")</f>
        <v>diciembre</v>
      </c>
      <c r="C2334" t="s">
        <v>2344</v>
      </c>
      <c r="D2334" t="s">
        <v>5021</v>
      </c>
      <c r="E2334" t="s">
        <v>5032</v>
      </c>
      <c r="F2334" t="s">
        <v>5035</v>
      </c>
      <c r="G2334" s="3">
        <v>9802.9500000000007</v>
      </c>
      <c r="H2334" s="3">
        <v>0</v>
      </c>
      <c r="I2334" s="3">
        <f>SUM(Tabla1[[#This Row],[Monto_Base]],H2334)</f>
        <v>9802.9500000000007</v>
      </c>
      <c r="J2334" t="s">
        <v>5043</v>
      </c>
      <c r="K2334" t="s">
        <v>5048</v>
      </c>
      <c r="L2334" t="s">
        <v>5052</v>
      </c>
      <c r="M2334" t="s">
        <v>5054</v>
      </c>
    </row>
    <row r="2335" spans="1:13" x14ac:dyDescent="0.3">
      <c r="A2335" s="1">
        <v>45580</v>
      </c>
      <c r="B2335" s="1" t="str">
        <f>TEXT(Tabla1[[#This Row],[Fecha]],"MMMM")</f>
        <v>octubre</v>
      </c>
      <c r="C2335" t="s">
        <v>2345</v>
      </c>
      <c r="D2335" t="s">
        <v>5024</v>
      </c>
      <c r="E2335" t="s">
        <v>5033</v>
      </c>
      <c r="F2335" t="s">
        <v>5038</v>
      </c>
      <c r="G2335" s="3">
        <v>10979.78</v>
      </c>
      <c r="H2335" s="3">
        <v>1427.37</v>
      </c>
      <c r="I2335" s="3">
        <f>SUM(Tabla1[[#This Row],[Monto_Base]],H2335)</f>
        <v>12407.150000000001</v>
      </c>
      <c r="J2335" t="s">
        <v>5045</v>
      </c>
      <c r="K2335" t="s">
        <v>5047</v>
      </c>
      <c r="L2335" t="s">
        <v>5051</v>
      </c>
      <c r="M2335" t="s">
        <v>5054</v>
      </c>
    </row>
    <row r="2336" spans="1:13" x14ac:dyDescent="0.3">
      <c r="A2336" s="1">
        <v>45617</v>
      </c>
      <c r="B2336" s="1" t="str">
        <f>TEXT(Tabla1[[#This Row],[Fecha]],"MMMM")</f>
        <v>noviembre</v>
      </c>
      <c r="C2336" t="s">
        <v>2346</v>
      </c>
      <c r="D2336" t="s">
        <v>5017</v>
      </c>
      <c r="E2336" t="s">
        <v>5032</v>
      </c>
      <c r="F2336" t="s">
        <v>5040</v>
      </c>
      <c r="G2336" s="3">
        <v>2326.9699999999998</v>
      </c>
      <c r="H2336" s="3">
        <v>0</v>
      </c>
      <c r="I2336" s="3">
        <f>SUM(Tabla1[[#This Row],[Monto_Base]],H2336)</f>
        <v>2326.9699999999998</v>
      </c>
      <c r="J2336" t="s">
        <v>5042</v>
      </c>
      <c r="K2336" t="s">
        <v>5048</v>
      </c>
      <c r="L2336" t="s">
        <v>5052</v>
      </c>
      <c r="M2336" t="s">
        <v>5054</v>
      </c>
    </row>
    <row r="2337" spans="1:13" x14ac:dyDescent="0.3">
      <c r="A2337" s="1">
        <v>45633</v>
      </c>
      <c r="B2337" s="1" t="str">
        <f>TEXT(Tabla1[[#This Row],[Fecha]],"MMMM")</f>
        <v>diciembre</v>
      </c>
      <c r="C2337" t="s">
        <v>2347</v>
      </c>
      <c r="D2337" t="s">
        <v>5020</v>
      </c>
      <c r="E2337" t="s">
        <v>5032</v>
      </c>
      <c r="F2337" t="s">
        <v>5038</v>
      </c>
      <c r="G2337" s="3">
        <v>2438.5500000000002</v>
      </c>
      <c r="H2337" s="3">
        <v>0</v>
      </c>
      <c r="I2337" s="3">
        <f>SUM(Tabla1[[#This Row],[Monto_Base]],H2337)</f>
        <v>2438.5500000000002</v>
      </c>
      <c r="J2337" t="s">
        <v>5046</v>
      </c>
      <c r="K2337" t="s">
        <v>5048</v>
      </c>
      <c r="L2337" t="s">
        <v>5053</v>
      </c>
      <c r="M2337" t="s">
        <v>5055</v>
      </c>
    </row>
    <row r="2338" spans="1:13" x14ac:dyDescent="0.3">
      <c r="A2338" s="1">
        <v>45410</v>
      </c>
      <c r="B2338" s="1" t="str">
        <f>TEXT(Tabla1[[#This Row],[Fecha]],"MMMM")</f>
        <v>abril</v>
      </c>
      <c r="C2338" t="s">
        <v>2348</v>
      </c>
      <c r="D2338" t="s">
        <v>5012</v>
      </c>
      <c r="E2338" t="s">
        <v>5033</v>
      </c>
      <c r="F2338" t="s">
        <v>5034</v>
      </c>
      <c r="G2338" s="3">
        <v>5085.66</v>
      </c>
      <c r="H2338" s="3">
        <v>661.14</v>
      </c>
      <c r="I2338" s="3">
        <f>SUM(Tabla1[[#This Row],[Monto_Base]],H2338)</f>
        <v>5746.8</v>
      </c>
      <c r="J2338" t="s">
        <v>5045</v>
      </c>
      <c r="K2338" t="s">
        <v>5049</v>
      </c>
      <c r="L2338" t="s">
        <v>5050</v>
      </c>
      <c r="M2338" t="s">
        <v>5055</v>
      </c>
    </row>
    <row r="2339" spans="1:13" x14ac:dyDescent="0.3">
      <c r="A2339" s="1">
        <v>45609</v>
      </c>
      <c r="B2339" s="1" t="str">
        <f>TEXT(Tabla1[[#This Row],[Fecha]],"MMMM")</f>
        <v>noviembre</v>
      </c>
      <c r="C2339" t="s">
        <v>2349</v>
      </c>
      <c r="D2339" t="s">
        <v>5014</v>
      </c>
      <c r="E2339" t="s">
        <v>5033</v>
      </c>
      <c r="F2339" t="s">
        <v>5038</v>
      </c>
      <c r="G2339" s="3">
        <v>8402.5499999999993</v>
      </c>
      <c r="H2339" s="3">
        <v>1092.33</v>
      </c>
      <c r="I2339" s="3">
        <f>SUM(Tabla1[[#This Row],[Monto_Base]],H2339)</f>
        <v>9494.8799999999992</v>
      </c>
      <c r="J2339" t="s">
        <v>5043</v>
      </c>
      <c r="K2339" t="s">
        <v>5047</v>
      </c>
      <c r="L2339" t="s">
        <v>5053</v>
      </c>
      <c r="M2339" t="s">
        <v>5055</v>
      </c>
    </row>
    <row r="2340" spans="1:13" x14ac:dyDescent="0.3">
      <c r="A2340" s="1">
        <v>45629</v>
      </c>
      <c r="B2340" s="1" t="str">
        <f>TEXT(Tabla1[[#This Row],[Fecha]],"MMMM")</f>
        <v>diciembre</v>
      </c>
      <c r="C2340" t="s">
        <v>2350</v>
      </c>
      <c r="D2340" t="s">
        <v>5016</v>
      </c>
      <c r="E2340" t="s">
        <v>5033</v>
      </c>
      <c r="F2340" t="s">
        <v>5035</v>
      </c>
      <c r="G2340" s="3">
        <v>1323.37</v>
      </c>
      <c r="H2340" s="3">
        <v>172.04</v>
      </c>
      <c r="I2340" s="3">
        <f>SUM(Tabla1[[#This Row],[Monto_Base]],H2340)</f>
        <v>1495.4099999999999</v>
      </c>
      <c r="J2340" t="s">
        <v>5044</v>
      </c>
      <c r="K2340" t="s">
        <v>5047</v>
      </c>
      <c r="L2340" t="s">
        <v>5053</v>
      </c>
      <c r="M2340" t="s">
        <v>5055</v>
      </c>
    </row>
    <row r="2341" spans="1:13" x14ac:dyDescent="0.3">
      <c r="A2341" s="1">
        <v>45537</v>
      </c>
      <c r="B2341" s="1" t="str">
        <f>TEXT(Tabla1[[#This Row],[Fecha]],"MMMM")</f>
        <v>septiembre</v>
      </c>
      <c r="C2341" t="s">
        <v>2351</v>
      </c>
      <c r="D2341" t="s">
        <v>5019</v>
      </c>
      <c r="E2341" t="s">
        <v>5033</v>
      </c>
      <c r="F2341" t="s">
        <v>5037</v>
      </c>
      <c r="G2341" s="3">
        <v>8599.4699999999993</v>
      </c>
      <c r="H2341" s="3">
        <v>1117.93</v>
      </c>
      <c r="I2341" s="3">
        <f>SUM(Tabla1[[#This Row],[Monto_Base]],H2341)</f>
        <v>9717.4</v>
      </c>
      <c r="J2341" t="s">
        <v>5046</v>
      </c>
      <c r="K2341" t="s">
        <v>5049</v>
      </c>
      <c r="L2341" t="s">
        <v>5051</v>
      </c>
      <c r="M2341" t="s">
        <v>5054</v>
      </c>
    </row>
    <row r="2342" spans="1:13" x14ac:dyDescent="0.3">
      <c r="A2342" s="1">
        <v>45655</v>
      </c>
      <c r="B2342" s="1" t="str">
        <f>TEXT(Tabla1[[#This Row],[Fecha]],"MMMM")</f>
        <v>diciembre</v>
      </c>
      <c r="C2342" t="s">
        <v>2352</v>
      </c>
      <c r="D2342" t="s">
        <v>5024</v>
      </c>
      <c r="E2342" t="s">
        <v>5032</v>
      </c>
      <c r="F2342" t="s">
        <v>5041</v>
      </c>
      <c r="G2342" s="3">
        <v>3901.53</v>
      </c>
      <c r="H2342" s="3">
        <v>0</v>
      </c>
      <c r="I2342" s="3">
        <f>SUM(Tabla1[[#This Row],[Monto_Base]],H2342)</f>
        <v>3901.53</v>
      </c>
      <c r="J2342" t="s">
        <v>5046</v>
      </c>
      <c r="K2342" t="s">
        <v>5048</v>
      </c>
      <c r="L2342" t="s">
        <v>5052</v>
      </c>
      <c r="M2342" t="s">
        <v>5054</v>
      </c>
    </row>
    <row r="2343" spans="1:13" x14ac:dyDescent="0.3">
      <c r="A2343" s="1">
        <v>45318</v>
      </c>
      <c r="B2343" s="1" t="str">
        <f>TEXT(Tabla1[[#This Row],[Fecha]],"MMMM")</f>
        <v>enero</v>
      </c>
      <c r="C2343" t="s">
        <v>2353</v>
      </c>
      <c r="D2343" t="s">
        <v>5018</v>
      </c>
      <c r="E2343" t="s">
        <v>5032</v>
      </c>
      <c r="F2343" t="s">
        <v>5037</v>
      </c>
      <c r="G2343" s="3">
        <v>1499.15</v>
      </c>
      <c r="H2343" s="3">
        <v>0</v>
      </c>
      <c r="I2343" s="3">
        <f>SUM(Tabla1[[#This Row],[Monto_Base]],H2343)</f>
        <v>1499.15</v>
      </c>
      <c r="J2343" t="s">
        <v>5043</v>
      </c>
      <c r="K2343" t="s">
        <v>5048</v>
      </c>
      <c r="L2343" t="s">
        <v>5050</v>
      </c>
      <c r="M2343" t="s">
        <v>5054</v>
      </c>
    </row>
    <row r="2344" spans="1:13" x14ac:dyDescent="0.3">
      <c r="A2344" s="1">
        <v>45506</v>
      </c>
      <c r="B2344" s="1" t="str">
        <f>TEXT(Tabla1[[#This Row],[Fecha]],"MMMM")</f>
        <v>agosto</v>
      </c>
      <c r="C2344" t="s">
        <v>2354</v>
      </c>
      <c r="D2344" t="s">
        <v>5013</v>
      </c>
      <c r="E2344" t="s">
        <v>5032</v>
      </c>
      <c r="F2344" t="s">
        <v>5040</v>
      </c>
      <c r="G2344" s="3">
        <v>978.54</v>
      </c>
      <c r="H2344" s="3">
        <v>0</v>
      </c>
      <c r="I2344" s="3">
        <f>SUM(Tabla1[[#This Row],[Monto_Base]],H2344)</f>
        <v>978.54</v>
      </c>
      <c r="J2344" t="s">
        <v>5045</v>
      </c>
      <c r="K2344" t="s">
        <v>5049</v>
      </c>
      <c r="L2344" t="s">
        <v>5052</v>
      </c>
      <c r="M2344" t="s">
        <v>5054</v>
      </c>
    </row>
    <row r="2345" spans="1:13" x14ac:dyDescent="0.3">
      <c r="A2345" s="1">
        <v>45391</v>
      </c>
      <c r="B2345" s="1" t="str">
        <f>TEXT(Tabla1[[#This Row],[Fecha]],"MMMM")</f>
        <v>abril</v>
      </c>
      <c r="C2345" t="s">
        <v>2355</v>
      </c>
      <c r="D2345" t="s">
        <v>5015</v>
      </c>
      <c r="E2345" t="s">
        <v>5033</v>
      </c>
      <c r="F2345" t="s">
        <v>5034</v>
      </c>
      <c r="G2345" s="3">
        <v>7758.76</v>
      </c>
      <c r="H2345" s="3">
        <v>1008.64</v>
      </c>
      <c r="I2345" s="3">
        <f>SUM(Tabla1[[#This Row],[Monto_Base]],H2345)</f>
        <v>8767.4</v>
      </c>
      <c r="J2345" t="s">
        <v>5046</v>
      </c>
      <c r="K2345" t="s">
        <v>5048</v>
      </c>
      <c r="L2345" t="s">
        <v>5053</v>
      </c>
      <c r="M2345" t="s">
        <v>5054</v>
      </c>
    </row>
    <row r="2346" spans="1:13" x14ac:dyDescent="0.3">
      <c r="A2346" s="1">
        <v>45521</v>
      </c>
      <c r="B2346" s="1" t="str">
        <f>TEXT(Tabla1[[#This Row],[Fecha]],"MMMM")</f>
        <v>agosto</v>
      </c>
      <c r="C2346" t="s">
        <v>2356</v>
      </c>
      <c r="D2346" t="s">
        <v>5028</v>
      </c>
      <c r="E2346" t="s">
        <v>5032</v>
      </c>
      <c r="F2346" t="s">
        <v>5038</v>
      </c>
      <c r="G2346" s="3">
        <v>4162.17</v>
      </c>
      <c r="H2346" s="3">
        <v>0</v>
      </c>
      <c r="I2346" s="3">
        <f>SUM(Tabla1[[#This Row],[Monto_Base]],H2346)</f>
        <v>4162.17</v>
      </c>
      <c r="J2346" t="s">
        <v>5044</v>
      </c>
      <c r="K2346" t="s">
        <v>5049</v>
      </c>
      <c r="L2346" t="s">
        <v>5053</v>
      </c>
      <c r="M2346" t="s">
        <v>5055</v>
      </c>
    </row>
    <row r="2347" spans="1:13" x14ac:dyDescent="0.3">
      <c r="A2347" s="1">
        <v>45565</v>
      </c>
      <c r="B2347" s="1" t="str">
        <f>TEXT(Tabla1[[#This Row],[Fecha]],"MMMM")</f>
        <v>septiembre</v>
      </c>
      <c r="C2347" t="s">
        <v>2357</v>
      </c>
      <c r="D2347" t="s">
        <v>5019</v>
      </c>
      <c r="E2347" t="s">
        <v>5033</v>
      </c>
      <c r="F2347" t="s">
        <v>5041</v>
      </c>
      <c r="G2347" s="3">
        <v>11259.4</v>
      </c>
      <c r="H2347" s="3">
        <v>1463.72</v>
      </c>
      <c r="I2347" s="3">
        <f>SUM(Tabla1[[#This Row],[Monto_Base]],H2347)</f>
        <v>12723.119999999999</v>
      </c>
      <c r="J2347" t="s">
        <v>5043</v>
      </c>
      <c r="K2347" t="s">
        <v>5047</v>
      </c>
      <c r="L2347" t="s">
        <v>5052</v>
      </c>
      <c r="M2347" t="s">
        <v>5055</v>
      </c>
    </row>
    <row r="2348" spans="1:13" x14ac:dyDescent="0.3">
      <c r="A2348" s="1">
        <v>45603</v>
      </c>
      <c r="B2348" s="1" t="str">
        <f>TEXT(Tabla1[[#This Row],[Fecha]],"MMMM")</f>
        <v>noviembre</v>
      </c>
      <c r="C2348" t="s">
        <v>2358</v>
      </c>
      <c r="D2348" t="s">
        <v>5012</v>
      </c>
      <c r="E2348" t="s">
        <v>5032</v>
      </c>
      <c r="F2348" t="s">
        <v>5037</v>
      </c>
      <c r="G2348" s="3">
        <v>4854.22</v>
      </c>
      <c r="H2348" s="3">
        <v>0</v>
      </c>
      <c r="I2348" s="3">
        <f>SUM(Tabla1[[#This Row],[Monto_Base]],H2348)</f>
        <v>4854.22</v>
      </c>
      <c r="J2348" t="s">
        <v>5045</v>
      </c>
      <c r="K2348" t="s">
        <v>5048</v>
      </c>
      <c r="L2348" t="s">
        <v>5053</v>
      </c>
      <c r="M2348" t="s">
        <v>5055</v>
      </c>
    </row>
    <row r="2349" spans="1:13" x14ac:dyDescent="0.3">
      <c r="A2349" s="1">
        <v>45595</v>
      </c>
      <c r="B2349" s="1" t="str">
        <f>TEXT(Tabla1[[#This Row],[Fecha]],"MMMM")</f>
        <v>octubre</v>
      </c>
      <c r="C2349" t="s">
        <v>2359</v>
      </c>
      <c r="D2349" t="s">
        <v>5018</v>
      </c>
      <c r="E2349" t="s">
        <v>5033</v>
      </c>
      <c r="F2349" t="s">
        <v>5039</v>
      </c>
      <c r="G2349" s="3">
        <v>12964.98</v>
      </c>
      <c r="H2349" s="3">
        <v>1685.45</v>
      </c>
      <c r="I2349" s="3">
        <f>SUM(Tabla1[[#This Row],[Monto_Base]],H2349)</f>
        <v>14650.43</v>
      </c>
      <c r="J2349" t="s">
        <v>5044</v>
      </c>
      <c r="K2349" t="s">
        <v>5047</v>
      </c>
      <c r="L2349" t="s">
        <v>5051</v>
      </c>
      <c r="M2349" t="s">
        <v>5055</v>
      </c>
    </row>
    <row r="2350" spans="1:13" x14ac:dyDescent="0.3">
      <c r="A2350" s="1">
        <v>45329</v>
      </c>
      <c r="B2350" s="1" t="str">
        <f>TEXT(Tabla1[[#This Row],[Fecha]],"MMMM")</f>
        <v>febrero</v>
      </c>
      <c r="C2350" t="s">
        <v>2360</v>
      </c>
      <c r="D2350" t="s">
        <v>5024</v>
      </c>
      <c r="E2350" t="s">
        <v>5032</v>
      </c>
      <c r="F2350" t="s">
        <v>5035</v>
      </c>
      <c r="G2350" s="3">
        <v>9095.0300000000007</v>
      </c>
      <c r="H2350" s="3">
        <v>0</v>
      </c>
      <c r="I2350" s="3">
        <f>SUM(Tabla1[[#This Row],[Monto_Base]],H2350)</f>
        <v>9095.0300000000007</v>
      </c>
      <c r="J2350" t="s">
        <v>5042</v>
      </c>
      <c r="K2350" t="s">
        <v>5048</v>
      </c>
      <c r="L2350" t="s">
        <v>5053</v>
      </c>
      <c r="M2350" t="s">
        <v>5055</v>
      </c>
    </row>
    <row r="2351" spans="1:13" x14ac:dyDescent="0.3">
      <c r="A2351" s="1">
        <v>45523</v>
      </c>
      <c r="B2351" s="1" t="str">
        <f>TEXT(Tabla1[[#This Row],[Fecha]],"MMMM")</f>
        <v>agosto</v>
      </c>
      <c r="C2351" t="s">
        <v>2361</v>
      </c>
      <c r="D2351" t="s">
        <v>5016</v>
      </c>
      <c r="E2351" t="s">
        <v>5033</v>
      </c>
      <c r="F2351" t="s">
        <v>5036</v>
      </c>
      <c r="G2351" s="3">
        <v>4848.37</v>
      </c>
      <c r="H2351" s="3">
        <v>630.29</v>
      </c>
      <c r="I2351" s="3">
        <f>SUM(Tabla1[[#This Row],[Monto_Base]],H2351)</f>
        <v>5478.66</v>
      </c>
      <c r="J2351" t="s">
        <v>5044</v>
      </c>
      <c r="K2351" t="s">
        <v>5048</v>
      </c>
      <c r="L2351" t="s">
        <v>5050</v>
      </c>
      <c r="M2351" t="s">
        <v>5055</v>
      </c>
    </row>
    <row r="2352" spans="1:13" x14ac:dyDescent="0.3">
      <c r="A2352" s="1">
        <v>45543</v>
      </c>
      <c r="B2352" s="1" t="str">
        <f>TEXT(Tabla1[[#This Row],[Fecha]],"MMMM")</f>
        <v>septiembre</v>
      </c>
      <c r="C2352" t="s">
        <v>2362</v>
      </c>
      <c r="D2352" t="s">
        <v>5031</v>
      </c>
      <c r="E2352" t="s">
        <v>5033</v>
      </c>
      <c r="F2352" t="s">
        <v>5037</v>
      </c>
      <c r="G2352" s="3">
        <v>751.02</v>
      </c>
      <c r="H2352" s="3">
        <v>97.63</v>
      </c>
      <c r="I2352" s="3">
        <f>SUM(Tabla1[[#This Row],[Monto_Base]],H2352)</f>
        <v>848.65</v>
      </c>
      <c r="J2352" t="s">
        <v>5043</v>
      </c>
      <c r="K2352" t="s">
        <v>5047</v>
      </c>
      <c r="L2352" t="s">
        <v>5053</v>
      </c>
      <c r="M2352" t="s">
        <v>5055</v>
      </c>
    </row>
    <row r="2353" spans="1:13" x14ac:dyDescent="0.3">
      <c r="A2353" s="1">
        <v>45455</v>
      </c>
      <c r="B2353" s="1" t="str">
        <f>TEXT(Tabla1[[#This Row],[Fecha]],"MMMM")</f>
        <v>junio</v>
      </c>
      <c r="C2353" t="s">
        <v>2363</v>
      </c>
      <c r="D2353" t="s">
        <v>5031</v>
      </c>
      <c r="E2353" t="s">
        <v>5033</v>
      </c>
      <c r="F2353" t="s">
        <v>5035</v>
      </c>
      <c r="G2353" s="3">
        <v>10766.53</v>
      </c>
      <c r="H2353" s="3">
        <v>1399.65</v>
      </c>
      <c r="I2353" s="3">
        <f>SUM(Tabla1[[#This Row],[Monto_Base]],H2353)</f>
        <v>12166.18</v>
      </c>
      <c r="J2353" t="s">
        <v>5044</v>
      </c>
      <c r="K2353" t="s">
        <v>5047</v>
      </c>
      <c r="L2353" t="s">
        <v>5051</v>
      </c>
      <c r="M2353" t="s">
        <v>5054</v>
      </c>
    </row>
    <row r="2354" spans="1:13" x14ac:dyDescent="0.3">
      <c r="A2354" s="1">
        <v>45568</v>
      </c>
      <c r="B2354" s="1" t="str">
        <f>TEXT(Tabla1[[#This Row],[Fecha]],"MMMM")</f>
        <v>octubre</v>
      </c>
      <c r="C2354" t="s">
        <v>2364</v>
      </c>
      <c r="D2354" t="s">
        <v>5031</v>
      </c>
      <c r="E2354" t="s">
        <v>5033</v>
      </c>
      <c r="F2354" t="s">
        <v>5039</v>
      </c>
      <c r="G2354" s="3">
        <v>1267.45</v>
      </c>
      <c r="H2354" s="3">
        <v>164.77</v>
      </c>
      <c r="I2354" s="3">
        <f>SUM(Tabla1[[#This Row],[Monto_Base]],H2354)</f>
        <v>1432.22</v>
      </c>
      <c r="J2354" t="s">
        <v>5045</v>
      </c>
      <c r="K2354" t="s">
        <v>5049</v>
      </c>
      <c r="L2354" t="s">
        <v>5052</v>
      </c>
      <c r="M2354" t="s">
        <v>5055</v>
      </c>
    </row>
    <row r="2355" spans="1:13" x14ac:dyDescent="0.3">
      <c r="A2355" s="1">
        <v>45570</v>
      </c>
      <c r="B2355" s="1" t="str">
        <f>TEXT(Tabla1[[#This Row],[Fecha]],"MMMM")</f>
        <v>octubre</v>
      </c>
      <c r="C2355" t="s">
        <v>2365</v>
      </c>
      <c r="D2355" t="s">
        <v>5028</v>
      </c>
      <c r="E2355" t="s">
        <v>5033</v>
      </c>
      <c r="F2355" t="s">
        <v>5034</v>
      </c>
      <c r="G2355" s="3">
        <v>7730.44</v>
      </c>
      <c r="H2355" s="3">
        <v>1004.96</v>
      </c>
      <c r="I2355" s="3">
        <f>SUM(Tabla1[[#This Row],[Monto_Base]],H2355)</f>
        <v>8735.4</v>
      </c>
      <c r="J2355" t="s">
        <v>5042</v>
      </c>
      <c r="K2355" t="s">
        <v>5048</v>
      </c>
      <c r="L2355" t="s">
        <v>5051</v>
      </c>
      <c r="M2355" t="s">
        <v>5054</v>
      </c>
    </row>
    <row r="2356" spans="1:13" x14ac:dyDescent="0.3">
      <c r="A2356" s="1">
        <v>45372</v>
      </c>
      <c r="B2356" s="1" t="str">
        <f>TEXT(Tabla1[[#This Row],[Fecha]],"MMMM")</f>
        <v>marzo</v>
      </c>
      <c r="C2356" t="s">
        <v>2366</v>
      </c>
      <c r="D2356" t="s">
        <v>5016</v>
      </c>
      <c r="E2356" t="s">
        <v>5033</v>
      </c>
      <c r="F2356" t="s">
        <v>5039</v>
      </c>
      <c r="G2356" s="3">
        <v>5906.55</v>
      </c>
      <c r="H2356" s="3">
        <v>767.85</v>
      </c>
      <c r="I2356" s="3">
        <f>SUM(Tabla1[[#This Row],[Monto_Base]],H2356)</f>
        <v>6674.4000000000005</v>
      </c>
      <c r="J2356" t="s">
        <v>5042</v>
      </c>
      <c r="K2356" t="s">
        <v>5049</v>
      </c>
      <c r="L2356" t="s">
        <v>5051</v>
      </c>
      <c r="M2356" t="s">
        <v>5054</v>
      </c>
    </row>
    <row r="2357" spans="1:13" x14ac:dyDescent="0.3">
      <c r="A2357" s="1">
        <v>45413</v>
      </c>
      <c r="B2357" s="1" t="str">
        <f>TEXT(Tabla1[[#This Row],[Fecha]],"MMMM")</f>
        <v>mayo</v>
      </c>
      <c r="C2357" t="s">
        <v>2367</v>
      </c>
      <c r="D2357" t="s">
        <v>5029</v>
      </c>
      <c r="E2357" t="s">
        <v>5032</v>
      </c>
      <c r="F2357" t="s">
        <v>5034</v>
      </c>
      <c r="G2357" s="3">
        <v>13010.93</v>
      </c>
      <c r="H2357" s="3">
        <v>0</v>
      </c>
      <c r="I2357" s="3">
        <f>SUM(Tabla1[[#This Row],[Monto_Base]],H2357)</f>
        <v>13010.93</v>
      </c>
      <c r="J2357" t="s">
        <v>5044</v>
      </c>
      <c r="K2357" t="s">
        <v>5049</v>
      </c>
      <c r="L2357" t="s">
        <v>5050</v>
      </c>
      <c r="M2357" t="s">
        <v>5054</v>
      </c>
    </row>
    <row r="2358" spans="1:13" x14ac:dyDescent="0.3">
      <c r="A2358" s="1">
        <v>45302</v>
      </c>
      <c r="B2358" s="1" t="str">
        <f>TEXT(Tabla1[[#This Row],[Fecha]],"MMMM")</f>
        <v>enero</v>
      </c>
      <c r="C2358" t="s">
        <v>2368</v>
      </c>
      <c r="D2358" t="s">
        <v>5012</v>
      </c>
      <c r="E2358" t="s">
        <v>5033</v>
      </c>
      <c r="F2358" t="s">
        <v>5041</v>
      </c>
      <c r="G2358" s="3">
        <v>4534.72</v>
      </c>
      <c r="H2358" s="3">
        <v>589.51</v>
      </c>
      <c r="I2358" s="3">
        <f>SUM(Tabla1[[#This Row],[Monto_Base]],H2358)</f>
        <v>5124.2300000000005</v>
      </c>
      <c r="J2358" t="s">
        <v>5042</v>
      </c>
      <c r="K2358" t="s">
        <v>5049</v>
      </c>
      <c r="L2358" t="s">
        <v>5053</v>
      </c>
      <c r="M2358" t="s">
        <v>5055</v>
      </c>
    </row>
    <row r="2359" spans="1:13" x14ac:dyDescent="0.3">
      <c r="A2359" s="1">
        <v>45313</v>
      </c>
      <c r="B2359" s="1" t="str">
        <f>TEXT(Tabla1[[#This Row],[Fecha]],"MMMM")</f>
        <v>enero</v>
      </c>
      <c r="C2359" t="s">
        <v>2369</v>
      </c>
      <c r="D2359" t="s">
        <v>5022</v>
      </c>
      <c r="E2359" t="s">
        <v>5032</v>
      </c>
      <c r="F2359" t="s">
        <v>5035</v>
      </c>
      <c r="G2359" s="3">
        <v>8968.8799999999992</v>
      </c>
      <c r="H2359" s="3">
        <v>0</v>
      </c>
      <c r="I2359" s="3">
        <f>SUM(Tabla1[[#This Row],[Monto_Base]],H2359)</f>
        <v>8968.8799999999992</v>
      </c>
      <c r="J2359" t="s">
        <v>5045</v>
      </c>
      <c r="K2359" t="s">
        <v>5049</v>
      </c>
      <c r="L2359" t="s">
        <v>5053</v>
      </c>
      <c r="M2359" t="s">
        <v>5055</v>
      </c>
    </row>
    <row r="2360" spans="1:13" x14ac:dyDescent="0.3">
      <c r="A2360" s="1">
        <v>45366</v>
      </c>
      <c r="B2360" s="1" t="str">
        <f>TEXT(Tabla1[[#This Row],[Fecha]],"MMMM")</f>
        <v>marzo</v>
      </c>
      <c r="C2360" t="s">
        <v>2370</v>
      </c>
      <c r="D2360" t="s">
        <v>5013</v>
      </c>
      <c r="E2360" t="s">
        <v>5033</v>
      </c>
      <c r="F2360" t="s">
        <v>5034</v>
      </c>
      <c r="G2360" s="3">
        <v>10227.200000000001</v>
      </c>
      <c r="H2360" s="3">
        <v>1329.54</v>
      </c>
      <c r="I2360" s="3">
        <f>SUM(Tabla1[[#This Row],[Monto_Base]],H2360)</f>
        <v>11556.740000000002</v>
      </c>
      <c r="J2360" t="s">
        <v>5043</v>
      </c>
      <c r="K2360" t="s">
        <v>5048</v>
      </c>
      <c r="L2360" t="s">
        <v>5053</v>
      </c>
      <c r="M2360" t="s">
        <v>5054</v>
      </c>
    </row>
    <row r="2361" spans="1:13" x14ac:dyDescent="0.3">
      <c r="A2361" s="1">
        <v>45467</v>
      </c>
      <c r="B2361" s="1" t="str">
        <f>TEXT(Tabla1[[#This Row],[Fecha]],"MMMM")</f>
        <v>junio</v>
      </c>
      <c r="C2361" t="s">
        <v>2371</v>
      </c>
      <c r="D2361" t="s">
        <v>5016</v>
      </c>
      <c r="E2361" t="s">
        <v>5032</v>
      </c>
      <c r="F2361" t="s">
        <v>5040</v>
      </c>
      <c r="G2361" s="3">
        <v>8435.11</v>
      </c>
      <c r="H2361" s="3">
        <v>0</v>
      </c>
      <c r="I2361" s="3">
        <f>SUM(Tabla1[[#This Row],[Monto_Base]],H2361)</f>
        <v>8435.11</v>
      </c>
      <c r="J2361" t="s">
        <v>5046</v>
      </c>
      <c r="K2361" t="s">
        <v>5048</v>
      </c>
      <c r="L2361" t="s">
        <v>5052</v>
      </c>
      <c r="M2361" t="s">
        <v>5054</v>
      </c>
    </row>
    <row r="2362" spans="1:13" x14ac:dyDescent="0.3">
      <c r="A2362" s="1">
        <v>45524</v>
      </c>
      <c r="B2362" s="1" t="str">
        <f>TEXT(Tabla1[[#This Row],[Fecha]],"MMMM")</f>
        <v>agosto</v>
      </c>
      <c r="C2362" t="s">
        <v>2372</v>
      </c>
      <c r="D2362" t="s">
        <v>5013</v>
      </c>
      <c r="E2362" t="s">
        <v>5032</v>
      </c>
      <c r="F2362" t="s">
        <v>5035</v>
      </c>
      <c r="G2362" s="3">
        <v>4464.2700000000004</v>
      </c>
      <c r="H2362" s="3">
        <v>0</v>
      </c>
      <c r="I2362" s="3">
        <f>SUM(Tabla1[[#This Row],[Monto_Base]],H2362)</f>
        <v>4464.2700000000004</v>
      </c>
      <c r="J2362" t="s">
        <v>5046</v>
      </c>
      <c r="K2362" t="s">
        <v>5047</v>
      </c>
      <c r="L2362" t="s">
        <v>5053</v>
      </c>
      <c r="M2362" t="s">
        <v>5055</v>
      </c>
    </row>
    <row r="2363" spans="1:13" x14ac:dyDescent="0.3">
      <c r="A2363" s="1">
        <v>45431</v>
      </c>
      <c r="B2363" s="1" t="str">
        <f>TEXT(Tabla1[[#This Row],[Fecha]],"MMMM")</f>
        <v>mayo</v>
      </c>
      <c r="C2363" t="s">
        <v>2373</v>
      </c>
      <c r="D2363" t="s">
        <v>5031</v>
      </c>
      <c r="E2363" t="s">
        <v>5032</v>
      </c>
      <c r="F2363" t="s">
        <v>5035</v>
      </c>
      <c r="G2363" s="3">
        <v>7166.93</v>
      </c>
      <c r="H2363" s="3">
        <v>0</v>
      </c>
      <c r="I2363" s="3">
        <f>SUM(Tabla1[[#This Row],[Monto_Base]],H2363)</f>
        <v>7166.93</v>
      </c>
      <c r="J2363" t="s">
        <v>5044</v>
      </c>
      <c r="K2363" t="s">
        <v>5049</v>
      </c>
      <c r="L2363" t="s">
        <v>5051</v>
      </c>
      <c r="M2363" t="s">
        <v>5055</v>
      </c>
    </row>
    <row r="2364" spans="1:13" x14ac:dyDescent="0.3">
      <c r="A2364" s="1">
        <v>45324</v>
      </c>
      <c r="B2364" s="1" t="str">
        <f>TEXT(Tabla1[[#This Row],[Fecha]],"MMMM")</f>
        <v>febrero</v>
      </c>
      <c r="C2364" t="s">
        <v>2374</v>
      </c>
      <c r="D2364" t="s">
        <v>5022</v>
      </c>
      <c r="E2364" t="s">
        <v>5033</v>
      </c>
      <c r="F2364" t="s">
        <v>5034</v>
      </c>
      <c r="G2364" s="3">
        <v>1244.93</v>
      </c>
      <c r="H2364" s="3">
        <v>161.84</v>
      </c>
      <c r="I2364" s="3">
        <f>SUM(Tabla1[[#This Row],[Monto_Base]],H2364)</f>
        <v>1406.77</v>
      </c>
      <c r="J2364" t="s">
        <v>5044</v>
      </c>
      <c r="K2364" t="s">
        <v>5048</v>
      </c>
      <c r="L2364" t="s">
        <v>5053</v>
      </c>
      <c r="M2364" t="s">
        <v>5055</v>
      </c>
    </row>
    <row r="2365" spans="1:13" x14ac:dyDescent="0.3">
      <c r="A2365" s="1">
        <v>45540</v>
      </c>
      <c r="B2365" s="1" t="str">
        <f>TEXT(Tabla1[[#This Row],[Fecha]],"MMMM")</f>
        <v>septiembre</v>
      </c>
      <c r="C2365" t="s">
        <v>2375</v>
      </c>
      <c r="D2365" t="s">
        <v>5031</v>
      </c>
      <c r="E2365" t="s">
        <v>5032</v>
      </c>
      <c r="F2365" t="s">
        <v>5037</v>
      </c>
      <c r="G2365" s="3">
        <v>13152.17</v>
      </c>
      <c r="H2365" s="3">
        <v>0</v>
      </c>
      <c r="I2365" s="3">
        <f>SUM(Tabla1[[#This Row],[Monto_Base]],H2365)</f>
        <v>13152.17</v>
      </c>
      <c r="J2365" t="s">
        <v>5043</v>
      </c>
      <c r="K2365" t="s">
        <v>5048</v>
      </c>
      <c r="L2365" t="s">
        <v>5052</v>
      </c>
      <c r="M2365" t="s">
        <v>5055</v>
      </c>
    </row>
    <row r="2366" spans="1:13" x14ac:dyDescent="0.3">
      <c r="A2366" s="1">
        <v>45478</v>
      </c>
      <c r="B2366" s="1" t="str">
        <f>TEXT(Tabla1[[#This Row],[Fecha]],"MMMM")</f>
        <v>julio</v>
      </c>
      <c r="C2366" t="s">
        <v>2376</v>
      </c>
      <c r="D2366" t="s">
        <v>5017</v>
      </c>
      <c r="E2366" t="s">
        <v>5032</v>
      </c>
      <c r="F2366" t="s">
        <v>5037</v>
      </c>
      <c r="G2366" s="3">
        <v>13846.59</v>
      </c>
      <c r="H2366" s="3">
        <v>0</v>
      </c>
      <c r="I2366" s="3">
        <f>SUM(Tabla1[[#This Row],[Monto_Base]],H2366)</f>
        <v>13846.59</v>
      </c>
      <c r="J2366" t="s">
        <v>5046</v>
      </c>
      <c r="K2366" t="s">
        <v>5047</v>
      </c>
      <c r="L2366" t="s">
        <v>5052</v>
      </c>
      <c r="M2366" t="s">
        <v>5055</v>
      </c>
    </row>
    <row r="2367" spans="1:13" x14ac:dyDescent="0.3">
      <c r="A2367" s="1">
        <v>45540</v>
      </c>
      <c r="B2367" s="1" t="str">
        <f>TEXT(Tabla1[[#This Row],[Fecha]],"MMMM")</f>
        <v>septiembre</v>
      </c>
      <c r="C2367" t="s">
        <v>2377</v>
      </c>
      <c r="D2367" t="s">
        <v>5023</v>
      </c>
      <c r="E2367" t="s">
        <v>5032</v>
      </c>
      <c r="F2367" t="s">
        <v>5035</v>
      </c>
      <c r="G2367" s="3">
        <v>1989.61</v>
      </c>
      <c r="H2367" s="3">
        <v>0</v>
      </c>
      <c r="I2367" s="3">
        <f>SUM(Tabla1[[#This Row],[Monto_Base]],H2367)</f>
        <v>1989.61</v>
      </c>
      <c r="J2367" t="s">
        <v>5042</v>
      </c>
      <c r="K2367" t="s">
        <v>5048</v>
      </c>
      <c r="L2367" t="s">
        <v>5053</v>
      </c>
      <c r="M2367" t="s">
        <v>5054</v>
      </c>
    </row>
    <row r="2368" spans="1:13" x14ac:dyDescent="0.3">
      <c r="A2368" s="1">
        <v>45318</v>
      </c>
      <c r="B2368" s="1" t="str">
        <f>TEXT(Tabla1[[#This Row],[Fecha]],"MMMM")</f>
        <v>enero</v>
      </c>
      <c r="C2368" t="s">
        <v>2378</v>
      </c>
      <c r="D2368" t="s">
        <v>5016</v>
      </c>
      <c r="E2368" t="s">
        <v>5032</v>
      </c>
      <c r="F2368" t="s">
        <v>5035</v>
      </c>
      <c r="G2368" s="3">
        <v>4993.13</v>
      </c>
      <c r="H2368" s="3">
        <v>0</v>
      </c>
      <c r="I2368" s="3">
        <f>SUM(Tabla1[[#This Row],[Monto_Base]],H2368)</f>
        <v>4993.13</v>
      </c>
      <c r="J2368" t="s">
        <v>5043</v>
      </c>
      <c r="K2368" t="s">
        <v>5047</v>
      </c>
      <c r="L2368" t="s">
        <v>5053</v>
      </c>
      <c r="M2368" t="s">
        <v>5055</v>
      </c>
    </row>
    <row r="2369" spans="1:13" x14ac:dyDescent="0.3">
      <c r="A2369" s="1">
        <v>45358</v>
      </c>
      <c r="B2369" s="1" t="str">
        <f>TEXT(Tabla1[[#This Row],[Fecha]],"MMMM")</f>
        <v>marzo</v>
      </c>
      <c r="C2369" t="s">
        <v>2379</v>
      </c>
      <c r="D2369" t="s">
        <v>5024</v>
      </c>
      <c r="E2369" t="s">
        <v>5032</v>
      </c>
      <c r="F2369" t="s">
        <v>5035</v>
      </c>
      <c r="G2369" s="3">
        <v>5595.92</v>
      </c>
      <c r="H2369" s="3">
        <v>0</v>
      </c>
      <c r="I2369" s="3">
        <f>SUM(Tabla1[[#This Row],[Monto_Base]],H2369)</f>
        <v>5595.92</v>
      </c>
      <c r="J2369" t="s">
        <v>5042</v>
      </c>
      <c r="K2369" t="s">
        <v>5049</v>
      </c>
      <c r="L2369" t="s">
        <v>5053</v>
      </c>
      <c r="M2369" t="s">
        <v>5055</v>
      </c>
    </row>
    <row r="2370" spans="1:13" x14ac:dyDescent="0.3">
      <c r="A2370" s="1">
        <v>45592</v>
      </c>
      <c r="B2370" s="1" t="str">
        <f>TEXT(Tabla1[[#This Row],[Fecha]],"MMMM")</f>
        <v>octubre</v>
      </c>
      <c r="C2370" t="s">
        <v>2380</v>
      </c>
      <c r="D2370" t="s">
        <v>5022</v>
      </c>
      <c r="E2370" t="s">
        <v>5033</v>
      </c>
      <c r="F2370" t="s">
        <v>5035</v>
      </c>
      <c r="G2370" s="3">
        <v>12900.74</v>
      </c>
      <c r="H2370" s="3">
        <v>1677.1</v>
      </c>
      <c r="I2370" s="3">
        <f>SUM(Tabla1[[#This Row],[Monto_Base]],H2370)</f>
        <v>14577.84</v>
      </c>
      <c r="J2370" t="s">
        <v>5045</v>
      </c>
      <c r="K2370" t="s">
        <v>5049</v>
      </c>
      <c r="L2370" t="s">
        <v>5053</v>
      </c>
      <c r="M2370" t="s">
        <v>5054</v>
      </c>
    </row>
    <row r="2371" spans="1:13" x14ac:dyDescent="0.3">
      <c r="A2371" s="1">
        <v>45303</v>
      </c>
      <c r="B2371" s="1" t="str">
        <f>TEXT(Tabla1[[#This Row],[Fecha]],"MMMM")</f>
        <v>enero</v>
      </c>
      <c r="C2371" t="s">
        <v>2381</v>
      </c>
      <c r="D2371" t="s">
        <v>5017</v>
      </c>
      <c r="E2371" t="s">
        <v>5033</v>
      </c>
      <c r="F2371" t="s">
        <v>5039</v>
      </c>
      <c r="G2371" s="3">
        <v>5504.31</v>
      </c>
      <c r="H2371" s="3">
        <v>715.56</v>
      </c>
      <c r="I2371" s="3">
        <f>SUM(Tabla1[[#This Row],[Monto_Base]],H2371)</f>
        <v>6219.8700000000008</v>
      </c>
      <c r="J2371" t="s">
        <v>5042</v>
      </c>
      <c r="K2371" t="s">
        <v>5048</v>
      </c>
      <c r="L2371" t="s">
        <v>5051</v>
      </c>
      <c r="M2371" t="s">
        <v>5054</v>
      </c>
    </row>
    <row r="2372" spans="1:13" x14ac:dyDescent="0.3">
      <c r="A2372" s="1">
        <v>45479</v>
      </c>
      <c r="B2372" s="1" t="str">
        <f>TEXT(Tabla1[[#This Row],[Fecha]],"MMMM")</f>
        <v>julio</v>
      </c>
      <c r="C2372" t="s">
        <v>2382</v>
      </c>
      <c r="D2372" t="s">
        <v>5018</v>
      </c>
      <c r="E2372" t="s">
        <v>5032</v>
      </c>
      <c r="F2372" t="s">
        <v>5041</v>
      </c>
      <c r="G2372" s="3">
        <v>10456.9</v>
      </c>
      <c r="H2372" s="3">
        <v>0</v>
      </c>
      <c r="I2372" s="3">
        <f>SUM(Tabla1[[#This Row],[Monto_Base]],H2372)</f>
        <v>10456.9</v>
      </c>
      <c r="J2372" t="s">
        <v>5046</v>
      </c>
      <c r="K2372" t="s">
        <v>5047</v>
      </c>
      <c r="L2372" t="s">
        <v>5052</v>
      </c>
      <c r="M2372" t="s">
        <v>5055</v>
      </c>
    </row>
    <row r="2373" spans="1:13" x14ac:dyDescent="0.3">
      <c r="A2373" s="1">
        <v>45529</v>
      </c>
      <c r="B2373" s="1" t="str">
        <f>TEXT(Tabla1[[#This Row],[Fecha]],"MMMM")</f>
        <v>agosto</v>
      </c>
      <c r="C2373" t="s">
        <v>2383</v>
      </c>
      <c r="D2373" t="s">
        <v>5012</v>
      </c>
      <c r="E2373" t="s">
        <v>5032</v>
      </c>
      <c r="F2373" t="s">
        <v>5035</v>
      </c>
      <c r="G2373" s="3">
        <v>2039.07</v>
      </c>
      <c r="H2373" s="3">
        <v>0</v>
      </c>
      <c r="I2373" s="3">
        <f>SUM(Tabla1[[#This Row],[Monto_Base]],H2373)</f>
        <v>2039.07</v>
      </c>
      <c r="J2373" t="s">
        <v>5044</v>
      </c>
      <c r="K2373" t="s">
        <v>5048</v>
      </c>
      <c r="L2373" t="s">
        <v>5051</v>
      </c>
      <c r="M2373" t="s">
        <v>5055</v>
      </c>
    </row>
    <row r="2374" spans="1:13" x14ac:dyDescent="0.3">
      <c r="A2374" s="1">
        <v>45577</v>
      </c>
      <c r="B2374" s="1" t="str">
        <f>TEXT(Tabla1[[#This Row],[Fecha]],"MMMM")</f>
        <v>octubre</v>
      </c>
      <c r="C2374" t="s">
        <v>2384</v>
      </c>
      <c r="D2374" t="s">
        <v>5029</v>
      </c>
      <c r="E2374" t="s">
        <v>5033</v>
      </c>
      <c r="F2374" t="s">
        <v>5035</v>
      </c>
      <c r="G2374" s="3">
        <v>4819.3900000000003</v>
      </c>
      <c r="H2374" s="3">
        <v>626.52</v>
      </c>
      <c r="I2374" s="3">
        <f>SUM(Tabla1[[#This Row],[Monto_Base]],H2374)</f>
        <v>5445.91</v>
      </c>
      <c r="J2374" t="s">
        <v>5042</v>
      </c>
      <c r="K2374" t="s">
        <v>5048</v>
      </c>
      <c r="L2374" t="s">
        <v>5051</v>
      </c>
      <c r="M2374" t="s">
        <v>5055</v>
      </c>
    </row>
    <row r="2375" spans="1:13" x14ac:dyDescent="0.3">
      <c r="A2375" s="1">
        <v>45614</v>
      </c>
      <c r="B2375" s="1" t="str">
        <f>TEXT(Tabla1[[#This Row],[Fecha]],"MMMM")</f>
        <v>noviembre</v>
      </c>
      <c r="C2375" t="s">
        <v>2385</v>
      </c>
      <c r="D2375" t="s">
        <v>5023</v>
      </c>
      <c r="E2375" t="s">
        <v>5033</v>
      </c>
      <c r="F2375" t="s">
        <v>5036</v>
      </c>
      <c r="G2375" s="3">
        <v>8383.7000000000007</v>
      </c>
      <c r="H2375" s="3">
        <v>1089.8800000000001</v>
      </c>
      <c r="I2375" s="3">
        <f>SUM(Tabla1[[#This Row],[Monto_Base]],H2375)</f>
        <v>9473.5800000000017</v>
      </c>
      <c r="J2375" t="s">
        <v>5042</v>
      </c>
      <c r="K2375" t="s">
        <v>5047</v>
      </c>
      <c r="L2375" t="s">
        <v>5050</v>
      </c>
      <c r="M2375" t="s">
        <v>5055</v>
      </c>
    </row>
    <row r="2376" spans="1:13" x14ac:dyDescent="0.3">
      <c r="A2376" s="1">
        <v>45436</v>
      </c>
      <c r="B2376" s="1" t="str">
        <f>TEXT(Tabla1[[#This Row],[Fecha]],"MMMM")</f>
        <v>mayo</v>
      </c>
      <c r="C2376" t="s">
        <v>2386</v>
      </c>
      <c r="D2376" t="s">
        <v>5016</v>
      </c>
      <c r="E2376" t="s">
        <v>5033</v>
      </c>
      <c r="F2376" t="s">
        <v>5038</v>
      </c>
      <c r="G2376" s="3">
        <v>13300.41</v>
      </c>
      <c r="H2376" s="3">
        <v>1729.05</v>
      </c>
      <c r="I2376" s="3">
        <f>SUM(Tabla1[[#This Row],[Monto_Base]],H2376)</f>
        <v>15029.46</v>
      </c>
      <c r="J2376" t="s">
        <v>5044</v>
      </c>
      <c r="K2376" t="s">
        <v>5048</v>
      </c>
      <c r="L2376" t="s">
        <v>5050</v>
      </c>
      <c r="M2376" t="s">
        <v>5054</v>
      </c>
    </row>
    <row r="2377" spans="1:13" x14ac:dyDescent="0.3">
      <c r="A2377" s="1">
        <v>45607</v>
      </c>
      <c r="B2377" s="1" t="str">
        <f>TEXT(Tabla1[[#This Row],[Fecha]],"MMMM")</f>
        <v>noviembre</v>
      </c>
      <c r="C2377" t="s">
        <v>2387</v>
      </c>
      <c r="D2377" t="s">
        <v>5031</v>
      </c>
      <c r="E2377" t="s">
        <v>5032</v>
      </c>
      <c r="F2377" t="s">
        <v>5039</v>
      </c>
      <c r="G2377" s="3">
        <v>1894.05</v>
      </c>
      <c r="H2377" s="3">
        <v>0</v>
      </c>
      <c r="I2377" s="3">
        <f>SUM(Tabla1[[#This Row],[Monto_Base]],H2377)</f>
        <v>1894.05</v>
      </c>
      <c r="J2377" t="s">
        <v>5043</v>
      </c>
      <c r="K2377" t="s">
        <v>5047</v>
      </c>
      <c r="L2377" t="s">
        <v>5051</v>
      </c>
      <c r="M2377" t="s">
        <v>5055</v>
      </c>
    </row>
    <row r="2378" spans="1:13" x14ac:dyDescent="0.3">
      <c r="A2378" s="1">
        <v>45507</v>
      </c>
      <c r="B2378" s="1" t="str">
        <f>TEXT(Tabla1[[#This Row],[Fecha]],"MMMM")</f>
        <v>agosto</v>
      </c>
      <c r="C2378" t="s">
        <v>2388</v>
      </c>
      <c r="D2378" t="s">
        <v>5022</v>
      </c>
      <c r="E2378" t="s">
        <v>5033</v>
      </c>
      <c r="F2378" t="s">
        <v>5037</v>
      </c>
      <c r="G2378" s="3">
        <v>1583.11</v>
      </c>
      <c r="H2378" s="3">
        <v>205.8</v>
      </c>
      <c r="I2378" s="3">
        <f>SUM(Tabla1[[#This Row],[Monto_Base]],H2378)</f>
        <v>1788.9099999999999</v>
      </c>
      <c r="J2378" t="s">
        <v>5046</v>
      </c>
      <c r="K2378" t="s">
        <v>5048</v>
      </c>
      <c r="L2378" t="s">
        <v>5050</v>
      </c>
      <c r="M2378" t="s">
        <v>5054</v>
      </c>
    </row>
    <row r="2379" spans="1:13" x14ac:dyDescent="0.3">
      <c r="A2379" s="1">
        <v>45370</v>
      </c>
      <c r="B2379" s="1" t="str">
        <f>TEXT(Tabla1[[#This Row],[Fecha]],"MMMM")</f>
        <v>marzo</v>
      </c>
      <c r="C2379" t="s">
        <v>2389</v>
      </c>
      <c r="D2379" t="s">
        <v>5022</v>
      </c>
      <c r="E2379" t="s">
        <v>5032</v>
      </c>
      <c r="F2379" t="s">
        <v>5041</v>
      </c>
      <c r="G2379" s="3">
        <v>12962.21</v>
      </c>
      <c r="H2379" s="3">
        <v>0</v>
      </c>
      <c r="I2379" s="3">
        <f>SUM(Tabla1[[#This Row],[Monto_Base]],H2379)</f>
        <v>12962.21</v>
      </c>
      <c r="J2379" t="s">
        <v>5043</v>
      </c>
      <c r="K2379" t="s">
        <v>5048</v>
      </c>
      <c r="L2379" t="s">
        <v>5053</v>
      </c>
      <c r="M2379" t="s">
        <v>5054</v>
      </c>
    </row>
    <row r="2380" spans="1:13" x14ac:dyDescent="0.3">
      <c r="A2380" s="1">
        <v>45305</v>
      </c>
      <c r="B2380" s="1" t="str">
        <f>TEXT(Tabla1[[#This Row],[Fecha]],"MMMM")</f>
        <v>enero</v>
      </c>
      <c r="C2380" t="s">
        <v>2390</v>
      </c>
      <c r="D2380" t="s">
        <v>5015</v>
      </c>
      <c r="E2380" t="s">
        <v>5033</v>
      </c>
      <c r="F2380" t="s">
        <v>5040</v>
      </c>
      <c r="G2380" s="3">
        <v>7584.32</v>
      </c>
      <c r="H2380" s="3">
        <v>985.96</v>
      </c>
      <c r="I2380" s="3">
        <f>SUM(Tabla1[[#This Row],[Monto_Base]],H2380)</f>
        <v>8570.2799999999988</v>
      </c>
      <c r="J2380" t="s">
        <v>5045</v>
      </c>
      <c r="K2380" t="s">
        <v>5048</v>
      </c>
      <c r="L2380" t="s">
        <v>5052</v>
      </c>
      <c r="M2380" t="s">
        <v>5054</v>
      </c>
    </row>
    <row r="2381" spans="1:13" x14ac:dyDescent="0.3">
      <c r="A2381" s="1">
        <v>45340</v>
      </c>
      <c r="B2381" s="1" t="str">
        <f>TEXT(Tabla1[[#This Row],[Fecha]],"MMMM")</f>
        <v>febrero</v>
      </c>
      <c r="C2381" t="s">
        <v>2391</v>
      </c>
      <c r="D2381" t="s">
        <v>5018</v>
      </c>
      <c r="E2381" t="s">
        <v>5033</v>
      </c>
      <c r="F2381" t="s">
        <v>5036</v>
      </c>
      <c r="G2381" s="3">
        <v>6376.25</v>
      </c>
      <c r="H2381" s="3">
        <v>828.91</v>
      </c>
      <c r="I2381" s="3">
        <f>SUM(Tabla1[[#This Row],[Monto_Base]],H2381)</f>
        <v>7205.16</v>
      </c>
      <c r="J2381" t="s">
        <v>5044</v>
      </c>
      <c r="K2381" t="s">
        <v>5048</v>
      </c>
      <c r="L2381" t="s">
        <v>5053</v>
      </c>
      <c r="M2381" t="s">
        <v>5055</v>
      </c>
    </row>
    <row r="2382" spans="1:13" x14ac:dyDescent="0.3">
      <c r="A2382" s="1">
        <v>45422</v>
      </c>
      <c r="B2382" s="1" t="str">
        <f>TEXT(Tabla1[[#This Row],[Fecha]],"MMMM")</f>
        <v>mayo</v>
      </c>
      <c r="C2382" t="s">
        <v>2392</v>
      </c>
      <c r="D2382" t="s">
        <v>5014</v>
      </c>
      <c r="E2382" t="s">
        <v>5033</v>
      </c>
      <c r="F2382" t="s">
        <v>5040</v>
      </c>
      <c r="G2382" s="3">
        <v>1977.78</v>
      </c>
      <c r="H2382" s="3">
        <v>257.11</v>
      </c>
      <c r="I2382" s="3">
        <f>SUM(Tabla1[[#This Row],[Monto_Base]],H2382)</f>
        <v>2234.89</v>
      </c>
      <c r="J2382" t="s">
        <v>5044</v>
      </c>
      <c r="K2382" t="s">
        <v>5047</v>
      </c>
      <c r="L2382" t="s">
        <v>5052</v>
      </c>
      <c r="M2382" t="s">
        <v>5054</v>
      </c>
    </row>
    <row r="2383" spans="1:13" x14ac:dyDescent="0.3">
      <c r="A2383" s="1">
        <v>45484</v>
      </c>
      <c r="B2383" s="1" t="str">
        <f>TEXT(Tabla1[[#This Row],[Fecha]],"MMMM")</f>
        <v>julio</v>
      </c>
      <c r="C2383" t="s">
        <v>2393</v>
      </c>
      <c r="D2383" t="s">
        <v>5029</v>
      </c>
      <c r="E2383" t="s">
        <v>5032</v>
      </c>
      <c r="F2383" t="s">
        <v>5038</v>
      </c>
      <c r="G2383" s="3">
        <v>896.39</v>
      </c>
      <c r="H2383" s="3">
        <v>0</v>
      </c>
      <c r="I2383" s="3">
        <f>SUM(Tabla1[[#This Row],[Monto_Base]],H2383)</f>
        <v>896.39</v>
      </c>
      <c r="J2383" t="s">
        <v>5044</v>
      </c>
      <c r="K2383" t="s">
        <v>5049</v>
      </c>
      <c r="L2383" t="s">
        <v>5051</v>
      </c>
      <c r="M2383" t="s">
        <v>5054</v>
      </c>
    </row>
    <row r="2384" spans="1:13" x14ac:dyDescent="0.3">
      <c r="A2384" s="1">
        <v>45527</v>
      </c>
      <c r="B2384" s="1" t="str">
        <f>TEXT(Tabla1[[#This Row],[Fecha]],"MMMM")</f>
        <v>agosto</v>
      </c>
      <c r="C2384" t="s">
        <v>2394</v>
      </c>
      <c r="D2384" t="s">
        <v>5015</v>
      </c>
      <c r="E2384" t="s">
        <v>5032</v>
      </c>
      <c r="F2384" t="s">
        <v>5035</v>
      </c>
      <c r="G2384" s="3">
        <v>4823.8</v>
      </c>
      <c r="H2384" s="3">
        <v>0</v>
      </c>
      <c r="I2384" s="3">
        <f>SUM(Tabla1[[#This Row],[Monto_Base]],H2384)</f>
        <v>4823.8</v>
      </c>
      <c r="J2384" t="s">
        <v>5045</v>
      </c>
      <c r="K2384" t="s">
        <v>5049</v>
      </c>
      <c r="L2384" t="s">
        <v>5053</v>
      </c>
      <c r="M2384" t="s">
        <v>5055</v>
      </c>
    </row>
    <row r="2385" spans="1:13" x14ac:dyDescent="0.3">
      <c r="A2385" s="1">
        <v>45490</v>
      </c>
      <c r="B2385" s="1" t="str">
        <f>TEXT(Tabla1[[#This Row],[Fecha]],"MMMM")</f>
        <v>julio</v>
      </c>
      <c r="C2385" t="s">
        <v>2395</v>
      </c>
      <c r="D2385" t="s">
        <v>5029</v>
      </c>
      <c r="E2385" t="s">
        <v>5032</v>
      </c>
      <c r="F2385" t="s">
        <v>5034</v>
      </c>
      <c r="G2385" s="3">
        <v>6473.79</v>
      </c>
      <c r="H2385" s="3">
        <v>0</v>
      </c>
      <c r="I2385" s="3">
        <f>SUM(Tabla1[[#This Row],[Monto_Base]],H2385)</f>
        <v>6473.79</v>
      </c>
      <c r="J2385" t="s">
        <v>5045</v>
      </c>
      <c r="K2385" t="s">
        <v>5049</v>
      </c>
      <c r="L2385" t="s">
        <v>5052</v>
      </c>
      <c r="M2385" t="s">
        <v>5054</v>
      </c>
    </row>
    <row r="2386" spans="1:13" x14ac:dyDescent="0.3">
      <c r="A2386" s="1">
        <v>45578</v>
      </c>
      <c r="B2386" s="1" t="str">
        <f>TEXT(Tabla1[[#This Row],[Fecha]],"MMMM")</f>
        <v>octubre</v>
      </c>
      <c r="C2386" t="s">
        <v>2396</v>
      </c>
      <c r="D2386" t="s">
        <v>5014</v>
      </c>
      <c r="E2386" t="s">
        <v>5032</v>
      </c>
      <c r="F2386" t="s">
        <v>5038</v>
      </c>
      <c r="G2386" s="3">
        <v>9426.66</v>
      </c>
      <c r="H2386" s="3">
        <v>0</v>
      </c>
      <c r="I2386" s="3">
        <f>SUM(Tabla1[[#This Row],[Monto_Base]],H2386)</f>
        <v>9426.66</v>
      </c>
      <c r="J2386" t="s">
        <v>5043</v>
      </c>
      <c r="K2386" t="s">
        <v>5048</v>
      </c>
      <c r="L2386" t="s">
        <v>5053</v>
      </c>
      <c r="M2386" t="s">
        <v>5055</v>
      </c>
    </row>
    <row r="2387" spans="1:13" x14ac:dyDescent="0.3">
      <c r="A2387" s="1">
        <v>45647</v>
      </c>
      <c r="B2387" s="1" t="str">
        <f>TEXT(Tabla1[[#This Row],[Fecha]],"MMMM")</f>
        <v>diciembre</v>
      </c>
      <c r="C2387" t="s">
        <v>2397</v>
      </c>
      <c r="D2387" t="s">
        <v>5022</v>
      </c>
      <c r="E2387" t="s">
        <v>5033</v>
      </c>
      <c r="F2387" t="s">
        <v>5034</v>
      </c>
      <c r="G2387" s="3">
        <v>14907.61</v>
      </c>
      <c r="H2387" s="3">
        <v>1937.99</v>
      </c>
      <c r="I2387" s="3">
        <f>SUM(Tabla1[[#This Row],[Monto_Base]],H2387)</f>
        <v>16845.600000000002</v>
      </c>
      <c r="J2387" t="s">
        <v>5043</v>
      </c>
      <c r="K2387" t="s">
        <v>5048</v>
      </c>
      <c r="L2387" t="s">
        <v>5053</v>
      </c>
      <c r="M2387" t="s">
        <v>5055</v>
      </c>
    </row>
    <row r="2388" spans="1:13" x14ac:dyDescent="0.3">
      <c r="A2388" s="1">
        <v>45600</v>
      </c>
      <c r="B2388" s="1" t="str">
        <f>TEXT(Tabla1[[#This Row],[Fecha]],"MMMM")</f>
        <v>noviembre</v>
      </c>
      <c r="C2388" t="s">
        <v>2398</v>
      </c>
      <c r="D2388" t="s">
        <v>5012</v>
      </c>
      <c r="E2388" t="s">
        <v>5033</v>
      </c>
      <c r="F2388" t="s">
        <v>5039</v>
      </c>
      <c r="G2388" s="3">
        <v>2500.94</v>
      </c>
      <c r="H2388" s="3">
        <v>325.12</v>
      </c>
      <c r="I2388" s="3">
        <f>SUM(Tabla1[[#This Row],[Monto_Base]],H2388)</f>
        <v>2826.06</v>
      </c>
      <c r="J2388" t="s">
        <v>5044</v>
      </c>
      <c r="K2388" t="s">
        <v>5048</v>
      </c>
      <c r="L2388" t="s">
        <v>5050</v>
      </c>
      <c r="M2388" t="s">
        <v>5054</v>
      </c>
    </row>
    <row r="2389" spans="1:13" x14ac:dyDescent="0.3">
      <c r="A2389" s="1">
        <v>45641</v>
      </c>
      <c r="B2389" s="1" t="str">
        <f>TEXT(Tabla1[[#This Row],[Fecha]],"MMMM")</f>
        <v>diciembre</v>
      </c>
      <c r="C2389" t="s">
        <v>2399</v>
      </c>
      <c r="D2389" t="s">
        <v>5017</v>
      </c>
      <c r="E2389" t="s">
        <v>5033</v>
      </c>
      <c r="F2389" t="s">
        <v>5041</v>
      </c>
      <c r="G2389" s="3">
        <v>3229.89</v>
      </c>
      <c r="H2389" s="3">
        <v>419.89</v>
      </c>
      <c r="I2389" s="3">
        <f>SUM(Tabla1[[#This Row],[Monto_Base]],H2389)</f>
        <v>3649.7799999999997</v>
      </c>
      <c r="J2389" t="s">
        <v>5046</v>
      </c>
      <c r="K2389" t="s">
        <v>5047</v>
      </c>
      <c r="L2389" t="s">
        <v>5050</v>
      </c>
      <c r="M2389" t="s">
        <v>5055</v>
      </c>
    </row>
    <row r="2390" spans="1:13" x14ac:dyDescent="0.3">
      <c r="A2390" s="1">
        <v>45375</v>
      </c>
      <c r="B2390" s="1" t="str">
        <f>TEXT(Tabla1[[#This Row],[Fecha]],"MMMM")</f>
        <v>marzo</v>
      </c>
      <c r="C2390" t="s">
        <v>2400</v>
      </c>
      <c r="D2390" t="s">
        <v>5022</v>
      </c>
      <c r="E2390" t="s">
        <v>5033</v>
      </c>
      <c r="F2390" t="s">
        <v>5039</v>
      </c>
      <c r="G2390" s="3">
        <v>4866.29</v>
      </c>
      <c r="H2390" s="3">
        <v>632.62</v>
      </c>
      <c r="I2390" s="3">
        <f>SUM(Tabla1[[#This Row],[Monto_Base]],H2390)</f>
        <v>5498.91</v>
      </c>
      <c r="J2390" t="s">
        <v>5043</v>
      </c>
      <c r="K2390" t="s">
        <v>5048</v>
      </c>
      <c r="L2390" t="s">
        <v>5050</v>
      </c>
      <c r="M2390" t="s">
        <v>5054</v>
      </c>
    </row>
    <row r="2391" spans="1:13" x14ac:dyDescent="0.3">
      <c r="A2391" s="1">
        <v>45610</v>
      </c>
      <c r="B2391" s="1" t="str">
        <f>TEXT(Tabla1[[#This Row],[Fecha]],"MMMM")</f>
        <v>noviembre</v>
      </c>
      <c r="C2391" t="s">
        <v>2401</v>
      </c>
      <c r="D2391" t="s">
        <v>5028</v>
      </c>
      <c r="E2391" t="s">
        <v>5032</v>
      </c>
      <c r="F2391" t="s">
        <v>5041</v>
      </c>
      <c r="G2391" s="3">
        <v>13780.77</v>
      </c>
      <c r="H2391" s="3">
        <v>0</v>
      </c>
      <c r="I2391" s="3">
        <f>SUM(Tabla1[[#This Row],[Monto_Base]],H2391)</f>
        <v>13780.77</v>
      </c>
      <c r="J2391" t="s">
        <v>5046</v>
      </c>
      <c r="K2391" t="s">
        <v>5047</v>
      </c>
      <c r="L2391" t="s">
        <v>5051</v>
      </c>
      <c r="M2391" t="s">
        <v>5054</v>
      </c>
    </row>
    <row r="2392" spans="1:13" x14ac:dyDescent="0.3">
      <c r="A2392" s="1">
        <v>45340</v>
      </c>
      <c r="B2392" s="1" t="str">
        <f>TEXT(Tabla1[[#This Row],[Fecha]],"MMMM")</f>
        <v>febrero</v>
      </c>
      <c r="C2392" t="s">
        <v>2402</v>
      </c>
      <c r="D2392" t="s">
        <v>5026</v>
      </c>
      <c r="E2392" t="s">
        <v>5033</v>
      </c>
      <c r="F2392" t="s">
        <v>5039</v>
      </c>
      <c r="G2392" s="3">
        <v>374.28</v>
      </c>
      <c r="H2392" s="3">
        <v>48.66</v>
      </c>
      <c r="I2392" s="3">
        <f>SUM(Tabla1[[#This Row],[Monto_Base]],H2392)</f>
        <v>422.93999999999994</v>
      </c>
      <c r="J2392" t="s">
        <v>5044</v>
      </c>
      <c r="K2392" t="s">
        <v>5049</v>
      </c>
      <c r="L2392" t="s">
        <v>5053</v>
      </c>
      <c r="M2392" t="s">
        <v>5054</v>
      </c>
    </row>
    <row r="2393" spans="1:13" x14ac:dyDescent="0.3">
      <c r="A2393" s="1">
        <v>45381</v>
      </c>
      <c r="B2393" s="1" t="str">
        <f>TEXT(Tabla1[[#This Row],[Fecha]],"MMMM")</f>
        <v>marzo</v>
      </c>
      <c r="C2393" t="s">
        <v>2403</v>
      </c>
      <c r="D2393" t="s">
        <v>5014</v>
      </c>
      <c r="E2393" t="s">
        <v>5033</v>
      </c>
      <c r="F2393" t="s">
        <v>5034</v>
      </c>
      <c r="G2393" s="3">
        <v>11429.12</v>
      </c>
      <c r="H2393" s="3">
        <v>1485.79</v>
      </c>
      <c r="I2393" s="3">
        <f>SUM(Tabla1[[#This Row],[Monto_Base]],H2393)</f>
        <v>12914.91</v>
      </c>
      <c r="J2393" t="s">
        <v>5042</v>
      </c>
      <c r="K2393" t="s">
        <v>5048</v>
      </c>
      <c r="L2393" t="s">
        <v>5051</v>
      </c>
      <c r="M2393" t="s">
        <v>5054</v>
      </c>
    </row>
    <row r="2394" spans="1:13" x14ac:dyDescent="0.3">
      <c r="A2394" s="1">
        <v>45560</v>
      </c>
      <c r="B2394" s="1" t="str">
        <f>TEXT(Tabla1[[#This Row],[Fecha]],"MMMM")</f>
        <v>septiembre</v>
      </c>
      <c r="C2394" t="s">
        <v>2404</v>
      </c>
      <c r="D2394" t="s">
        <v>5021</v>
      </c>
      <c r="E2394" t="s">
        <v>5032</v>
      </c>
      <c r="F2394" t="s">
        <v>5036</v>
      </c>
      <c r="G2394" s="3">
        <v>9089.52</v>
      </c>
      <c r="H2394" s="3">
        <v>0</v>
      </c>
      <c r="I2394" s="3">
        <f>SUM(Tabla1[[#This Row],[Monto_Base]],H2394)</f>
        <v>9089.52</v>
      </c>
      <c r="J2394" t="s">
        <v>5046</v>
      </c>
      <c r="K2394" t="s">
        <v>5049</v>
      </c>
      <c r="L2394" t="s">
        <v>5053</v>
      </c>
      <c r="M2394" t="s">
        <v>5055</v>
      </c>
    </row>
    <row r="2395" spans="1:13" x14ac:dyDescent="0.3">
      <c r="A2395" s="1">
        <v>45645</v>
      </c>
      <c r="B2395" s="1" t="str">
        <f>TEXT(Tabla1[[#This Row],[Fecha]],"MMMM")</f>
        <v>diciembre</v>
      </c>
      <c r="C2395" t="s">
        <v>2405</v>
      </c>
      <c r="D2395" t="s">
        <v>5020</v>
      </c>
      <c r="E2395" t="s">
        <v>5033</v>
      </c>
      <c r="F2395" t="s">
        <v>5040</v>
      </c>
      <c r="G2395" s="3">
        <v>12648.98</v>
      </c>
      <c r="H2395" s="3">
        <v>1644.37</v>
      </c>
      <c r="I2395" s="3">
        <f>SUM(Tabla1[[#This Row],[Monto_Base]],H2395)</f>
        <v>14293.349999999999</v>
      </c>
      <c r="J2395" t="s">
        <v>5044</v>
      </c>
      <c r="K2395" t="s">
        <v>5047</v>
      </c>
      <c r="L2395" t="s">
        <v>5050</v>
      </c>
      <c r="M2395" t="s">
        <v>5054</v>
      </c>
    </row>
    <row r="2396" spans="1:13" x14ac:dyDescent="0.3">
      <c r="A2396" s="1">
        <v>45405</v>
      </c>
      <c r="B2396" s="1" t="str">
        <f>TEXT(Tabla1[[#This Row],[Fecha]],"MMMM")</f>
        <v>abril</v>
      </c>
      <c r="C2396" t="s">
        <v>2406</v>
      </c>
      <c r="D2396" t="s">
        <v>5020</v>
      </c>
      <c r="E2396" t="s">
        <v>5032</v>
      </c>
      <c r="F2396" t="s">
        <v>5036</v>
      </c>
      <c r="G2396" s="3">
        <v>3066.01</v>
      </c>
      <c r="H2396" s="3">
        <v>0</v>
      </c>
      <c r="I2396" s="3">
        <f>SUM(Tabla1[[#This Row],[Monto_Base]],H2396)</f>
        <v>3066.01</v>
      </c>
      <c r="J2396" t="s">
        <v>5045</v>
      </c>
      <c r="K2396" t="s">
        <v>5047</v>
      </c>
      <c r="L2396" t="s">
        <v>5053</v>
      </c>
      <c r="M2396" t="s">
        <v>5055</v>
      </c>
    </row>
    <row r="2397" spans="1:13" x14ac:dyDescent="0.3">
      <c r="A2397" s="1">
        <v>45513</v>
      </c>
      <c r="B2397" s="1" t="str">
        <f>TEXT(Tabla1[[#This Row],[Fecha]],"MMMM")</f>
        <v>agosto</v>
      </c>
      <c r="C2397" t="s">
        <v>2407</v>
      </c>
      <c r="D2397" t="s">
        <v>5024</v>
      </c>
      <c r="E2397" t="s">
        <v>5033</v>
      </c>
      <c r="F2397" t="s">
        <v>5039</v>
      </c>
      <c r="G2397" s="3">
        <v>2805.36</v>
      </c>
      <c r="H2397" s="3">
        <v>364.7</v>
      </c>
      <c r="I2397" s="3">
        <f>SUM(Tabla1[[#This Row],[Monto_Base]],H2397)</f>
        <v>3170.06</v>
      </c>
      <c r="J2397" t="s">
        <v>5046</v>
      </c>
      <c r="K2397" t="s">
        <v>5047</v>
      </c>
      <c r="L2397" t="s">
        <v>5050</v>
      </c>
      <c r="M2397" t="s">
        <v>5055</v>
      </c>
    </row>
    <row r="2398" spans="1:13" x14ac:dyDescent="0.3">
      <c r="A2398" s="1">
        <v>45504</v>
      </c>
      <c r="B2398" s="1" t="str">
        <f>TEXT(Tabla1[[#This Row],[Fecha]],"MMMM")</f>
        <v>julio</v>
      </c>
      <c r="C2398" t="s">
        <v>2408</v>
      </c>
      <c r="D2398" t="s">
        <v>5025</v>
      </c>
      <c r="E2398" t="s">
        <v>5033</v>
      </c>
      <c r="F2398" t="s">
        <v>5034</v>
      </c>
      <c r="G2398" s="3">
        <v>14091.54</v>
      </c>
      <c r="H2398" s="3">
        <v>1831.9</v>
      </c>
      <c r="I2398" s="3">
        <f>SUM(Tabla1[[#This Row],[Monto_Base]],H2398)</f>
        <v>15923.44</v>
      </c>
      <c r="J2398" t="s">
        <v>5042</v>
      </c>
      <c r="K2398" t="s">
        <v>5049</v>
      </c>
      <c r="L2398" t="s">
        <v>5053</v>
      </c>
      <c r="M2398" t="s">
        <v>5055</v>
      </c>
    </row>
    <row r="2399" spans="1:13" x14ac:dyDescent="0.3">
      <c r="A2399" s="1">
        <v>45518</v>
      </c>
      <c r="B2399" s="1" t="str">
        <f>TEXT(Tabla1[[#This Row],[Fecha]],"MMMM")</f>
        <v>agosto</v>
      </c>
      <c r="C2399" t="s">
        <v>2409</v>
      </c>
      <c r="D2399" t="s">
        <v>5029</v>
      </c>
      <c r="E2399" t="s">
        <v>5032</v>
      </c>
      <c r="F2399" t="s">
        <v>5035</v>
      </c>
      <c r="G2399" s="3">
        <v>13886.42</v>
      </c>
      <c r="H2399" s="3">
        <v>0</v>
      </c>
      <c r="I2399" s="3">
        <f>SUM(Tabla1[[#This Row],[Monto_Base]],H2399)</f>
        <v>13886.42</v>
      </c>
      <c r="J2399" t="s">
        <v>5045</v>
      </c>
      <c r="K2399" t="s">
        <v>5047</v>
      </c>
      <c r="L2399" t="s">
        <v>5051</v>
      </c>
      <c r="M2399" t="s">
        <v>5054</v>
      </c>
    </row>
    <row r="2400" spans="1:13" x14ac:dyDescent="0.3">
      <c r="A2400" s="1">
        <v>45378</v>
      </c>
      <c r="B2400" s="1" t="str">
        <f>TEXT(Tabla1[[#This Row],[Fecha]],"MMMM")</f>
        <v>marzo</v>
      </c>
      <c r="C2400" t="s">
        <v>2410</v>
      </c>
      <c r="D2400" t="s">
        <v>5027</v>
      </c>
      <c r="E2400" t="s">
        <v>5033</v>
      </c>
      <c r="F2400" t="s">
        <v>5040</v>
      </c>
      <c r="G2400" s="3">
        <v>9234.7199999999993</v>
      </c>
      <c r="H2400" s="3">
        <v>1200.51</v>
      </c>
      <c r="I2400" s="3">
        <f>SUM(Tabla1[[#This Row],[Monto_Base]],H2400)</f>
        <v>10435.23</v>
      </c>
      <c r="J2400" t="s">
        <v>5042</v>
      </c>
      <c r="K2400" t="s">
        <v>5049</v>
      </c>
      <c r="L2400" t="s">
        <v>5051</v>
      </c>
      <c r="M2400" t="s">
        <v>5054</v>
      </c>
    </row>
    <row r="2401" spans="1:13" x14ac:dyDescent="0.3">
      <c r="A2401" s="1">
        <v>45444</v>
      </c>
      <c r="B2401" s="1" t="str">
        <f>TEXT(Tabla1[[#This Row],[Fecha]],"MMMM")</f>
        <v>junio</v>
      </c>
      <c r="C2401" t="s">
        <v>2411</v>
      </c>
      <c r="D2401" t="s">
        <v>5030</v>
      </c>
      <c r="E2401" t="s">
        <v>5033</v>
      </c>
      <c r="F2401" t="s">
        <v>5041</v>
      </c>
      <c r="G2401" s="3">
        <v>11876.73</v>
      </c>
      <c r="H2401" s="3">
        <v>1543.97</v>
      </c>
      <c r="I2401" s="3">
        <f>SUM(Tabla1[[#This Row],[Monto_Base]],H2401)</f>
        <v>13420.699999999999</v>
      </c>
      <c r="J2401" t="s">
        <v>5045</v>
      </c>
      <c r="K2401" t="s">
        <v>5047</v>
      </c>
      <c r="L2401" t="s">
        <v>5050</v>
      </c>
      <c r="M2401" t="s">
        <v>5055</v>
      </c>
    </row>
    <row r="2402" spans="1:13" x14ac:dyDescent="0.3">
      <c r="A2402" s="1">
        <v>45511</v>
      </c>
      <c r="B2402" s="1" t="str">
        <f>TEXT(Tabla1[[#This Row],[Fecha]],"MMMM")</f>
        <v>agosto</v>
      </c>
      <c r="C2402" t="s">
        <v>2412</v>
      </c>
      <c r="D2402" t="s">
        <v>5027</v>
      </c>
      <c r="E2402" t="s">
        <v>5032</v>
      </c>
      <c r="F2402" t="s">
        <v>5040</v>
      </c>
      <c r="G2402" s="3">
        <v>7619.78</v>
      </c>
      <c r="H2402" s="3">
        <v>0</v>
      </c>
      <c r="I2402" s="3">
        <f>SUM(Tabla1[[#This Row],[Monto_Base]],H2402)</f>
        <v>7619.78</v>
      </c>
      <c r="J2402" t="s">
        <v>5043</v>
      </c>
      <c r="K2402" t="s">
        <v>5048</v>
      </c>
      <c r="L2402" t="s">
        <v>5052</v>
      </c>
      <c r="M2402" t="s">
        <v>5055</v>
      </c>
    </row>
    <row r="2403" spans="1:13" x14ac:dyDescent="0.3">
      <c r="A2403" s="1">
        <v>45417</v>
      </c>
      <c r="B2403" s="1" t="str">
        <f>TEXT(Tabla1[[#This Row],[Fecha]],"MMMM")</f>
        <v>mayo</v>
      </c>
      <c r="C2403" t="s">
        <v>2413</v>
      </c>
      <c r="D2403" t="s">
        <v>5027</v>
      </c>
      <c r="E2403" t="s">
        <v>5033</v>
      </c>
      <c r="F2403" t="s">
        <v>5035</v>
      </c>
      <c r="G2403" s="3">
        <v>12649.41</v>
      </c>
      <c r="H2403" s="3">
        <v>1644.42</v>
      </c>
      <c r="I2403" s="3">
        <f>SUM(Tabla1[[#This Row],[Monto_Base]],H2403)</f>
        <v>14293.83</v>
      </c>
      <c r="J2403" t="s">
        <v>5043</v>
      </c>
      <c r="K2403" t="s">
        <v>5047</v>
      </c>
      <c r="L2403" t="s">
        <v>5051</v>
      </c>
      <c r="M2403" t="s">
        <v>5055</v>
      </c>
    </row>
    <row r="2404" spans="1:13" x14ac:dyDescent="0.3">
      <c r="A2404" s="1">
        <v>45428</v>
      </c>
      <c r="B2404" s="1" t="str">
        <f>TEXT(Tabla1[[#This Row],[Fecha]],"MMMM")</f>
        <v>mayo</v>
      </c>
      <c r="C2404" t="s">
        <v>2414</v>
      </c>
      <c r="D2404" t="s">
        <v>5019</v>
      </c>
      <c r="E2404" t="s">
        <v>5033</v>
      </c>
      <c r="F2404" t="s">
        <v>5038</v>
      </c>
      <c r="G2404" s="3">
        <v>8626.4699999999993</v>
      </c>
      <c r="H2404" s="3">
        <v>1121.44</v>
      </c>
      <c r="I2404" s="3">
        <f>SUM(Tabla1[[#This Row],[Monto_Base]],H2404)</f>
        <v>9747.91</v>
      </c>
      <c r="J2404" t="s">
        <v>5044</v>
      </c>
      <c r="K2404" t="s">
        <v>5049</v>
      </c>
      <c r="L2404" t="s">
        <v>5050</v>
      </c>
      <c r="M2404" t="s">
        <v>5054</v>
      </c>
    </row>
    <row r="2405" spans="1:13" x14ac:dyDescent="0.3">
      <c r="A2405" s="1">
        <v>45569</v>
      </c>
      <c r="B2405" s="1" t="str">
        <f>TEXT(Tabla1[[#This Row],[Fecha]],"MMMM")</f>
        <v>octubre</v>
      </c>
      <c r="C2405" t="s">
        <v>2415</v>
      </c>
      <c r="D2405" t="s">
        <v>5023</v>
      </c>
      <c r="E2405" t="s">
        <v>5033</v>
      </c>
      <c r="F2405" t="s">
        <v>5041</v>
      </c>
      <c r="G2405" s="3">
        <v>11241</v>
      </c>
      <c r="H2405" s="3">
        <v>1461.33</v>
      </c>
      <c r="I2405" s="3">
        <f>SUM(Tabla1[[#This Row],[Monto_Base]],H2405)</f>
        <v>12702.33</v>
      </c>
      <c r="J2405" t="s">
        <v>5044</v>
      </c>
      <c r="K2405" t="s">
        <v>5049</v>
      </c>
      <c r="L2405" t="s">
        <v>5053</v>
      </c>
      <c r="M2405" t="s">
        <v>5055</v>
      </c>
    </row>
    <row r="2406" spans="1:13" x14ac:dyDescent="0.3">
      <c r="A2406" s="1">
        <v>45436</v>
      </c>
      <c r="B2406" s="1" t="str">
        <f>TEXT(Tabla1[[#This Row],[Fecha]],"MMMM")</f>
        <v>mayo</v>
      </c>
      <c r="C2406" t="s">
        <v>2416</v>
      </c>
      <c r="D2406" t="s">
        <v>5022</v>
      </c>
      <c r="E2406" t="s">
        <v>5032</v>
      </c>
      <c r="F2406" t="s">
        <v>5040</v>
      </c>
      <c r="G2406" s="3">
        <v>262.38</v>
      </c>
      <c r="H2406" s="3">
        <v>0</v>
      </c>
      <c r="I2406" s="3">
        <f>SUM(Tabla1[[#This Row],[Monto_Base]],H2406)</f>
        <v>262.38</v>
      </c>
      <c r="J2406" t="s">
        <v>5042</v>
      </c>
      <c r="K2406" t="s">
        <v>5049</v>
      </c>
      <c r="L2406" t="s">
        <v>5052</v>
      </c>
      <c r="M2406" t="s">
        <v>5054</v>
      </c>
    </row>
    <row r="2407" spans="1:13" x14ac:dyDescent="0.3">
      <c r="A2407" s="1">
        <v>45405</v>
      </c>
      <c r="B2407" s="1" t="str">
        <f>TEXT(Tabla1[[#This Row],[Fecha]],"MMMM")</f>
        <v>abril</v>
      </c>
      <c r="C2407" t="s">
        <v>2417</v>
      </c>
      <c r="D2407" t="s">
        <v>5019</v>
      </c>
      <c r="E2407" t="s">
        <v>5032</v>
      </c>
      <c r="F2407" t="s">
        <v>5034</v>
      </c>
      <c r="G2407" s="3">
        <v>1957.01</v>
      </c>
      <c r="H2407" s="3">
        <v>0</v>
      </c>
      <c r="I2407" s="3">
        <f>SUM(Tabla1[[#This Row],[Monto_Base]],H2407)</f>
        <v>1957.01</v>
      </c>
      <c r="J2407" t="s">
        <v>5042</v>
      </c>
      <c r="K2407" t="s">
        <v>5048</v>
      </c>
      <c r="L2407" t="s">
        <v>5050</v>
      </c>
      <c r="M2407" t="s">
        <v>5054</v>
      </c>
    </row>
    <row r="2408" spans="1:13" x14ac:dyDescent="0.3">
      <c r="A2408" s="1">
        <v>45345</v>
      </c>
      <c r="B2408" s="1" t="str">
        <f>TEXT(Tabla1[[#This Row],[Fecha]],"MMMM")</f>
        <v>febrero</v>
      </c>
      <c r="C2408" t="s">
        <v>2418</v>
      </c>
      <c r="D2408" t="s">
        <v>5013</v>
      </c>
      <c r="E2408" t="s">
        <v>5033</v>
      </c>
      <c r="F2408" t="s">
        <v>5036</v>
      </c>
      <c r="G2408" s="3">
        <v>9924.9699999999993</v>
      </c>
      <c r="H2408" s="3">
        <v>1290.25</v>
      </c>
      <c r="I2408" s="3">
        <f>SUM(Tabla1[[#This Row],[Monto_Base]],H2408)</f>
        <v>11215.22</v>
      </c>
      <c r="J2408" t="s">
        <v>5044</v>
      </c>
      <c r="K2408" t="s">
        <v>5049</v>
      </c>
      <c r="L2408" t="s">
        <v>5051</v>
      </c>
      <c r="M2408" t="s">
        <v>5055</v>
      </c>
    </row>
    <row r="2409" spans="1:13" x14ac:dyDescent="0.3">
      <c r="A2409" s="1">
        <v>45385</v>
      </c>
      <c r="B2409" s="1" t="str">
        <f>TEXT(Tabla1[[#This Row],[Fecha]],"MMMM")</f>
        <v>abril</v>
      </c>
      <c r="C2409" t="s">
        <v>2419</v>
      </c>
      <c r="D2409" t="s">
        <v>5021</v>
      </c>
      <c r="E2409" t="s">
        <v>5033</v>
      </c>
      <c r="F2409" t="s">
        <v>5035</v>
      </c>
      <c r="G2409" s="3">
        <v>10512.06</v>
      </c>
      <c r="H2409" s="3">
        <v>1366.57</v>
      </c>
      <c r="I2409" s="3">
        <f>SUM(Tabla1[[#This Row],[Monto_Base]],H2409)</f>
        <v>11878.63</v>
      </c>
      <c r="J2409" t="s">
        <v>5043</v>
      </c>
      <c r="K2409" t="s">
        <v>5048</v>
      </c>
      <c r="L2409" t="s">
        <v>5052</v>
      </c>
      <c r="M2409" t="s">
        <v>5054</v>
      </c>
    </row>
    <row r="2410" spans="1:13" x14ac:dyDescent="0.3">
      <c r="A2410" s="1">
        <v>45618</v>
      </c>
      <c r="B2410" s="1" t="str">
        <f>TEXT(Tabla1[[#This Row],[Fecha]],"MMMM")</f>
        <v>noviembre</v>
      </c>
      <c r="C2410" t="s">
        <v>2420</v>
      </c>
      <c r="D2410" t="s">
        <v>5031</v>
      </c>
      <c r="E2410" t="s">
        <v>5032</v>
      </c>
      <c r="F2410" t="s">
        <v>5041</v>
      </c>
      <c r="G2410" s="3">
        <v>4537.5600000000004</v>
      </c>
      <c r="H2410" s="3">
        <v>0</v>
      </c>
      <c r="I2410" s="3">
        <f>SUM(Tabla1[[#This Row],[Monto_Base]],H2410)</f>
        <v>4537.5600000000004</v>
      </c>
      <c r="J2410" t="s">
        <v>5046</v>
      </c>
      <c r="K2410" t="s">
        <v>5048</v>
      </c>
      <c r="L2410" t="s">
        <v>5050</v>
      </c>
      <c r="M2410" t="s">
        <v>5055</v>
      </c>
    </row>
    <row r="2411" spans="1:13" x14ac:dyDescent="0.3">
      <c r="A2411" s="1">
        <v>45561</v>
      </c>
      <c r="B2411" s="1" t="str">
        <f>TEXT(Tabla1[[#This Row],[Fecha]],"MMMM")</f>
        <v>septiembre</v>
      </c>
      <c r="C2411" t="s">
        <v>2421</v>
      </c>
      <c r="D2411" t="s">
        <v>5030</v>
      </c>
      <c r="E2411" t="s">
        <v>5033</v>
      </c>
      <c r="F2411" t="s">
        <v>5039</v>
      </c>
      <c r="G2411" s="3">
        <v>3115.19</v>
      </c>
      <c r="H2411" s="3">
        <v>404.97</v>
      </c>
      <c r="I2411" s="3">
        <f>SUM(Tabla1[[#This Row],[Monto_Base]],H2411)</f>
        <v>3520.16</v>
      </c>
      <c r="J2411" t="s">
        <v>5042</v>
      </c>
      <c r="K2411" t="s">
        <v>5049</v>
      </c>
      <c r="L2411" t="s">
        <v>5050</v>
      </c>
      <c r="M2411" t="s">
        <v>5054</v>
      </c>
    </row>
    <row r="2412" spans="1:13" x14ac:dyDescent="0.3">
      <c r="A2412" s="1">
        <v>45317</v>
      </c>
      <c r="B2412" s="1" t="str">
        <f>TEXT(Tabla1[[#This Row],[Fecha]],"MMMM")</f>
        <v>enero</v>
      </c>
      <c r="C2412" t="s">
        <v>2422</v>
      </c>
      <c r="D2412" t="s">
        <v>5016</v>
      </c>
      <c r="E2412" t="s">
        <v>5032</v>
      </c>
      <c r="F2412" t="s">
        <v>5036</v>
      </c>
      <c r="G2412" s="3">
        <v>5849.6</v>
      </c>
      <c r="H2412" s="3">
        <v>0</v>
      </c>
      <c r="I2412" s="3">
        <f>SUM(Tabla1[[#This Row],[Monto_Base]],H2412)</f>
        <v>5849.6</v>
      </c>
      <c r="J2412" t="s">
        <v>5043</v>
      </c>
      <c r="K2412" t="s">
        <v>5049</v>
      </c>
      <c r="L2412" t="s">
        <v>5053</v>
      </c>
      <c r="M2412" t="s">
        <v>5054</v>
      </c>
    </row>
    <row r="2413" spans="1:13" x14ac:dyDescent="0.3">
      <c r="A2413" s="1">
        <v>45586</v>
      </c>
      <c r="B2413" s="1" t="str">
        <f>TEXT(Tabla1[[#This Row],[Fecha]],"MMMM")</f>
        <v>octubre</v>
      </c>
      <c r="C2413" t="s">
        <v>2423</v>
      </c>
      <c r="D2413" t="s">
        <v>5014</v>
      </c>
      <c r="E2413" t="s">
        <v>5032</v>
      </c>
      <c r="F2413" t="s">
        <v>5037</v>
      </c>
      <c r="G2413" s="3">
        <v>4623.91</v>
      </c>
      <c r="H2413" s="3">
        <v>0</v>
      </c>
      <c r="I2413" s="3">
        <f>SUM(Tabla1[[#This Row],[Monto_Base]],H2413)</f>
        <v>4623.91</v>
      </c>
      <c r="J2413" t="s">
        <v>5042</v>
      </c>
      <c r="K2413" t="s">
        <v>5049</v>
      </c>
      <c r="L2413" t="s">
        <v>5051</v>
      </c>
      <c r="M2413" t="s">
        <v>5055</v>
      </c>
    </row>
    <row r="2414" spans="1:13" x14ac:dyDescent="0.3">
      <c r="A2414" s="1">
        <v>45582</v>
      </c>
      <c r="B2414" s="1" t="str">
        <f>TEXT(Tabla1[[#This Row],[Fecha]],"MMMM")</f>
        <v>octubre</v>
      </c>
      <c r="C2414" t="s">
        <v>2424</v>
      </c>
      <c r="D2414" t="s">
        <v>5015</v>
      </c>
      <c r="E2414" t="s">
        <v>5032</v>
      </c>
      <c r="F2414" t="s">
        <v>5041</v>
      </c>
      <c r="G2414" s="3">
        <v>9371.81</v>
      </c>
      <c r="H2414" s="3">
        <v>0</v>
      </c>
      <c r="I2414" s="3">
        <f>SUM(Tabla1[[#This Row],[Monto_Base]],H2414)</f>
        <v>9371.81</v>
      </c>
      <c r="J2414" t="s">
        <v>5043</v>
      </c>
      <c r="K2414" t="s">
        <v>5047</v>
      </c>
      <c r="L2414" t="s">
        <v>5052</v>
      </c>
      <c r="M2414" t="s">
        <v>5054</v>
      </c>
    </row>
    <row r="2415" spans="1:13" x14ac:dyDescent="0.3">
      <c r="A2415" s="1">
        <v>45317</v>
      </c>
      <c r="B2415" s="1" t="str">
        <f>TEXT(Tabla1[[#This Row],[Fecha]],"MMMM")</f>
        <v>enero</v>
      </c>
      <c r="C2415" t="s">
        <v>2425</v>
      </c>
      <c r="D2415" t="s">
        <v>5028</v>
      </c>
      <c r="E2415" t="s">
        <v>5033</v>
      </c>
      <c r="F2415" t="s">
        <v>5037</v>
      </c>
      <c r="G2415" s="3">
        <v>12069.58</v>
      </c>
      <c r="H2415" s="3">
        <v>1569.05</v>
      </c>
      <c r="I2415" s="3">
        <f>SUM(Tabla1[[#This Row],[Monto_Base]],H2415)</f>
        <v>13638.63</v>
      </c>
      <c r="J2415" t="s">
        <v>5042</v>
      </c>
      <c r="K2415" t="s">
        <v>5047</v>
      </c>
      <c r="L2415" t="s">
        <v>5052</v>
      </c>
      <c r="M2415" t="s">
        <v>5055</v>
      </c>
    </row>
    <row r="2416" spans="1:13" x14ac:dyDescent="0.3">
      <c r="A2416" s="1">
        <v>45506</v>
      </c>
      <c r="B2416" s="1" t="str">
        <f>TEXT(Tabla1[[#This Row],[Fecha]],"MMMM")</f>
        <v>agosto</v>
      </c>
      <c r="C2416" t="s">
        <v>2426</v>
      </c>
      <c r="D2416" t="s">
        <v>5027</v>
      </c>
      <c r="E2416" t="s">
        <v>5032</v>
      </c>
      <c r="F2416" t="s">
        <v>5039</v>
      </c>
      <c r="G2416" s="3">
        <v>160.76</v>
      </c>
      <c r="H2416" s="3">
        <v>0</v>
      </c>
      <c r="I2416" s="3">
        <f>SUM(Tabla1[[#This Row],[Monto_Base]],H2416)</f>
        <v>160.76</v>
      </c>
      <c r="J2416" t="s">
        <v>5044</v>
      </c>
      <c r="K2416" t="s">
        <v>5048</v>
      </c>
      <c r="L2416" t="s">
        <v>5051</v>
      </c>
      <c r="M2416" t="s">
        <v>5055</v>
      </c>
    </row>
    <row r="2417" spans="1:13" x14ac:dyDescent="0.3">
      <c r="A2417" s="1">
        <v>45559</v>
      </c>
      <c r="B2417" s="1" t="str">
        <f>TEXT(Tabla1[[#This Row],[Fecha]],"MMMM")</f>
        <v>septiembre</v>
      </c>
      <c r="C2417" t="s">
        <v>2427</v>
      </c>
      <c r="D2417" t="s">
        <v>5029</v>
      </c>
      <c r="E2417" t="s">
        <v>5032</v>
      </c>
      <c r="F2417" t="s">
        <v>5041</v>
      </c>
      <c r="G2417" s="3">
        <v>9999.3700000000008</v>
      </c>
      <c r="H2417" s="3">
        <v>0</v>
      </c>
      <c r="I2417" s="3">
        <f>SUM(Tabla1[[#This Row],[Monto_Base]],H2417)</f>
        <v>9999.3700000000008</v>
      </c>
      <c r="J2417" t="s">
        <v>5043</v>
      </c>
      <c r="K2417" t="s">
        <v>5048</v>
      </c>
      <c r="L2417" t="s">
        <v>5051</v>
      </c>
      <c r="M2417" t="s">
        <v>5055</v>
      </c>
    </row>
    <row r="2418" spans="1:13" x14ac:dyDescent="0.3">
      <c r="A2418" s="1">
        <v>45512</v>
      </c>
      <c r="B2418" s="1" t="str">
        <f>TEXT(Tabla1[[#This Row],[Fecha]],"MMMM")</f>
        <v>agosto</v>
      </c>
      <c r="C2418" t="s">
        <v>2428</v>
      </c>
      <c r="D2418" t="s">
        <v>5020</v>
      </c>
      <c r="E2418" t="s">
        <v>5033</v>
      </c>
      <c r="F2418" t="s">
        <v>5039</v>
      </c>
      <c r="G2418" s="3">
        <v>3858.75</v>
      </c>
      <c r="H2418" s="3">
        <v>501.64</v>
      </c>
      <c r="I2418" s="3">
        <f>SUM(Tabla1[[#This Row],[Monto_Base]],H2418)</f>
        <v>4360.3900000000003</v>
      </c>
      <c r="J2418" t="s">
        <v>5044</v>
      </c>
      <c r="K2418" t="s">
        <v>5047</v>
      </c>
      <c r="L2418" t="s">
        <v>5053</v>
      </c>
      <c r="M2418" t="s">
        <v>5054</v>
      </c>
    </row>
    <row r="2419" spans="1:13" x14ac:dyDescent="0.3">
      <c r="A2419" s="1">
        <v>45504</v>
      </c>
      <c r="B2419" s="1" t="str">
        <f>TEXT(Tabla1[[#This Row],[Fecha]],"MMMM")</f>
        <v>julio</v>
      </c>
      <c r="C2419" t="s">
        <v>2429</v>
      </c>
      <c r="D2419" t="s">
        <v>5016</v>
      </c>
      <c r="E2419" t="s">
        <v>5032</v>
      </c>
      <c r="F2419" t="s">
        <v>5040</v>
      </c>
      <c r="G2419" s="3">
        <v>7839.24</v>
      </c>
      <c r="H2419" s="3">
        <v>0</v>
      </c>
      <c r="I2419" s="3">
        <f>SUM(Tabla1[[#This Row],[Monto_Base]],H2419)</f>
        <v>7839.24</v>
      </c>
      <c r="J2419" t="s">
        <v>5042</v>
      </c>
      <c r="K2419" t="s">
        <v>5047</v>
      </c>
      <c r="L2419" t="s">
        <v>5051</v>
      </c>
      <c r="M2419" t="s">
        <v>5054</v>
      </c>
    </row>
    <row r="2420" spans="1:13" x14ac:dyDescent="0.3">
      <c r="A2420" s="1">
        <v>45458</v>
      </c>
      <c r="B2420" s="1" t="str">
        <f>TEXT(Tabla1[[#This Row],[Fecha]],"MMMM")</f>
        <v>junio</v>
      </c>
      <c r="C2420" t="s">
        <v>2430</v>
      </c>
      <c r="D2420" t="s">
        <v>5030</v>
      </c>
      <c r="E2420" t="s">
        <v>5032</v>
      </c>
      <c r="F2420" t="s">
        <v>5037</v>
      </c>
      <c r="G2420" s="3">
        <v>5325.86</v>
      </c>
      <c r="H2420" s="3">
        <v>0</v>
      </c>
      <c r="I2420" s="3">
        <f>SUM(Tabla1[[#This Row],[Monto_Base]],H2420)</f>
        <v>5325.86</v>
      </c>
      <c r="J2420" t="s">
        <v>5045</v>
      </c>
      <c r="K2420" t="s">
        <v>5047</v>
      </c>
      <c r="L2420" t="s">
        <v>5052</v>
      </c>
      <c r="M2420" t="s">
        <v>5055</v>
      </c>
    </row>
    <row r="2421" spans="1:13" x14ac:dyDescent="0.3">
      <c r="A2421" s="1">
        <v>45294</v>
      </c>
      <c r="B2421" s="1" t="str">
        <f>TEXT(Tabla1[[#This Row],[Fecha]],"MMMM")</f>
        <v>enero</v>
      </c>
      <c r="C2421" t="s">
        <v>2431</v>
      </c>
      <c r="D2421" t="s">
        <v>5029</v>
      </c>
      <c r="E2421" t="s">
        <v>5033</v>
      </c>
      <c r="F2421" t="s">
        <v>5041</v>
      </c>
      <c r="G2421" s="3">
        <v>13997.65</v>
      </c>
      <c r="H2421" s="3">
        <v>1819.69</v>
      </c>
      <c r="I2421" s="3">
        <f>SUM(Tabla1[[#This Row],[Monto_Base]],H2421)</f>
        <v>15817.34</v>
      </c>
      <c r="J2421" t="s">
        <v>5046</v>
      </c>
      <c r="K2421" t="s">
        <v>5047</v>
      </c>
      <c r="L2421" t="s">
        <v>5052</v>
      </c>
      <c r="M2421" t="s">
        <v>5055</v>
      </c>
    </row>
    <row r="2422" spans="1:13" x14ac:dyDescent="0.3">
      <c r="A2422" s="1">
        <v>45313</v>
      </c>
      <c r="B2422" s="1" t="str">
        <f>TEXT(Tabla1[[#This Row],[Fecha]],"MMMM")</f>
        <v>enero</v>
      </c>
      <c r="C2422" t="s">
        <v>2432</v>
      </c>
      <c r="D2422" t="s">
        <v>5022</v>
      </c>
      <c r="E2422" t="s">
        <v>5033</v>
      </c>
      <c r="F2422" t="s">
        <v>5040</v>
      </c>
      <c r="G2422" s="3">
        <v>12317.7</v>
      </c>
      <c r="H2422" s="3">
        <v>1601.3</v>
      </c>
      <c r="I2422" s="3">
        <f>SUM(Tabla1[[#This Row],[Monto_Base]],H2422)</f>
        <v>13919</v>
      </c>
      <c r="J2422" t="s">
        <v>5045</v>
      </c>
      <c r="K2422" t="s">
        <v>5048</v>
      </c>
      <c r="L2422" t="s">
        <v>5053</v>
      </c>
      <c r="M2422" t="s">
        <v>5054</v>
      </c>
    </row>
    <row r="2423" spans="1:13" x14ac:dyDescent="0.3">
      <c r="A2423" s="1">
        <v>45429</v>
      </c>
      <c r="B2423" s="1" t="str">
        <f>TEXT(Tabla1[[#This Row],[Fecha]],"MMMM")</f>
        <v>mayo</v>
      </c>
      <c r="C2423" t="s">
        <v>2433</v>
      </c>
      <c r="D2423" t="s">
        <v>5024</v>
      </c>
      <c r="E2423" t="s">
        <v>5033</v>
      </c>
      <c r="F2423" t="s">
        <v>5038</v>
      </c>
      <c r="G2423" s="3">
        <v>12157.86</v>
      </c>
      <c r="H2423" s="3">
        <v>1580.52</v>
      </c>
      <c r="I2423" s="3">
        <f>SUM(Tabla1[[#This Row],[Monto_Base]],H2423)</f>
        <v>13738.380000000001</v>
      </c>
      <c r="J2423" t="s">
        <v>5046</v>
      </c>
      <c r="K2423" t="s">
        <v>5047</v>
      </c>
      <c r="L2423" t="s">
        <v>5050</v>
      </c>
      <c r="M2423" t="s">
        <v>5054</v>
      </c>
    </row>
    <row r="2424" spans="1:13" x14ac:dyDescent="0.3">
      <c r="A2424" s="1">
        <v>45565</v>
      </c>
      <c r="B2424" s="1" t="str">
        <f>TEXT(Tabla1[[#This Row],[Fecha]],"MMMM")</f>
        <v>septiembre</v>
      </c>
      <c r="C2424" t="s">
        <v>2434</v>
      </c>
      <c r="D2424" t="s">
        <v>5012</v>
      </c>
      <c r="E2424" t="s">
        <v>5032</v>
      </c>
      <c r="F2424" t="s">
        <v>5035</v>
      </c>
      <c r="G2424" s="3">
        <v>8131.33</v>
      </c>
      <c r="H2424" s="3">
        <v>0</v>
      </c>
      <c r="I2424" s="3">
        <f>SUM(Tabla1[[#This Row],[Monto_Base]],H2424)</f>
        <v>8131.33</v>
      </c>
      <c r="J2424" t="s">
        <v>5046</v>
      </c>
      <c r="K2424" t="s">
        <v>5047</v>
      </c>
      <c r="L2424" t="s">
        <v>5051</v>
      </c>
      <c r="M2424" t="s">
        <v>5054</v>
      </c>
    </row>
    <row r="2425" spans="1:13" x14ac:dyDescent="0.3">
      <c r="A2425" s="1">
        <v>45602</v>
      </c>
      <c r="B2425" s="1" t="str">
        <f>TEXT(Tabla1[[#This Row],[Fecha]],"MMMM")</f>
        <v>noviembre</v>
      </c>
      <c r="C2425" t="s">
        <v>2435</v>
      </c>
      <c r="D2425" t="s">
        <v>5021</v>
      </c>
      <c r="E2425" t="s">
        <v>5033</v>
      </c>
      <c r="F2425" t="s">
        <v>5037</v>
      </c>
      <c r="G2425" s="3">
        <v>9587.65</v>
      </c>
      <c r="H2425" s="3">
        <v>1246.3900000000001</v>
      </c>
      <c r="I2425" s="3">
        <f>SUM(Tabla1[[#This Row],[Monto_Base]],H2425)</f>
        <v>10834.039999999999</v>
      </c>
      <c r="J2425" t="s">
        <v>5043</v>
      </c>
      <c r="K2425" t="s">
        <v>5049</v>
      </c>
      <c r="L2425" t="s">
        <v>5050</v>
      </c>
      <c r="M2425" t="s">
        <v>5055</v>
      </c>
    </row>
    <row r="2426" spans="1:13" x14ac:dyDescent="0.3">
      <c r="A2426" s="1">
        <v>45348</v>
      </c>
      <c r="B2426" s="1" t="str">
        <f>TEXT(Tabla1[[#This Row],[Fecha]],"MMMM")</f>
        <v>febrero</v>
      </c>
      <c r="C2426" t="s">
        <v>2436</v>
      </c>
      <c r="D2426" t="s">
        <v>5021</v>
      </c>
      <c r="E2426" t="s">
        <v>5032</v>
      </c>
      <c r="F2426" t="s">
        <v>5039</v>
      </c>
      <c r="G2426" s="3">
        <v>8350.82</v>
      </c>
      <c r="H2426" s="3">
        <v>0</v>
      </c>
      <c r="I2426" s="3">
        <f>SUM(Tabla1[[#This Row],[Monto_Base]],H2426)</f>
        <v>8350.82</v>
      </c>
      <c r="J2426" t="s">
        <v>5046</v>
      </c>
      <c r="K2426" t="s">
        <v>5048</v>
      </c>
      <c r="L2426" t="s">
        <v>5050</v>
      </c>
      <c r="M2426" t="s">
        <v>5055</v>
      </c>
    </row>
    <row r="2427" spans="1:13" x14ac:dyDescent="0.3">
      <c r="A2427" s="1">
        <v>45473</v>
      </c>
      <c r="B2427" s="1" t="str">
        <f>TEXT(Tabla1[[#This Row],[Fecha]],"MMMM")</f>
        <v>junio</v>
      </c>
      <c r="C2427" t="s">
        <v>2437</v>
      </c>
      <c r="D2427" t="s">
        <v>5021</v>
      </c>
      <c r="E2427" t="s">
        <v>5032</v>
      </c>
      <c r="F2427" t="s">
        <v>5035</v>
      </c>
      <c r="G2427" s="3">
        <v>6987.38</v>
      </c>
      <c r="H2427" s="3">
        <v>0</v>
      </c>
      <c r="I2427" s="3">
        <f>SUM(Tabla1[[#This Row],[Monto_Base]],H2427)</f>
        <v>6987.38</v>
      </c>
      <c r="J2427" t="s">
        <v>5043</v>
      </c>
      <c r="K2427" t="s">
        <v>5049</v>
      </c>
      <c r="L2427" t="s">
        <v>5050</v>
      </c>
      <c r="M2427" t="s">
        <v>5055</v>
      </c>
    </row>
    <row r="2428" spans="1:13" x14ac:dyDescent="0.3">
      <c r="A2428" s="1">
        <v>45406</v>
      </c>
      <c r="B2428" s="1" t="str">
        <f>TEXT(Tabla1[[#This Row],[Fecha]],"MMMM")</f>
        <v>abril</v>
      </c>
      <c r="C2428" t="s">
        <v>2438</v>
      </c>
      <c r="D2428" t="s">
        <v>5031</v>
      </c>
      <c r="E2428" t="s">
        <v>5032</v>
      </c>
      <c r="F2428" t="s">
        <v>5041</v>
      </c>
      <c r="G2428" s="3">
        <v>9621.2900000000009</v>
      </c>
      <c r="H2428" s="3">
        <v>0</v>
      </c>
      <c r="I2428" s="3">
        <f>SUM(Tabla1[[#This Row],[Monto_Base]],H2428)</f>
        <v>9621.2900000000009</v>
      </c>
      <c r="J2428" t="s">
        <v>5042</v>
      </c>
      <c r="K2428" t="s">
        <v>5048</v>
      </c>
      <c r="L2428" t="s">
        <v>5053</v>
      </c>
      <c r="M2428" t="s">
        <v>5055</v>
      </c>
    </row>
    <row r="2429" spans="1:13" x14ac:dyDescent="0.3">
      <c r="A2429" s="1">
        <v>45607</v>
      </c>
      <c r="B2429" s="1" t="str">
        <f>TEXT(Tabla1[[#This Row],[Fecha]],"MMMM")</f>
        <v>noviembre</v>
      </c>
      <c r="C2429" t="s">
        <v>2439</v>
      </c>
      <c r="D2429" t="s">
        <v>5026</v>
      </c>
      <c r="E2429" t="s">
        <v>5032</v>
      </c>
      <c r="F2429" t="s">
        <v>5035</v>
      </c>
      <c r="G2429" s="3">
        <v>2570.36</v>
      </c>
      <c r="H2429" s="3">
        <v>0</v>
      </c>
      <c r="I2429" s="3">
        <f>SUM(Tabla1[[#This Row],[Monto_Base]],H2429)</f>
        <v>2570.36</v>
      </c>
      <c r="J2429" t="s">
        <v>5044</v>
      </c>
      <c r="K2429" t="s">
        <v>5048</v>
      </c>
      <c r="L2429" t="s">
        <v>5052</v>
      </c>
      <c r="M2429" t="s">
        <v>5054</v>
      </c>
    </row>
    <row r="2430" spans="1:13" x14ac:dyDescent="0.3">
      <c r="A2430" s="1">
        <v>45435</v>
      </c>
      <c r="B2430" s="1" t="str">
        <f>TEXT(Tabla1[[#This Row],[Fecha]],"MMMM")</f>
        <v>mayo</v>
      </c>
      <c r="C2430" t="s">
        <v>2440</v>
      </c>
      <c r="D2430" t="s">
        <v>5013</v>
      </c>
      <c r="E2430" t="s">
        <v>5032</v>
      </c>
      <c r="F2430" t="s">
        <v>5039</v>
      </c>
      <c r="G2430" s="3">
        <v>5015.25</v>
      </c>
      <c r="H2430" s="3">
        <v>0</v>
      </c>
      <c r="I2430" s="3">
        <f>SUM(Tabla1[[#This Row],[Monto_Base]],H2430)</f>
        <v>5015.25</v>
      </c>
      <c r="J2430" t="s">
        <v>5042</v>
      </c>
      <c r="K2430" t="s">
        <v>5047</v>
      </c>
      <c r="L2430" t="s">
        <v>5050</v>
      </c>
      <c r="M2430" t="s">
        <v>5054</v>
      </c>
    </row>
    <row r="2431" spans="1:13" x14ac:dyDescent="0.3">
      <c r="A2431" s="1">
        <v>45517</v>
      </c>
      <c r="B2431" s="1" t="str">
        <f>TEXT(Tabla1[[#This Row],[Fecha]],"MMMM")</f>
        <v>agosto</v>
      </c>
      <c r="C2431" t="s">
        <v>2441</v>
      </c>
      <c r="D2431" t="s">
        <v>5028</v>
      </c>
      <c r="E2431" t="s">
        <v>5033</v>
      </c>
      <c r="F2431" t="s">
        <v>5034</v>
      </c>
      <c r="G2431" s="3">
        <v>1490.72</v>
      </c>
      <c r="H2431" s="3">
        <v>193.79</v>
      </c>
      <c r="I2431" s="3">
        <f>SUM(Tabla1[[#This Row],[Monto_Base]],H2431)</f>
        <v>1684.51</v>
      </c>
      <c r="J2431" t="s">
        <v>5043</v>
      </c>
      <c r="K2431" t="s">
        <v>5048</v>
      </c>
      <c r="L2431" t="s">
        <v>5051</v>
      </c>
      <c r="M2431" t="s">
        <v>5055</v>
      </c>
    </row>
    <row r="2432" spans="1:13" x14ac:dyDescent="0.3">
      <c r="A2432" s="1">
        <v>45326</v>
      </c>
      <c r="B2432" s="1" t="str">
        <f>TEXT(Tabla1[[#This Row],[Fecha]],"MMMM")</f>
        <v>febrero</v>
      </c>
      <c r="C2432" t="s">
        <v>2442</v>
      </c>
      <c r="D2432" t="s">
        <v>5020</v>
      </c>
      <c r="E2432" t="s">
        <v>5032</v>
      </c>
      <c r="F2432" t="s">
        <v>5036</v>
      </c>
      <c r="G2432" s="3">
        <v>9861.7800000000007</v>
      </c>
      <c r="H2432" s="3">
        <v>0</v>
      </c>
      <c r="I2432" s="3">
        <f>SUM(Tabla1[[#This Row],[Monto_Base]],H2432)</f>
        <v>9861.7800000000007</v>
      </c>
      <c r="J2432" t="s">
        <v>5042</v>
      </c>
      <c r="K2432" t="s">
        <v>5048</v>
      </c>
      <c r="L2432" t="s">
        <v>5051</v>
      </c>
      <c r="M2432" t="s">
        <v>5054</v>
      </c>
    </row>
    <row r="2433" spans="1:13" x14ac:dyDescent="0.3">
      <c r="A2433" s="1">
        <v>45558</v>
      </c>
      <c r="B2433" s="1" t="str">
        <f>TEXT(Tabla1[[#This Row],[Fecha]],"MMMM")</f>
        <v>septiembre</v>
      </c>
      <c r="C2433" t="s">
        <v>2443</v>
      </c>
      <c r="D2433" t="s">
        <v>5012</v>
      </c>
      <c r="E2433" t="s">
        <v>5033</v>
      </c>
      <c r="F2433" t="s">
        <v>5040</v>
      </c>
      <c r="G2433" s="3">
        <v>11811.28</v>
      </c>
      <c r="H2433" s="3">
        <v>1535.47</v>
      </c>
      <c r="I2433" s="3">
        <f>SUM(Tabla1[[#This Row],[Monto_Base]],H2433)</f>
        <v>13346.75</v>
      </c>
      <c r="J2433" t="s">
        <v>5043</v>
      </c>
      <c r="K2433" t="s">
        <v>5049</v>
      </c>
      <c r="L2433" t="s">
        <v>5051</v>
      </c>
      <c r="M2433" t="s">
        <v>5054</v>
      </c>
    </row>
    <row r="2434" spans="1:13" x14ac:dyDescent="0.3">
      <c r="A2434" s="1">
        <v>45511</v>
      </c>
      <c r="B2434" s="1" t="str">
        <f>TEXT(Tabla1[[#This Row],[Fecha]],"MMMM")</f>
        <v>agosto</v>
      </c>
      <c r="C2434" t="s">
        <v>2444</v>
      </c>
      <c r="D2434" t="s">
        <v>5028</v>
      </c>
      <c r="E2434" t="s">
        <v>5033</v>
      </c>
      <c r="F2434" t="s">
        <v>5034</v>
      </c>
      <c r="G2434" s="3">
        <v>2566.31</v>
      </c>
      <c r="H2434" s="3">
        <v>333.62</v>
      </c>
      <c r="I2434" s="3">
        <f>SUM(Tabla1[[#This Row],[Monto_Base]],H2434)</f>
        <v>2899.93</v>
      </c>
      <c r="J2434" t="s">
        <v>5045</v>
      </c>
      <c r="K2434" t="s">
        <v>5049</v>
      </c>
      <c r="L2434" t="s">
        <v>5051</v>
      </c>
      <c r="M2434" t="s">
        <v>5055</v>
      </c>
    </row>
    <row r="2435" spans="1:13" x14ac:dyDescent="0.3">
      <c r="A2435" s="1">
        <v>45441</v>
      </c>
      <c r="B2435" s="1" t="str">
        <f>TEXT(Tabla1[[#This Row],[Fecha]],"MMMM")</f>
        <v>mayo</v>
      </c>
      <c r="C2435" t="s">
        <v>2445</v>
      </c>
      <c r="D2435" t="s">
        <v>5028</v>
      </c>
      <c r="E2435" t="s">
        <v>5032</v>
      </c>
      <c r="F2435" t="s">
        <v>5037</v>
      </c>
      <c r="G2435" s="3">
        <v>12587.72</v>
      </c>
      <c r="H2435" s="3">
        <v>0</v>
      </c>
      <c r="I2435" s="3">
        <f>SUM(Tabla1[[#This Row],[Monto_Base]],H2435)</f>
        <v>12587.72</v>
      </c>
      <c r="J2435" t="s">
        <v>5042</v>
      </c>
      <c r="K2435" t="s">
        <v>5047</v>
      </c>
      <c r="L2435" t="s">
        <v>5053</v>
      </c>
      <c r="M2435" t="s">
        <v>5055</v>
      </c>
    </row>
    <row r="2436" spans="1:13" x14ac:dyDescent="0.3">
      <c r="A2436" s="1">
        <v>45594</v>
      </c>
      <c r="B2436" s="1" t="str">
        <f>TEXT(Tabla1[[#This Row],[Fecha]],"MMMM")</f>
        <v>octubre</v>
      </c>
      <c r="C2436" t="s">
        <v>2446</v>
      </c>
      <c r="D2436" t="s">
        <v>5012</v>
      </c>
      <c r="E2436" t="s">
        <v>5032</v>
      </c>
      <c r="F2436" t="s">
        <v>5037</v>
      </c>
      <c r="G2436" s="3">
        <v>2767.81</v>
      </c>
      <c r="H2436" s="3">
        <v>0</v>
      </c>
      <c r="I2436" s="3">
        <f>SUM(Tabla1[[#This Row],[Monto_Base]],H2436)</f>
        <v>2767.81</v>
      </c>
      <c r="J2436" t="s">
        <v>5046</v>
      </c>
      <c r="K2436" t="s">
        <v>5049</v>
      </c>
      <c r="L2436" t="s">
        <v>5053</v>
      </c>
      <c r="M2436" t="s">
        <v>5055</v>
      </c>
    </row>
    <row r="2437" spans="1:13" x14ac:dyDescent="0.3">
      <c r="A2437" s="1">
        <v>45368</v>
      </c>
      <c r="B2437" s="1" t="str">
        <f>TEXT(Tabla1[[#This Row],[Fecha]],"MMMM")</f>
        <v>marzo</v>
      </c>
      <c r="C2437" t="s">
        <v>2447</v>
      </c>
      <c r="D2437" t="s">
        <v>5023</v>
      </c>
      <c r="E2437" t="s">
        <v>5033</v>
      </c>
      <c r="F2437" t="s">
        <v>5041</v>
      </c>
      <c r="G2437" s="3">
        <v>8136.19</v>
      </c>
      <c r="H2437" s="3">
        <v>1057.7</v>
      </c>
      <c r="I2437" s="3">
        <f>SUM(Tabla1[[#This Row],[Monto_Base]],H2437)</f>
        <v>9193.89</v>
      </c>
      <c r="J2437" t="s">
        <v>5044</v>
      </c>
      <c r="K2437" t="s">
        <v>5047</v>
      </c>
      <c r="L2437" t="s">
        <v>5050</v>
      </c>
      <c r="M2437" t="s">
        <v>5055</v>
      </c>
    </row>
    <row r="2438" spans="1:13" x14ac:dyDescent="0.3">
      <c r="A2438" s="1">
        <v>45595</v>
      </c>
      <c r="B2438" s="1" t="str">
        <f>TEXT(Tabla1[[#This Row],[Fecha]],"MMMM")</f>
        <v>octubre</v>
      </c>
      <c r="C2438" t="s">
        <v>2448</v>
      </c>
      <c r="D2438" t="s">
        <v>5014</v>
      </c>
      <c r="E2438" t="s">
        <v>5032</v>
      </c>
      <c r="F2438" t="s">
        <v>5037</v>
      </c>
      <c r="G2438" s="3">
        <v>9361.7199999999993</v>
      </c>
      <c r="H2438" s="3">
        <v>0</v>
      </c>
      <c r="I2438" s="3">
        <f>SUM(Tabla1[[#This Row],[Monto_Base]],H2438)</f>
        <v>9361.7199999999993</v>
      </c>
      <c r="J2438" t="s">
        <v>5045</v>
      </c>
      <c r="K2438" t="s">
        <v>5048</v>
      </c>
      <c r="L2438" t="s">
        <v>5052</v>
      </c>
      <c r="M2438" t="s">
        <v>5054</v>
      </c>
    </row>
    <row r="2439" spans="1:13" x14ac:dyDescent="0.3">
      <c r="A2439" s="1">
        <v>45352</v>
      </c>
      <c r="B2439" s="1" t="str">
        <f>TEXT(Tabla1[[#This Row],[Fecha]],"MMMM")</f>
        <v>marzo</v>
      </c>
      <c r="C2439" t="s">
        <v>2449</v>
      </c>
      <c r="D2439" t="s">
        <v>5018</v>
      </c>
      <c r="E2439" t="s">
        <v>5033</v>
      </c>
      <c r="F2439" t="s">
        <v>5034</v>
      </c>
      <c r="G2439" s="3">
        <v>9823.76</v>
      </c>
      <c r="H2439" s="3">
        <v>1277.0899999999999</v>
      </c>
      <c r="I2439" s="3">
        <f>SUM(Tabla1[[#This Row],[Monto_Base]],H2439)</f>
        <v>11100.85</v>
      </c>
      <c r="J2439" t="s">
        <v>5043</v>
      </c>
      <c r="K2439" t="s">
        <v>5049</v>
      </c>
      <c r="L2439" t="s">
        <v>5053</v>
      </c>
      <c r="M2439" t="s">
        <v>5054</v>
      </c>
    </row>
    <row r="2440" spans="1:13" x14ac:dyDescent="0.3">
      <c r="A2440" s="1">
        <v>45511</v>
      </c>
      <c r="B2440" s="1" t="str">
        <f>TEXT(Tabla1[[#This Row],[Fecha]],"MMMM")</f>
        <v>agosto</v>
      </c>
      <c r="C2440" t="s">
        <v>2450</v>
      </c>
      <c r="D2440" t="s">
        <v>5017</v>
      </c>
      <c r="E2440" t="s">
        <v>5032</v>
      </c>
      <c r="F2440" t="s">
        <v>5035</v>
      </c>
      <c r="G2440" s="3">
        <v>586.88</v>
      </c>
      <c r="H2440" s="3">
        <v>0</v>
      </c>
      <c r="I2440" s="3">
        <f>SUM(Tabla1[[#This Row],[Monto_Base]],H2440)</f>
        <v>586.88</v>
      </c>
      <c r="J2440" t="s">
        <v>5044</v>
      </c>
      <c r="K2440" t="s">
        <v>5048</v>
      </c>
      <c r="L2440" t="s">
        <v>5050</v>
      </c>
      <c r="M2440" t="s">
        <v>5054</v>
      </c>
    </row>
    <row r="2441" spans="1:13" x14ac:dyDescent="0.3">
      <c r="A2441" s="1">
        <v>45328</v>
      </c>
      <c r="B2441" s="1" t="str">
        <f>TEXT(Tabla1[[#This Row],[Fecha]],"MMMM")</f>
        <v>febrero</v>
      </c>
      <c r="C2441" t="s">
        <v>2451</v>
      </c>
      <c r="D2441" t="s">
        <v>5025</v>
      </c>
      <c r="E2441" t="s">
        <v>5032</v>
      </c>
      <c r="F2441" t="s">
        <v>5040</v>
      </c>
      <c r="G2441" s="3">
        <v>10563.84</v>
      </c>
      <c r="H2441" s="3">
        <v>0</v>
      </c>
      <c r="I2441" s="3">
        <f>SUM(Tabla1[[#This Row],[Monto_Base]],H2441)</f>
        <v>10563.84</v>
      </c>
      <c r="J2441" t="s">
        <v>5043</v>
      </c>
      <c r="K2441" t="s">
        <v>5048</v>
      </c>
      <c r="L2441" t="s">
        <v>5050</v>
      </c>
      <c r="M2441" t="s">
        <v>5055</v>
      </c>
    </row>
    <row r="2442" spans="1:13" x14ac:dyDescent="0.3">
      <c r="A2442" s="1">
        <v>45399</v>
      </c>
      <c r="B2442" s="1" t="str">
        <f>TEXT(Tabla1[[#This Row],[Fecha]],"MMMM")</f>
        <v>abril</v>
      </c>
      <c r="C2442" t="s">
        <v>2452</v>
      </c>
      <c r="D2442" t="s">
        <v>5024</v>
      </c>
      <c r="E2442" t="s">
        <v>5033</v>
      </c>
      <c r="F2442" t="s">
        <v>5035</v>
      </c>
      <c r="G2442" s="3">
        <v>12652.74</v>
      </c>
      <c r="H2442" s="3">
        <v>1644.86</v>
      </c>
      <c r="I2442" s="3">
        <f>SUM(Tabla1[[#This Row],[Monto_Base]],H2442)</f>
        <v>14297.6</v>
      </c>
      <c r="J2442" t="s">
        <v>5043</v>
      </c>
      <c r="K2442" t="s">
        <v>5049</v>
      </c>
      <c r="L2442" t="s">
        <v>5053</v>
      </c>
      <c r="M2442" t="s">
        <v>5055</v>
      </c>
    </row>
    <row r="2443" spans="1:13" x14ac:dyDescent="0.3">
      <c r="A2443" s="1">
        <v>45446</v>
      </c>
      <c r="B2443" s="1" t="str">
        <f>TEXT(Tabla1[[#This Row],[Fecha]],"MMMM")</f>
        <v>junio</v>
      </c>
      <c r="C2443" t="s">
        <v>2453</v>
      </c>
      <c r="D2443" t="s">
        <v>5015</v>
      </c>
      <c r="E2443" t="s">
        <v>5032</v>
      </c>
      <c r="F2443" t="s">
        <v>5035</v>
      </c>
      <c r="G2443" s="3">
        <v>8389.5</v>
      </c>
      <c r="H2443" s="3">
        <v>0</v>
      </c>
      <c r="I2443" s="3">
        <f>SUM(Tabla1[[#This Row],[Monto_Base]],H2443)</f>
        <v>8389.5</v>
      </c>
      <c r="J2443" t="s">
        <v>5044</v>
      </c>
      <c r="K2443" t="s">
        <v>5049</v>
      </c>
      <c r="L2443" t="s">
        <v>5050</v>
      </c>
      <c r="M2443" t="s">
        <v>5054</v>
      </c>
    </row>
    <row r="2444" spans="1:13" x14ac:dyDescent="0.3">
      <c r="A2444" s="1">
        <v>45518</v>
      </c>
      <c r="B2444" s="1" t="str">
        <f>TEXT(Tabla1[[#This Row],[Fecha]],"MMMM")</f>
        <v>agosto</v>
      </c>
      <c r="C2444" t="s">
        <v>2454</v>
      </c>
      <c r="D2444" t="s">
        <v>5016</v>
      </c>
      <c r="E2444" t="s">
        <v>5033</v>
      </c>
      <c r="F2444" t="s">
        <v>5038</v>
      </c>
      <c r="G2444" s="3">
        <v>8279.89</v>
      </c>
      <c r="H2444" s="3">
        <v>1076.3900000000001</v>
      </c>
      <c r="I2444" s="3">
        <f>SUM(Tabla1[[#This Row],[Monto_Base]],H2444)</f>
        <v>9356.2799999999988</v>
      </c>
      <c r="J2444" t="s">
        <v>5043</v>
      </c>
      <c r="K2444" t="s">
        <v>5047</v>
      </c>
      <c r="L2444" t="s">
        <v>5053</v>
      </c>
      <c r="M2444" t="s">
        <v>5054</v>
      </c>
    </row>
    <row r="2445" spans="1:13" x14ac:dyDescent="0.3">
      <c r="A2445" s="1">
        <v>45595</v>
      </c>
      <c r="B2445" s="1" t="str">
        <f>TEXT(Tabla1[[#This Row],[Fecha]],"MMMM")</f>
        <v>octubre</v>
      </c>
      <c r="C2445" t="s">
        <v>2455</v>
      </c>
      <c r="D2445" t="s">
        <v>5018</v>
      </c>
      <c r="E2445" t="s">
        <v>5032</v>
      </c>
      <c r="F2445" t="s">
        <v>5036</v>
      </c>
      <c r="G2445" s="3">
        <v>2306.52</v>
      </c>
      <c r="H2445" s="3">
        <v>0</v>
      </c>
      <c r="I2445" s="3">
        <f>SUM(Tabla1[[#This Row],[Monto_Base]],H2445)</f>
        <v>2306.52</v>
      </c>
      <c r="J2445" t="s">
        <v>5043</v>
      </c>
      <c r="K2445" t="s">
        <v>5049</v>
      </c>
      <c r="L2445" t="s">
        <v>5053</v>
      </c>
      <c r="M2445" t="s">
        <v>5054</v>
      </c>
    </row>
    <row r="2446" spans="1:13" x14ac:dyDescent="0.3">
      <c r="A2446" s="1">
        <v>45572</v>
      </c>
      <c r="B2446" s="1" t="str">
        <f>TEXT(Tabla1[[#This Row],[Fecha]],"MMMM")</f>
        <v>octubre</v>
      </c>
      <c r="C2446" t="s">
        <v>2456</v>
      </c>
      <c r="D2446" t="s">
        <v>5031</v>
      </c>
      <c r="E2446" t="s">
        <v>5033</v>
      </c>
      <c r="F2446" t="s">
        <v>5040</v>
      </c>
      <c r="G2446" s="3">
        <v>11086.5</v>
      </c>
      <c r="H2446" s="3">
        <v>1441.25</v>
      </c>
      <c r="I2446" s="3">
        <f>SUM(Tabla1[[#This Row],[Monto_Base]],H2446)</f>
        <v>12527.75</v>
      </c>
      <c r="J2446" t="s">
        <v>5042</v>
      </c>
      <c r="K2446" t="s">
        <v>5047</v>
      </c>
      <c r="L2446" t="s">
        <v>5052</v>
      </c>
      <c r="M2446" t="s">
        <v>5055</v>
      </c>
    </row>
    <row r="2447" spans="1:13" x14ac:dyDescent="0.3">
      <c r="A2447" s="1">
        <v>45542</v>
      </c>
      <c r="B2447" s="1" t="str">
        <f>TEXT(Tabla1[[#This Row],[Fecha]],"MMMM")</f>
        <v>septiembre</v>
      </c>
      <c r="C2447" t="s">
        <v>2457</v>
      </c>
      <c r="D2447" t="s">
        <v>5023</v>
      </c>
      <c r="E2447" t="s">
        <v>5033</v>
      </c>
      <c r="F2447" t="s">
        <v>5035</v>
      </c>
      <c r="G2447" s="3">
        <v>9750.4</v>
      </c>
      <c r="H2447" s="3">
        <v>1267.55</v>
      </c>
      <c r="I2447" s="3">
        <f>SUM(Tabla1[[#This Row],[Monto_Base]],H2447)</f>
        <v>11017.949999999999</v>
      </c>
      <c r="J2447" t="s">
        <v>5045</v>
      </c>
      <c r="K2447" t="s">
        <v>5048</v>
      </c>
      <c r="L2447" t="s">
        <v>5050</v>
      </c>
      <c r="M2447" t="s">
        <v>5054</v>
      </c>
    </row>
    <row r="2448" spans="1:13" x14ac:dyDescent="0.3">
      <c r="A2448" s="1">
        <v>45367</v>
      </c>
      <c r="B2448" s="1" t="str">
        <f>TEXT(Tabla1[[#This Row],[Fecha]],"MMMM")</f>
        <v>marzo</v>
      </c>
      <c r="C2448" t="s">
        <v>2458</v>
      </c>
      <c r="D2448" t="s">
        <v>5012</v>
      </c>
      <c r="E2448" t="s">
        <v>5032</v>
      </c>
      <c r="F2448" t="s">
        <v>5039</v>
      </c>
      <c r="G2448" s="3">
        <v>3330.72</v>
      </c>
      <c r="H2448" s="3">
        <v>0</v>
      </c>
      <c r="I2448" s="3">
        <f>SUM(Tabla1[[#This Row],[Monto_Base]],H2448)</f>
        <v>3330.72</v>
      </c>
      <c r="J2448" t="s">
        <v>5042</v>
      </c>
      <c r="K2448" t="s">
        <v>5049</v>
      </c>
      <c r="L2448" t="s">
        <v>5052</v>
      </c>
      <c r="M2448" t="s">
        <v>5055</v>
      </c>
    </row>
    <row r="2449" spans="1:13" x14ac:dyDescent="0.3">
      <c r="A2449" s="1">
        <v>45603</v>
      </c>
      <c r="B2449" s="1" t="str">
        <f>TEXT(Tabla1[[#This Row],[Fecha]],"MMMM")</f>
        <v>noviembre</v>
      </c>
      <c r="C2449" t="s">
        <v>2459</v>
      </c>
      <c r="D2449" t="s">
        <v>5017</v>
      </c>
      <c r="E2449" t="s">
        <v>5032</v>
      </c>
      <c r="F2449" t="s">
        <v>5037</v>
      </c>
      <c r="G2449" s="3">
        <v>9937.23</v>
      </c>
      <c r="H2449" s="3">
        <v>0</v>
      </c>
      <c r="I2449" s="3">
        <f>SUM(Tabla1[[#This Row],[Monto_Base]],H2449)</f>
        <v>9937.23</v>
      </c>
      <c r="J2449" t="s">
        <v>5043</v>
      </c>
      <c r="K2449" t="s">
        <v>5047</v>
      </c>
      <c r="L2449" t="s">
        <v>5052</v>
      </c>
      <c r="M2449" t="s">
        <v>5055</v>
      </c>
    </row>
    <row r="2450" spans="1:13" x14ac:dyDescent="0.3">
      <c r="A2450" s="1">
        <v>45606</v>
      </c>
      <c r="B2450" s="1" t="str">
        <f>TEXT(Tabla1[[#This Row],[Fecha]],"MMMM")</f>
        <v>noviembre</v>
      </c>
      <c r="C2450" t="s">
        <v>2460</v>
      </c>
      <c r="D2450" t="s">
        <v>5027</v>
      </c>
      <c r="E2450" t="s">
        <v>5032</v>
      </c>
      <c r="F2450" t="s">
        <v>5040</v>
      </c>
      <c r="G2450" s="3">
        <v>6930.61</v>
      </c>
      <c r="H2450" s="3">
        <v>0</v>
      </c>
      <c r="I2450" s="3">
        <f>SUM(Tabla1[[#This Row],[Monto_Base]],H2450)</f>
        <v>6930.61</v>
      </c>
      <c r="J2450" t="s">
        <v>5043</v>
      </c>
      <c r="K2450" t="s">
        <v>5049</v>
      </c>
      <c r="L2450" t="s">
        <v>5052</v>
      </c>
      <c r="M2450" t="s">
        <v>5054</v>
      </c>
    </row>
    <row r="2451" spans="1:13" x14ac:dyDescent="0.3">
      <c r="A2451" s="1">
        <v>45518</v>
      </c>
      <c r="B2451" s="1" t="str">
        <f>TEXT(Tabla1[[#This Row],[Fecha]],"MMMM")</f>
        <v>agosto</v>
      </c>
      <c r="C2451" t="s">
        <v>2461</v>
      </c>
      <c r="D2451" t="s">
        <v>5020</v>
      </c>
      <c r="E2451" t="s">
        <v>5032</v>
      </c>
      <c r="F2451" t="s">
        <v>5035</v>
      </c>
      <c r="G2451" s="3">
        <v>12015.47</v>
      </c>
      <c r="H2451" s="3">
        <v>0</v>
      </c>
      <c r="I2451" s="3">
        <f>SUM(Tabla1[[#This Row],[Monto_Base]],H2451)</f>
        <v>12015.47</v>
      </c>
      <c r="J2451" t="s">
        <v>5046</v>
      </c>
      <c r="K2451" t="s">
        <v>5049</v>
      </c>
      <c r="L2451" t="s">
        <v>5053</v>
      </c>
      <c r="M2451" t="s">
        <v>5054</v>
      </c>
    </row>
    <row r="2452" spans="1:13" x14ac:dyDescent="0.3">
      <c r="A2452" s="1">
        <v>45313</v>
      </c>
      <c r="B2452" s="1" t="str">
        <f>TEXT(Tabla1[[#This Row],[Fecha]],"MMMM")</f>
        <v>enero</v>
      </c>
      <c r="C2452" t="s">
        <v>2462</v>
      </c>
      <c r="D2452" t="s">
        <v>5013</v>
      </c>
      <c r="E2452" t="s">
        <v>5032</v>
      </c>
      <c r="F2452" t="s">
        <v>5040</v>
      </c>
      <c r="G2452" s="3">
        <v>5136.9399999999996</v>
      </c>
      <c r="H2452" s="3">
        <v>0</v>
      </c>
      <c r="I2452" s="3">
        <f>SUM(Tabla1[[#This Row],[Monto_Base]],H2452)</f>
        <v>5136.9399999999996</v>
      </c>
      <c r="J2452" t="s">
        <v>5044</v>
      </c>
      <c r="K2452" t="s">
        <v>5048</v>
      </c>
      <c r="L2452" t="s">
        <v>5053</v>
      </c>
      <c r="M2452" t="s">
        <v>5055</v>
      </c>
    </row>
    <row r="2453" spans="1:13" x14ac:dyDescent="0.3">
      <c r="A2453" s="1">
        <v>45655</v>
      </c>
      <c r="B2453" s="1" t="str">
        <f>TEXT(Tabla1[[#This Row],[Fecha]],"MMMM")</f>
        <v>diciembre</v>
      </c>
      <c r="C2453" t="s">
        <v>2463</v>
      </c>
      <c r="D2453" t="s">
        <v>5013</v>
      </c>
      <c r="E2453" t="s">
        <v>5032</v>
      </c>
      <c r="F2453" t="s">
        <v>5034</v>
      </c>
      <c r="G2453" s="3">
        <v>7772.85</v>
      </c>
      <c r="H2453" s="3">
        <v>0</v>
      </c>
      <c r="I2453" s="3">
        <f>SUM(Tabla1[[#This Row],[Monto_Base]],H2453)</f>
        <v>7772.85</v>
      </c>
      <c r="J2453" t="s">
        <v>5044</v>
      </c>
      <c r="K2453" t="s">
        <v>5048</v>
      </c>
      <c r="L2453" t="s">
        <v>5053</v>
      </c>
      <c r="M2453" t="s">
        <v>5055</v>
      </c>
    </row>
    <row r="2454" spans="1:13" x14ac:dyDescent="0.3">
      <c r="A2454" s="1">
        <v>45451</v>
      </c>
      <c r="B2454" s="1" t="str">
        <f>TEXT(Tabla1[[#This Row],[Fecha]],"MMMM")</f>
        <v>junio</v>
      </c>
      <c r="C2454" t="s">
        <v>2464</v>
      </c>
      <c r="D2454" t="s">
        <v>5016</v>
      </c>
      <c r="E2454" t="s">
        <v>5033</v>
      </c>
      <c r="F2454" t="s">
        <v>5036</v>
      </c>
      <c r="G2454" s="3">
        <v>14579.29</v>
      </c>
      <c r="H2454" s="3">
        <v>1895.31</v>
      </c>
      <c r="I2454" s="3">
        <f>SUM(Tabla1[[#This Row],[Monto_Base]],H2454)</f>
        <v>16474.600000000002</v>
      </c>
      <c r="J2454" t="s">
        <v>5045</v>
      </c>
      <c r="K2454" t="s">
        <v>5048</v>
      </c>
      <c r="L2454" t="s">
        <v>5050</v>
      </c>
      <c r="M2454" t="s">
        <v>5054</v>
      </c>
    </row>
    <row r="2455" spans="1:13" x14ac:dyDescent="0.3">
      <c r="A2455" s="1">
        <v>45393</v>
      </c>
      <c r="B2455" s="1" t="str">
        <f>TEXT(Tabla1[[#This Row],[Fecha]],"MMMM")</f>
        <v>abril</v>
      </c>
      <c r="C2455" t="s">
        <v>2465</v>
      </c>
      <c r="D2455" t="s">
        <v>5026</v>
      </c>
      <c r="E2455" t="s">
        <v>5033</v>
      </c>
      <c r="F2455" t="s">
        <v>5040</v>
      </c>
      <c r="G2455" s="3">
        <v>12769.93</v>
      </c>
      <c r="H2455" s="3">
        <v>1660.09</v>
      </c>
      <c r="I2455" s="3">
        <f>SUM(Tabla1[[#This Row],[Monto_Base]],H2455)</f>
        <v>14430.02</v>
      </c>
      <c r="J2455" t="s">
        <v>5043</v>
      </c>
      <c r="K2455" t="s">
        <v>5049</v>
      </c>
      <c r="L2455" t="s">
        <v>5050</v>
      </c>
      <c r="M2455" t="s">
        <v>5054</v>
      </c>
    </row>
    <row r="2456" spans="1:13" x14ac:dyDescent="0.3">
      <c r="A2456" s="1">
        <v>45516</v>
      </c>
      <c r="B2456" s="1" t="str">
        <f>TEXT(Tabla1[[#This Row],[Fecha]],"MMMM")</f>
        <v>agosto</v>
      </c>
      <c r="C2456" t="s">
        <v>2466</v>
      </c>
      <c r="D2456" t="s">
        <v>5019</v>
      </c>
      <c r="E2456" t="s">
        <v>5033</v>
      </c>
      <c r="F2456" t="s">
        <v>5035</v>
      </c>
      <c r="G2456" s="3">
        <v>8762.5499999999993</v>
      </c>
      <c r="H2456" s="3">
        <v>1139.1300000000001</v>
      </c>
      <c r="I2456" s="3">
        <f>SUM(Tabla1[[#This Row],[Monto_Base]],H2456)</f>
        <v>9901.68</v>
      </c>
      <c r="J2456" t="s">
        <v>5043</v>
      </c>
      <c r="K2456" t="s">
        <v>5049</v>
      </c>
      <c r="L2456" t="s">
        <v>5050</v>
      </c>
      <c r="M2456" t="s">
        <v>5054</v>
      </c>
    </row>
    <row r="2457" spans="1:13" x14ac:dyDescent="0.3">
      <c r="A2457" s="1">
        <v>45554</v>
      </c>
      <c r="B2457" s="1" t="str">
        <f>TEXT(Tabla1[[#This Row],[Fecha]],"MMMM")</f>
        <v>septiembre</v>
      </c>
      <c r="C2457" t="s">
        <v>2467</v>
      </c>
      <c r="D2457" t="s">
        <v>5017</v>
      </c>
      <c r="E2457" t="s">
        <v>5032</v>
      </c>
      <c r="F2457" t="s">
        <v>5038</v>
      </c>
      <c r="G2457" s="3">
        <v>5389.55</v>
      </c>
      <c r="H2457" s="3">
        <v>0</v>
      </c>
      <c r="I2457" s="3">
        <f>SUM(Tabla1[[#This Row],[Monto_Base]],H2457)</f>
        <v>5389.55</v>
      </c>
      <c r="J2457" t="s">
        <v>5044</v>
      </c>
      <c r="K2457" t="s">
        <v>5048</v>
      </c>
      <c r="L2457" t="s">
        <v>5050</v>
      </c>
      <c r="M2457" t="s">
        <v>5055</v>
      </c>
    </row>
    <row r="2458" spans="1:13" x14ac:dyDescent="0.3">
      <c r="A2458" s="1">
        <v>45510</v>
      </c>
      <c r="B2458" s="1" t="str">
        <f>TEXT(Tabla1[[#This Row],[Fecha]],"MMMM")</f>
        <v>agosto</v>
      </c>
      <c r="C2458" t="s">
        <v>2468</v>
      </c>
      <c r="D2458" t="s">
        <v>5022</v>
      </c>
      <c r="E2458" t="s">
        <v>5033</v>
      </c>
      <c r="F2458" t="s">
        <v>5037</v>
      </c>
      <c r="G2458" s="3">
        <v>10898.16</v>
      </c>
      <c r="H2458" s="3">
        <v>1416.76</v>
      </c>
      <c r="I2458" s="3">
        <f>SUM(Tabla1[[#This Row],[Monto_Base]],H2458)</f>
        <v>12314.92</v>
      </c>
      <c r="J2458" t="s">
        <v>5044</v>
      </c>
      <c r="K2458" t="s">
        <v>5047</v>
      </c>
      <c r="L2458" t="s">
        <v>5053</v>
      </c>
      <c r="M2458" t="s">
        <v>5055</v>
      </c>
    </row>
    <row r="2459" spans="1:13" x14ac:dyDescent="0.3">
      <c r="A2459" s="1">
        <v>45547</v>
      </c>
      <c r="B2459" s="1" t="str">
        <f>TEXT(Tabla1[[#This Row],[Fecha]],"MMMM")</f>
        <v>septiembre</v>
      </c>
      <c r="C2459" t="s">
        <v>2469</v>
      </c>
      <c r="D2459" t="s">
        <v>5026</v>
      </c>
      <c r="E2459" t="s">
        <v>5032</v>
      </c>
      <c r="F2459" t="s">
        <v>5041</v>
      </c>
      <c r="G2459" s="3">
        <v>3318.52</v>
      </c>
      <c r="H2459" s="3">
        <v>0</v>
      </c>
      <c r="I2459" s="3">
        <f>SUM(Tabla1[[#This Row],[Monto_Base]],H2459)</f>
        <v>3318.52</v>
      </c>
      <c r="J2459" t="s">
        <v>5042</v>
      </c>
      <c r="K2459" t="s">
        <v>5049</v>
      </c>
      <c r="L2459" t="s">
        <v>5052</v>
      </c>
      <c r="M2459" t="s">
        <v>5054</v>
      </c>
    </row>
    <row r="2460" spans="1:13" x14ac:dyDescent="0.3">
      <c r="A2460" s="1">
        <v>45374</v>
      </c>
      <c r="B2460" s="1" t="str">
        <f>TEXT(Tabla1[[#This Row],[Fecha]],"MMMM")</f>
        <v>marzo</v>
      </c>
      <c r="C2460" t="s">
        <v>2470</v>
      </c>
      <c r="D2460" t="s">
        <v>5014</v>
      </c>
      <c r="E2460" t="s">
        <v>5032</v>
      </c>
      <c r="F2460" t="s">
        <v>5040</v>
      </c>
      <c r="G2460" s="3">
        <v>6822.44</v>
      </c>
      <c r="H2460" s="3">
        <v>0</v>
      </c>
      <c r="I2460" s="3">
        <f>SUM(Tabla1[[#This Row],[Monto_Base]],H2460)</f>
        <v>6822.44</v>
      </c>
      <c r="J2460" t="s">
        <v>5042</v>
      </c>
      <c r="K2460" t="s">
        <v>5049</v>
      </c>
      <c r="L2460" t="s">
        <v>5052</v>
      </c>
      <c r="M2460" t="s">
        <v>5055</v>
      </c>
    </row>
    <row r="2461" spans="1:13" x14ac:dyDescent="0.3">
      <c r="A2461" s="1">
        <v>45361</v>
      </c>
      <c r="B2461" s="1" t="str">
        <f>TEXT(Tabla1[[#This Row],[Fecha]],"MMMM")</f>
        <v>marzo</v>
      </c>
      <c r="C2461" t="s">
        <v>2471</v>
      </c>
      <c r="D2461" t="s">
        <v>5013</v>
      </c>
      <c r="E2461" t="s">
        <v>5032</v>
      </c>
      <c r="F2461" t="s">
        <v>5034</v>
      </c>
      <c r="G2461" s="3">
        <v>10674.52</v>
      </c>
      <c r="H2461" s="3">
        <v>0</v>
      </c>
      <c r="I2461" s="3">
        <f>SUM(Tabla1[[#This Row],[Monto_Base]],H2461)</f>
        <v>10674.52</v>
      </c>
      <c r="J2461" t="s">
        <v>5042</v>
      </c>
      <c r="K2461" t="s">
        <v>5047</v>
      </c>
      <c r="L2461" t="s">
        <v>5051</v>
      </c>
      <c r="M2461" t="s">
        <v>5055</v>
      </c>
    </row>
    <row r="2462" spans="1:13" x14ac:dyDescent="0.3">
      <c r="A2462" s="1">
        <v>45338</v>
      </c>
      <c r="B2462" s="1" t="str">
        <f>TEXT(Tabla1[[#This Row],[Fecha]],"MMMM")</f>
        <v>febrero</v>
      </c>
      <c r="C2462" t="s">
        <v>2472</v>
      </c>
      <c r="D2462" t="s">
        <v>5028</v>
      </c>
      <c r="E2462" t="s">
        <v>5033</v>
      </c>
      <c r="F2462" t="s">
        <v>5034</v>
      </c>
      <c r="G2462" s="3">
        <v>2667</v>
      </c>
      <c r="H2462" s="3">
        <v>346.71</v>
      </c>
      <c r="I2462" s="3">
        <f>SUM(Tabla1[[#This Row],[Monto_Base]],H2462)</f>
        <v>3013.71</v>
      </c>
      <c r="J2462" t="s">
        <v>5043</v>
      </c>
      <c r="K2462" t="s">
        <v>5049</v>
      </c>
      <c r="L2462" t="s">
        <v>5051</v>
      </c>
      <c r="M2462" t="s">
        <v>5054</v>
      </c>
    </row>
    <row r="2463" spans="1:13" x14ac:dyDescent="0.3">
      <c r="A2463" s="1">
        <v>45304</v>
      </c>
      <c r="B2463" s="1" t="str">
        <f>TEXT(Tabla1[[#This Row],[Fecha]],"MMMM")</f>
        <v>enero</v>
      </c>
      <c r="C2463" t="s">
        <v>2473</v>
      </c>
      <c r="D2463" t="s">
        <v>5029</v>
      </c>
      <c r="E2463" t="s">
        <v>5033</v>
      </c>
      <c r="F2463" t="s">
        <v>5037</v>
      </c>
      <c r="G2463" s="3">
        <v>11966.6</v>
      </c>
      <c r="H2463" s="3">
        <v>1555.66</v>
      </c>
      <c r="I2463" s="3">
        <f>SUM(Tabla1[[#This Row],[Monto_Base]],H2463)</f>
        <v>13522.26</v>
      </c>
      <c r="J2463" t="s">
        <v>5043</v>
      </c>
      <c r="K2463" t="s">
        <v>5047</v>
      </c>
      <c r="L2463" t="s">
        <v>5051</v>
      </c>
      <c r="M2463" t="s">
        <v>5055</v>
      </c>
    </row>
    <row r="2464" spans="1:13" x14ac:dyDescent="0.3">
      <c r="A2464" s="1">
        <v>45354</v>
      </c>
      <c r="B2464" s="1" t="str">
        <f>TEXT(Tabla1[[#This Row],[Fecha]],"MMMM")</f>
        <v>marzo</v>
      </c>
      <c r="C2464" t="s">
        <v>2474</v>
      </c>
      <c r="D2464" t="s">
        <v>5025</v>
      </c>
      <c r="E2464" t="s">
        <v>5032</v>
      </c>
      <c r="F2464" t="s">
        <v>5037</v>
      </c>
      <c r="G2464" s="3">
        <v>2691.46</v>
      </c>
      <c r="H2464" s="3">
        <v>0</v>
      </c>
      <c r="I2464" s="3">
        <f>SUM(Tabla1[[#This Row],[Monto_Base]],H2464)</f>
        <v>2691.46</v>
      </c>
      <c r="J2464" t="s">
        <v>5044</v>
      </c>
      <c r="K2464" t="s">
        <v>5049</v>
      </c>
      <c r="L2464" t="s">
        <v>5051</v>
      </c>
      <c r="M2464" t="s">
        <v>5055</v>
      </c>
    </row>
    <row r="2465" spans="1:13" x14ac:dyDescent="0.3">
      <c r="A2465" s="1">
        <v>45518</v>
      </c>
      <c r="B2465" s="1" t="str">
        <f>TEXT(Tabla1[[#This Row],[Fecha]],"MMMM")</f>
        <v>agosto</v>
      </c>
      <c r="C2465" t="s">
        <v>2475</v>
      </c>
      <c r="D2465" t="s">
        <v>5018</v>
      </c>
      <c r="E2465" t="s">
        <v>5032</v>
      </c>
      <c r="F2465" t="s">
        <v>5036</v>
      </c>
      <c r="G2465" s="3">
        <v>6399.19</v>
      </c>
      <c r="H2465" s="3">
        <v>0</v>
      </c>
      <c r="I2465" s="3">
        <f>SUM(Tabla1[[#This Row],[Monto_Base]],H2465)</f>
        <v>6399.19</v>
      </c>
      <c r="J2465" t="s">
        <v>5045</v>
      </c>
      <c r="K2465" t="s">
        <v>5048</v>
      </c>
      <c r="L2465" t="s">
        <v>5053</v>
      </c>
      <c r="M2465" t="s">
        <v>5054</v>
      </c>
    </row>
    <row r="2466" spans="1:13" x14ac:dyDescent="0.3">
      <c r="A2466" s="1">
        <v>45328</v>
      </c>
      <c r="B2466" s="1" t="str">
        <f>TEXT(Tabla1[[#This Row],[Fecha]],"MMMM")</f>
        <v>febrero</v>
      </c>
      <c r="C2466" t="s">
        <v>2476</v>
      </c>
      <c r="D2466" t="s">
        <v>5013</v>
      </c>
      <c r="E2466" t="s">
        <v>5033</v>
      </c>
      <c r="F2466" t="s">
        <v>5037</v>
      </c>
      <c r="G2466" s="3">
        <v>8489.93</v>
      </c>
      <c r="H2466" s="3">
        <v>1103.69</v>
      </c>
      <c r="I2466" s="3">
        <f>SUM(Tabla1[[#This Row],[Monto_Base]],H2466)</f>
        <v>9593.6200000000008</v>
      </c>
      <c r="J2466" t="s">
        <v>5044</v>
      </c>
      <c r="K2466" t="s">
        <v>5047</v>
      </c>
      <c r="L2466" t="s">
        <v>5052</v>
      </c>
      <c r="M2466" t="s">
        <v>5055</v>
      </c>
    </row>
    <row r="2467" spans="1:13" x14ac:dyDescent="0.3">
      <c r="A2467" s="1">
        <v>45422</v>
      </c>
      <c r="B2467" s="1" t="str">
        <f>TEXT(Tabla1[[#This Row],[Fecha]],"MMMM")</f>
        <v>mayo</v>
      </c>
      <c r="C2467" t="s">
        <v>2477</v>
      </c>
      <c r="D2467" t="s">
        <v>5025</v>
      </c>
      <c r="E2467" t="s">
        <v>5032</v>
      </c>
      <c r="F2467" t="s">
        <v>5035</v>
      </c>
      <c r="G2467" s="3">
        <v>10593.24</v>
      </c>
      <c r="H2467" s="3">
        <v>0</v>
      </c>
      <c r="I2467" s="3">
        <f>SUM(Tabla1[[#This Row],[Monto_Base]],H2467)</f>
        <v>10593.24</v>
      </c>
      <c r="J2467" t="s">
        <v>5042</v>
      </c>
      <c r="K2467" t="s">
        <v>5047</v>
      </c>
      <c r="L2467" t="s">
        <v>5050</v>
      </c>
      <c r="M2467" t="s">
        <v>5055</v>
      </c>
    </row>
    <row r="2468" spans="1:13" x14ac:dyDescent="0.3">
      <c r="A2468" s="1">
        <v>45439</v>
      </c>
      <c r="B2468" s="1" t="str">
        <f>TEXT(Tabla1[[#This Row],[Fecha]],"MMMM")</f>
        <v>mayo</v>
      </c>
      <c r="C2468" t="s">
        <v>2478</v>
      </c>
      <c r="D2468" t="s">
        <v>5022</v>
      </c>
      <c r="E2468" t="s">
        <v>5033</v>
      </c>
      <c r="F2468" t="s">
        <v>5039</v>
      </c>
      <c r="G2468" s="3">
        <v>8063.42</v>
      </c>
      <c r="H2468" s="3">
        <v>1048.24</v>
      </c>
      <c r="I2468" s="3">
        <f>SUM(Tabla1[[#This Row],[Monto_Base]],H2468)</f>
        <v>9111.66</v>
      </c>
      <c r="J2468" t="s">
        <v>5046</v>
      </c>
      <c r="K2468" t="s">
        <v>5047</v>
      </c>
      <c r="L2468" t="s">
        <v>5053</v>
      </c>
      <c r="M2468" t="s">
        <v>5054</v>
      </c>
    </row>
    <row r="2469" spans="1:13" x14ac:dyDescent="0.3">
      <c r="A2469" s="1">
        <v>45387</v>
      </c>
      <c r="B2469" s="1" t="str">
        <f>TEXT(Tabla1[[#This Row],[Fecha]],"MMMM")</f>
        <v>abril</v>
      </c>
      <c r="C2469" t="s">
        <v>2479</v>
      </c>
      <c r="D2469" t="s">
        <v>5020</v>
      </c>
      <c r="E2469" t="s">
        <v>5033</v>
      </c>
      <c r="F2469" t="s">
        <v>5037</v>
      </c>
      <c r="G2469" s="3">
        <v>10620.85</v>
      </c>
      <c r="H2469" s="3">
        <v>1380.71</v>
      </c>
      <c r="I2469" s="3">
        <f>SUM(Tabla1[[#This Row],[Monto_Base]],H2469)</f>
        <v>12001.560000000001</v>
      </c>
      <c r="J2469" t="s">
        <v>5045</v>
      </c>
      <c r="K2469" t="s">
        <v>5049</v>
      </c>
      <c r="L2469" t="s">
        <v>5052</v>
      </c>
      <c r="M2469" t="s">
        <v>5055</v>
      </c>
    </row>
    <row r="2470" spans="1:13" x14ac:dyDescent="0.3">
      <c r="A2470" s="1">
        <v>45485</v>
      </c>
      <c r="B2470" s="1" t="str">
        <f>TEXT(Tabla1[[#This Row],[Fecha]],"MMMM")</f>
        <v>julio</v>
      </c>
      <c r="C2470" t="s">
        <v>2480</v>
      </c>
      <c r="D2470" t="s">
        <v>5025</v>
      </c>
      <c r="E2470" t="s">
        <v>5032</v>
      </c>
      <c r="F2470" t="s">
        <v>5036</v>
      </c>
      <c r="G2470" s="3">
        <v>9016.76</v>
      </c>
      <c r="H2470" s="3">
        <v>0</v>
      </c>
      <c r="I2470" s="3">
        <f>SUM(Tabla1[[#This Row],[Monto_Base]],H2470)</f>
        <v>9016.76</v>
      </c>
      <c r="J2470" t="s">
        <v>5043</v>
      </c>
      <c r="K2470" t="s">
        <v>5048</v>
      </c>
      <c r="L2470" t="s">
        <v>5050</v>
      </c>
      <c r="M2470" t="s">
        <v>5054</v>
      </c>
    </row>
    <row r="2471" spans="1:13" x14ac:dyDescent="0.3">
      <c r="A2471" s="1">
        <v>45434</v>
      </c>
      <c r="B2471" s="1" t="str">
        <f>TEXT(Tabla1[[#This Row],[Fecha]],"MMMM")</f>
        <v>mayo</v>
      </c>
      <c r="C2471" t="s">
        <v>2481</v>
      </c>
      <c r="D2471" t="s">
        <v>5026</v>
      </c>
      <c r="E2471" t="s">
        <v>5032</v>
      </c>
      <c r="F2471" t="s">
        <v>5037</v>
      </c>
      <c r="G2471" s="3">
        <v>13733.3</v>
      </c>
      <c r="H2471" s="3">
        <v>0</v>
      </c>
      <c r="I2471" s="3">
        <f>SUM(Tabla1[[#This Row],[Monto_Base]],H2471)</f>
        <v>13733.3</v>
      </c>
      <c r="J2471" t="s">
        <v>5046</v>
      </c>
      <c r="K2471" t="s">
        <v>5047</v>
      </c>
      <c r="L2471" t="s">
        <v>5052</v>
      </c>
      <c r="M2471" t="s">
        <v>5054</v>
      </c>
    </row>
    <row r="2472" spans="1:13" x14ac:dyDescent="0.3">
      <c r="A2472" s="1">
        <v>45398</v>
      </c>
      <c r="B2472" s="1" t="str">
        <f>TEXT(Tabla1[[#This Row],[Fecha]],"MMMM")</f>
        <v>abril</v>
      </c>
      <c r="C2472" t="s">
        <v>2482</v>
      </c>
      <c r="D2472" t="s">
        <v>5017</v>
      </c>
      <c r="E2472" t="s">
        <v>5032</v>
      </c>
      <c r="F2472" t="s">
        <v>5035</v>
      </c>
      <c r="G2472" s="3">
        <v>1131.94</v>
      </c>
      <c r="H2472" s="3">
        <v>0</v>
      </c>
      <c r="I2472" s="3">
        <f>SUM(Tabla1[[#This Row],[Monto_Base]],H2472)</f>
        <v>1131.94</v>
      </c>
      <c r="J2472" t="s">
        <v>5043</v>
      </c>
      <c r="K2472" t="s">
        <v>5048</v>
      </c>
      <c r="L2472" t="s">
        <v>5052</v>
      </c>
      <c r="M2472" t="s">
        <v>5055</v>
      </c>
    </row>
    <row r="2473" spans="1:13" x14ac:dyDescent="0.3">
      <c r="A2473" s="1">
        <v>45523</v>
      </c>
      <c r="B2473" s="1" t="str">
        <f>TEXT(Tabla1[[#This Row],[Fecha]],"MMMM")</f>
        <v>agosto</v>
      </c>
      <c r="C2473" t="s">
        <v>2483</v>
      </c>
      <c r="D2473" t="s">
        <v>5020</v>
      </c>
      <c r="E2473" t="s">
        <v>5033</v>
      </c>
      <c r="F2473" t="s">
        <v>5036</v>
      </c>
      <c r="G2473" s="3">
        <v>7141.58</v>
      </c>
      <c r="H2473" s="3">
        <v>928.41</v>
      </c>
      <c r="I2473" s="3">
        <f>SUM(Tabla1[[#This Row],[Monto_Base]],H2473)</f>
        <v>8069.99</v>
      </c>
      <c r="J2473" t="s">
        <v>5042</v>
      </c>
      <c r="K2473" t="s">
        <v>5047</v>
      </c>
      <c r="L2473" t="s">
        <v>5051</v>
      </c>
      <c r="M2473" t="s">
        <v>5054</v>
      </c>
    </row>
    <row r="2474" spans="1:13" x14ac:dyDescent="0.3">
      <c r="A2474" s="1">
        <v>45305</v>
      </c>
      <c r="B2474" s="1" t="str">
        <f>TEXT(Tabla1[[#This Row],[Fecha]],"MMMM")</f>
        <v>enero</v>
      </c>
      <c r="C2474" t="s">
        <v>2484</v>
      </c>
      <c r="D2474" t="s">
        <v>5029</v>
      </c>
      <c r="E2474" t="s">
        <v>5032</v>
      </c>
      <c r="F2474" t="s">
        <v>5036</v>
      </c>
      <c r="G2474" s="3">
        <v>4151.5</v>
      </c>
      <c r="H2474" s="3">
        <v>0</v>
      </c>
      <c r="I2474" s="3">
        <f>SUM(Tabla1[[#This Row],[Monto_Base]],H2474)</f>
        <v>4151.5</v>
      </c>
      <c r="J2474" t="s">
        <v>5042</v>
      </c>
      <c r="K2474" t="s">
        <v>5047</v>
      </c>
      <c r="L2474" t="s">
        <v>5052</v>
      </c>
      <c r="M2474" t="s">
        <v>5054</v>
      </c>
    </row>
    <row r="2475" spans="1:13" x14ac:dyDescent="0.3">
      <c r="A2475" s="1">
        <v>45476</v>
      </c>
      <c r="B2475" s="1" t="str">
        <f>TEXT(Tabla1[[#This Row],[Fecha]],"MMMM")</f>
        <v>julio</v>
      </c>
      <c r="C2475" t="s">
        <v>2485</v>
      </c>
      <c r="D2475" t="s">
        <v>5030</v>
      </c>
      <c r="E2475" t="s">
        <v>5032</v>
      </c>
      <c r="F2475" t="s">
        <v>5038</v>
      </c>
      <c r="G2475" s="3">
        <v>12779.42</v>
      </c>
      <c r="H2475" s="3">
        <v>0</v>
      </c>
      <c r="I2475" s="3">
        <f>SUM(Tabla1[[#This Row],[Monto_Base]],H2475)</f>
        <v>12779.42</v>
      </c>
      <c r="J2475" t="s">
        <v>5043</v>
      </c>
      <c r="K2475" t="s">
        <v>5048</v>
      </c>
      <c r="L2475" t="s">
        <v>5052</v>
      </c>
      <c r="M2475" t="s">
        <v>5055</v>
      </c>
    </row>
    <row r="2476" spans="1:13" x14ac:dyDescent="0.3">
      <c r="A2476" s="1">
        <v>45357</v>
      </c>
      <c r="B2476" s="1" t="str">
        <f>TEXT(Tabla1[[#This Row],[Fecha]],"MMMM")</f>
        <v>marzo</v>
      </c>
      <c r="C2476" t="s">
        <v>2486</v>
      </c>
      <c r="D2476" t="s">
        <v>5013</v>
      </c>
      <c r="E2476" t="s">
        <v>5032</v>
      </c>
      <c r="F2476" t="s">
        <v>5034</v>
      </c>
      <c r="G2476" s="3">
        <v>7369.76</v>
      </c>
      <c r="H2476" s="3">
        <v>0</v>
      </c>
      <c r="I2476" s="3">
        <f>SUM(Tabla1[[#This Row],[Monto_Base]],H2476)</f>
        <v>7369.76</v>
      </c>
      <c r="J2476" t="s">
        <v>5043</v>
      </c>
      <c r="K2476" t="s">
        <v>5047</v>
      </c>
      <c r="L2476" t="s">
        <v>5053</v>
      </c>
      <c r="M2476" t="s">
        <v>5055</v>
      </c>
    </row>
    <row r="2477" spans="1:13" x14ac:dyDescent="0.3">
      <c r="A2477" s="1">
        <v>45372</v>
      </c>
      <c r="B2477" s="1" t="str">
        <f>TEXT(Tabla1[[#This Row],[Fecha]],"MMMM")</f>
        <v>marzo</v>
      </c>
      <c r="C2477" t="s">
        <v>2487</v>
      </c>
      <c r="D2477" t="s">
        <v>5014</v>
      </c>
      <c r="E2477" t="s">
        <v>5032</v>
      </c>
      <c r="F2477" t="s">
        <v>5040</v>
      </c>
      <c r="G2477" s="3">
        <v>8760.59</v>
      </c>
      <c r="H2477" s="3">
        <v>0</v>
      </c>
      <c r="I2477" s="3">
        <f>SUM(Tabla1[[#This Row],[Monto_Base]],H2477)</f>
        <v>8760.59</v>
      </c>
      <c r="J2477" t="s">
        <v>5046</v>
      </c>
      <c r="K2477" t="s">
        <v>5048</v>
      </c>
      <c r="L2477" t="s">
        <v>5050</v>
      </c>
      <c r="M2477" t="s">
        <v>5055</v>
      </c>
    </row>
    <row r="2478" spans="1:13" x14ac:dyDescent="0.3">
      <c r="A2478" s="1">
        <v>45572</v>
      </c>
      <c r="B2478" s="1" t="str">
        <f>TEXT(Tabla1[[#This Row],[Fecha]],"MMMM")</f>
        <v>octubre</v>
      </c>
      <c r="C2478" t="s">
        <v>2488</v>
      </c>
      <c r="D2478" t="s">
        <v>5030</v>
      </c>
      <c r="E2478" t="s">
        <v>5032</v>
      </c>
      <c r="F2478" t="s">
        <v>5035</v>
      </c>
      <c r="G2478" s="3">
        <v>443.57</v>
      </c>
      <c r="H2478" s="3">
        <v>0</v>
      </c>
      <c r="I2478" s="3">
        <f>SUM(Tabla1[[#This Row],[Monto_Base]],H2478)</f>
        <v>443.57</v>
      </c>
      <c r="J2478" t="s">
        <v>5044</v>
      </c>
      <c r="K2478" t="s">
        <v>5047</v>
      </c>
      <c r="L2478" t="s">
        <v>5052</v>
      </c>
      <c r="M2478" t="s">
        <v>5055</v>
      </c>
    </row>
    <row r="2479" spans="1:13" x14ac:dyDescent="0.3">
      <c r="A2479" s="1">
        <v>45641</v>
      </c>
      <c r="B2479" s="1" t="str">
        <f>TEXT(Tabla1[[#This Row],[Fecha]],"MMMM")</f>
        <v>diciembre</v>
      </c>
      <c r="C2479" t="s">
        <v>2489</v>
      </c>
      <c r="D2479" t="s">
        <v>5030</v>
      </c>
      <c r="E2479" t="s">
        <v>5033</v>
      </c>
      <c r="F2479" t="s">
        <v>5038</v>
      </c>
      <c r="G2479" s="3">
        <v>11703.34</v>
      </c>
      <c r="H2479" s="3">
        <v>1521.43</v>
      </c>
      <c r="I2479" s="3">
        <f>SUM(Tabla1[[#This Row],[Monto_Base]],H2479)</f>
        <v>13224.77</v>
      </c>
      <c r="J2479" t="s">
        <v>5044</v>
      </c>
      <c r="K2479" t="s">
        <v>5049</v>
      </c>
      <c r="L2479" t="s">
        <v>5050</v>
      </c>
      <c r="M2479" t="s">
        <v>5055</v>
      </c>
    </row>
    <row r="2480" spans="1:13" x14ac:dyDescent="0.3">
      <c r="A2480" s="1">
        <v>45415</v>
      </c>
      <c r="B2480" s="1" t="str">
        <f>TEXT(Tabla1[[#This Row],[Fecha]],"MMMM")</f>
        <v>mayo</v>
      </c>
      <c r="C2480" t="s">
        <v>2490</v>
      </c>
      <c r="D2480" t="s">
        <v>5026</v>
      </c>
      <c r="E2480" t="s">
        <v>5033</v>
      </c>
      <c r="F2480" t="s">
        <v>5035</v>
      </c>
      <c r="G2480" s="3">
        <v>4545.32</v>
      </c>
      <c r="H2480" s="3">
        <v>590.89</v>
      </c>
      <c r="I2480" s="3">
        <f>SUM(Tabla1[[#This Row],[Monto_Base]],H2480)</f>
        <v>5136.21</v>
      </c>
      <c r="J2480" t="s">
        <v>5046</v>
      </c>
      <c r="K2480" t="s">
        <v>5047</v>
      </c>
      <c r="L2480" t="s">
        <v>5051</v>
      </c>
      <c r="M2480" t="s">
        <v>5055</v>
      </c>
    </row>
    <row r="2481" spans="1:13" x14ac:dyDescent="0.3">
      <c r="A2481" s="1">
        <v>45441</v>
      </c>
      <c r="B2481" s="1" t="str">
        <f>TEXT(Tabla1[[#This Row],[Fecha]],"MMMM")</f>
        <v>mayo</v>
      </c>
      <c r="C2481" t="s">
        <v>2491</v>
      </c>
      <c r="D2481" t="s">
        <v>5019</v>
      </c>
      <c r="E2481" t="s">
        <v>5033</v>
      </c>
      <c r="F2481" t="s">
        <v>5040</v>
      </c>
      <c r="G2481" s="3">
        <v>10315.23</v>
      </c>
      <c r="H2481" s="3">
        <v>1340.98</v>
      </c>
      <c r="I2481" s="3">
        <f>SUM(Tabla1[[#This Row],[Monto_Base]],H2481)</f>
        <v>11656.21</v>
      </c>
      <c r="J2481" t="s">
        <v>5042</v>
      </c>
      <c r="K2481" t="s">
        <v>5047</v>
      </c>
      <c r="L2481" t="s">
        <v>5052</v>
      </c>
      <c r="M2481" t="s">
        <v>5055</v>
      </c>
    </row>
    <row r="2482" spans="1:13" x14ac:dyDescent="0.3">
      <c r="A2482" s="1">
        <v>45530</v>
      </c>
      <c r="B2482" s="1" t="str">
        <f>TEXT(Tabla1[[#This Row],[Fecha]],"MMMM")</f>
        <v>agosto</v>
      </c>
      <c r="C2482" t="s">
        <v>2492</v>
      </c>
      <c r="D2482" t="s">
        <v>5013</v>
      </c>
      <c r="E2482" t="s">
        <v>5032</v>
      </c>
      <c r="F2482" t="s">
        <v>5041</v>
      </c>
      <c r="G2482" s="3">
        <v>7913.45</v>
      </c>
      <c r="H2482" s="3">
        <v>0</v>
      </c>
      <c r="I2482" s="3">
        <f>SUM(Tabla1[[#This Row],[Monto_Base]],H2482)</f>
        <v>7913.45</v>
      </c>
      <c r="J2482" t="s">
        <v>5042</v>
      </c>
      <c r="K2482" t="s">
        <v>5048</v>
      </c>
      <c r="L2482" t="s">
        <v>5052</v>
      </c>
      <c r="M2482" t="s">
        <v>5054</v>
      </c>
    </row>
    <row r="2483" spans="1:13" x14ac:dyDescent="0.3">
      <c r="A2483" s="1">
        <v>45438</v>
      </c>
      <c r="B2483" s="1" t="str">
        <f>TEXT(Tabla1[[#This Row],[Fecha]],"MMMM")</f>
        <v>mayo</v>
      </c>
      <c r="C2483" t="s">
        <v>2493</v>
      </c>
      <c r="D2483" t="s">
        <v>5012</v>
      </c>
      <c r="E2483" t="s">
        <v>5032</v>
      </c>
      <c r="F2483" t="s">
        <v>5035</v>
      </c>
      <c r="G2483" s="3">
        <v>8768.2900000000009</v>
      </c>
      <c r="H2483" s="3">
        <v>0</v>
      </c>
      <c r="I2483" s="3">
        <f>SUM(Tabla1[[#This Row],[Monto_Base]],H2483)</f>
        <v>8768.2900000000009</v>
      </c>
      <c r="J2483" t="s">
        <v>5046</v>
      </c>
      <c r="K2483" t="s">
        <v>5048</v>
      </c>
      <c r="L2483" t="s">
        <v>5050</v>
      </c>
      <c r="M2483" t="s">
        <v>5055</v>
      </c>
    </row>
    <row r="2484" spans="1:13" x14ac:dyDescent="0.3">
      <c r="A2484" s="1">
        <v>45483</v>
      </c>
      <c r="B2484" s="1" t="str">
        <f>TEXT(Tabla1[[#This Row],[Fecha]],"MMMM")</f>
        <v>julio</v>
      </c>
      <c r="C2484" t="s">
        <v>2494</v>
      </c>
      <c r="D2484" t="s">
        <v>5030</v>
      </c>
      <c r="E2484" t="s">
        <v>5033</v>
      </c>
      <c r="F2484" t="s">
        <v>5035</v>
      </c>
      <c r="G2484" s="3">
        <v>10490.56</v>
      </c>
      <c r="H2484" s="3">
        <v>1363.77</v>
      </c>
      <c r="I2484" s="3">
        <f>SUM(Tabla1[[#This Row],[Monto_Base]],H2484)</f>
        <v>11854.33</v>
      </c>
      <c r="J2484" t="s">
        <v>5042</v>
      </c>
      <c r="K2484" t="s">
        <v>5047</v>
      </c>
      <c r="L2484" t="s">
        <v>5053</v>
      </c>
      <c r="M2484" t="s">
        <v>5054</v>
      </c>
    </row>
    <row r="2485" spans="1:13" x14ac:dyDescent="0.3">
      <c r="A2485" s="1">
        <v>45335</v>
      </c>
      <c r="B2485" s="1" t="str">
        <f>TEXT(Tabla1[[#This Row],[Fecha]],"MMMM")</f>
        <v>febrero</v>
      </c>
      <c r="C2485" t="s">
        <v>2495</v>
      </c>
      <c r="D2485" t="s">
        <v>5024</v>
      </c>
      <c r="E2485" t="s">
        <v>5033</v>
      </c>
      <c r="F2485" t="s">
        <v>5038</v>
      </c>
      <c r="G2485" s="3">
        <v>3131.65</v>
      </c>
      <c r="H2485" s="3">
        <v>407.11</v>
      </c>
      <c r="I2485" s="3">
        <f>SUM(Tabla1[[#This Row],[Monto_Base]],H2485)</f>
        <v>3538.76</v>
      </c>
      <c r="J2485" t="s">
        <v>5044</v>
      </c>
      <c r="K2485" t="s">
        <v>5047</v>
      </c>
      <c r="L2485" t="s">
        <v>5053</v>
      </c>
      <c r="M2485" t="s">
        <v>5055</v>
      </c>
    </row>
    <row r="2486" spans="1:13" x14ac:dyDescent="0.3">
      <c r="A2486" s="1">
        <v>45345</v>
      </c>
      <c r="B2486" s="1" t="str">
        <f>TEXT(Tabla1[[#This Row],[Fecha]],"MMMM")</f>
        <v>febrero</v>
      </c>
      <c r="C2486" t="s">
        <v>2496</v>
      </c>
      <c r="D2486" t="s">
        <v>5027</v>
      </c>
      <c r="E2486" t="s">
        <v>5032</v>
      </c>
      <c r="F2486" t="s">
        <v>5037</v>
      </c>
      <c r="G2486" s="3">
        <v>2603.91</v>
      </c>
      <c r="H2486" s="3">
        <v>0</v>
      </c>
      <c r="I2486" s="3">
        <f>SUM(Tabla1[[#This Row],[Monto_Base]],H2486)</f>
        <v>2603.91</v>
      </c>
      <c r="J2486" t="s">
        <v>5045</v>
      </c>
      <c r="K2486" t="s">
        <v>5048</v>
      </c>
      <c r="L2486" t="s">
        <v>5053</v>
      </c>
      <c r="M2486" t="s">
        <v>5055</v>
      </c>
    </row>
    <row r="2487" spans="1:13" x14ac:dyDescent="0.3">
      <c r="A2487" s="1">
        <v>45357</v>
      </c>
      <c r="B2487" s="1" t="str">
        <f>TEXT(Tabla1[[#This Row],[Fecha]],"MMMM")</f>
        <v>marzo</v>
      </c>
      <c r="C2487" t="s">
        <v>2497</v>
      </c>
      <c r="D2487" t="s">
        <v>5012</v>
      </c>
      <c r="E2487" t="s">
        <v>5032</v>
      </c>
      <c r="F2487" t="s">
        <v>5040</v>
      </c>
      <c r="G2487" s="3">
        <v>6377.51</v>
      </c>
      <c r="H2487" s="3">
        <v>0</v>
      </c>
      <c r="I2487" s="3">
        <f>SUM(Tabla1[[#This Row],[Monto_Base]],H2487)</f>
        <v>6377.51</v>
      </c>
      <c r="J2487" t="s">
        <v>5044</v>
      </c>
      <c r="K2487" t="s">
        <v>5048</v>
      </c>
      <c r="L2487" t="s">
        <v>5053</v>
      </c>
      <c r="M2487" t="s">
        <v>5055</v>
      </c>
    </row>
    <row r="2488" spans="1:13" x14ac:dyDescent="0.3">
      <c r="A2488" s="1">
        <v>45328</v>
      </c>
      <c r="B2488" s="1" t="str">
        <f>TEXT(Tabla1[[#This Row],[Fecha]],"MMMM")</f>
        <v>febrero</v>
      </c>
      <c r="C2488" t="s">
        <v>2498</v>
      </c>
      <c r="D2488" t="s">
        <v>5026</v>
      </c>
      <c r="E2488" t="s">
        <v>5032</v>
      </c>
      <c r="F2488" t="s">
        <v>5034</v>
      </c>
      <c r="G2488" s="3">
        <v>3703.65</v>
      </c>
      <c r="H2488" s="3">
        <v>0</v>
      </c>
      <c r="I2488" s="3">
        <f>SUM(Tabla1[[#This Row],[Monto_Base]],H2488)</f>
        <v>3703.65</v>
      </c>
      <c r="J2488" t="s">
        <v>5044</v>
      </c>
      <c r="K2488" t="s">
        <v>5048</v>
      </c>
      <c r="L2488" t="s">
        <v>5052</v>
      </c>
      <c r="M2488" t="s">
        <v>5054</v>
      </c>
    </row>
    <row r="2489" spans="1:13" x14ac:dyDescent="0.3">
      <c r="A2489" s="1">
        <v>45319</v>
      </c>
      <c r="B2489" s="1" t="str">
        <f>TEXT(Tabla1[[#This Row],[Fecha]],"MMMM")</f>
        <v>enero</v>
      </c>
      <c r="C2489" t="s">
        <v>2499</v>
      </c>
      <c r="D2489" t="s">
        <v>5027</v>
      </c>
      <c r="E2489" t="s">
        <v>5033</v>
      </c>
      <c r="F2489" t="s">
        <v>5035</v>
      </c>
      <c r="G2489" s="3">
        <v>2811.06</v>
      </c>
      <c r="H2489" s="3">
        <v>365.44</v>
      </c>
      <c r="I2489" s="3">
        <f>SUM(Tabla1[[#This Row],[Monto_Base]],H2489)</f>
        <v>3176.5</v>
      </c>
      <c r="J2489" t="s">
        <v>5046</v>
      </c>
      <c r="K2489" t="s">
        <v>5049</v>
      </c>
      <c r="L2489" t="s">
        <v>5050</v>
      </c>
      <c r="M2489" t="s">
        <v>5055</v>
      </c>
    </row>
    <row r="2490" spans="1:13" x14ac:dyDescent="0.3">
      <c r="A2490" s="1">
        <v>45340</v>
      </c>
      <c r="B2490" s="1" t="str">
        <f>TEXT(Tabla1[[#This Row],[Fecha]],"MMMM")</f>
        <v>febrero</v>
      </c>
      <c r="C2490" t="s">
        <v>2500</v>
      </c>
      <c r="D2490" t="s">
        <v>5022</v>
      </c>
      <c r="E2490" t="s">
        <v>5032</v>
      </c>
      <c r="F2490" t="s">
        <v>5039</v>
      </c>
      <c r="G2490" s="3">
        <v>2564.59</v>
      </c>
      <c r="H2490" s="3">
        <v>0</v>
      </c>
      <c r="I2490" s="3">
        <f>SUM(Tabla1[[#This Row],[Monto_Base]],H2490)</f>
        <v>2564.59</v>
      </c>
      <c r="J2490" t="s">
        <v>5045</v>
      </c>
      <c r="K2490" t="s">
        <v>5048</v>
      </c>
      <c r="L2490" t="s">
        <v>5052</v>
      </c>
      <c r="M2490" t="s">
        <v>5054</v>
      </c>
    </row>
    <row r="2491" spans="1:13" x14ac:dyDescent="0.3">
      <c r="A2491" s="1">
        <v>45330</v>
      </c>
      <c r="B2491" s="1" t="str">
        <f>TEXT(Tabla1[[#This Row],[Fecha]],"MMMM")</f>
        <v>febrero</v>
      </c>
      <c r="C2491" t="s">
        <v>2501</v>
      </c>
      <c r="D2491" t="s">
        <v>5019</v>
      </c>
      <c r="E2491" t="s">
        <v>5032</v>
      </c>
      <c r="F2491" t="s">
        <v>5035</v>
      </c>
      <c r="G2491" s="3">
        <v>1591.3</v>
      </c>
      <c r="H2491" s="3">
        <v>0</v>
      </c>
      <c r="I2491" s="3">
        <f>SUM(Tabla1[[#This Row],[Monto_Base]],H2491)</f>
        <v>1591.3</v>
      </c>
      <c r="J2491" t="s">
        <v>5044</v>
      </c>
      <c r="K2491" t="s">
        <v>5048</v>
      </c>
      <c r="L2491" t="s">
        <v>5052</v>
      </c>
      <c r="M2491" t="s">
        <v>5054</v>
      </c>
    </row>
    <row r="2492" spans="1:13" x14ac:dyDescent="0.3">
      <c r="A2492" s="1">
        <v>45557</v>
      </c>
      <c r="B2492" s="1" t="str">
        <f>TEXT(Tabla1[[#This Row],[Fecha]],"MMMM")</f>
        <v>septiembre</v>
      </c>
      <c r="C2492" t="s">
        <v>2502</v>
      </c>
      <c r="D2492" t="s">
        <v>5027</v>
      </c>
      <c r="E2492" t="s">
        <v>5032</v>
      </c>
      <c r="F2492" t="s">
        <v>5034</v>
      </c>
      <c r="G2492" s="3">
        <v>3126.81</v>
      </c>
      <c r="H2492" s="3">
        <v>0</v>
      </c>
      <c r="I2492" s="3">
        <f>SUM(Tabla1[[#This Row],[Monto_Base]],H2492)</f>
        <v>3126.81</v>
      </c>
      <c r="J2492" t="s">
        <v>5046</v>
      </c>
      <c r="K2492" t="s">
        <v>5047</v>
      </c>
      <c r="L2492" t="s">
        <v>5052</v>
      </c>
      <c r="M2492" t="s">
        <v>5054</v>
      </c>
    </row>
    <row r="2493" spans="1:13" x14ac:dyDescent="0.3">
      <c r="A2493" s="1">
        <v>45592</v>
      </c>
      <c r="B2493" s="1" t="str">
        <f>TEXT(Tabla1[[#This Row],[Fecha]],"MMMM")</f>
        <v>octubre</v>
      </c>
      <c r="C2493" t="s">
        <v>2503</v>
      </c>
      <c r="D2493" t="s">
        <v>5022</v>
      </c>
      <c r="E2493" t="s">
        <v>5033</v>
      </c>
      <c r="F2493" t="s">
        <v>5040</v>
      </c>
      <c r="G2493" s="3">
        <v>3520</v>
      </c>
      <c r="H2493" s="3">
        <v>457.6</v>
      </c>
      <c r="I2493" s="3">
        <f>SUM(Tabla1[[#This Row],[Monto_Base]],H2493)</f>
        <v>3977.6</v>
      </c>
      <c r="J2493" t="s">
        <v>5046</v>
      </c>
      <c r="K2493" t="s">
        <v>5047</v>
      </c>
      <c r="L2493" t="s">
        <v>5052</v>
      </c>
      <c r="M2493" t="s">
        <v>5054</v>
      </c>
    </row>
    <row r="2494" spans="1:13" x14ac:dyDescent="0.3">
      <c r="A2494" s="1">
        <v>45631</v>
      </c>
      <c r="B2494" s="1" t="str">
        <f>TEXT(Tabla1[[#This Row],[Fecha]],"MMMM")</f>
        <v>diciembre</v>
      </c>
      <c r="C2494" t="s">
        <v>2504</v>
      </c>
      <c r="D2494" t="s">
        <v>5019</v>
      </c>
      <c r="E2494" t="s">
        <v>5033</v>
      </c>
      <c r="F2494" t="s">
        <v>5035</v>
      </c>
      <c r="G2494" s="3">
        <v>1479.31</v>
      </c>
      <c r="H2494" s="3">
        <v>192.31</v>
      </c>
      <c r="I2494" s="3">
        <f>SUM(Tabla1[[#This Row],[Monto_Base]],H2494)</f>
        <v>1671.62</v>
      </c>
      <c r="J2494" t="s">
        <v>5042</v>
      </c>
      <c r="K2494" t="s">
        <v>5047</v>
      </c>
      <c r="L2494" t="s">
        <v>5053</v>
      </c>
      <c r="M2494" t="s">
        <v>5054</v>
      </c>
    </row>
    <row r="2495" spans="1:13" x14ac:dyDescent="0.3">
      <c r="A2495" s="1">
        <v>45343</v>
      </c>
      <c r="B2495" s="1" t="str">
        <f>TEXT(Tabla1[[#This Row],[Fecha]],"MMMM")</f>
        <v>febrero</v>
      </c>
      <c r="C2495" t="s">
        <v>2505</v>
      </c>
      <c r="D2495" t="s">
        <v>5021</v>
      </c>
      <c r="E2495" t="s">
        <v>5032</v>
      </c>
      <c r="F2495" t="s">
        <v>5034</v>
      </c>
      <c r="G2495" s="3">
        <v>3393.23</v>
      </c>
      <c r="H2495" s="3">
        <v>0</v>
      </c>
      <c r="I2495" s="3">
        <f>SUM(Tabla1[[#This Row],[Monto_Base]],H2495)</f>
        <v>3393.23</v>
      </c>
      <c r="J2495" t="s">
        <v>5046</v>
      </c>
      <c r="K2495" t="s">
        <v>5047</v>
      </c>
      <c r="L2495" t="s">
        <v>5052</v>
      </c>
      <c r="M2495" t="s">
        <v>5055</v>
      </c>
    </row>
    <row r="2496" spans="1:13" x14ac:dyDescent="0.3">
      <c r="A2496" s="1">
        <v>45373</v>
      </c>
      <c r="B2496" s="1" t="str">
        <f>TEXT(Tabla1[[#This Row],[Fecha]],"MMMM")</f>
        <v>marzo</v>
      </c>
      <c r="C2496" t="s">
        <v>2506</v>
      </c>
      <c r="D2496" t="s">
        <v>5023</v>
      </c>
      <c r="E2496" t="s">
        <v>5032</v>
      </c>
      <c r="F2496" t="s">
        <v>5036</v>
      </c>
      <c r="G2496" s="3">
        <v>11959.28</v>
      </c>
      <c r="H2496" s="3">
        <v>0</v>
      </c>
      <c r="I2496" s="3">
        <f>SUM(Tabla1[[#This Row],[Monto_Base]],H2496)</f>
        <v>11959.28</v>
      </c>
      <c r="J2496" t="s">
        <v>5046</v>
      </c>
      <c r="K2496" t="s">
        <v>5049</v>
      </c>
      <c r="L2496" t="s">
        <v>5051</v>
      </c>
      <c r="M2496" t="s">
        <v>5055</v>
      </c>
    </row>
    <row r="2497" spans="1:13" x14ac:dyDescent="0.3">
      <c r="A2497" s="1">
        <v>45387</v>
      </c>
      <c r="B2497" s="1" t="str">
        <f>TEXT(Tabla1[[#This Row],[Fecha]],"MMMM")</f>
        <v>abril</v>
      </c>
      <c r="C2497" t="s">
        <v>2507</v>
      </c>
      <c r="D2497" t="s">
        <v>5029</v>
      </c>
      <c r="E2497" t="s">
        <v>5032</v>
      </c>
      <c r="F2497" t="s">
        <v>5039</v>
      </c>
      <c r="G2497" s="3">
        <v>3287.85</v>
      </c>
      <c r="H2497" s="3">
        <v>0</v>
      </c>
      <c r="I2497" s="3">
        <f>SUM(Tabla1[[#This Row],[Monto_Base]],H2497)</f>
        <v>3287.85</v>
      </c>
      <c r="J2497" t="s">
        <v>5042</v>
      </c>
      <c r="K2497" t="s">
        <v>5048</v>
      </c>
      <c r="L2497" t="s">
        <v>5051</v>
      </c>
      <c r="M2497" t="s">
        <v>5055</v>
      </c>
    </row>
    <row r="2498" spans="1:13" x14ac:dyDescent="0.3">
      <c r="A2498" s="1">
        <v>45554</v>
      </c>
      <c r="B2498" s="1" t="str">
        <f>TEXT(Tabla1[[#This Row],[Fecha]],"MMMM")</f>
        <v>septiembre</v>
      </c>
      <c r="C2498" t="s">
        <v>2508</v>
      </c>
      <c r="D2498" t="s">
        <v>5019</v>
      </c>
      <c r="E2498" t="s">
        <v>5033</v>
      </c>
      <c r="F2498" t="s">
        <v>5039</v>
      </c>
      <c r="G2498" s="3">
        <v>3992.45</v>
      </c>
      <c r="H2498" s="3">
        <v>519.02</v>
      </c>
      <c r="I2498" s="3">
        <f>SUM(Tabla1[[#This Row],[Monto_Base]],H2498)</f>
        <v>4511.4699999999993</v>
      </c>
      <c r="J2498" t="s">
        <v>5043</v>
      </c>
      <c r="K2498" t="s">
        <v>5048</v>
      </c>
      <c r="L2498" t="s">
        <v>5052</v>
      </c>
      <c r="M2498" t="s">
        <v>5055</v>
      </c>
    </row>
    <row r="2499" spans="1:13" x14ac:dyDescent="0.3">
      <c r="A2499" s="1">
        <v>45524</v>
      </c>
      <c r="B2499" s="1" t="str">
        <f>TEXT(Tabla1[[#This Row],[Fecha]],"MMMM")</f>
        <v>agosto</v>
      </c>
      <c r="C2499" t="s">
        <v>2509</v>
      </c>
      <c r="D2499" t="s">
        <v>5012</v>
      </c>
      <c r="E2499" t="s">
        <v>5032</v>
      </c>
      <c r="F2499" t="s">
        <v>5034</v>
      </c>
      <c r="G2499" s="3">
        <v>6587.12</v>
      </c>
      <c r="H2499" s="3">
        <v>0</v>
      </c>
      <c r="I2499" s="3">
        <f>SUM(Tabla1[[#This Row],[Monto_Base]],H2499)</f>
        <v>6587.12</v>
      </c>
      <c r="J2499" t="s">
        <v>5043</v>
      </c>
      <c r="K2499" t="s">
        <v>5049</v>
      </c>
      <c r="L2499" t="s">
        <v>5052</v>
      </c>
      <c r="M2499" t="s">
        <v>5055</v>
      </c>
    </row>
    <row r="2500" spans="1:13" x14ac:dyDescent="0.3">
      <c r="A2500" s="1">
        <v>45339</v>
      </c>
      <c r="B2500" s="1" t="str">
        <f>TEXT(Tabla1[[#This Row],[Fecha]],"MMMM")</f>
        <v>febrero</v>
      </c>
      <c r="C2500" t="s">
        <v>2510</v>
      </c>
      <c r="D2500" t="s">
        <v>5028</v>
      </c>
      <c r="E2500" t="s">
        <v>5032</v>
      </c>
      <c r="F2500" t="s">
        <v>5034</v>
      </c>
      <c r="G2500" s="3">
        <v>5375.36</v>
      </c>
      <c r="H2500" s="3">
        <v>0</v>
      </c>
      <c r="I2500" s="3">
        <f>SUM(Tabla1[[#This Row],[Monto_Base]],H2500)</f>
        <v>5375.36</v>
      </c>
      <c r="J2500" t="s">
        <v>5044</v>
      </c>
      <c r="K2500" t="s">
        <v>5049</v>
      </c>
      <c r="L2500" t="s">
        <v>5052</v>
      </c>
      <c r="M2500" t="s">
        <v>5055</v>
      </c>
    </row>
    <row r="2501" spans="1:13" x14ac:dyDescent="0.3">
      <c r="A2501" s="1">
        <v>45491</v>
      </c>
      <c r="B2501" s="1" t="str">
        <f>TEXT(Tabla1[[#This Row],[Fecha]],"MMMM")</f>
        <v>julio</v>
      </c>
      <c r="C2501" t="s">
        <v>2511</v>
      </c>
      <c r="D2501" t="s">
        <v>5020</v>
      </c>
      <c r="E2501" t="s">
        <v>5032</v>
      </c>
      <c r="F2501" t="s">
        <v>5036</v>
      </c>
      <c r="G2501" s="3">
        <v>4049.29</v>
      </c>
      <c r="H2501" s="3">
        <v>0</v>
      </c>
      <c r="I2501" s="3">
        <f>SUM(Tabla1[[#This Row],[Monto_Base]],H2501)</f>
        <v>4049.29</v>
      </c>
      <c r="J2501" t="s">
        <v>5046</v>
      </c>
      <c r="K2501" t="s">
        <v>5048</v>
      </c>
      <c r="L2501" t="s">
        <v>5052</v>
      </c>
      <c r="M2501" t="s">
        <v>5054</v>
      </c>
    </row>
    <row r="2502" spans="1:13" x14ac:dyDescent="0.3">
      <c r="A2502" s="1">
        <v>45481</v>
      </c>
      <c r="B2502" s="1" t="str">
        <f>TEXT(Tabla1[[#This Row],[Fecha]],"MMMM")</f>
        <v>julio</v>
      </c>
      <c r="C2502" t="s">
        <v>2512</v>
      </c>
      <c r="D2502" t="s">
        <v>5019</v>
      </c>
      <c r="E2502" t="s">
        <v>5032</v>
      </c>
      <c r="F2502" t="s">
        <v>5036</v>
      </c>
      <c r="G2502" s="3">
        <v>4035.69</v>
      </c>
      <c r="H2502" s="3">
        <v>0</v>
      </c>
      <c r="I2502" s="3">
        <f>SUM(Tabla1[[#This Row],[Monto_Base]],H2502)</f>
        <v>4035.69</v>
      </c>
      <c r="J2502" t="s">
        <v>5046</v>
      </c>
      <c r="K2502" t="s">
        <v>5047</v>
      </c>
      <c r="L2502" t="s">
        <v>5050</v>
      </c>
      <c r="M2502" t="s">
        <v>5055</v>
      </c>
    </row>
    <row r="2503" spans="1:13" x14ac:dyDescent="0.3">
      <c r="A2503" s="1">
        <v>45493</v>
      </c>
      <c r="B2503" s="1" t="str">
        <f>TEXT(Tabla1[[#This Row],[Fecha]],"MMMM")</f>
        <v>julio</v>
      </c>
      <c r="C2503" t="s">
        <v>2513</v>
      </c>
      <c r="D2503" t="s">
        <v>5021</v>
      </c>
      <c r="E2503" t="s">
        <v>5032</v>
      </c>
      <c r="F2503" t="s">
        <v>5038</v>
      </c>
      <c r="G2503" s="3">
        <v>13860.87</v>
      </c>
      <c r="H2503" s="3">
        <v>0</v>
      </c>
      <c r="I2503" s="3">
        <f>SUM(Tabla1[[#This Row],[Monto_Base]],H2503)</f>
        <v>13860.87</v>
      </c>
      <c r="J2503" t="s">
        <v>5043</v>
      </c>
      <c r="K2503" t="s">
        <v>5049</v>
      </c>
      <c r="L2503" t="s">
        <v>5051</v>
      </c>
      <c r="M2503" t="s">
        <v>5054</v>
      </c>
    </row>
    <row r="2504" spans="1:13" x14ac:dyDescent="0.3">
      <c r="A2504" s="1">
        <v>45587</v>
      </c>
      <c r="B2504" s="1" t="str">
        <f>TEXT(Tabla1[[#This Row],[Fecha]],"MMMM")</f>
        <v>octubre</v>
      </c>
      <c r="C2504" t="s">
        <v>2514</v>
      </c>
      <c r="D2504" t="s">
        <v>5024</v>
      </c>
      <c r="E2504" t="s">
        <v>5032</v>
      </c>
      <c r="F2504" t="s">
        <v>5039</v>
      </c>
      <c r="G2504" s="3">
        <v>11440.25</v>
      </c>
      <c r="H2504" s="3">
        <v>0</v>
      </c>
      <c r="I2504" s="3">
        <f>SUM(Tabla1[[#This Row],[Monto_Base]],H2504)</f>
        <v>11440.25</v>
      </c>
      <c r="J2504" t="s">
        <v>5042</v>
      </c>
      <c r="K2504" t="s">
        <v>5048</v>
      </c>
      <c r="L2504" t="s">
        <v>5052</v>
      </c>
      <c r="M2504" t="s">
        <v>5054</v>
      </c>
    </row>
    <row r="2505" spans="1:13" x14ac:dyDescent="0.3">
      <c r="A2505" s="1">
        <v>45369</v>
      </c>
      <c r="B2505" s="1" t="str">
        <f>TEXT(Tabla1[[#This Row],[Fecha]],"MMMM")</f>
        <v>marzo</v>
      </c>
      <c r="C2505" t="s">
        <v>2515</v>
      </c>
      <c r="D2505" t="s">
        <v>5024</v>
      </c>
      <c r="E2505" t="s">
        <v>5032</v>
      </c>
      <c r="F2505" t="s">
        <v>5041</v>
      </c>
      <c r="G2505" s="3">
        <v>13860.5</v>
      </c>
      <c r="H2505" s="3">
        <v>0</v>
      </c>
      <c r="I2505" s="3">
        <f>SUM(Tabla1[[#This Row],[Monto_Base]],H2505)</f>
        <v>13860.5</v>
      </c>
      <c r="J2505" t="s">
        <v>5044</v>
      </c>
      <c r="K2505" t="s">
        <v>5047</v>
      </c>
      <c r="L2505" t="s">
        <v>5051</v>
      </c>
      <c r="M2505" t="s">
        <v>5055</v>
      </c>
    </row>
    <row r="2506" spans="1:13" x14ac:dyDescent="0.3">
      <c r="A2506" s="1">
        <v>45612</v>
      </c>
      <c r="B2506" s="1" t="str">
        <f>TEXT(Tabla1[[#This Row],[Fecha]],"MMMM")</f>
        <v>noviembre</v>
      </c>
      <c r="C2506" t="s">
        <v>2516</v>
      </c>
      <c r="D2506" t="s">
        <v>5026</v>
      </c>
      <c r="E2506" t="s">
        <v>5032</v>
      </c>
      <c r="F2506" t="s">
        <v>5037</v>
      </c>
      <c r="G2506" s="3">
        <v>14265.99</v>
      </c>
      <c r="H2506" s="3">
        <v>0</v>
      </c>
      <c r="I2506" s="3">
        <f>SUM(Tabla1[[#This Row],[Monto_Base]],H2506)</f>
        <v>14265.99</v>
      </c>
      <c r="J2506" t="s">
        <v>5042</v>
      </c>
      <c r="K2506" t="s">
        <v>5047</v>
      </c>
      <c r="L2506" t="s">
        <v>5051</v>
      </c>
      <c r="M2506" t="s">
        <v>5055</v>
      </c>
    </row>
    <row r="2507" spans="1:13" x14ac:dyDescent="0.3">
      <c r="A2507" s="1">
        <v>45511</v>
      </c>
      <c r="B2507" s="1" t="str">
        <f>TEXT(Tabla1[[#This Row],[Fecha]],"MMMM")</f>
        <v>agosto</v>
      </c>
      <c r="C2507" t="s">
        <v>2517</v>
      </c>
      <c r="D2507" t="s">
        <v>5021</v>
      </c>
      <c r="E2507" t="s">
        <v>5032</v>
      </c>
      <c r="F2507" t="s">
        <v>5040</v>
      </c>
      <c r="G2507" s="3">
        <v>7528.16</v>
      </c>
      <c r="H2507" s="3">
        <v>0</v>
      </c>
      <c r="I2507" s="3">
        <f>SUM(Tabla1[[#This Row],[Monto_Base]],H2507)</f>
        <v>7528.16</v>
      </c>
      <c r="J2507" t="s">
        <v>5046</v>
      </c>
      <c r="K2507" t="s">
        <v>5049</v>
      </c>
      <c r="L2507" t="s">
        <v>5053</v>
      </c>
      <c r="M2507" t="s">
        <v>5055</v>
      </c>
    </row>
    <row r="2508" spans="1:13" x14ac:dyDescent="0.3">
      <c r="A2508" s="1">
        <v>45594</v>
      </c>
      <c r="B2508" s="1" t="str">
        <f>TEXT(Tabla1[[#This Row],[Fecha]],"MMMM")</f>
        <v>octubre</v>
      </c>
      <c r="C2508" t="s">
        <v>2518</v>
      </c>
      <c r="D2508" t="s">
        <v>5027</v>
      </c>
      <c r="E2508" t="s">
        <v>5033</v>
      </c>
      <c r="F2508" t="s">
        <v>5038</v>
      </c>
      <c r="G2508" s="3">
        <v>8504.33</v>
      </c>
      <c r="H2508" s="3">
        <v>1105.56</v>
      </c>
      <c r="I2508" s="3">
        <f>SUM(Tabla1[[#This Row],[Monto_Base]],H2508)</f>
        <v>9609.89</v>
      </c>
      <c r="J2508" t="s">
        <v>5046</v>
      </c>
      <c r="K2508" t="s">
        <v>5049</v>
      </c>
      <c r="L2508" t="s">
        <v>5053</v>
      </c>
      <c r="M2508" t="s">
        <v>5055</v>
      </c>
    </row>
    <row r="2509" spans="1:13" x14ac:dyDescent="0.3">
      <c r="A2509" s="1">
        <v>45555</v>
      </c>
      <c r="B2509" s="1" t="str">
        <f>TEXT(Tabla1[[#This Row],[Fecha]],"MMMM")</f>
        <v>septiembre</v>
      </c>
      <c r="C2509" t="s">
        <v>2519</v>
      </c>
      <c r="D2509" t="s">
        <v>5015</v>
      </c>
      <c r="E2509" t="s">
        <v>5033</v>
      </c>
      <c r="F2509" t="s">
        <v>5036</v>
      </c>
      <c r="G2509" s="3">
        <v>1567.52</v>
      </c>
      <c r="H2509" s="3">
        <v>203.78</v>
      </c>
      <c r="I2509" s="3">
        <f>SUM(Tabla1[[#This Row],[Monto_Base]],H2509)</f>
        <v>1771.3</v>
      </c>
      <c r="J2509" t="s">
        <v>5046</v>
      </c>
      <c r="K2509" t="s">
        <v>5049</v>
      </c>
      <c r="L2509" t="s">
        <v>5050</v>
      </c>
      <c r="M2509" t="s">
        <v>5054</v>
      </c>
    </row>
    <row r="2510" spans="1:13" x14ac:dyDescent="0.3">
      <c r="A2510" s="1">
        <v>45534</v>
      </c>
      <c r="B2510" s="1" t="str">
        <f>TEXT(Tabla1[[#This Row],[Fecha]],"MMMM")</f>
        <v>agosto</v>
      </c>
      <c r="C2510" t="s">
        <v>2520</v>
      </c>
      <c r="D2510" t="s">
        <v>5017</v>
      </c>
      <c r="E2510" t="s">
        <v>5033</v>
      </c>
      <c r="F2510" t="s">
        <v>5041</v>
      </c>
      <c r="G2510" s="3">
        <v>12105.73</v>
      </c>
      <c r="H2510" s="3">
        <v>1573.74</v>
      </c>
      <c r="I2510" s="3">
        <f>SUM(Tabla1[[#This Row],[Monto_Base]],H2510)</f>
        <v>13679.47</v>
      </c>
      <c r="J2510" t="s">
        <v>5046</v>
      </c>
      <c r="K2510" t="s">
        <v>5048</v>
      </c>
      <c r="L2510" t="s">
        <v>5053</v>
      </c>
      <c r="M2510" t="s">
        <v>5055</v>
      </c>
    </row>
    <row r="2511" spans="1:13" x14ac:dyDescent="0.3">
      <c r="A2511" s="1">
        <v>45508</v>
      </c>
      <c r="B2511" s="1" t="str">
        <f>TEXT(Tabla1[[#This Row],[Fecha]],"MMMM")</f>
        <v>agosto</v>
      </c>
      <c r="C2511" t="s">
        <v>2521</v>
      </c>
      <c r="D2511" t="s">
        <v>5012</v>
      </c>
      <c r="E2511" t="s">
        <v>5033</v>
      </c>
      <c r="F2511" t="s">
        <v>5038</v>
      </c>
      <c r="G2511" s="3">
        <v>8067.77</v>
      </c>
      <c r="H2511" s="3">
        <v>1048.81</v>
      </c>
      <c r="I2511" s="3">
        <f>SUM(Tabla1[[#This Row],[Monto_Base]],H2511)</f>
        <v>9116.58</v>
      </c>
      <c r="J2511" t="s">
        <v>5043</v>
      </c>
      <c r="K2511" t="s">
        <v>5049</v>
      </c>
      <c r="L2511" t="s">
        <v>5053</v>
      </c>
      <c r="M2511" t="s">
        <v>5054</v>
      </c>
    </row>
    <row r="2512" spans="1:13" x14ac:dyDescent="0.3">
      <c r="A2512" s="1">
        <v>45354</v>
      </c>
      <c r="B2512" s="1" t="str">
        <f>TEXT(Tabla1[[#This Row],[Fecha]],"MMMM")</f>
        <v>marzo</v>
      </c>
      <c r="C2512" t="s">
        <v>2522</v>
      </c>
      <c r="D2512" t="s">
        <v>5029</v>
      </c>
      <c r="E2512" t="s">
        <v>5033</v>
      </c>
      <c r="F2512" t="s">
        <v>5036</v>
      </c>
      <c r="G2512" s="3">
        <v>2020.63</v>
      </c>
      <c r="H2512" s="3">
        <v>262.68</v>
      </c>
      <c r="I2512" s="3">
        <f>SUM(Tabla1[[#This Row],[Monto_Base]],H2512)</f>
        <v>2283.31</v>
      </c>
      <c r="J2512" t="s">
        <v>5044</v>
      </c>
      <c r="K2512" t="s">
        <v>5048</v>
      </c>
      <c r="L2512" t="s">
        <v>5052</v>
      </c>
      <c r="M2512" t="s">
        <v>5055</v>
      </c>
    </row>
    <row r="2513" spans="1:13" x14ac:dyDescent="0.3">
      <c r="A2513" s="1">
        <v>45365</v>
      </c>
      <c r="B2513" s="1" t="str">
        <f>TEXT(Tabla1[[#This Row],[Fecha]],"MMMM")</f>
        <v>marzo</v>
      </c>
      <c r="C2513" t="s">
        <v>2523</v>
      </c>
      <c r="D2513" t="s">
        <v>5019</v>
      </c>
      <c r="E2513" t="s">
        <v>5033</v>
      </c>
      <c r="F2513" t="s">
        <v>5040</v>
      </c>
      <c r="G2513" s="3">
        <v>9654.5400000000009</v>
      </c>
      <c r="H2513" s="3">
        <v>1255.0899999999999</v>
      </c>
      <c r="I2513" s="3">
        <f>SUM(Tabla1[[#This Row],[Monto_Base]],H2513)</f>
        <v>10909.630000000001</v>
      </c>
      <c r="J2513" t="s">
        <v>5042</v>
      </c>
      <c r="K2513" t="s">
        <v>5049</v>
      </c>
      <c r="L2513" t="s">
        <v>5052</v>
      </c>
      <c r="M2513" t="s">
        <v>5055</v>
      </c>
    </row>
    <row r="2514" spans="1:13" x14ac:dyDescent="0.3">
      <c r="A2514" s="1">
        <v>45389</v>
      </c>
      <c r="B2514" s="1" t="str">
        <f>TEXT(Tabla1[[#This Row],[Fecha]],"MMMM")</f>
        <v>abril</v>
      </c>
      <c r="C2514" t="s">
        <v>2524</v>
      </c>
      <c r="D2514" t="s">
        <v>5020</v>
      </c>
      <c r="E2514" t="s">
        <v>5032</v>
      </c>
      <c r="F2514" t="s">
        <v>5034</v>
      </c>
      <c r="G2514" s="3">
        <v>13761.56</v>
      </c>
      <c r="H2514" s="3">
        <v>0</v>
      </c>
      <c r="I2514" s="3">
        <f>SUM(Tabla1[[#This Row],[Monto_Base]],H2514)</f>
        <v>13761.56</v>
      </c>
      <c r="J2514" t="s">
        <v>5042</v>
      </c>
      <c r="K2514" t="s">
        <v>5047</v>
      </c>
      <c r="L2514" t="s">
        <v>5050</v>
      </c>
      <c r="M2514" t="s">
        <v>5054</v>
      </c>
    </row>
    <row r="2515" spans="1:13" x14ac:dyDescent="0.3">
      <c r="A2515" s="1">
        <v>45426</v>
      </c>
      <c r="B2515" s="1" t="str">
        <f>TEXT(Tabla1[[#This Row],[Fecha]],"MMMM")</f>
        <v>mayo</v>
      </c>
      <c r="C2515" t="s">
        <v>2525</v>
      </c>
      <c r="D2515" t="s">
        <v>5022</v>
      </c>
      <c r="E2515" t="s">
        <v>5033</v>
      </c>
      <c r="F2515" t="s">
        <v>5037</v>
      </c>
      <c r="G2515" s="3">
        <v>12318.86</v>
      </c>
      <c r="H2515" s="3">
        <v>1601.45</v>
      </c>
      <c r="I2515" s="3">
        <f>SUM(Tabla1[[#This Row],[Monto_Base]],H2515)</f>
        <v>13920.310000000001</v>
      </c>
      <c r="J2515" t="s">
        <v>5042</v>
      </c>
      <c r="K2515" t="s">
        <v>5049</v>
      </c>
      <c r="L2515" t="s">
        <v>5053</v>
      </c>
      <c r="M2515" t="s">
        <v>5054</v>
      </c>
    </row>
    <row r="2516" spans="1:13" x14ac:dyDescent="0.3">
      <c r="A2516" s="1">
        <v>45337</v>
      </c>
      <c r="B2516" s="1" t="str">
        <f>TEXT(Tabla1[[#This Row],[Fecha]],"MMMM")</f>
        <v>febrero</v>
      </c>
      <c r="C2516" t="s">
        <v>2526</v>
      </c>
      <c r="D2516" t="s">
        <v>5027</v>
      </c>
      <c r="E2516" t="s">
        <v>5032</v>
      </c>
      <c r="F2516" t="s">
        <v>5038</v>
      </c>
      <c r="G2516" s="3">
        <v>8529</v>
      </c>
      <c r="H2516" s="3">
        <v>0</v>
      </c>
      <c r="I2516" s="3">
        <f>SUM(Tabla1[[#This Row],[Monto_Base]],H2516)</f>
        <v>8529</v>
      </c>
      <c r="J2516" t="s">
        <v>5042</v>
      </c>
      <c r="K2516" t="s">
        <v>5048</v>
      </c>
      <c r="L2516" t="s">
        <v>5050</v>
      </c>
      <c r="M2516" t="s">
        <v>5054</v>
      </c>
    </row>
    <row r="2517" spans="1:13" x14ac:dyDescent="0.3">
      <c r="A2517" s="1">
        <v>45599</v>
      </c>
      <c r="B2517" s="1" t="str">
        <f>TEXT(Tabla1[[#This Row],[Fecha]],"MMMM")</f>
        <v>noviembre</v>
      </c>
      <c r="C2517" t="s">
        <v>2527</v>
      </c>
      <c r="D2517" t="s">
        <v>5016</v>
      </c>
      <c r="E2517" t="s">
        <v>5033</v>
      </c>
      <c r="F2517" t="s">
        <v>5034</v>
      </c>
      <c r="G2517" s="3">
        <v>4963.12</v>
      </c>
      <c r="H2517" s="3">
        <v>645.21</v>
      </c>
      <c r="I2517" s="3">
        <f>SUM(Tabla1[[#This Row],[Monto_Base]],H2517)</f>
        <v>5608.33</v>
      </c>
      <c r="J2517" t="s">
        <v>5045</v>
      </c>
      <c r="K2517" t="s">
        <v>5047</v>
      </c>
      <c r="L2517" t="s">
        <v>5053</v>
      </c>
      <c r="M2517" t="s">
        <v>5055</v>
      </c>
    </row>
    <row r="2518" spans="1:13" x14ac:dyDescent="0.3">
      <c r="A2518" s="1">
        <v>45418</v>
      </c>
      <c r="B2518" s="1" t="str">
        <f>TEXT(Tabla1[[#This Row],[Fecha]],"MMMM")</f>
        <v>mayo</v>
      </c>
      <c r="C2518" t="s">
        <v>2528</v>
      </c>
      <c r="D2518" t="s">
        <v>5026</v>
      </c>
      <c r="E2518" t="s">
        <v>5032</v>
      </c>
      <c r="F2518" t="s">
        <v>5035</v>
      </c>
      <c r="G2518" s="3">
        <v>1748.15</v>
      </c>
      <c r="H2518" s="3">
        <v>0</v>
      </c>
      <c r="I2518" s="3">
        <f>SUM(Tabla1[[#This Row],[Monto_Base]],H2518)</f>
        <v>1748.15</v>
      </c>
      <c r="J2518" t="s">
        <v>5042</v>
      </c>
      <c r="K2518" t="s">
        <v>5049</v>
      </c>
      <c r="L2518" t="s">
        <v>5051</v>
      </c>
      <c r="M2518" t="s">
        <v>5054</v>
      </c>
    </row>
    <row r="2519" spans="1:13" x14ac:dyDescent="0.3">
      <c r="A2519" s="1">
        <v>45431</v>
      </c>
      <c r="B2519" s="1" t="str">
        <f>TEXT(Tabla1[[#This Row],[Fecha]],"MMMM")</f>
        <v>mayo</v>
      </c>
      <c r="C2519" t="s">
        <v>2529</v>
      </c>
      <c r="D2519" t="s">
        <v>5017</v>
      </c>
      <c r="E2519" t="s">
        <v>5033</v>
      </c>
      <c r="F2519" t="s">
        <v>5034</v>
      </c>
      <c r="G2519" s="3">
        <v>4119.0200000000004</v>
      </c>
      <c r="H2519" s="3">
        <v>535.47</v>
      </c>
      <c r="I2519" s="3">
        <f>SUM(Tabla1[[#This Row],[Monto_Base]],H2519)</f>
        <v>4654.4900000000007</v>
      </c>
      <c r="J2519" t="s">
        <v>5046</v>
      </c>
      <c r="K2519" t="s">
        <v>5048</v>
      </c>
      <c r="L2519" t="s">
        <v>5050</v>
      </c>
      <c r="M2519" t="s">
        <v>5055</v>
      </c>
    </row>
    <row r="2520" spans="1:13" x14ac:dyDescent="0.3">
      <c r="A2520" s="1">
        <v>45580</v>
      </c>
      <c r="B2520" s="1" t="str">
        <f>TEXT(Tabla1[[#This Row],[Fecha]],"MMMM")</f>
        <v>octubre</v>
      </c>
      <c r="C2520" t="s">
        <v>2530</v>
      </c>
      <c r="D2520" t="s">
        <v>5021</v>
      </c>
      <c r="E2520" t="s">
        <v>5033</v>
      </c>
      <c r="F2520" t="s">
        <v>5038</v>
      </c>
      <c r="G2520" s="3">
        <v>731.58</v>
      </c>
      <c r="H2520" s="3">
        <v>95.11</v>
      </c>
      <c r="I2520" s="3">
        <f>SUM(Tabla1[[#This Row],[Monto_Base]],H2520)</f>
        <v>826.69</v>
      </c>
      <c r="J2520" t="s">
        <v>5042</v>
      </c>
      <c r="K2520" t="s">
        <v>5049</v>
      </c>
      <c r="L2520" t="s">
        <v>5051</v>
      </c>
      <c r="M2520" t="s">
        <v>5054</v>
      </c>
    </row>
    <row r="2521" spans="1:13" x14ac:dyDescent="0.3">
      <c r="A2521" s="1">
        <v>45311</v>
      </c>
      <c r="B2521" s="1" t="str">
        <f>TEXT(Tabla1[[#This Row],[Fecha]],"MMMM")</f>
        <v>enero</v>
      </c>
      <c r="C2521" t="s">
        <v>2531</v>
      </c>
      <c r="D2521" t="s">
        <v>5013</v>
      </c>
      <c r="E2521" t="s">
        <v>5032</v>
      </c>
      <c r="F2521" t="s">
        <v>5041</v>
      </c>
      <c r="G2521" s="3">
        <v>9027.41</v>
      </c>
      <c r="H2521" s="3">
        <v>0</v>
      </c>
      <c r="I2521" s="3">
        <f>SUM(Tabla1[[#This Row],[Monto_Base]],H2521)</f>
        <v>9027.41</v>
      </c>
      <c r="J2521" t="s">
        <v>5045</v>
      </c>
      <c r="K2521" t="s">
        <v>5048</v>
      </c>
      <c r="L2521" t="s">
        <v>5053</v>
      </c>
      <c r="M2521" t="s">
        <v>5054</v>
      </c>
    </row>
    <row r="2522" spans="1:13" x14ac:dyDescent="0.3">
      <c r="A2522" s="1">
        <v>45316</v>
      </c>
      <c r="B2522" s="1" t="str">
        <f>TEXT(Tabla1[[#This Row],[Fecha]],"MMMM")</f>
        <v>enero</v>
      </c>
      <c r="C2522" t="s">
        <v>2532</v>
      </c>
      <c r="D2522" t="s">
        <v>5022</v>
      </c>
      <c r="E2522" t="s">
        <v>5032</v>
      </c>
      <c r="F2522" t="s">
        <v>5036</v>
      </c>
      <c r="G2522" s="3">
        <v>11586.3</v>
      </c>
      <c r="H2522" s="3">
        <v>0</v>
      </c>
      <c r="I2522" s="3">
        <f>SUM(Tabla1[[#This Row],[Monto_Base]],H2522)</f>
        <v>11586.3</v>
      </c>
      <c r="J2522" t="s">
        <v>5044</v>
      </c>
      <c r="K2522" t="s">
        <v>5049</v>
      </c>
      <c r="L2522" t="s">
        <v>5052</v>
      </c>
      <c r="M2522" t="s">
        <v>5054</v>
      </c>
    </row>
    <row r="2523" spans="1:13" x14ac:dyDescent="0.3">
      <c r="A2523" s="1">
        <v>45498</v>
      </c>
      <c r="B2523" s="1" t="str">
        <f>TEXT(Tabla1[[#This Row],[Fecha]],"MMMM")</f>
        <v>julio</v>
      </c>
      <c r="C2523" t="s">
        <v>2533</v>
      </c>
      <c r="D2523" t="s">
        <v>5023</v>
      </c>
      <c r="E2523" t="s">
        <v>5032</v>
      </c>
      <c r="F2523" t="s">
        <v>5037</v>
      </c>
      <c r="G2523" s="3">
        <v>13891.15</v>
      </c>
      <c r="H2523" s="3">
        <v>0</v>
      </c>
      <c r="I2523" s="3">
        <f>SUM(Tabla1[[#This Row],[Monto_Base]],H2523)</f>
        <v>13891.15</v>
      </c>
      <c r="J2523" t="s">
        <v>5042</v>
      </c>
      <c r="K2523" t="s">
        <v>5047</v>
      </c>
      <c r="L2523" t="s">
        <v>5053</v>
      </c>
      <c r="M2523" t="s">
        <v>5054</v>
      </c>
    </row>
    <row r="2524" spans="1:13" x14ac:dyDescent="0.3">
      <c r="A2524" s="1">
        <v>45394</v>
      </c>
      <c r="B2524" s="1" t="str">
        <f>TEXT(Tabla1[[#This Row],[Fecha]],"MMMM")</f>
        <v>abril</v>
      </c>
      <c r="C2524" t="s">
        <v>2534</v>
      </c>
      <c r="D2524" t="s">
        <v>5021</v>
      </c>
      <c r="E2524" t="s">
        <v>5033</v>
      </c>
      <c r="F2524" t="s">
        <v>5036</v>
      </c>
      <c r="G2524" s="3">
        <v>14323.86</v>
      </c>
      <c r="H2524" s="3">
        <v>1862.1</v>
      </c>
      <c r="I2524" s="3">
        <f>SUM(Tabla1[[#This Row],[Monto_Base]],H2524)</f>
        <v>16185.960000000001</v>
      </c>
      <c r="J2524" t="s">
        <v>5044</v>
      </c>
      <c r="K2524" t="s">
        <v>5049</v>
      </c>
      <c r="L2524" t="s">
        <v>5051</v>
      </c>
      <c r="M2524" t="s">
        <v>5055</v>
      </c>
    </row>
    <row r="2525" spans="1:13" x14ac:dyDescent="0.3">
      <c r="A2525" s="1">
        <v>45330</v>
      </c>
      <c r="B2525" s="1" t="str">
        <f>TEXT(Tabla1[[#This Row],[Fecha]],"MMMM")</f>
        <v>febrero</v>
      </c>
      <c r="C2525" t="s">
        <v>2535</v>
      </c>
      <c r="D2525" t="s">
        <v>5028</v>
      </c>
      <c r="E2525" t="s">
        <v>5033</v>
      </c>
      <c r="F2525" t="s">
        <v>5034</v>
      </c>
      <c r="G2525" s="3">
        <v>4822.8100000000004</v>
      </c>
      <c r="H2525" s="3">
        <v>626.97</v>
      </c>
      <c r="I2525" s="3">
        <f>SUM(Tabla1[[#This Row],[Monto_Base]],H2525)</f>
        <v>5449.7800000000007</v>
      </c>
      <c r="J2525" t="s">
        <v>5043</v>
      </c>
      <c r="K2525" t="s">
        <v>5047</v>
      </c>
      <c r="L2525" t="s">
        <v>5050</v>
      </c>
      <c r="M2525" t="s">
        <v>5054</v>
      </c>
    </row>
    <row r="2526" spans="1:13" x14ac:dyDescent="0.3">
      <c r="A2526" s="1">
        <v>45487</v>
      </c>
      <c r="B2526" s="1" t="str">
        <f>TEXT(Tabla1[[#This Row],[Fecha]],"MMMM")</f>
        <v>julio</v>
      </c>
      <c r="C2526" t="s">
        <v>2536</v>
      </c>
      <c r="D2526" t="s">
        <v>5014</v>
      </c>
      <c r="E2526" t="s">
        <v>5033</v>
      </c>
      <c r="F2526" t="s">
        <v>5034</v>
      </c>
      <c r="G2526" s="3">
        <v>13815.67</v>
      </c>
      <c r="H2526" s="3">
        <v>1796.04</v>
      </c>
      <c r="I2526" s="3">
        <f>SUM(Tabla1[[#This Row],[Monto_Base]],H2526)</f>
        <v>15611.71</v>
      </c>
      <c r="J2526" t="s">
        <v>5045</v>
      </c>
      <c r="K2526" t="s">
        <v>5047</v>
      </c>
      <c r="L2526" t="s">
        <v>5051</v>
      </c>
      <c r="M2526" t="s">
        <v>5055</v>
      </c>
    </row>
    <row r="2527" spans="1:13" x14ac:dyDescent="0.3">
      <c r="A2527" s="1">
        <v>45361</v>
      </c>
      <c r="B2527" s="1" t="str">
        <f>TEXT(Tabla1[[#This Row],[Fecha]],"MMMM")</f>
        <v>marzo</v>
      </c>
      <c r="C2527" t="s">
        <v>2537</v>
      </c>
      <c r="D2527" t="s">
        <v>5013</v>
      </c>
      <c r="E2527" t="s">
        <v>5032</v>
      </c>
      <c r="F2527" t="s">
        <v>5036</v>
      </c>
      <c r="G2527" s="3">
        <v>3089.01</v>
      </c>
      <c r="H2527" s="3">
        <v>0</v>
      </c>
      <c r="I2527" s="3">
        <f>SUM(Tabla1[[#This Row],[Monto_Base]],H2527)</f>
        <v>3089.01</v>
      </c>
      <c r="J2527" t="s">
        <v>5045</v>
      </c>
      <c r="K2527" t="s">
        <v>5049</v>
      </c>
      <c r="L2527" t="s">
        <v>5051</v>
      </c>
      <c r="M2527" t="s">
        <v>5054</v>
      </c>
    </row>
    <row r="2528" spans="1:13" x14ac:dyDescent="0.3">
      <c r="A2528" s="1">
        <v>45558</v>
      </c>
      <c r="B2528" s="1" t="str">
        <f>TEXT(Tabla1[[#This Row],[Fecha]],"MMMM")</f>
        <v>septiembre</v>
      </c>
      <c r="C2528" t="s">
        <v>2538</v>
      </c>
      <c r="D2528" t="s">
        <v>5021</v>
      </c>
      <c r="E2528" t="s">
        <v>5032</v>
      </c>
      <c r="F2528" t="s">
        <v>5035</v>
      </c>
      <c r="G2528" s="3">
        <v>2465.5</v>
      </c>
      <c r="H2528" s="3">
        <v>0</v>
      </c>
      <c r="I2528" s="3">
        <f>SUM(Tabla1[[#This Row],[Monto_Base]],H2528)</f>
        <v>2465.5</v>
      </c>
      <c r="J2528" t="s">
        <v>5042</v>
      </c>
      <c r="K2528" t="s">
        <v>5049</v>
      </c>
      <c r="L2528" t="s">
        <v>5053</v>
      </c>
      <c r="M2528" t="s">
        <v>5055</v>
      </c>
    </row>
    <row r="2529" spans="1:13" x14ac:dyDescent="0.3">
      <c r="A2529" s="1">
        <v>45445</v>
      </c>
      <c r="B2529" s="1" t="str">
        <f>TEXT(Tabla1[[#This Row],[Fecha]],"MMMM")</f>
        <v>junio</v>
      </c>
      <c r="C2529" t="s">
        <v>2539</v>
      </c>
      <c r="D2529" t="s">
        <v>5013</v>
      </c>
      <c r="E2529" t="s">
        <v>5033</v>
      </c>
      <c r="F2529" t="s">
        <v>5041</v>
      </c>
      <c r="G2529" s="3">
        <v>12773.71</v>
      </c>
      <c r="H2529" s="3">
        <v>1660.58</v>
      </c>
      <c r="I2529" s="3">
        <f>SUM(Tabla1[[#This Row],[Monto_Base]],H2529)</f>
        <v>14434.289999999999</v>
      </c>
      <c r="J2529" t="s">
        <v>5044</v>
      </c>
      <c r="K2529" t="s">
        <v>5047</v>
      </c>
      <c r="L2529" t="s">
        <v>5050</v>
      </c>
      <c r="M2529" t="s">
        <v>5054</v>
      </c>
    </row>
    <row r="2530" spans="1:13" x14ac:dyDescent="0.3">
      <c r="A2530" s="1">
        <v>45442</v>
      </c>
      <c r="B2530" s="1" t="str">
        <f>TEXT(Tabla1[[#This Row],[Fecha]],"MMMM")</f>
        <v>mayo</v>
      </c>
      <c r="C2530" t="s">
        <v>2540</v>
      </c>
      <c r="D2530" t="s">
        <v>5027</v>
      </c>
      <c r="E2530" t="s">
        <v>5032</v>
      </c>
      <c r="F2530" t="s">
        <v>5040</v>
      </c>
      <c r="G2530" s="3">
        <v>7388.35</v>
      </c>
      <c r="H2530" s="3">
        <v>0</v>
      </c>
      <c r="I2530" s="3">
        <f>SUM(Tabla1[[#This Row],[Monto_Base]],H2530)</f>
        <v>7388.35</v>
      </c>
      <c r="J2530" t="s">
        <v>5043</v>
      </c>
      <c r="K2530" t="s">
        <v>5047</v>
      </c>
      <c r="L2530" t="s">
        <v>5053</v>
      </c>
      <c r="M2530" t="s">
        <v>5054</v>
      </c>
    </row>
    <row r="2531" spans="1:13" x14ac:dyDescent="0.3">
      <c r="A2531" s="1">
        <v>45348</v>
      </c>
      <c r="B2531" s="1" t="str">
        <f>TEXT(Tabla1[[#This Row],[Fecha]],"MMMM")</f>
        <v>febrero</v>
      </c>
      <c r="C2531" t="s">
        <v>2541</v>
      </c>
      <c r="D2531" t="s">
        <v>5012</v>
      </c>
      <c r="E2531" t="s">
        <v>5032</v>
      </c>
      <c r="F2531" t="s">
        <v>5038</v>
      </c>
      <c r="G2531" s="3">
        <v>9239.26</v>
      </c>
      <c r="H2531" s="3">
        <v>0</v>
      </c>
      <c r="I2531" s="3">
        <f>SUM(Tabla1[[#This Row],[Monto_Base]],H2531)</f>
        <v>9239.26</v>
      </c>
      <c r="J2531" t="s">
        <v>5043</v>
      </c>
      <c r="K2531" t="s">
        <v>5047</v>
      </c>
      <c r="L2531" t="s">
        <v>5051</v>
      </c>
      <c r="M2531" t="s">
        <v>5054</v>
      </c>
    </row>
    <row r="2532" spans="1:13" x14ac:dyDescent="0.3">
      <c r="A2532" s="1">
        <v>45316</v>
      </c>
      <c r="B2532" s="1" t="str">
        <f>TEXT(Tabla1[[#This Row],[Fecha]],"MMMM")</f>
        <v>enero</v>
      </c>
      <c r="C2532" t="s">
        <v>2542</v>
      </c>
      <c r="D2532" t="s">
        <v>5026</v>
      </c>
      <c r="E2532" t="s">
        <v>5033</v>
      </c>
      <c r="F2532" t="s">
        <v>5040</v>
      </c>
      <c r="G2532" s="3">
        <v>4295.1899999999996</v>
      </c>
      <c r="H2532" s="3">
        <v>558.37</v>
      </c>
      <c r="I2532" s="3">
        <f>SUM(Tabla1[[#This Row],[Monto_Base]],H2532)</f>
        <v>4853.5599999999995</v>
      </c>
      <c r="J2532" t="s">
        <v>5045</v>
      </c>
      <c r="K2532" t="s">
        <v>5049</v>
      </c>
      <c r="L2532" t="s">
        <v>5052</v>
      </c>
      <c r="M2532" t="s">
        <v>5054</v>
      </c>
    </row>
    <row r="2533" spans="1:13" x14ac:dyDescent="0.3">
      <c r="A2533" s="1">
        <v>45631</v>
      </c>
      <c r="B2533" s="1" t="str">
        <f>TEXT(Tabla1[[#This Row],[Fecha]],"MMMM")</f>
        <v>diciembre</v>
      </c>
      <c r="C2533" t="s">
        <v>2543</v>
      </c>
      <c r="D2533" t="s">
        <v>5024</v>
      </c>
      <c r="E2533" t="s">
        <v>5032</v>
      </c>
      <c r="F2533" t="s">
        <v>5035</v>
      </c>
      <c r="G2533" s="3">
        <v>6193.92</v>
      </c>
      <c r="H2533" s="3">
        <v>0</v>
      </c>
      <c r="I2533" s="3">
        <f>SUM(Tabla1[[#This Row],[Monto_Base]],H2533)</f>
        <v>6193.92</v>
      </c>
      <c r="J2533" t="s">
        <v>5043</v>
      </c>
      <c r="K2533" t="s">
        <v>5049</v>
      </c>
      <c r="L2533" t="s">
        <v>5052</v>
      </c>
      <c r="M2533" t="s">
        <v>5055</v>
      </c>
    </row>
    <row r="2534" spans="1:13" x14ac:dyDescent="0.3">
      <c r="A2534" s="1">
        <v>45457</v>
      </c>
      <c r="B2534" s="1" t="str">
        <f>TEXT(Tabla1[[#This Row],[Fecha]],"MMMM")</f>
        <v>junio</v>
      </c>
      <c r="C2534" t="s">
        <v>2544</v>
      </c>
      <c r="D2534" t="s">
        <v>5027</v>
      </c>
      <c r="E2534" t="s">
        <v>5032</v>
      </c>
      <c r="F2534" t="s">
        <v>5040</v>
      </c>
      <c r="G2534" s="3">
        <v>5090.17</v>
      </c>
      <c r="H2534" s="3">
        <v>0</v>
      </c>
      <c r="I2534" s="3">
        <f>SUM(Tabla1[[#This Row],[Monto_Base]],H2534)</f>
        <v>5090.17</v>
      </c>
      <c r="J2534" t="s">
        <v>5046</v>
      </c>
      <c r="K2534" t="s">
        <v>5049</v>
      </c>
      <c r="L2534" t="s">
        <v>5050</v>
      </c>
      <c r="M2534" t="s">
        <v>5055</v>
      </c>
    </row>
    <row r="2535" spans="1:13" x14ac:dyDescent="0.3">
      <c r="A2535" s="1">
        <v>45325</v>
      </c>
      <c r="B2535" s="1" t="str">
        <f>TEXT(Tabla1[[#This Row],[Fecha]],"MMMM")</f>
        <v>febrero</v>
      </c>
      <c r="C2535" t="s">
        <v>2545</v>
      </c>
      <c r="D2535" t="s">
        <v>5012</v>
      </c>
      <c r="E2535" t="s">
        <v>5033</v>
      </c>
      <c r="F2535" t="s">
        <v>5040</v>
      </c>
      <c r="G2535" s="3">
        <v>4280.79</v>
      </c>
      <c r="H2535" s="3">
        <v>556.5</v>
      </c>
      <c r="I2535" s="3">
        <f>SUM(Tabla1[[#This Row],[Monto_Base]],H2535)</f>
        <v>4837.29</v>
      </c>
      <c r="J2535" t="s">
        <v>5043</v>
      </c>
      <c r="K2535" t="s">
        <v>5049</v>
      </c>
      <c r="L2535" t="s">
        <v>5051</v>
      </c>
      <c r="M2535" t="s">
        <v>5055</v>
      </c>
    </row>
    <row r="2536" spans="1:13" x14ac:dyDescent="0.3">
      <c r="A2536" s="1">
        <v>45307</v>
      </c>
      <c r="B2536" s="1" t="str">
        <f>TEXT(Tabla1[[#This Row],[Fecha]],"MMMM")</f>
        <v>enero</v>
      </c>
      <c r="C2536" t="s">
        <v>2546</v>
      </c>
      <c r="D2536" t="s">
        <v>5019</v>
      </c>
      <c r="E2536" t="s">
        <v>5032</v>
      </c>
      <c r="F2536" t="s">
        <v>5034</v>
      </c>
      <c r="G2536" s="3">
        <v>14718.37</v>
      </c>
      <c r="H2536" s="3">
        <v>0</v>
      </c>
      <c r="I2536" s="3">
        <f>SUM(Tabla1[[#This Row],[Monto_Base]],H2536)</f>
        <v>14718.37</v>
      </c>
      <c r="J2536" t="s">
        <v>5044</v>
      </c>
      <c r="K2536" t="s">
        <v>5047</v>
      </c>
      <c r="L2536" t="s">
        <v>5051</v>
      </c>
      <c r="M2536" t="s">
        <v>5055</v>
      </c>
    </row>
    <row r="2537" spans="1:13" x14ac:dyDescent="0.3">
      <c r="A2537" s="1">
        <v>45550</v>
      </c>
      <c r="B2537" s="1" t="str">
        <f>TEXT(Tabla1[[#This Row],[Fecha]],"MMMM")</f>
        <v>septiembre</v>
      </c>
      <c r="C2537" t="s">
        <v>2547</v>
      </c>
      <c r="D2537" t="s">
        <v>5020</v>
      </c>
      <c r="E2537" t="s">
        <v>5032</v>
      </c>
      <c r="F2537" t="s">
        <v>5034</v>
      </c>
      <c r="G2537" s="3">
        <v>5516.02</v>
      </c>
      <c r="H2537" s="3">
        <v>0</v>
      </c>
      <c r="I2537" s="3">
        <f>SUM(Tabla1[[#This Row],[Monto_Base]],H2537)</f>
        <v>5516.02</v>
      </c>
      <c r="J2537" t="s">
        <v>5044</v>
      </c>
      <c r="K2537" t="s">
        <v>5047</v>
      </c>
      <c r="L2537" t="s">
        <v>5052</v>
      </c>
      <c r="M2537" t="s">
        <v>5055</v>
      </c>
    </row>
    <row r="2538" spans="1:13" x14ac:dyDescent="0.3">
      <c r="A2538" s="1">
        <v>45626</v>
      </c>
      <c r="B2538" s="1" t="str">
        <f>TEXT(Tabla1[[#This Row],[Fecha]],"MMMM")</f>
        <v>noviembre</v>
      </c>
      <c r="C2538" t="s">
        <v>2548</v>
      </c>
      <c r="D2538" t="s">
        <v>5018</v>
      </c>
      <c r="E2538" t="s">
        <v>5033</v>
      </c>
      <c r="F2538" t="s">
        <v>5037</v>
      </c>
      <c r="G2538" s="3">
        <v>6092.9</v>
      </c>
      <c r="H2538" s="3">
        <v>792.08</v>
      </c>
      <c r="I2538" s="3">
        <f>SUM(Tabla1[[#This Row],[Monto_Base]],H2538)</f>
        <v>6884.98</v>
      </c>
      <c r="J2538" t="s">
        <v>5044</v>
      </c>
      <c r="K2538" t="s">
        <v>5048</v>
      </c>
      <c r="L2538" t="s">
        <v>5051</v>
      </c>
      <c r="M2538" t="s">
        <v>5054</v>
      </c>
    </row>
    <row r="2539" spans="1:13" x14ac:dyDescent="0.3">
      <c r="A2539" s="1">
        <v>45313</v>
      </c>
      <c r="B2539" s="1" t="str">
        <f>TEXT(Tabla1[[#This Row],[Fecha]],"MMMM")</f>
        <v>enero</v>
      </c>
      <c r="C2539" t="s">
        <v>2549</v>
      </c>
      <c r="D2539" t="s">
        <v>5019</v>
      </c>
      <c r="E2539" t="s">
        <v>5033</v>
      </c>
      <c r="F2539" t="s">
        <v>5041</v>
      </c>
      <c r="G2539" s="3">
        <v>387.2</v>
      </c>
      <c r="H2539" s="3">
        <v>50.34</v>
      </c>
      <c r="I2539" s="3">
        <f>SUM(Tabla1[[#This Row],[Monto_Base]],H2539)</f>
        <v>437.53999999999996</v>
      </c>
      <c r="J2539" t="s">
        <v>5045</v>
      </c>
      <c r="K2539" t="s">
        <v>5048</v>
      </c>
      <c r="L2539" t="s">
        <v>5051</v>
      </c>
      <c r="M2539" t="s">
        <v>5054</v>
      </c>
    </row>
    <row r="2540" spans="1:13" x14ac:dyDescent="0.3">
      <c r="A2540" s="1">
        <v>45425</v>
      </c>
      <c r="B2540" s="1" t="str">
        <f>TEXT(Tabla1[[#This Row],[Fecha]],"MMMM")</f>
        <v>mayo</v>
      </c>
      <c r="C2540" t="s">
        <v>2550</v>
      </c>
      <c r="D2540" t="s">
        <v>5012</v>
      </c>
      <c r="E2540" t="s">
        <v>5032</v>
      </c>
      <c r="F2540" t="s">
        <v>5037</v>
      </c>
      <c r="G2540" s="3">
        <v>12924.13</v>
      </c>
      <c r="H2540" s="3">
        <v>0</v>
      </c>
      <c r="I2540" s="3">
        <f>SUM(Tabla1[[#This Row],[Monto_Base]],H2540)</f>
        <v>12924.13</v>
      </c>
      <c r="J2540" t="s">
        <v>5045</v>
      </c>
      <c r="K2540" t="s">
        <v>5049</v>
      </c>
      <c r="L2540" t="s">
        <v>5050</v>
      </c>
      <c r="M2540" t="s">
        <v>5054</v>
      </c>
    </row>
    <row r="2541" spans="1:13" x14ac:dyDescent="0.3">
      <c r="A2541" s="1">
        <v>45322</v>
      </c>
      <c r="B2541" s="1" t="str">
        <f>TEXT(Tabla1[[#This Row],[Fecha]],"MMMM")</f>
        <v>enero</v>
      </c>
      <c r="C2541" t="s">
        <v>2551</v>
      </c>
      <c r="D2541" t="s">
        <v>5012</v>
      </c>
      <c r="E2541" t="s">
        <v>5032</v>
      </c>
      <c r="F2541" t="s">
        <v>5037</v>
      </c>
      <c r="G2541" s="3">
        <v>8145.36</v>
      </c>
      <c r="H2541" s="3">
        <v>0</v>
      </c>
      <c r="I2541" s="3">
        <f>SUM(Tabla1[[#This Row],[Monto_Base]],H2541)</f>
        <v>8145.36</v>
      </c>
      <c r="J2541" t="s">
        <v>5044</v>
      </c>
      <c r="K2541" t="s">
        <v>5047</v>
      </c>
      <c r="L2541" t="s">
        <v>5050</v>
      </c>
      <c r="M2541" t="s">
        <v>5054</v>
      </c>
    </row>
    <row r="2542" spans="1:13" x14ac:dyDescent="0.3">
      <c r="A2542" s="1">
        <v>45548</v>
      </c>
      <c r="B2542" s="1" t="str">
        <f>TEXT(Tabla1[[#This Row],[Fecha]],"MMMM")</f>
        <v>septiembre</v>
      </c>
      <c r="C2542" t="s">
        <v>2552</v>
      </c>
      <c r="D2542" t="s">
        <v>5012</v>
      </c>
      <c r="E2542" t="s">
        <v>5032</v>
      </c>
      <c r="F2542" t="s">
        <v>5037</v>
      </c>
      <c r="G2542" s="3">
        <v>2569.08</v>
      </c>
      <c r="H2542" s="3">
        <v>0</v>
      </c>
      <c r="I2542" s="3">
        <f>SUM(Tabla1[[#This Row],[Monto_Base]],H2542)</f>
        <v>2569.08</v>
      </c>
      <c r="J2542" t="s">
        <v>5045</v>
      </c>
      <c r="K2542" t="s">
        <v>5047</v>
      </c>
      <c r="L2542" t="s">
        <v>5051</v>
      </c>
      <c r="M2542" t="s">
        <v>5054</v>
      </c>
    </row>
    <row r="2543" spans="1:13" x14ac:dyDescent="0.3">
      <c r="A2543" s="1">
        <v>45576</v>
      </c>
      <c r="B2543" s="1" t="str">
        <f>TEXT(Tabla1[[#This Row],[Fecha]],"MMMM")</f>
        <v>octubre</v>
      </c>
      <c r="C2543" t="s">
        <v>2553</v>
      </c>
      <c r="D2543" t="s">
        <v>5017</v>
      </c>
      <c r="E2543" t="s">
        <v>5033</v>
      </c>
      <c r="F2543" t="s">
        <v>5039</v>
      </c>
      <c r="G2543" s="3">
        <v>2755.67</v>
      </c>
      <c r="H2543" s="3">
        <v>358.24</v>
      </c>
      <c r="I2543" s="3">
        <f>SUM(Tabla1[[#This Row],[Monto_Base]],H2543)</f>
        <v>3113.91</v>
      </c>
      <c r="J2543" t="s">
        <v>5046</v>
      </c>
      <c r="K2543" t="s">
        <v>5048</v>
      </c>
      <c r="L2543" t="s">
        <v>5053</v>
      </c>
      <c r="M2543" t="s">
        <v>5055</v>
      </c>
    </row>
    <row r="2544" spans="1:13" x14ac:dyDescent="0.3">
      <c r="A2544" s="1">
        <v>45602</v>
      </c>
      <c r="B2544" s="1" t="str">
        <f>TEXT(Tabla1[[#This Row],[Fecha]],"MMMM")</f>
        <v>noviembre</v>
      </c>
      <c r="C2544" t="s">
        <v>2554</v>
      </c>
      <c r="D2544" t="s">
        <v>5020</v>
      </c>
      <c r="E2544" t="s">
        <v>5033</v>
      </c>
      <c r="F2544" t="s">
        <v>5034</v>
      </c>
      <c r="G2544" s="3">
        <v>5400.84</v>
      </c>
      <c r="H2544" s="3">
        <v>702.11</v>
      </c>
      <c r="I2544" s="3">
        <f>SUM(Tabla1[[#This Row],[Monto_Base]],H2544)</f>
        <v>6102.95</v>
      </c>
      <c r="J2544" t="s">
        <v>5042</v>
      </c>
      <c r="K2544" t="s">
        <v>5049</v>
      </c>
      <c r="L2544" t="s">
        <v>5051</v>
      </c>
      <c r="M2544" t="s">
        <v>5054</v>
      </c>
    </row>
    <row r="2545" spans="1:13" x14ac:dyDescent="0.3">
      <c r="A2545" s="1">
        <v>45575</v>
      </c>
      <c r="B2545" s="1" t="str">
        <f>TEXT(Tabla1[[#This Row],[Fecha]],"MMMM")</f>
        <v>octubre</v>
      </c>
      <c r="C2545" t="s">
        <v>2555</v>
      </c>
      <c r="D2545" t="s">
        <v>5021</v>
      </c>
      <c r="E2545" t="s">
        <v>5033</v>
      </c>
      <c r="F2545" t="s">
        <v>5035</v>
      </c>
      <c r="G2545" s="3">
        <v>10908.03</v>
      </c>
      <c r="H2545" s="3">
        <v>1418.04</v>
      </c>
      <c r="I2545" s="3">
        <f>SUM(Tabla1[[#This Row],[Monto_Base]],H2545)</f>
        <v>12326.07</v>
      </c>
      <c r="J2545" t="s">
        <v>5044</v>
      </c>
      <c r="K2545" t="s">
        <v>5048</v>
      </c>
      <c r="L2545" t="s">
        <v>5053</v>
      </c>
      <c r="M2545" t="s">
        <v>5054</v>
      </c>
    </row>
    <row r="2546" spans="1:13" x14ac:dyDescent="0.3">
      <c r="A2546" s="1">
        <v>45307</v>
      </c>
      <c r="B2546" s="1" t="str">
        <f>TEXT(Tabla1[[#This Row],[Fecha]],"MMMM")</f>
        <v>enero</v>
      </c>
      <c r="C2546" t="s">
        <v>2556</v>
      </c>
      <c r="D2546" t="s">
        <v>5030</v>
      </c>
      <c r="E2546" t="s">
        <v>5033</v>
      </c>
      <c r="F2546" t="s">
        <v>5034</v>
      </c>
      <c r="G2546" s="3">
        <v>5238.09</v>
      </c>
      <c r="H2546" s="3">
        <v>680.95</v>
      </c>
      <c r="I2546" s="3">
        <f>SUM(Tabla1[[#This Row],[Monto_Base]],H2546)</f>
        <v>5919.04</v>
      </c>
      <c r="J2546" t="s">
        <v>5044</v>
      </c>
      <c r="K2546" t="s">
        <v>5047</v>
      </c>
      <c r="L2546" t="s">
        <v>5051</v>
      </c>
      <c r="M2546" t="s">
        <v>5055</v>
      </c>
    </row>
    <row r="2547" spans="1:13" x14ac:dyDescent="0.3">
      <c r="A2547" s="1">
        <v>45515</v>
      </c>
      <c r="B2547" s="1" t="str">
        <f>TEXT(Tabla1[[#This Row],[Fecha]],"MMMM")</f>
        <v>agosto</v>
      </c>
      <c r="C2547" t="s">
        <v>2557</v>
      </c>
      <c r="D2547" t="s">
        <v>5026</v>
      </c>
      <c r="E2547" t="s">
        <v>5033</v>
      </c>
      <c r="F2547" t="s">
        <v>5035</v>
      </c>
      <c r="G2547" s="3">
        <v>11883.61</v>
      </c>
      <c r="H2547" s="3">
        <v>1544.87</v>
      </c>
      <c r="I2547" s="3">
        <f>SUM(Tabla1[[#This Row],[Monto_Base]],H2547)</f>
        <v>13428.48</v>
      </c>
      <c r="J2547" t="s">
        <v>5044</v>
      </c>
      <c r="K2547" t="s">
        <v>5047</v>
      </c>
      <c r="L2547" t="s">
        <v>5051</v>
      </c>
      <c r="M2547" t="s">
        <v>5055</v>
      </c>
    </row>
    <row r="2548" spans="1:13" x14ac:dyDescent="0.3">
      <c r="A2548" s="1">
        <v>45568</v>
      </c>
      <c r="B2548" s="1" t="str">
        <f>TEXT(Tabla1[[#This Row],[Fecha]],"MMMM")</f>
        <v>octubre</v>
      </c>
      <c r="C2548" t="s">
        <v>2558</v>
      </c>
      <c r="D2548" t="s">
        <v>5031</v>
      </c>
      <c r="E2548" t="s">
        <v>5032</v>
      </c>
      <c r="F2548" t="s">
        <v>5034</v>
      </c>
      <c r="G2548" s="3">
        <v>486.7</v>
      </c>
      <c r="H2548" s="3">
        <v>0</v>
      </c>
      <c r="I2548" s="3">
        <f>SUM(Tabla1[[#This Row],[Monto_Base]],H2548)</f>
        <v>486.7</v>
      </c>
      <c r="J2548" t="s">
        <v>5045</v>
      </c>
      <c r="K2548" t="s">
        <v>5047</v>
      </c>
      <c r="L2548" t="s">
        <v>5053</v>
      </c>
      <c r="M2548" t="s">
        <v>5055</v>
      </c>
    </row>
    <row r="2549" spans="1:13" x14ac:dyDescent="0.3">
      <c r="A2549" s="1">
        <v>45331</v>
      </c>
      <c r="B2549" s="1" t="str">
        <f>TEXT(Tabla1[[#This Row],[Fecha]],"MMMM")</f>
        <v>febrero</v>
      </c>
      <c r="C2549" t="s">
        <v>2559</v>
      </c>
      <c r="D2549" t="s">
        <v>5031</v>
      </c>
      <c r="E2549" t="s">
        <v>5032</v>
      </c>
      <c r="F2549" t="s">
        <v>5040</v>
      </c>
      <c r="G2549" s="3">
        <v>3676.64</v>
      </c>
      <c r="H2549" s="3">
        <v>0</v>
      </c>
      <c r="I2549" s="3">
        <f>SUM(Tabla1[[#This Row],[Monto_Base]],H2549)</f>
        <v>3676.64</v>
      </c>
      <c r="J2549" t="s">
        <v>5042</v>
      </c>
      <c r="K2549" t="s">
        <v>5048</v>
      </c>
      <c r="L2549" t="s">
        <v>5052</v>
      </c>
      <c r="M2549" t="s">
        <v>5054</v>
      </c>
    </row>
    <row r="2550" spans="1:13" x14ac:dyDescent="0.3">
      <c r="A2550" s="1">
        <v>45439</v>
      </c>
      <c r="B2550" s="1" t="str">
        <f>TEXT(Tabla1[[#This Row],[Fecha]],"MMMM")</f>
        <v>mayo</v>
      </c>
      <c r="C2550" t="s">
        <v>2560</v>
      </c>
      <c r="D2550" t="s">
        <v>5029</v>
      </c>
      <c r="E2550" t="s">
        <v>5032</v>
      </c>
      <c r="F2550" t="s">
        <v>5037</v>
      </c>
      <c r="G2550" s="3">
        <v>12008.02</v>
      </c>
      <c r="H2550" s="3">
        <v>0</v>
      </c>
      <c r="I2550" s="3">
        <f>SUM(Tabla1[[#This Row],[Monto_Base]],H2550)</f>
        <v>12008.02</v>
      </c>
      <c r="J2550" t="s">
        <v>5046</v>
      </c>
      <c r="K2550" t="s">
        <v>5049</v>
      </c>
      <c r="L2550" t="s">
        <v>5053</v>
      </c>
      <c r="M2550" t="s">
        <v>5054</v>
      </c>
    </row>
    <row r="2551" spans="1:13" x14ac:dyDescent="0.3">
      <c r="A2551" s="1">
        <v>45468</v>
      </c>
      <c r="B2551" s="1" t="str">
        <f>TEXT(Tabla1[[#This Row],[Fecha]],"MMMM")</f>
        <v>junio</v>
      </c>
      <c r="C2551" t="s">
        <v>2561</v>
      </c>
      <c r="D2551" t="s">
        <v>5023</v>
      </c>
      <c r="E2551" t="s">
        <v>5033</v>
      </c>
      <c r="F2551" t="s">
        <v>5035</v>
      </c>
      <c r="G2551" s="3">
        <v>5813.61</v>
      </c>
      <c r="H2551" s="3">
        <v>755.77</v>
      </c>
      <c r="I2551" s="3">
        <f>SUM(Tabla1[[#This Row],[Monto_Base]],H2551)</f>
        <v>6569.3799999999992</v>
      </c>
      <c r="J2551" t="s">
        <v>5043</v>
      </c>
      <c r="K2551" t="s">
        <v>5049</v>
      </c>
      <c r="L2551" t="s">
        <v>5053</v>
      </c>
      <c r="M2551" t="s">
        <v>5054</v>
      </c>
    </row>
    <row r="2552" spans="1:13" x14ac:dyDescent="0.3">
      <c r="A2552" s="1">
        <v>45630</v>
      </c>
      <c r="B2552" s="1" t="str">
        <f>TEXT(Tabla1[[#This Row],[Fecha]],"MMMM")</f>
        <v>diciembre</v>
      </c>
      <c r="C2552" t="s">
        <v>2562</v>
      </c>
      <c r="D2552" t="s">
        <v>5016</v>
      </c>
      <c r="E2552" t="s">
        <v>5033</v>
      </c>
      <c r="F2552" t="s">
        <v>5039</v>
      </c>
      <c r="G2552" s="3">
        <v>1505.34</v>
      </c>
      <c r="H2552" s="3">
        <v>195.69</v>
      </c>
      <c r="I2552" s="3">
        <f>SUM(Tabla1[[#This Row],[Monto_Base]],H2552)</f>
        <v>1701.03</v>
      </c>
      <c r="J2552" t="s">
        <v>5042</v>
      </c>
      <c r="K2552" t="s">
        <v>5049</v>
      </c>
      <c r="L2552" t="s">
        <v>5050</v>
      </c>
      <c r="M2552" t="s">
        <v>5055</v>
      </c>
    </row>
    <row r="2553" spans="1:13" x14ac:dyDescent="0.3">
      <c r="A2553" s="1">
        <v>45574</v>
      </c>
      <c r="B2553" s="1" t="str">
        <f>TEXT(Tabla1[[#This Row],[Fecha]],"MMMM")</f>
        <v>octubre</v>
      </c>
      <c r="C2553" t="s">
        <v>2563</v>
      </c>
      <c r="D2553" t="s">
        <v>5027</v>
      </c>
      <c r="E2553" t="s">
        <v>5033</v>
      </c>
      <c r="F2553" t="s">
        <v>5040</v>
      </c>
      <c r="G2553" s="3">
        <v>12224.1</v>
      </c>
      <c r="H2553" s="3">
        <v>1589.13</v>
      </c>
      <c r="I2553" s="3">
        <f>SUM(Tabla1[[#This Row],[Monto_Base]],H2553)</f>
        <v>13813.23</v>
      </c>
      <c r="J2553" t="s">
        <v>5044</v>
      </c>
      <c r="K2553" t="s">
        <v>5048</v>
      </c>
      <c r="L2553" t="s">
        <v>5050</v>
      </c>
      <c r="M2553" t="s">
        <v>5055</v>
      </c>
    </row>
    <row r="2554" spans="1:13" x14ac:dyDescent="0.3">
      <c r="A2554" s="1">
        <v>45292</v>
      </c>
      <c r="B2554" s="1" t="str">
        <f>TEXT(Tabla1[[#This Row],[Fecha]],"MMMM")</f>
        <v>enero</v>
      </c>
      <c r="C2554" t="s">
        <v>2564</v>
      </c>
      <c r="D2554" t="s">
        <v>5022</v>
      </c>
      <c r="E2554" t="s">
        <v>5032</v>
      </c>
      <c r="F2554" t="s">
        <v>5039</v>
      </c>
      <c r="G2554" s="3">
        <v>8659.89</v>
      </c>
      <c r="H2554" s="3">
        <v>0</v>
      </c>
      <c r="I2554" s="3">
        <f>SUM(Tabla1[[#This Row],[Monto_Base]],H2554)</f>
        <v>8659.89</v>
      </c>
      <c r="J2554" t="s">
        <v>5043</v>
      </c>
      <c r="K2554" t="s">
        <v>5049</v>
      </c>
      <c r="L2554" t="s">
        <v>5050</v>
      </c>
      <c r="M2554" t="s">
        <v>5054</v>
      </c>
    </row>
    <row r="2555" spans="1:13" x14ac:dyDescent="0.3">
      <c r="A2555" s="1">
        <v>45326</v>
      </c>
      <c r="B2555" s="1" t="str">
        <f>TEXT(Tabla1[[#This Row],[Fecha]],"MMMM")</f>
        <v>febrero</v>
      </c>
      <c r="C2555" t="s">
        <v>2565</v>
      </c>
      <c r="D2555" t="s">
        <v>5020</v>
      </c>
      <c r="E2555" t="s">
        <v>5033</v>
      </c>
      <c r="F2555" t="s">
        <v>5037</v>
      </c>
      <c r="G2555" s="3">
        <v>270.85000000000002</v>
      </c>
      <c r="H2555" s="3">
        <v>35.21</v>
      </c>
      <c r="I2555" s="3">
        <f>SUM(Tabla1[[#This Row],[Monto_Base]],H2555)</f>
        <v>306.06</v>
      </c>
      <c r="J2555" t="s">
        <v>5045</v>
      </c>
      <c r="K2555" t="s">
        <v>5048</v>
      </c>
      <c r="L2555" t="s">
        <v>5051</v>
      </c>
      <c r="M2555" t="s">
        <v>5055</v>
      </c>
    </row>
    <row r="2556" spans="1:13" x14ac:dyDescent="0.3">
      <c r="A2556" s="1">
        <v>45482</v>
      </c>
      <c r="B2556" s="1" t="str">
        <f>TEXT(Tabla1[[#This Row],[Fecha]],"MMMM")</f>
        <v>julio</v>
      </c>
      <c r="C2556" t="s">
        <v>2566</v>
      </c>
      <c r="D2556" t="s">
        <v>5024</v>
      </c>
      <c r="E2556" t="s">
        <v>5033</v>
      </c>
      <c r="F2556" t="s">
        <v>5041</v>
      </c>
      <c r="G2556" s="3">
        <v>11354.38</v>
      </c>
      <c r="H2556" s="3">
        <v>1476.07</v>
      </c>
      <c r="I2556" s="3">
        <f>SUM(Tabla1[[#This Row],[Monto_Base]],H2556)</f>
        <v>12830.449999999999</v>
      </c>
      <c r="J2556" t="s">
        <v>5043</v>
      </c>
      <c r="K2556" t="s">
        <v>5047</v>
      </c>
      <c r="L2556" t="s">
        <v>5053</v>
      </c>
      <c r="M2556" t="s">
        <v>5055</v>
      </c>
    </row>
    <row r="2557" spans="1:13" x14ac:dyDescent="0.3">
      <c r="A2557" s="1">
        <v>45406</v>
      </c>
      <c r="B2557" s="1" t="str">
        <f>TEXT(Tabla1[[#This Row],[Fecha]],"MMMM")</f>
        <v>abril</v>
      </c>
      <c r="C2557" t="s">
        <v>2567</v>
      </c>
      <c r="D2557" t="s">
        <v>5028</v>
      </c>
      <c r="E2557" t="s">
        <v>5032</v>
      </c>
      <c r="F2557" t="s">
        <v>5037</v>
      </c>
      <c r="G2557" s="3">
        <v>1443.84</v>
      </c>
      <c r="H2557" s="3">
        <v>0</v>
      </c>
      <c r="I2557" s="3">
        <f>SUM(Tabla1[[#This Row],[Monto_Base]],H2557)</f>
        <v>1443.84</v>
      </c>
      <c r="J2557" t="s">
        <v>5043</v>
      </c>
      <c r="K2557" t="s">
        <v>5049</v>
      </c>
      <c r="L2557" t="s">
        <v>5053</v>
      </c>
      <c r="M2557" t="s">
        <v>5055</v>
      </c>
    </row>
    <row r="2558" spans="1:13" x14ac:dyDescent="0.3">
      <c r="A2558" s="1">
        <v>45554</v>
      </c>
      <c r="B2558" s="1" t="str">
        <f>TEXT(Tabla1[[#This Row],[Fecha]],"MMMM")</f>
        <v>septiembre</v>
      </c>
      <c r="C2558" t="s">
        <v>2568</v>
      </c>
      <c r="D2558" t="s">
        <v>5026</v>
      </c>
      <c r="E2558" t="s">
        <v>5032</v>
      </c>
      <c r="F2558" t="s">
        <v>5034</v>
      </c>
      <c r="G2558" s="3">
        <v>9543.52</v>
      </c>
      <c r="H2558" s="3">
        <v>0</v>
      </c>
      <c r="I2558" s="3">
        <f>SUM(Tabla1[[#This Row],[Monto_Base]],H2558)</f>
        <v>9543.52</v>
      </c>
      <c r="J2558" t="s">
        <v>5044</v>
      </c>
      <c r="K2558" t="s">
        <v>5047</v>
      </c>
      <c r="L2558" t="s">
        <v>5050</v>
      </c>
      <c r="M2558" t="s">
        <v>5055</v>
      </c>
    </row>
    <row r="2559" spans="1:13" x14ac:dyDescent="0.3">
      <c r="A2559" s="1">
        <v>45527</v>
      </c>
      <c r="B2559" s="1" t="str">
        <f>TEXT(Tabla1[[#This Row],[Fecha]],"MMMM")</f>
        <v>agosto</v>
      </c>
      <c r="C2559" t="s">
        <v>2569</v>
      </c>
      <c r="D2559" t="s">
        <v>5031</v>
      </c>
      <c r="E2559" t="s">
        <v>5032</v>
      </c>
      <c r="F2559" t="s">
        <v>5038</v>
      </c>
      <c r="G2559" s="3">
        <v>4076.83</v>
      </c>
      <c r="H2559" s="3">
        <v>0</v>
      </c>
      <c r="I2559" s="3">
        <f>SUM(Tabla1[[#This Row],[Monto_Base]],H2559)</f>
        <v>4076.83</v>
      </c>
      <c r="J2559" t="s">
        <v>5043</v>
      </c>
      <c r="K2559" t="s">
        <v>5047</v>
      </c>
      <c r="L2559" t="s">
        <v>5051</v>
      </c>
      <c r="M2559" t="s">
        <v>5054</v>
      </c>
    </row>
    <row r="2560" spans="1:13" x14ac:dyDescent="0.3">
      <c r="A2560" s="1">
        <v>45381</v>
      </c>
      <c r="B2560" s="1" t="str">
        <f>TEXT(Tabla1[[#This Row],[Fecha]],"MMMM")</f>
        <v>marzo</v>
      </c>
      <c r="C2560" t="s">
        <v>2570</v>
      </c>
      <c r="D2560" t="s">
        <v>5028</v>
      </c>
      <c r="E2560" t="s">
        <v>5033</v>
      </c>
      <c r="F2560" t="s">
        <v>5039</v>
      </c>
      <c r="G2560" s="3">
        <v>13519.26</v>
      </c>
      <c r="H2560" s="3">
        <v>1757.5</v>
      </c>
      <c r="I2560" s="3">
        <f>SUM(Tabla1[[#This Row],[Monto_Base]],H2560)</f>
        <v>15276.76</v>
      </c>
      <c r="J2560" t="s">
        <v>5046</v>
      </c>
      <c r="K2560" t="s">
        <v>5048</v>
      </c>
      <c r="L2560" t="s">
        <v>5053</v>
      </c>
      <c r="M2560" t="s">
        <v>5054</v>
      </c>
    </row>
    <row r="2561" spans="1:13" x14ac:dyDescent="0.3">
      <c r="A2561" s="1">
        <v>45461</v>
      </c>
      <c r="B2561" s="1" t="str">
        <f>TEXT(Tabla1[[#This Row],[Fecha]],"MMMM")</f>
        <v>junio</v>
      </c>
      <c r="C2561" t="s">
        <v>2571</v>
      </c>
      <c r="D2561" t="s">
        <v>5030</v>
      </c>
      <c r="E2561" t="s">
        <v>5032</v>
      </c>
      <c r="F2561" t="s">
        <v>5039</v>
      </c>
      <c r="G2561" s="3">
        <v>4651.82</v>
      </c>
      <c r="H2561" s="3">
        <v>0</v>
      </c>
      <c r="I2561" s="3">
        <f>SUM(Tabla1[[#This Row],[Monto_Base]],H2561)</f>
        <v>4651.82</v>
      </c>
      <c r="J2561" t="s">
        <v>5044</v>
      </c>
      <c r="K2561" t="s">
        <v>5047</v>
      </c>
      <c r="L2561" t="s">
        <v>5050</v>
      </c>
      <c r="M2561" t="s">
        <v>5054</v>
      </c>
    </row>
    <row r="2562" spans="1:13" x14ac:dyDescent="0.3">
      <c r="A2562" s="1">
        <v>45591</v>
      </c>
      <c r="B2562" s="1" t="str">
        <f>TEXT(Tabla1[[#This Row],[Fecha]],"MMMM")</f>
        <v>octubre</v>
      </c>
      <c r="C2562" t="s">
        <v>2572</v>
      </c>
      <c r="D2562" t="s">
        <v>5016</v>
      </c>
      <c r="E2562" t="s">
        <v>5032</v>
      </c>
      <c r="F2562" t="s">
        <v>5040</v>
      </c>
      <c r="G2562" s="3">
        <v>6905.11</v>
      </c>
      <c r="H2562" s="3">
        <v>0</v>
      </c>
      <c r="I2562" s="3">
        <f>SUM(Tabla1[[#This Row],[Monto_Base]],H2562)</f>
        <v>6905.11</v>
      </c>
      <c r="J2562" t="s">
        <v>5045</v>
      </c>
      <c r="K2562" t="s">
        <v>5048</v>
      </c>
      <c r="L2562" t="s">
        <v>5052</v>
      </c>
      <c r="M2562" t="s">
        <v>5055</v>
      </c>
    </row>
    <row r="2563" spans="1:13" x14ac:dyDescent="0.3">
      <c r="A2563" s="1">
        <v>45523</v>
      </c>
      <c r="B2563" s="1" t="str">
        <f>TEXT(Tabla1[[#This Row],[Fecha]],"MMMM")</f>
        <v>agosto</v>
      </c>
      <c r="C2563" t="s">
        <v>2573</v>
      </c>
      <c r="D2563" t="s">
        <v>5022</v>
      </c>
      <c r="E2563" t="s">
        <v>5033</v>
      </c>
      <c r="F2563" t="s">
        <v>5038</v>
      </c>
      <c r="G2563" s="3">
        <v>2509.91</v>
      </c>
      <c r="H2563" s="3">
        <v>326.29000000000002</v>
      </c>
      <c r="I2563" s="3">
        <f>SUM(Tabla1[[#This Row],[Monto_Base]],H2563)</f>
        <v>2836.2</v>
      </c>
      <c r="J2563" t="s">
        <v>5045</v>
      </c>
      <c r="K2563" t="s">
        <v>5047</v>
      </c>
      <c r="L2563" t="s">
        <v>5052</v>
      </c>
      <c r="M2563" t="s">
        <v>5054</v>
      </c>
    </row>
    <row r="2564" spans="1:13" x14ac:dyDescent="0.3">
      <c r="A2564" s="1">
        <v>45405</v>
      </c>
      <c r="B2564" s="1" t="str">
        <f>TEXT(Tabla1[[#This Row],[Fecha]],"MMMM")</f>
        <v>abril</v>
      </c>
      <c r="C2564" t="s">
        <v>2574</v>
      </c>
      <c r="D2564" t="s">
        <v>5031</v>
      </c>
      <c r="E2564" t="s">
        <v>5032</v>
      </c>
      <c r="F2564" t="s">
        <v>5038</v>
      </c>
      <c r="G2564" s="3">
        <v>5414.6</v>
      </c>
      <c r="H2564" s="3">
        <v>0</v>
      </c>
      <c r="I2564" s="3">
        <f>SUM(Tabla1[[#This Row],[Monto_Base]],H2564)</f>
        <v>5414.6</v>
      </c>
      <c r="J2564" t="s">
        <v>5045</v>
      </c>
      <c r="K2564" t="s">
        <v>5048</v>
      </c>
      <c r="L2564" t="s">
        <v>5052</v>
      </c>
      <c r="M2564" t="s">
        <v>5055</v>
      </c>
    </row>
    <row r="2565" spans="1:13" x14ac:dyDescent="0.3">
      <c r="A2565" s="1">
        <v>45363</v>
      </c>
      <c r="B2565" s="1" t="str">
        <f>TEXT(Tabla1[[#This Row],[Fecha]],"MMMM")</f>
        <v>marzo</v>
      </c>
      <c r="C2565" t="s">
        <v>2575</v>
      </c>
      <c r="D2565" t="s">
        <v>5012</v>
      </c>
      <c r="E2565" t="s">
        <v>5032</v>
      </c>
      <c r="F2565" t="s">
        <v>5035</v>
      </c>
      <c r="G2565" s="3">
        <v>13679.14</v>
      </c>
      <c r="H2565" s="3">
        <v>0</v>
      </c>
      <c r="I2565" s="3">
        <f>SUM(Tabla1[[#This Row],[Monto_Base]],H2565)</f>
        <v>13679.14</v>
      </c>
      <c r="J2565" t="s">
        <v>5042</v>
      </c>
      <c r="K2565" t="s">
        <v>5048</v>
      </c>
      <c r="L2565" t="s">
        <v>5050</v>
      </c>
      <c r="M2565" t="s">
        <v>5054</v>
      </c>
    </row>
    <row r="2566" spans="1:13" x14ac:dyDescent="0.3">
      <c r="A2566" s="1">
        <v>45372</v>
      </c>
      <c r="B2566" s="1" t="str">
        <f>TEXT(Tabla1[[#This Row],[Fecha]],"MMMM")</f>
        <v>marzo</v>
      </c>
      <c r="C2566" t="s">
        <v>2576</v>
      </c>
      <c r="D2566" t="s">
        <v>5018</v>
      </c>
      <c r="E2566" t="s">
        <v>5033</v>
      </c>
      <c r="F2566" t="s">
        <v>5036</v>
      </c>
      <c r="G2566" s="3">
        <v>7306.33</v>
      </c>
      <c r="H2566" s="3">
        <v>949.82</v>
      </c>
      <c r="I2566" s="3">
        <f>SUM(Tabla1[[#This Row],[Monto_Base]],H2566)</f>
        <v>8256.15</v>
      </c>
      <c r="J2566" t="s">
        <v>5042</v>
      </c>
      <c r="K2566" t="s">
        <v>5047</v>
      </c>
      <c r="L2566" t="s">
        <v>5052</v>
      </c>
      <c r="M2566" t="s">
        <v>5054</v>
      </c>
    </row>
    <row r="2567" spans="1:13" x14ac:dyDescent="0.3">
      <c r="A2567" s="1">
        <v>45382</v>
      </c>
      <c r="B2567" s="1" t="str">
        <f>TEXT(Tabla1[[#This Row],[Fecha]],"MMMM")</f>
        <v>marzo</v>
      </c>
      <c r="C2567" t="s">
        <v>2577</v>
      </c>
      <c r="D2567" t="s">
        <v>5030</v>
      </c>
      <c r="E2567" t="s">
        <v>5032</v>
      </c>
      <c r="F2567" t="s">
        <v>5041</v>
      </c>
      <c r="G2567" s="3">
        <v>8146.53</v>
      </c>
      <c r="H2567" s="3">
        <v>0</v>
      </c>
      <c r="I2567" s="3">
        <f>SUM(Tabla1[[#This Row],[Monto_Base]],H2567)</f>
        <v>8146.53</v>
      </c>
      <c r="J2567" t="s">
        <v>5045</v>
      </c>
      <c r="K2567" t="s">
        <v>5048</v>
      </c>
      <c r="L2567" t="s">
        <v>5052</v>
      </c>
      <c r="M2567" t="s">
        <v>5054</v>
      </c>
    </row>
    <row r="2568" spans="1:13" x14ac:dyDescent="0.3">
      <c r="A2568" s="1">
        <v>45294</v>
      </c>
      <c r="B2568" s="1" t="str">
        <f>TEXT(Tabla1[[#This Row],[Fecha]],"MMMM")</f>
        <v>enero</v>
      </c>
      <c r="C2568" t="s">
        <v>2578</v>
      </c>
      <c r="D2568" t="s">
        <v>5019</v>
      </c>
      <c r="E2568" t="s">
        <v>5033</v>
      </c>
      <c r="F2568" t="s">
        <v>5041</v>
      </c>
      <c r="G2568" s="3">
        <v>12883.65</v>
      </c>
      <c r="H2568" s="3">
        <v>1674.87</v>
      </c>
      <c r="I2568" s="3">
        <f>SUM(Tabla1[[#This Row],[Monto_Base]],H2568)</f>
        <v>14558.52</v>
      </c>
      <c r="J2568" t="s">
        <v>5043</v>
      </c>
      <c r="K2568" t="s">
        <v>5047</v>
      </c>
      <c r="L2568" t="s">
        <v>5052</v>
      </c>
      <c r="M2568" t="s">
        <v>5055</v>
      </c>
    </row>
    <row r="2569" spans="1:13" x14ac:dyDescent="0.3">
      <c r="A2569" s="1">
        <v>45548</v>
      </c>
      <c r="B2569" s="1" t="str">
        <f>TEXT(Tabla1[[#This Row],[Fecha]],"MMMM")</f>
        <v>septiembre</v>
      </c>
      <c r="C2569" t="s">
        <v>2579</v>
      </c>
      <c r="D2569" t="s">
        <v>5017</v>
      </c>
      <c r="E2569" t="s">
        <v>5033</v>
      </c>
      <c r="F2569" t="s">
        <v>5034</v>
      </c>
      <c r="G2569" s="3">
        <v>8816.2199999999993</v>
      </c>
      <c r="H2569" s="3">
        <v>1146.1099999999999</v>
      </c>
      <c r="I2569" s="3">
        <f>SUM(Tabla1[[#This Row],[Monto_Base]],H2569)</f>
        <v>9962.33</v>
      </c>
      <c r="J2569" t="s">
        <v>5045</v>
      </c>
      <c r="K2569" t="s">
        <v>5048</v>
      </c>
      <c r="L2569" t="s">
        <v>5051</v>
      </c>
      <c r="M2569" t="s">
        <v>5054</v>
      </c>
    </row>
    <row r="2570" spans="1:13" x14ac:dyDescent="0.3">
      <c r="A2570" s="1">
        <v>45591</v>
      </c>
      <c r="B2570" s="1" t="str">
        <f>TEXT(Tabla1[[#This Row],[Fecha]],"MMMM")</f>
        <v>octubre</v>
      </c>
      <c r="C2570" t="s">
        <v>2580</v>
      </c>
      <c r="D2570" t="s">
        <v>5026</v>
      </c>
      <c r="E2570" t="s">
        <v>5033</v>
      </c>
      <c r="F2570" t="s">
        <v>5037</v>
      </c>
      <c r="G2570" s="3">
        <v>1473.53</v>
      </c>
      <c r="H2570" s="3">
        <v>191.56</v>
      </c>
      <c r="I2570" s="3">
        <f>SUM(Tabla1[[#This Row],[Monto_Base]],H2570)</f>
        <v>1665.09</v>
      </c>
      <c r="J2570" t="s">
        <v>5045</v>
      </c>
      <c r="K2570" t="s">
        <v>5047</v>
      </c>
      <c r="L2570" t="s">
        <v>5052</v>
      </c>
      <c r="M2570" t="s">
        <v>5054</v>
      </c>
    </row>
    <row r="2571" spans="1:13" x14ac:dyDescent="0.3">
      <c r="A2571" s="1">
        <v>45335</v>
      </c>
      <c r="B2571" s="1" t="str">
        <f>TEXT(Tabla1[[#This Row],[Fecha]],"MMMM")</f>
        <v>febrero</v>
      </c>
      <c r="C2571" t="s">
        <v>2581</v>
      </c>
      <c r="D2571" t="s">
        <v>5015</v>
      </c>
      <c r="E2571" t="s">
        <v>5033</v>
      </c>
      <c r="F2571" t="s">
        <v>5041</v>
      </c>
      <c r="G2571" s="3">
        <v>9082.7199999999993</v>
      </c>
      <c r="H2571" s="3">
        <v>1180.75</v>
      </c>
      <c r="I2571" s="3">
        <f>SUM(Tabla1[[#This Row],[Monto_Base]],H2571)</f>
        <v>10263.469999999999</v>
      </c>
      <c r="J2571" t="s">
        <v>5042</v>
      </c>
      <c r="K2571" t="s">
        <v>5047</v>
      </c>
      <c r="L2571" t="s">
        <v>5053</v>
      </c>
      <c r="M2571" t="s">
        <v>5054</v>
      </c>
    </row>
    <row r="2572" spans="1:13" x14ac:dyDescent="0.3">
      <c r="A2572" s="1">
        <v>45366</v>
      </c>
      <c r="B2572" s="1" t="str">
        <f>TEXT(Tabla1[[#This Row],[Fecha]],"MMMM")</f>
        <v>marzo</v>
      </c>
      <c r="C2572" t="s">
        <v>2582</v>
      </c>
      <c r="D2572" t="s">
        <v>5026</v>
      </c>
      <c r="E2572" t="s">
        <v>5032</v>
      </c>
      <c r="F2572" t="s">
        <v>5037</v>
      </c>
      <c r="G2572" s="3">
        <v>1536.78</v>
      </c>
      <c r="H2572" s="3">
        <v>0</v>
      </c>
      <c r="I2572" s="3">
        <f>SUM(Tabla1[[#This Row],[Monto_Base]],H2572)</f>
        <v>1536.78</v>
      </c>
      <c r="J2572" t="s">
        <v>5046</v>
      </c>
      <c r="K2572" t="s">
        <v>5048</v>
      </c>
      <c r="L2572" t="s">
        <v>5050</v>
      </c>
      <c r="M2572" t="s">
        <v>5055</v>
      </c>
    </row>
    <row r="2573" spans="1:13" x14ac:dyDescent="0.3">
      <c r="A2573" s="1">
        <v>45450</v>
      </c>
      <c r="B2573" s="1" t="str">
        <f>TEXT(Tabla1[[#This Row],[Fecha]],"MMMM")</f>
        <v>junio</v>
      </c>
      <c r="C2573" t="s">
        <v>2583</v>
      </c>
      <c r="D2573" t="s">
        <v>5030</v>
      </c>
      <c r="E2573" t="s">
        <v>5032</v>
      </c>
      <c r="F2573" t="s">
        <v>5040</v>
      </c>
      <c r="G2573" s="3">
        <v>14548.92</v>
      </c>
      <c r="H2573" s="3">
        <v>0</v>
      </c>
      <c r="I2573" s="3">
        <f>SUM(Tabla1[[#This Row],[Monto_Base]],H2573)</f>
        <v>14548.92</v>
      </c>
      <c r="J2573" t="s">
        <v>5045</v>
      </c>
      <c r="K2573" t="s">
        <v>5049</v>
      </c>
      <c r="L2573" t="s">
        <v>5050</v>
      </c>
      <c r="M2573" t="s">
        <v>5054</v>
      </c>
    </row>
    <row r="2574" spans="1:13" x14ac:dyDescent="0.3">
      <c r="A2574" s="1">
        <v>45403</v>
      </c>
      <c r="B2574" s="1" t="str">
        <f>TEXT(Tabla1[[#This Row],[Fecha]],"MMMM")</f>
        <v>abril</v>
      </c>
      <c r="C2574" t="s">
        <v>2584</v>
      </c>
      <c r="D2574" t="s">
        <v>5012</v>
      </c>
      <c r="E2574" t="s">
        <v>5032</v>
      </c>
      <c r="F2574" t="s">
        <v>5040</v>
      </c>
      <c r="G2574" s="3">
        <v>10918</v>
      </c>
      <c r="H2574" s="3">
        <v>0</v>
      </c>
      <c r="I2574" s="3">
        <f>SUM(Tabla1[[#This Row],[Monto_Base]],H2574)</f>
        <v>10918</v>
      </c>
      <c r="J2574" t="s">
        <v>5046</v>
      </c>
      <c r="K2574" t="s">
        <v>5049</v>
      </c>
      <c r="L2574" t="s">
        <v>5052</v>
      </c>
      <c r="M2574" t="s">
        <v>5054</v>
      </c>
    </row>
    <row r="2575" spans="1:13" x14ac:dyDescent="0.3">
      <c r="A2575" s="1">
        <v>45484</v>
      </c>
      <c r="B2575" s="1" t="str">
        <f>TEXT(Tabla1[[#This Row],[Fecha]],"MMMM")</f>
        <v>julio</v>
      </c>
      <c r="C2575" t="s">
        <v>2585</v>
      </c>
      <c r="D2575" t="s">
        <v>5025</v>
      </c>
      <c r="E2575" t="s">
        <v>5032</v>
      </c>
      <c r="F2575" t="s">
        <v>5036</v>
      </c>
      <c r="G2575" s="3">
        <v>4308.71</v>
      </c>
      <c r="H2575" s="3">
        <v>0</v>
      </c>
      <c r="I2575" s="3">
        <f>SUM(Tabla1[[#This Row],[Monto_Base]],H2575)</f>
        <v>4308.71</v>
      </c>
      <c r="J2575" t="s">
        <v>5044</v>
      </c>
      <c r="K2575" t="s">
        <v>5048</v>
      </c>
      <c r="L2575" t="s">
        <v>5051</v>
      </c>
      <c r="M2575" t="s">
        <v>5054</v>
      </c>
    </row>
    <row r="2576" spans="1:13" x14ac:dyDescent="0.3">
      <c r="A2576" s="1">
        <v>45472</v>
      </c>
      <c r="B2576" s="1" t="str">
        <f>TEXT(Tabla1[[#This Row],[Fecha]],"MMMM")</f>
        <v>junio</v>
      </c>
      <c r="C2576" t="s">
        <v>2586</v>
      </c>
      <c r="D2576" t="s">
        <v>5022</v>
      </c>
      <c r="E2576" t="s">
        <v>5033</v>
      </c>
      <c r="F2576" t="s">
        <v>5038</v>
      </c>
      <c r="G2576" s="3">
        <v>14177.46</v>
      </c>
      <c r="H2576" s="3">
        <v>1843.07</v>
      </c>
      <c r="I2576" s="3">
        <f>SUM(Tabla1[[#This Row],[Monto_Base]],H2576)</f>
        <v>16020.529999999999</v>
      </c>
      <c r="J2576" t="s">
        <v>5046</v>
      </c>
      <c r="K2576" t="s">
        <v>5049</v>
      </c>
      <c r="L2576" t="s">
        <v>5053</v>
      </c>
      <c r="M2576" t="s">
        <v>5054</v>
      </c>
    </row>
    <row r="2577" spans="1:13" x14ac:dyDescent="0.3">
      <c r="A2577" s="1">
        <v>45466</v>
      </c>
      <c r="B2577" s="1" t="str">
        <f>TEXT(Tabla1[[#This Row],[Fecha]],"MMMM")</f>
        <v>junio</v>
      </c>
      <c r="C2577" t="s">
        <v>2587</v>
      </c>
      <c r="D2577" t="s">
        <v>5025</v>
      </c>
      <c r="E2577" t="s">
        <v>5032</v>
      </c>
      <c r="F2577" t="s">
        <v>5037</v>
      </c>
      <c r="G2577" s="3">
        <v>10686.9</v>
      </c>
      <c r="H2577" s="3">
        <v>0</v>
      </c>
      <c r="I2577" s="3">
        <f>SUM(Tabla1[[#This Row],[Monto_Base]],H2577)</f>
        <v>10686.9</v>
      </c>
      <c r="J2577" t="s">
        <v>5045</v>
      </c>
      <c r="K2577" t="s">
        <v>5048</v>
      </c>
      <c r="L2577" t="s">
        <v>5052</v>
      </c>
      <c r="M2577" t="s">
        <v>5055</v>
      </c>
    </row>
    <row r="2578" spans="1:13" x14ac:dyDescent="0.3">
      <c r="A2578" s="1">
        <v>45373</v>
      </c>
      <c r="B2578" s="1" t="str">
        <f>TEXT(Tabla1[[#This Row],[Fecha]],"MMMM")</f>
        <v>marzo</v>
      </c>
      <c r="C2578" t="s">
        <v>2588</v>
      </c>
      <c r="D2578" t="s">
        <v>5030</v>
      </c>
      <c r="E2578" t="s">
        <v>5033</v>
      </c>
      <c r="F2578" t="s">
        <v>5035</v>
      </c>
      <c r="G2578" s="3">
        <v>11767.11</v>
      </c>
      <c r="H2578" s="3">
        <v>1529.72</v>
      </c>
      <c r="I2578" s="3">
        <f>SUM(Tabla1[[#This Row],[Monto_Base]],H2578)</f>
        <v>13296.83</v>
      </c>
      <c r="J2578" t="s">
        <v>5042</v>
      </c>
      <c r="K2578" t="s">
        <v>5047</v>
      </c>
      <c r="L2578" t="s">
        <v>5051</v>
      </c>
      <c r="M2578" t="s">
        <v>5055</v>
      </c>
    </row>
    <row r="2579" spans="1:13" x14ac:dyDescent="0.3">
      <c r="A2579" s="1">
        <v>45417</v>
      </c>
      <c r="B2579" s="1" t="str">
        <f>TEXT(Tabla1[[#This Row],[Fecha]],"MMMM")</f>
        <v>mayo</v>
      </c>
      <c r="C2579" t="s">
        <v>2589</v>
      </c>
      <c r="D2579" t="s">
        <v>5027</v>
      </c>
      <c r="E2579" t="s">
        <v>5033</v>
      </c>
      <c r="F2579" t="s">
        <v>5035</v>
      </c>
      <c r="G2579" s="3">
        <v>2380.4</v>
      </c>
      <c r="H2579" s="3">
        <v>309.45</v>
      </c>
      <c r="I2579" s="3">
        <f>SUM(Tabla1[[#This Row],[Monto_Base]],H2579)</f>
        <v>2689.85</v>
      </c>
      <c r="J2579" t="s">
        <v>5045</v>
      </c>
      <c r="K2579" t="s">
        <v>5049</v>
      </c>
      <c r="L2579" t="s">
        <v>5053</v>
      </c>
      <c r="M2579" t="s">
        <v>5055</v>
      </c>
    </row>
    <row r="2580" spans="1:13" x14ac:dyDescent="0.3">
      <c r="A2580" s="1">
        <v>45536</v>
      </c>
      <c r="B2580" s="1" t="str">
        <f>TEXT(Tabla1[[#This Row],[Fecha]],"MMMM")</f>
        <v>septiembre</v>
      </c>
      <c r="C2580" t="s">
        <v>2590</v>
      </c>
      <c r="D2580" t="s">
        <v>5016</v>
      </c>
      <c r="E2580" t="s">
        <v>5032</v>
      </c>
      <c r="F2580" t="s">
        <v>5035</v>
      </c>
      <c r="G2580" s="3">
        <v>5826.41</v>
      </c>
      <c r="H2580" s="3">
        <v>0</v>
      </c>
      <c r="I2580" s="3">
        <f>SUM(Tabla1[[#This Row],[Monto_Base]],H2580)</f>
        <v>5826.41</v>
      </c>
      <c r="J2580" t="s">
        <v>5043</v>
      </c>
      <c r="K2580" t="s">
        <v>5047</v>
      </c>
      <c r="L2580" t="s">
        <v>5051</v>
      </c>
      <c r="M2580" t="s">
        <v>5054</v>
      </c>
    </row>
    <row r="2581" spans="1:13" x14ac:dyDescent="0.3">
      <c r="A2581" s="1">
        <v>45474</v>
      </c>
      <c r="B2581" s="1" t="str">
        <f>TEXT(Tabla1[[#This Row],[Fecha]],"MMMM")</f>
        <v>julio</v>
      </c>
      <c r="C2581" t="s">
        <v>2591</v>
      </c>
      <c r="D2581" t="s">
        <v>5026</v>
      </c>
      <c r="E2581" t="s">
        <v>5033</v>
      </c>
      <c r="F2581" t="s">
        <v>5041</v>
      </c>
      <c r="G2581" s="3">
        <v>1890.41</v>
      </c>
      <c r="H2581" s="3">
        <v>245.75</v>
      </c>
      <c r="I2581" s="3">
        <f>SUM(Tabla1[[#This Row],[Monto_Base]],H2581)</f>
        <v>2136.16</v>
      </c>
      <c r="J2581" t="s">
        <v>5042</v>
      </c>
      <c r="K2581" t="s">
        <v>5047</v>
      </c>
      <c r="L2581" t="s">
        <v>5053</v>
      </c>
      <c r="M2581" t="s">
        <v>5054</v>
      </c>
    </row>
    <row r="2582" spans="1:13" x14ac:dyDescent="0.3">
      <c r="A2582" s="1">
        <v>45546</v>
      </c>
      <c r="B2582" s="1" t="str">
        <f>TEXT(Tabla1[[#This Row],[Fecha]],"MMMM")</f>
        <v>septiembre</v>
      </c>
      <c r="C2582" t="s">
        <v>2592</v>
      </c>
      <c r="D2582" t="s">
        <v>5016</v>
      </c>
      <c r="E2582" t="s">
        <v>5032</v>
      </c>
      <c r="F2582" t="s">
        <v>5040</v>
      </c>
      <c r="G2582" s="3">
        <v>6240.57</v>
      </c>
      <c r="H2582" s="3">
        <v>0</v>
      </c>
      <c r="I2582" s="3">
        <f>SUM(Tabla1[[#This Row],[Monto_Base]],H2582)</f>
        <v>6240.57</v>
      </c>
      <c r="J2582" t="s">
        <v>5045</v>
      </c>
      <c r="K2582" t="s">
        <v>5047</v>
      </c>
      <c r="L2582" t="s">
        <v>5051</v>
      </c>
      <c r="M2582" t="s">
        <v>5054</v>
      </c>
    </row>
    <row r="2583" spans="1:13" x14ac:dyDescent="0.3">
      <c r="A2583" s="1">
        <v>45417</v>
      </c>
      <c r="B2583" s="1" t="str">
        <f>TEXT(Tabla1[[#This Row],[Fecha]],"MMMM")</f>
        <v>mayo</v>
      </c>
      <c r="C2583" t="s">
        <v>2593</v>
      </c>
      <c r="D2583" t="s">
        <v>5024</v>
      </c>
      <c r="E2583" t="s">
        <v>5033</v>
      </c>
      <c r="F2583" t="s">
        <v>5035</v>
      </c>
      <c r="G2583" s="3">
        <v>482.32</v>
      </c>
      <c r="H2583" s="3">
        <v>62.7</v>
      </c>
      <c r="I2583" s="3">
        <f>SUM(Tabla1[[#This Row],[Monto_Base]],H2583)</f>
        <v>545.02</v>
      </c>
      <c r="J2583" t="s">
        <v>5043</v>
      </c>
      <c r="K2583" t="s">
        <v>5048</v>
      </c>
      <c r="L2583" t="s">
        <v>5052</v>
      </c>
      <c r="M2583" t="s">
        <v>5054</v>
      </c>
    </row>
    <row r="2584" spans="1:13" x14ac:dyDescent="0.3">
      <c r="A2584" s="1">
        <v>45468</v>
      </c>
      <c r="B2584" s="1" t="str">
        <f>TEXT(Tabla1[[#This Row],[Fecha]],"MMMM")</f>
        <v>junio</v>
      </c>
      <c r="C2584" t="s">
        <v>2594</v>
      </c>
      <c r="D2584" t="s">
        <v>5013</v>
      </c>
      <c r="E2584" t="s">
        <v>5033</v>
      </c>
      <c r="F2584" t="s">
        <v>5039</v>
      </c>
      <c r="G2584" s="3">
        <v>3931.81</v>
      </c>
      <c r="H2584" s="3">
        <v>511.14</v>
      </c>
      <c r="I2584" s="3">
        <f>SUM(Tabla1[[#This Row],[Monto_Base]],H2584)</f>
        <v>4442.95</v>
      </c>
      <c r="J2584" t="s">
        <v>5042</v>
      </c>
      <c r="K2584" t="s">
        <v>5049</v>
      </c>
      <c r="L2584" t="s">
        <v>5050</v>
      </c>
      <c r="M2584" t="s">
        <v>5055</v>
      </c>
    </row>
    <row r="2585" spans="1:13" x14ac:dyDescent="0.3">
      <c r="A2585" s="1">
        <v>45629</v>
      </c>
      <c r="B2585" s="1" t="str">
        <f>TEXT(Tabla1[[#This Row],[Fecha]],"MMMM")</f>
        <v>diciembre</v>
      </c>
      <c r="C2585" t="s">
        <v>2595</v>
      </c>
      <c r="D2585" t="s">
        <v>5026</v>
      </c>
      <c r="E2585" t="s">
        <v>5032</v>
      </c>
      <c r="F2585" t="s">
        <v>5038</v>
      </c>
      <c r="G2585" s="3">
        <v>1594.06</v>
      </c>
      <c r="H2585" s="3">
        <v>0</v>
      </c>
      <c r="I2585" s="3">
        <f>SUM(Tabla1[[#This Row],[Monto_Base]],H2585)</f>
        <v>1594.06</v>
      </c>
      <c r="J2585" t="s">
        <v>5042</v>
      </c>
      <c r="K2585" t="s">
        <v>5047</v>
      </c>
      <c r="L2585" t="s">
        <v>5050</v>
      </c>
      <c r="M2585" t="s">
        <v>5055</v>
      </c>
    </row>
    <row r="2586" spans="1:13" x14ac:dyDescent="0.3">
      <c r="A2586" s="1">
        <v>45560</v>
      </c>
      <c r="B2586" s="1" t="str">
        <f>TEXT(Tabla1[[#This Row],[Fecha]],"MMMM")</f>
        <v>septiembre</v>
      </c>
      <c r="C2586" t="s">
        <v>2596</v>
      </c>
      <c r="D2586" t="s">
        <v>5014</v>
      </c>
      <c r="E2586" t="s">
        <v>5033</v>
      </c>
      <c r="F2586" t="s">
        <v>5040</v>
      </c>
      <c r="G2586" s="3">
        <v>13437.98</v>
      </c>
      <c r="H2586" s="3">
        <v>1746.94</v>
      </c>
      <c r="I2586" s="3">
        <f>SUM(Tabla1[[#This Row],[Monto_Base]],H2586)</f>
        <v>15184.92</v>
      </c>
      <c r="J2586" t="s">
        <v>5046</v>
      </c>
      <c r="K2586" t="s">
        <v>5047</v>
      </c>
      <c r="L2586" t="s">
        <v>5053</v>
      </c>
      <c r="M2586" t="s">
        <v>5054</v>
      </c>
    </row>
    <row r="2587" spans="1:13" x14ac:dyDescent="0.3">
      <c r="A2587" s="1">
        <v>45511</v>
      </c>
      <c r="B2587" s="1" t="str">
        <f>TEXT(Tabla1[[#This Row],[Fecha]],"MMMM")</f>
        <v>agosto</v>
      </c>
      <c r="C2587" t="s">
        <v>2597</v>
      </c>
      <c r="D2587" t="s">
        <v>5022</v>
      </c>
      <c r="E2587" t="s">
        <v>5032</v>
      </c>
      <c r="F2587" t="s">
        <v>5040</v>
      </c>
      <c r="G2587" s="3">
        <v>2496.83</v>
      </c>
      <c r="H2587" s="3">
        <v>0</v>
      </c>
      <c r="I2587" s="3">
        <f>SUM(Tabla1[[#This Row],[Monto_Base]],H2587)</f>
        <v>2496.83</v>
      </c>
      <c r="J2587" t="s">
        <v>5043</v>
      </c>
      <c r="K2587" t="s">
        <v>5048</v>
      </c>
      <c r="L2587" t="s">
        <v>5052</v>
      </c>
      <c r="M2587" t="s">
        <v>5055</v>
      </c>
    </row>
    <row r="2588" spans="1:13" x14ac:dyDescent="0.3">
      <c r="A2588" s="1">
        <v>45541</v>
      </c>
      <c r="B2588" s="1" t="str">
        <f>TEXT(Tabla1[[#This Row],[Fecha]],"MMMM")</f>
        <v>septiembre</v>
      </c>
      <c r="C2588" t="s">
        <v>2598</v>
      </c>
      <c r="D2588" t="s">
        <v>5024</v>
      </c>
      <c r="E2588" t="s">
        <v>5032</v>
      </c>
      <c r="F2588" t="s">
        <v>5036</v>
      </c>
      <c r="G2588" s="3">
        <v>12091.96</v>
      </c>
      <c r="H2588" s="3">
        <v>0</v>
      </c>
      <c r="I2588" s="3">
        <f>SUM(Tabla1[[#This Row],[Monto_Base]],H2588)</f>
        <v>12091.96</v>
      </c>
      <c r="J2588" t="s">
        <v>5046</v>
      </c>
      <c r="K2588" t="s">
        <v>5048</v>
      </c>
      <c r="L2588" t="s">
        <v>5051</v>
      </c>
      <c r="M2588" t="s">
        <v>5055</v>
      </c>
    </row>
    <row r="2589" spans="1:13" x14ac:dyDescent="0.3">
      <c r="A2589" s="1">
        <v>45452</v>
      </c>
      <c r="B2589" s="1" t="str">
        <f>TEXT(Tabla1[[#This Row],[Fecha]],"MMMM")</f>
        <v>junio</v>
      </c>
      <c r="C2589" t="s">
        <v>2599</v>
      </c>
      <c r="D2589" t="s">
        <v>5017</v>
      </c>
      <c r="E2589" t="s">
        <v>5032</v>
      </c>
      <c r="F2589" t="s">
        <v>5040</v>
      </c>
      <c r="G2589" s="3">
        <v>10105.99</v>
      </c>
      <c r="H2589" s="3">
        <v>0</v>
      </c>
      <c r="I2589" s="3">
        <f>SUM(Tabla1[[#This Row],[Monto_Base]],H2589)</f>
        <v>10105.99</v>
      </c>
      <c r="J2589" t="s">
        <v>5043</v>
      </c>
      <c r="K2589" t="s">
        <v>5049</v>
      </c>
      <c r="L2589" t="s">
        <v>5050</v>
      </c>
      <c r="M2589" t="s">
        <v>5055</v>
      </c>
    </row>
    <row r="2590" spans="1:13" x14ac:dyDescent="0.3">
      <c r="A2590" s="1">
        <v>45373</v>
      </c>
      <c r="B2590" s="1" t="str">
        <f>TEXT(Tabla1[[#This Row],[Fecha]],"MMMM")</f>
        <v>marzo</v>
      </c>
      <c r="C2590" t="s">
        <v>2600</v>
      </c>
      <c r="D2590" t="s">
        <v>5016</v>
      </c>
      <c r="E2590" t="s">
        <v>5032</v>
      </c>
      <c r="F2590" t="s">
        <v>5038</v>
      </c>
      <c r="G2590" s="3">
        <v>8850.77</v>
      </c>
      <c r="H2590" s="3">
        <v>0</v>
      </c>
      <c r="I2590" s="3">
        <f>SUM(Tabla1[[#This Row],[Monto_Base]],H2590)</f>
        <v>8850.77</v>
      </c>
      <c r="J2590" t="s">
        <v>5046</v>
      </c>
      <c r="K2590" t="s">
        <v>5048</v>
      </c>
      <c r="L2590" t="s">
        <v>5051</v>
      </c>
      <c r="M2590" t="s">
        <v>5055</v>
      </c>
    </row>
    <row r="2591" spans="1:13" x14ac:dyDescent="0.3">
      <c r="A2591" s="1">
        <v>45453</v>
      </c>
      <c r="B2591" s="1" t="str">
        <f>TEXT(Tabla1[[#This Row],[Fecha]],"MMMM")</f>
        <v>junio</v>
      </c>
      <c r="C2591" t="s">
        <v>2601</v>
      </c>
      <c r="D2591" t="s">
        <v>5012</v>
      </c>
      <c r="E2591" t="s">
        <v>5032</v>
      </c>
      <c r="F2591" t="s">
        <v>5037</v>
      </c>
      <c r="G2591" s="3">
        <v>9400.84</v>
      </c>
      <c r="H2591" s="3">
        <v>0</v>
      </c>
      <c r="I2591" s="3">
        <f>SUM(Tabla1[[#This Row],[Monto_Base]],H2591)</f>
        <v>9400.84</v>
      </c>
      <c r="J2591" t="s">
        <v>5045</v>
      </c>
      <c r="K2591" t="s">
        <v>5048</v>
      </c>
      <c r="L2591" t="s">
        <v>5052</v>
      </c>
      <c r="M2591" t="s">
        <v>5055</v>
      </c>
    </row>
    <row r="2592" spans="1:13" x14ac:dyDescent="0.3">
      <c r="A2592" s="1">
        <v>45636</v>
      </c>
      <c r="B2592" s="1" t="str">
        <f>TEXT(Tabla1[[#This Row],[Fecha]],"MMMM")</f>
        <v>diciembre</v>
      </c>
      <c r="C2592" t="s">
        <v>2602</v>
      </c>
      <c r="D2592" t="s">
        <v>5019</v>
      </c>
      <c r="E2592" t="s">
        <v>5032</v>
      </c>
      <c r="F2592" t="s">
        <v>5036</v>
      </c>
      <c r="G2592" s="3">
        <v>2187.77</v>
      </c>
      <c r="H2592" s="3">
        <v>0</v>
      </c>
      <c r="I2592" s="3">
        <f>SUM(Tabla1[[#This Row],[Monto_Base]],H2592)</f>
        <v>2187.77</v>
      </c>
      <c r="J2592" t="s">
        <v>5045</v>
      </c>
      <c r="K2592" t="s">
        <v>5048</v>
      </c>
      <c r="L2592" t="s">
        <v>5052</v>
      </c>
      <c r="M2592" t="s">
        <v>5055</v>
      </c>
    </row>
    <row r="2593" spans="1:13" x14ac:dyDescent="0.3">
      <c r="A2593" s="1">
        <v>45651</v>
      </c>
      <c r="B2593" s="1" t="str">
        <f>TEXT(Tabla1[[#This Row],[Fecha]],"MMMM")</f>
        <v>diciembre</v>
      </c>
      <c r="C2593" t="s">
        <v>2603</v>
      </c>
      <c r="D2593" t="s">
        <v>5025</v>
      </c>
      <c r="E2593" t="s">
        <v>5033</v>
      </c>
      <c r="F2593" t="s">
        <v>5034</v>
      </c>
      <c r="G2593" s="3">
        <v>11108.44</v>
      </c>
      <c r="H2593" s="3">
        <v>1444.1</v>
      </c>
      <c r="I2593" s="3">
        <f>SUM(Tabla1[[#This Row],[Monto_Base]],H2593)</f>
        <v>12552.54</v>
      </c>
      <c r="J2593" t="s">
        <v>5045</v>
      </c>
      <c r="K2593" t="s">
        <v>5049</v>
      </c>
      <c r="L2593" t="s">
        <v>5050</v>
      </c>
      <c r="M2593" t="s">
        <v>5054</v>
      </c>
    </row>
    <row r="2594" spans="1:13" x14ac:dyDescent="0.3">
      <c r="A2594" s="1">
        <v>45348</v>
      </c>
      <c r="B2594" s="1" t="str">
        <f>TEXT(Tabla1[[#This Row],[Fecha]],"MMMM")</f>
        <v>febrero</v>
      </c>
      <c r="C2594" t="s">
        <v>2604</v>
      </c>
      <c r="D2594" t="s">
        <v>5029</v>
      </c>
      <c r="E2594" t="s">
        <v>5033</v>
      </c>
      <c r="F2594" t="s">
        <v>5036</v>
      </c>
      <c r="G2594" s="3">
        <v>2008.31</v>
      </c>
      <c r="H2594" s="3">
        <v>261.08</v>
      </c>
      <c r="I2594" s="3">
        <f>SUM(Tabla1[[#This Row],[Monto_Base]],H2594)</f>
        <v>2269.39</v>
      </c>
      <c r="J2594" t="s">
        <v>5044</v>
      </c>
      <c r="K2594" t="s">
        <v>5048</v>
      </c>
      <c r="L2594" t="s">
        <v>5051</v>
      </c>
      <c r="M2594" t="s">
        <v>5054</v>
      </c>
    </row>
    <row r="2595" spans="1:13" x14ac:dyDescent="0.3">
      <c r="A2595" s="1">
        <v>45528</v>
      </c>
      <c r="B2595" s="1" t="str">
        <f>TEXT(Tabla1[[#This Row],[Fecha]],"MMMM")</f>
        <v>agosto</v>
      </c>
      <c r="C2595" t="s">
        <v>2605</v>
      </c>
      <c r="D2595" t="s">
        <v>5026</v>
      </c>
      <c r="E2595" t="s">
        <v>5033</v>
      </c>
      <c r="F2595" t="s">
        <v>5038</v>
      </c>
      <c r="G2595" s="3">
        <v>13400.04</v>
      </c>
      <c r="H2595" s="3">
        <v>1742.01</v>
      </c>
      <c r="I2595" s="3">
        <f>SUM(Tabla1[[#This Row],[Monto_Base]],H2595)</f>
        <v>15142.050000000001</v>
      </c>
      <c r="J2595" t="s">
        <v>5042</v>
      </c>
      <c r="K2595" t="s">
        <v>5049</v>
      </c>
      <c r="L2595" t="s">
        <v>5053</v>
      </c>
      <c r="M2595" t="s">
        <v>5055</v>
      </c>
    </row>
    <row r="2596" spans="1:13" x14ac:dyDescent="0.3">
      <c r="A2596" s="1">
        <v>45558</v>
      </c>
      <c r="B2596" s="1" t="str">
        <f>TEXT(Tabla1[[#This Row],[Fecha]],"MMMM")</f>
        <v>septiembre</v>
      </c>
      <c r="C2596" t="s">
        <v>2606</v>
      </c>
      <c r="D2596" t="s">
        <v>5025</v>
      </c>
      <c r="E2596" t="s">
        <v>5032</v>
      </c>
      <c r="F2596" t="s">
        <v>5039</v>
      </c>
      <c r="G2596" s="3">
        <v>5635.03</v>
      </c>
      <c r="H2596" s="3">
        <v>0</v>
      </c>
      <c r="I2596" s="3">
        <f>SUM(Tabla1[[#This Row],[Monto_Base]],H2596)</f>
        <v>5635.03</v>
      </c>
      <c r="J2596" t="s">
        <v>5044</v>
      </c>
      <c r="K2596" t="s">
        <v>5049</v>
      </c>
      <c r="L2596" t="s">
        <v>5053</v>
      </c>
      <c r="M2596" t="s">
        <v>5055</v>
      </c>
    </row>
    <row r="2597" spans="1:13" x14ac:dyDescent="0.3">
      <c r="A2597" s="1">
        <v>45523</v>
      </c>
      <c r="B2597" s="1" t="str">
        <f>TEXT(Tabla1[[#This Row],[Fecha]],"MMMM")</f>
        <v>agosto</v>
      </c>
      <c r="C2597" t="s">
        <v>2607</v>
      </c>
      <c r="D2597" t="s">
        <v>5017</v>
      </c>
      <c r="E2597" t="s">
        <v>5033</v>
      </c>
      <c r="F2597" t="s">
        <v>5039</v>
      </c>
      <c r="G2597" s="3">
        <v>1449.43</v>
      </c>
      <c r="H2597" s="3">
        <v>188.43</v>
      </c>
      <c r="I2597" s="3">
        <f>SUM(Tabla1[[#This Row],[Monto_Base]],H2597)</f>
        <v>1637.8600000000001</v>
      </c>
      <c r="J2597" t="s">
        <v>5042</v>
      </c>
      <c r="K2597" t="s">
        <v>5049</v>
      </c>
      <c r="L2597" t="s">
        <v>5052</v>
      </c>
      <c r="M2597" t="s">
        <v>5054</v>
      </c>
    </row>
    <row r="2598" spans="1:13" x14ac:dyDescent="0.3">
      <c r="A2598" s="1">
        <v>45649</v>
      </c>
      <c r="B2598" s="1" t="str">
        <f>TEXT(Tabla1[[#This Row],[Fecha]],"MMMM")</f>
        <v>diciembre</v>
      </c>
      <c r="C2598" t="s">
        <v>2608</v>
      </c>
      <c r="D2598" t="s">
        <v>5018</v>
      </c>
      <c r="E2598" t="s">
        <v>5033</v>
      </c>
      <c r="F2598" t="s">
        <v>5035</v>
      </c>
      <c r="G2598" s="3">
        <v>13900.65</v>
      </c>
      <c r="H2598" s="3">
        <v>1807.08</v>
      </c>
      <c r="I2598" s="3">
        <f>SUM(Tabla1[[#This Row],[Monto_Base]],H2598)</f>
        <v>15707.73</v>
      </c>
      <c r="J2598" t="s">
        <v>5044</v>
      </c>
      <c r="K2598" t="s">
        <v>5048</v>
      </c>
      <c r="L2598" t="s">
        <v>5053</v>
      </c>
      <c r="M2598" t="s">
        <v>5055</v>
      </c>
    </row>
    <row r="2599" spans="1:13" x14ac:dyDescent="0.3">
      <c r="A2599" s="1">
        <v>45500</v>
      </c>
      <c r="B2599" s="1" t="str">
        <f>TEXT(Tabla1[[#This Row],[Fecha]],"MMMM")</f>
        <v>julio</v>
      </c>
      <c r="C2599" t="s">
        <v>2609</v>
      </c>
      <c r="D2599" t="s">
        <v>5019</v>
      </c>
      <c r="E2599" t="s">
        <v>5032</v>
      </c>
      <c r="F2599" t="s">
        <v>5035</v>
      </c>
      <c r="G2599" s="3">
        <v>5961.59</v>
      </c>
      <c r="H2599" s="3">
        <v>0</v>
      </c>
      <c r="I2599" s="3">
        <f>SUM(Tabla1[[#This Row],[Monto_Base]],H2599)</f>
        <v>5961.59</v>
      </c>
      <c r="J2599" t="s">
        <v>5046</v>
      </c>
      <c r="K2599" t="s">
        <v>5049</v>
      </c>
      <c r="L2599" t="s">
        <v>5052</v>
      </c>
      <c r="M2599" t="s">
        <v>5055</v>
      </c>
    </row>
    <row r="2600" spans="1:13" x14ac:dyDescent="0.3">
      <c r="A2600" s="1">
        <v>45369</v>
      </c>
      <c r="B2600" s="1" t="str">
        <f>TEXT(Tabla1[[#This Row],[Fecha]],"MMMM")</f>
        <v>marzo</v>
      </c>
      <c r="C2600" t="s">
        <v>2610</v>
      </c>
      <c r="D2600" t="s">
        <v>5012</v>
      </c>
      <c r="E2600" t="s">
        <v>5033</v>
      </c>
      <c r="F2600" t="s">
        <v>5036</v>
      </c>
      <c r="G2600" s="3">
        <v>14827.17</v>
      </c>
      <c r="H2600" s="3">
        <v>1927.53</v>
      </c>
      <c r="I2600" s="3">
        <f>SUM(Tabla1[[#This Row],[Monto_Base]],H2600)</f>
        <v>16754.7</v>
      </c>
      <c r="J2600" t="s">
        <v>5045</v>
      </c>
      <c r="K2600" t="s">
        <v>5047</v>
      </c>
      <c r="L2600" t="s">
        <v>5051</v>
      </c>
      <c r="M2600" t="s">
        <v>5055</v>
      </c>
    </row>
    <row r="2601" spans="1:13" x14ac:dyDescent="0.3">
      <c r="A2601" s="1">
        <v>45400</v>
      </c>
      <c r="B2601" s="1" t="str">
        <f>TEXT(Tabla1[[#This Row],[Fecha]],"MMMM")</f>
        <v>abril</v>
      </c>
      <c r="C2601" t="s">
        <v>2611</v>
      </c>
      <c r="D2601" t="s">
        <v>5027</v>
      </c>
      <c r="E2601" t="s">
        <v>5032</v>
      </c>
      <c r="F2601" t="s">
        <v>5034</v>
      </c>
      <c r="G2601" s="3">
        <v>3108.66</v>
      </c>
      <c r="H2601" s="3">
        <v>0</v>
      </c>
      <c r="I2601" s="3">
        <f>SUM(Tabla1[[#This Row],[Monto_Base]],H2601)</f>
        <v>3108.66</v>
      </c>
      <c r="J2601" t="s">
        <v>5043</v>
      </c>
      <c r="K2601" t="s">
        <v>5048</v>
      </c>
      <c r="L2601" t="s">
        <v>5050</v>
      </c>
      <c r="M2601" t="s">
        <v>5054</v>
      </c>
    </row>
    <row r="2602" spans="1:13" x14ac:dyDescent="0.3">
      <c r="A2602" s="1">
        <v>45618</v>
      </c>
      <c r="B2602" s="1" t="str">
        <f>TEXT(Tabla1[[#This Row],[Fecha]],"MMMM")</f>
        <v>noviembre</v>
      </c>
      <c r="C2602" t="s">
        <v>2612</v>
      </c>
      <c r="D2602" t="s">
        <v>5023</v>
      </c>
      <c r="E2602" t="s">
        <v>5032</v>
      </c>
      <c r="F2602" t="s">
        <v>5041</v>
      </c>
      <c r="G2602" s="3">
        <v>10870.54</v>
      </c>
      <c r="H2602" s="3">
        <v>0</v>
      </c>
      <c r="I2602" s="3">
        <f>SUM(Tabla1[[#This Row],[Monto_Base]],H2602)</f>
        <v>10870.54</v>
      </c>
      <c r="J2602" t="s">
        <v>5045</v>
      </c>
      <c r="K2602" t="s">
        <v>5049</v>
      </c>
      <c r="L2602" t="s">
        <v>5052</v>
      </c>
      <c r="M2602" t="s">
        <v>5055</v>
      </c>
    </row>
    <row r="2603" spans="1:13" x14ac:dyDescent="0.3">
      <c r="A2603" s="1">
        <v>45598</v>
      </c>
      <c r="B2603" s="1" t="str">
        <f>TEXT(Tabla1[[#This Row],[Fecha]],"MMMM")</f>
        <v>noviembre</v>
      </c>
      <c r="C2603" t="s">
        <v>2613</v>
      </c>
      <c r="D2603" t="s">
        <v>5015</v>
      </c>
      <c r="E2603" t="s">
        <v>5032</v>
      </c>
      <c r="F2603" t="s">
        <v>5038</v>
      </c>
      <c r="G2603" s="3">
        <v>13365.26</v>
      </c>
      <c r="H2603" s="3">
        <v>0</v>
      </c>
      <c r="I2603" s="3">
        <f>SUM(Tabla1[[#This Row],[Monto_Base]],H2603)</f>
        <v>13365.26</v>
      </c>
      <c r="J2603" t="s">
        <v>5046</v>
      </c>
      <c r="K2603" t="s">
        <v>5047</v>
      </c>
      <c r="L2603" t="s">
        <v>5051</v>
      </c>
      <c r="M2603" t="s">
        <v>5055</v>
      </c>
    </row>
    <row r="2604" spans="1:13" x14ac:dyDescent="0.3">
      <c r="A2604" s="1">
        <v>45366</v>
      </c>
      <c r="B2604" s="1" t="str">
        <f>TEXT(Tabla1[[#This Row],[Fecha]],"MMMM")</f>
        <v>marzo</v>
      </c>
      <c r="C2604" t="s">
        <v>2614</v>
      </c>
      <c r="D2604" t="s">
        <v>5014</v>
      </c>
      <c r="E2604" t="s">
        <v>5033</v>
      </c>
      <c r="F2604" t="s">
        <v>5036</v>
      </c>
      <c r="G2604" s="3">
        <v>13012.95</v>
      </c>
      <c r="H2604" s="3">
        <v>1691.68</v>
      </c>
      <c r="I2604" s="3">
        <f>SUM(Tabla1[[#This Row],[Monto_Base]],H2604)</f>
        <v>14704.630000000001</v>
      </c>
      <c r="J2604" t="s">
        <v>5044</v>
      </c>
      <c r="K2604" t="s">
        <v>5049</v>
      </c>
      <c r="L2604" t="s">
        <v>5051</v>
      </c>
      <c r="M2604" t="s">
        <v>5054</v>
      </c>
    </row>
    <row r="2605" spans="1:13" x14ac:dyDescent="0.3">
      <c r="A2605" s="1">
        <v>45461</v>
      </c>
      <c r="B2605" s="1" t="str">
        <f>TEXT(Tabla1[[#This Row],[Fecha]],"MMMM")</f>
        <v>junio</v>
      </c>
      <c r="C2605" t="s">
        <v>2615</v>
      </c>
      <c r="D2605" t="s">
        <v>5015</v>
      </c>
      <c r="E2605" t="s">
        <v>5033</v>
      </c>
      <c r="F2605" t="s">
        <v>5035</v>
      </c>
      <c r="G2605" s="3">
        <v>1207.81</v>
      </c>
      <c r="H2605" s="3">
        <v>157.02000000000001</v>
      </c>
      <c r="I2605" s="3">
        <f>SUM(Tabla1[[#This Row],[Monto_Base]],H2605)</f>
        <v>1364.83</v>
      </c>
      <c r="J2605" t="s">
        <v>5044</v>
      </c>
      <c r="K2605" t="s">
        <v>5048</v>
      </c>
      <c r="L2605" t="s">
        <v>5053</v>
      </c>
      <c r="M2605" t="s">
        <v>5055</v>
      </c>
    </row>
    <row r="2606" spans="1:13" x14ac:dyDescent="0.3">
      <c r="A2606" s="1">
        <v>45560</v>
      </c>
      <c r="B2606" s="1" t="str">
        <f>TEXT(Tabla1[[#This Row],[Fecha]],"MMMM")</f>
        <v>septiembre</v>
      </c>
      <c r="C2606" t="s">
        <v>2616</v>
      </c>
      <c r="D2606" t="s">
        <v>5016</v>
      </c>
      <c r="E2606" t="s">
        <v>5033</v>
      </c>
      <c r="F2606" t="s">
        <v>5035</v>
      </c>
      <c r="G2606" s="3">
        <v>3290.22</v>
      </c>
      <c r="H2606" s="3">
        <v>427.73</v>
      </c>
      <c r="I2606" s="3">
        <f>SUM(Tabla1[[#This Row],[Monto_Base]],H2606)</f>
        <v>3717.95</v>
      </c>
      <c r="J2606" t="s">
        <v>5042</v>
      </c>
      <c r="K2606" t="s">
        <v>5049</v>
      </c>
      <c r="L2606" t="s">
        <v>5053</v>
      </c>
      <c r="M2606" t="s">
        <v>5055</v>
      </c>
    </row>
    <row r="2607" spans="1:13" x14ac:dyDescent="0.3">
      <c r="A2607" s="1">
        <v>45415</v>
      </c>
      <c r="B2607" s="1" t="str">
        <f>TEXT(Tabla1[[#This Row],[Fecha]],"MMMM")</f>
        <v>mayo</v>
      </c>
      <c r="C2607" t="s">
        <v>2617</v>
      </c>
      <c r="D2607" t="s">
        <v>5030</v>
      </c>
      <c r="E2607" t="s">
        <v>5033</v>
      </c>
      <c r="F2607" t="s">
        <v>5038</v>
      </c>
      <c r="G2607" s="3">
        <v>968.47</v>
      </c>
      <c r="H2607" s="3">
        <v>125.9</v>
      </c>
      <c r="I2607" s="3">
        <f>SUM(Tabla1[[#This Row],[Monto_Base]],H2607)</f>
        <v>1094.3700000000001</v>
      </c>
      <c r="J2607" t="s">
        <v>5045</v>
      </c>
      <c r="K2607" t="s">
        <v>5048</v>
      </c>
      <c r="L2607" t="s">
        <v>5050</v>
      </c>
      <c r="M2607" t="s">
        <v>5055</v>
      </c>
    </row>
    <row r="2608" spans="1:13" x14ac:dyDescent="0.3">
      <c r="A2608" s="1">
        <v>45616</v>
      </c>
      <c r="B2608" s="1" t="str">
        <f>TEXT(Tabla1[[#This Row],[Fecha]],"MMMM")</f>
        <v>noviembre</v>
      </c>
      <c r="C2608" t="s">
        <v>2618</v>
      </c>
      <c r="D2608" t="s">
        <v>5030</v>
      </c>
      <c r="E2608" t="s">
        <v>5033</v>
      </c>
      <c r="F2608" t="s">
        <v>5040</v>
      </c>
      <c r="G2608" s="3">
        <v>2904.44</v>
      </c>
      <c r="H2608" s="3">
        <v>377.58</v>
      </c>
      <c r="I2608" s="3">
        <f>SUM(Tabla1[[#This Row],[Monto_Base]],H2608)</f>
        <v>3282.02</v>
      </c>
      <c r="J2608" t="s">
        <v>5045</v>
      </c>
      <c r="K2608" t="s">
        <v>5048</v>
      </c>
      <c r="L2608" t="s">
        <v>5052</v>
      </c>
      <c r="M2608" t="s">
        <v>5055</v>
      </c>
    </row>
    <row r="2609" spans="1:13" x14ac:dyDescent="0.3">
      <c r="A2609" s="1">
        <v>45392</v>
      </c>
      <c r="B2609" s="1" t="str">
        <f>TEXT(Tabla1[[#This Row],[Fecha]],"MMMM")</f>
        <v>abril</v>
      </c>
      <c r="C2609" t="s">
        <v>2619</v>
      </c>
      <c r="D2609" t="s">
        <v>5025</v>
      </c>
      <c r="E2609" t="s">
        <v>5032</v>
      </c>
      <c r="F2609" t="s">
        <v>5040</v>
      </c>
      <c r="G2609" s="3">
        <v>7610</v>
      </c>
      <c r="H2609" s="3">
        <v>0</v>
      </c>
      <c r="I2609" s="3">
        <f>SUM(Tabla1[[#This Row],[Monto_Base]],H2609)</f>
        <v>7610</v>
      </c>
      <c r="J2609" t="s">
        <v>5045</v>
      </c>
      <c r="K2609" t="s">
        <v>5049</v>
      </c>
      <c r="L2609" t="s">
        <v>5053</v>
      </c>
      <c r="M2609" t="s">
        <v>5054</v>
      </c>
    </row>
    <row r="2610" spans="1:13" x14ac:dyDescent="0.3">
      <c r="A2610" s="1">
        <v>45348</v>
      </c>
      <c r="B2610" s="1" t="str">
        <f>TEXT(Tabla1[[#This Row],[Fecha]],"MMMM")</f>
        <v>febrero</v>
      </c>
      <c r="C2610" t="s">
        <v>2620</v>
      </c>
      <c r="D2610" t="s">
        <v>5016</v>
      </c>
      <c r="E2610" t="s">
        <v>5032</v>
      </c>
      <c r="F2610" t="s">
        <v>5037</v>
      </c>
      <c r="G2610" s="3">
        <v>4263.3900000000003</v>
      </c>
      <c r="H2610" s="3">
        <v>0</v>
      </c>
      <c r="I2610" s="3">
        <f>SUM(Tabla1[[#This Row],[Monto_Base]],H2610)</f>
        <v>4263.3900000000003</v>
      </c>
      <c r="J2610" t="s">
        <v>5043</v>
      </c>
      <c r="K2610" t="s">
        <v>5048</v>
      </c>
      <c r="L2610" t="s">
        <v>5051</v>
      </c>
      <c r="M2610" t="s">
        <v>5054</v>
      </c>
    </row>
    <row r="2611" spans="1:13" x14ac:dyDescent="0.3">
      <c r="A2611" s="1">
        <v>45628</v>
      </c>
      <c r="B2611" s="1" t="str">
        <f>TEXT(Tabla1[[#This Row],[Fecha]],"MMMM")</f>
        <v>diciembre</v>
      </c>
      <c r="C2611" t="s">
        <v>2621</v>
      </c>
      <c r="D2611" t="s">
        <v>5031</v>
      </c>
      <c r="E2611" t="s">
        <v>5033</v>
      </c>
      <c r="F2611" t="s">
        <v>5039</v>
      </c>
      <c r="G2611" s="3">
        <v>13334.23</v>
      </c>
      <c r="H2611" s="3">
        <v>1733.45</v>
      </c>
      <c r="I2611" s="3">
        <f>SUM(Tabla1[[#This Row],[Monto_Base]],H2611)</f>
        <v>15067.68</v>
      </c>
      <c r="J2611" t="s">
        <v>5045</v>
      </c>
      <c r="K2611" t="s">
        <v>5048</v>
      </c>
      <c r="L2611" t="s">
        <v>5052</v>
      </c>
      <c r="M2611" t="s">
        <v>5055</v>
      </c>
    </row>
    <row r="2612" spans="1:13" x14ac:dyDescent="0.3">
      <c r="A2612" s="1">
        <v>45491</v>
      </c>
      <c r="B2612" s="1" t="str">
        <f>TEXT(Tabla1[[#This Row],[Fecha]],"MMMM")</f>
        <v>julio</v>
      </c>
      <c r="C2612" t="s">
        <v>2622</v>
      </c>
      <c r="D2612" t="s">
        <v>5027</v>
      </c>
      <c r="E2612" t="s">
        <v>5033</v>
      </c>
      <c r="F2612" t="s">
        <v>5036</v>
      </c>
      <c r="G2612" s="3">
        <v>5518.91</v>
      </c>
      <c r="H2612" s="3">
        <v>717.46</v>
      </c>
      <c r="I2612" s="3">
        <f>SUM(Tabla1[[#This Row],[Monto_Base]],H2612)</f>
        <v>6236.37</v>
      </c>
      <c r="J2612" t="s">
        <v>5043</v>
      </c>
      <c r="K2612" t="s">
        <v>5049</v>
      </c>
      <c r="L2612" t="s">
        <v>5050</v>
      </c>
      <c r="M2612" t="s">
        <v>5054</v>
      </c>
    </row>
    <row r="2613" spans="1:13" x14ac:dyDescent="0.3">
      <c r="A2613" s="1">
        <v>45588</v>
      </c>
      <c r="B2613" s="1" t="str">
        <f>TEXT(Tabla1[[#This Row],[Fecha]],"MMMM")</f>
        <v>octubre</v>
      </c>
      <c r="C2613" t="s">
        <v>2623</v>
      </c>
      <c r="D2613" t="s">
        <v>5031</v>
      </c>
      <c r="E2613" t="s">
        <v>5032</v>
      </c>
      <c r="F2613" t="s">
        <v>5037</v>
      </c>
      <c r="G2613" s="3">
        <v>6606.18</v>
      </c>
      <c r="H2613" s="3">
        <v>0</v>
      </c>
      <c r="I2613" s="3">
        <f>SUM(Tabla1[[#This Row],[Monto_Base]],H2613)</f>
        <v>6606.18</v>
      </c>
      <c r="J2613" t="s">
        <v>5042</v>
      </c>
      <c r="K2613" t="s">
        <v>5047</v>
      </c>
      <c r="L2613" t="s">
        <v>5052</v>
      </c>
      <c r="M2613" t="s">
        <v>5054</v>
      </c>
    </row>
    <row r="2614" spans="1:13" x14ac:dyDescent="0.3">
      <c r="A2614" s="1">
        <v>45306</v>
      </c>
      <c r="B2614" s="1" t="str">
        <f>TEXT(Tabla1[[#This Row],[Fecha]],"MMMM")</f>
        <v>enero</v>
      </c>
      <c r="C2614" t="s">
        <v>2624</v>
      </c>
      <c r="D2614" t="s">
        <v>5030</v>
      </c>
      <c r="E2614" t="s">
        <v>5032</v>
      </c>
      <c r="F2614" t="s">
        <v>5035</v>
      </c>
      <c r="G2614" s="3">
        <v>10805.29</v>
      </c>
      <c r="H2614" s="3">
        <v>0</v>
      </c>
      <c r="I2614" s="3">
        <f>SUM(Tabla1[[#This Row],[Monto_Base]],H2614)</f>
        <v>10805.29</v>
      </c>
      <c r="J2614" t="s">
        <v>5044</v>
      </c>
      <c r="K2614" t="s">
        <v>5049</v>
      </c>
      <c r="L2614" t="s">
        <v>5052</v>
      </c>
      <c r="M2614" t="s">
        <v>5055</v>
      </c>
    </row>
    <row r="2615" spans="1:13" x14ac:dyDescent="0.3">
      <c r="A2615" s="1">
        <v>45508</v>
      </c>
      <c r="B2615" s="1" t="str">
        <f>TEXT(Tabla1[[#This Row],[Fecha]],"MMMM")</f>
        <v>agosto</v>
      </c>
      <c r="C2615" t="s">
        <v>2625</v>
      </c>
      <c r="D2615" t="s">
        <v>5021</v>
      </c>
      <c r="E2615" t="s">
        <v>5032</v>
      </c>
      <c r="F2615" t="s">
        <v>5036</v>
      </c>
      <c r="G2615" s="3">
        <v>8841.5300000000007</v>
      </c>
      <c r="H2615" s="3">
        <v>0</v>
      </c>
      <c r="I2615" s="3">
        <f>SUM(Tabla1[[#This Row],[Monto_Base]],H2615)</f>
        <v>8841.5300000000007</v>
      </c>
      <c r="J2615" t="s">
        <v>5044</v>
      </c>
      <c r="K2615" t="s">
        <v>5048</v>
      </c>
      <c r="L2615" t="s">
        <v>5052</v>
      </c>
      <c r="M2615" t="s">
        <v>5055</v>
      </c>
    </row>
    <row r="2616" spans="1:13" x14ac:dyDescent="0.3">
      <c r="A2616" s="1">
        <v>45595</v>
      </c>
      <c r="B2616" s="1" t="str">
        <f>TEXT(Tabla1[[#This Row],[Fecha]],"MMMM")</f>
        <v>octubre</v>
      </c>
      <c r="C2616" t="s">
        <v>2626</v>
      </c>
      <c r="D2616" t="s">
        <v>5015</v>
      </c>
      <c r="E2616" t="s">
        <v>5033</v>
      </c>
      <c r="F2616" t="s">
        <v>5034</v>
      </c>
      <c r="G2616" s="3">
        <v>8698.61</v>
      </c>
      <c r="H2616" s="3">
        <v>1130.82</v>
      </c>
      <c r="I2616" s="3">
        <f>SUM(Tabla1[[#This Row],[Monto_Base]],H2616)</f>
        <v>9829.43</v>
      </c>
      <c r="J2616" t="s">
        <v>5042</v>
      </c>
      <c r="K2616" t="s">
        <v>5047</v>
      </c>
      <c r="L2616" t="s">
        <v>5051</v>
      </c>
      <c r="M2616" t="s">
        <v>5054</v>
      </c>
    </row>
    <row r="2617" spans="1:13" x14ac:dyDescent="0.3">
      <c r="A2617" s="1">
        <v>45650</v>
      </c>
      <c r="B2617" s="1" t="str">
        <f>TEXT(Tabla1[[#This Row],[Fecha]],"MMMM")</f>
        <v>diciembre</v>
      </c>
      <c r="C2617" t="s">
        <v>2627</v>
      </c>
      <c r="D2617" t="s">
        <v>5019</v>
      </c>
      <c r="E2617" t="s">
        <v>5033</v>
      </c>
      <c r="F2617" t="s">
        <v>5036</v>
      </c>
      <c r="G2617" s="3">
        <v>7048.46</v>
      </c>
      <c r="H2617" s="3">
        <v>916.3</v>
      </c>
      <c r="I2617" s="3">
        <f>SUM(Tabla1[[#This Row],[Monto_Base]],H2617)</f>
        <v>7964.76</v>
      </c>
      <c r="J2617" t="s">
        <v>5043</v>
      </c>
      <c r="K2617" t="s">
        <v>5048</v>
      </c>
      <c r="L2617" t="s">
        <v>5053</v>
      </c>
      <c r="M2617" t="s">
        <v>5054</v>
      </c>
    </row>
    <row r="2618" spans="1:13" x14ac:dyDescent="0.3">
      <c r="A2618" s="1">
        <v>45540</v>
      </c>
      <c r="B2618" s="1" t="str">
        <f>TEXT(Tabla1[[#This Row],[Fecha]],"MMMM")</f>
        <v>septiembre</v>
      </c>
      <c r="C2618" t="s">
        <v>2628</v>
      </c>
      <c r="D2618" t="s">
        <v>5016</v>
      </c>
      <c r="E2618" t="s">
        <v>5032</v>
      </c>
      <c r="F2618" t="s">
        <v>5037</v>
      </c>
      <c r="G2618" s="3">
        <v>6444.97</v>
      </c>
      <c r="H2618" s="3">
        <v>0</v>
      </c>
      <c r="I2618" s="3">
        <f>SUM(Tabla1[[#This Row],[Monto_Base]],H2618)</f>
        <v>6444.97</v>
      </c>
      <c r="J2618" t="s">
        <v>5042</v>
      </c>
      <c r="K2618" t="s">
        <v>5047</v>
      </c>
      <c r="L2618" t="s">
        <v>5053</v>
      </c>
      <c r="M2618" t="s">
        <v>5054</v>
      </c>
    </row>
    <row r="2619" spans="1:13" x14ac:dyDescent="0.3">
      <c r="A2619" s="1">
        <v>45528</v>
      </c>
      <c r="B2619" s="1" t="str">
        <f>TEXT(Tabla1[[#This Row],[Fecha]],"MMMM")</f>
        <v>agosto</v>
      </c>
      <c r="C2619" t="s">
        <v>2629</v>
      </c>
      <c r="D2619" t="s">
        <v>5026</v>
      </c>
      <c r="E2619" t="s">
        <v>5032</v>
      </c>
      <c r="F2619" t="s">
        <v>5034</v>
      </c>
      <c r="G2619" s="3">
        <v>2405.9699999999998</v>
      </c>
      <c r="H2619" s="3">
        <v>0</v>
      </c>
      <c r="I2619" s="3">
        <f>SUM(Tabla1[[#This Row],[Monto_Base]],H2619)</f>
        <v>2405.9699999999998</v>
      </c>
      <c r="J2619" t="s">
        <v>5046</v>
      </c>
      <c r="K2619" t="s">
        <v>5048</v>
      </c>
      <c r="L2619" t="s">
        <v>5050</v>
      </c>
      <c r="M2619" t="s">
        <v>5055</v>
      </c>
    </row>
    <row r="2620" spans="1:13" x14ac:dyDescent="0.3">
      <c r="A2620" s="1">
        <v>45655</v>
      </c>
      <c r="B2620" s="1" t="str">
        <f>TEXT(Tabla1[[#This Row],[Fecha]],"MMMM")</f>
        <v>diciembre</v>
      </c>
      <c r="C2620" t="s">
        <v>2630</v>
      </c>
      <c r="D2620" t="s">
        <v>5021</v>
      </c>
      <c r="E2620" t="s">
        <v>5032</v>
      </c>
      <c r="F2620" t="s">
        <v>5036</v>
      </c>
      <c r="G2620" s="3">
        <v>9587.67</v>
      </c>
      <c r="H2620" s="3">
        <v>0</v>
      </c>
      <c r="I2620" s="3">
        <f>SUM(Tabla1[[#This Row],[Monto_Base]],H2620)</f>
        <v>9587.67</v>
      </c>
      <c r="J2620" t="s">
        <v>5045</v>
      </c>
      <c r="K2620" t="s">
        <v>5047</v>
      </c>
      <c r="L2620" t="s">
        <v>5051</v>
      </c>
      <c r="M2620" t="s">
        <v>5054</v>
      </c>
    </row>
    <row r="2621" spans="1:13" x14ac:dyDescent="0.3">
      <c r="A2621" s="1">
        <v>45294</v>
      </c>
      <c r="B2621" s="1" t="str">
        <f>TEXT(Tabla1[[#This Row],[Fecha]],"MMMM")</f>
        <v>enero</v>
      </c>
      <c r="C2621" t="s">
        <v>2631</v>
      </c>
      <c r="D2621" t="s">
        <v>5029</v>
      </c>
      <c r="E2621" t="s">
        <v>5032</v>
      </c>
      <c r="F2621" t="s">
        <v>5036</v>
      </c>
      <c r="G2621" s="3">
        <v>14525.8</v>
      </c>
      <c r="H2621" s="3">
        <v>0</v>
      </c>
      <c r="I2621" s="3">
        <f>SUM(Tabla1[[#This Row],[Monto_Base]],H2621)</f>
        <v>14525.8</v>
      </c>
      <c r="J2621" t="s">
        <v>5042</v>
      </c>
      <c r="K2621" t="s">
        <v>5048</v>
      </c>
      <c r="L2621" t="s">
        <v>5052</v>
      </c>
      <c r="M2621" t="s">
        <v>5054</v>
      </c>
    </row>
    <row r="2622" spans="1:13" x14ac:dyDescent="0.3">
      <c r="A2622" s="1">
        <v>45406</v>
      </c>
      <c r="B2622" s="1" t="str">
        <f>TEXT(Tabla1[[#This Row],[Fecha]],"MMMM")</f>
        <v>abril</v>
      </c>
      <c r="C2622" t="s">
        <v>2632</v>
      </c>
      <c r="D2622" t="s">
        <v>5028</v>
      </c>
      <c r="E2622" t="s">
        <v>5033</v>
      </c>
      <c r="F2622" t="s">
        <v>5041</v>
      </c>
      <c r="G2622" s="3">
        <v>11494.61</v>
      </c>
      <c r="H2622" s="3">
        <v>1494.3</v>
      </c>
      <c r="I2622" s="3">
        <f>SUM(Tabla1[[#This Row],[Monto_Base]],H2622)</f>
        <v>12988.91</v>
      </c>
      <c r="J2622" t="s">
        <v>5042</v>
      </c>
      <c r="K2622" t="s">
        <v>5049</v>
      </c>
      <c r="L2622" t="s">
        <v>5052</v>
      </c>
      <c r="M2622" t="s">
        <v>5055</v>
      </c>
    </row>
    <row r="2623" spans="1:13" x14ac:dyDescent="0.3">
      <c r="A2623" s="1">
        <v>45548</v>
      </c>
      <c r="B2623" s="1" t="str">
        <f>TEXT(Tabla1[[#This Row],[Fecha]],"MMMM")</f>
        <v>septiembre</v>
      </c>
      <c r="C2623" t="s">
        <v>2633</v>
      </c>
      <c r="D2623" t="s">
        <v>5025</v>
      </c>
      <c r="E2623" t="s">
        <v>5032</v>
      </c>
      <c r="F2623" t="s">
        <v>5036</v>
      </c>
      <c r="G2623" s="3">
        <v>1857.02</v>
      </c>
      <c r="H2623" s="3">
        <v>0</v>
      </c>
      <c r="I2623" s="3">
        <f>SUM(Tabla1[[#This Row],[Monto_Base]],H2623)</f>
        <v>1857.02</v>
      </c>
      <c r="J2623" t="s">
        <v>5044</v>
      </c>
      <c r="K2623" t="s">
        <v>5047</v>
      </c>
      <c r="L2623" t="s">
        <v>5051</v>
      </c>
      <c r="M2623" t="s">
        <v>5054</v>
      </c>
    </row>
    <row r="2624" spans="1:13" x14ac:dyDescent="0.3">
      <c r="A2624" s="1">
        <v>45600</v>
      </c>
      <c r="B2624" s="1" t="str">
        <f>TEXT(Tabla1[[#This Row],[Fecha]],"MMMM")</f>
        <v>noviembre</v>
      </c>
      <c r="C2624" t="s">
        <v>2634</v>
      </c>
      <c r="D2624" t="s">
        <v>5016</v>
      </c>
      <c r="E2624" t="s">
        <v>5032</v>
      </c>
      <c r="F2624" t="s">
        <v>5034</v>
      </c>
      <c r="G2624" s="3">
        <v>66.400000000000006</v>
      </c>
      <c r="H2624" s="3">
        <v>0</v>
      </c>
      <c r="I2624" s="3">
        <f>SUM(Tabla1[[#This Row],[Monto_Base]],H2624)</f>
        <v>66.400000000000006</v>
      </c>
      <c r="J2624" t="s">
        <v>5045</v>
      </c>
      <c r="K2624" t="s">
        <v>5047</v>
      </c>
      <c r="L2624" t="s">
        <v>5050</v>
      </c>
      <c r="M2624" t="s">
        <v>5054</v>
      </c>
    </row>
    <row r="2625" spans="1:13" x14ac:dyDescent="0.3">
      <c r="A2625" s="1">
        <v>45434</v>
      </c>
      <c r="B2625" s="1" t="str">
        <f>TEXT(Tabla1[[#This Row],[Fecha]],"MMMM")</f>
        <v>mayo</v>
      </c>
      <c r="C2625" t="s">
        <v>2635</v>
      </c>
      <c r="D2625" t="s">
        <v>5013</v>
      </c>
      <c r="E2625" t="s">
        <v>5033</v>
      </c>
      <c r="F2625" t="s">
        <v>5039</v>
      </c>
      <c r="G2625" s="3">
        <v>10759.1</v>
      </c>
      <c r="H2625" s="3">
        <v>1398.68</v>
      </c>
      <c r="I2625" s="3">
        <f>SUM(Tabla1[[#This Row],[Monto_Base]],H2625)</f>
        <v>12157.78</v>
      </c>
      <c r="J2625" t="s">
        <v>5046</v>
      </c>
      <c r="K2625" t="s">
        <v>5047</v>
      </c>
      <c r="L2625" t="s">
        <v>5051</v>
      </c>
      <c r="M2625" t="s">
        <v>5055</v>
      </c>
    </row>
    <row r="2626" spans="1:13" x14ac:dyDescent="0.3">
      <c r="A2626" s="1">
        <v>45539</v>
      </c>
      <c r="B2626" s="1" t="str">
        <f>TEXT(Tabla1[[#This Row],[Fecha]],"MMMM")</f>
        <v>septiembre</v>
      </c>
      <c r="C2626" t="s">
        <v>2636</v>
      </c>
      <c r="D2626" t="s">
        <v>5024</v>
      </c>
      <c r="E2626" t="s">
        <v>5033</v>
      </c>
      <c r="F2626" t="s">
        <v>5040</v>
      </c>
      <c r="G2626" s="3">
        <v>11095.95</v>
      </c>
      <c r="H2626" s="3">
        <v>1442.47</v>
      </c>
      <c r="I2626" s="3">
        <f>SUM(Tabla1[[#This Row],[Monto_Base]],H2626)</f>
        <v>12538.42</v>
      </c>
      <c r="J2626" t="s">
        <v>5043</v>
      </c>
      <c r="K2626" t="s">
        <v>5048</v>
      </c>
      <c r="L2626" t="s">
        <v>5053</v>
      </c>
      <c r="M2626" t="s">
        <v>5055</v>
      </c>
    </row>
    <row r="2627" spans="1:13" x14ac:dyDescent="0.3">
      <c r="A2627" s="1">
        <v>45655</v>
      </c>
      <c r="B2627" s="1" t="str">
        <f>TEXT(Tabla1[[#This Row],[Fecha]],"MMMM")</f>
        <v>diciembre</v>
      </c>
      <c r="C2627" t="s">
        <v>2637</v>
      </c>
      <c r="D2627" t="s">
        <v>5031</v>
      </c>
      <c r="E2627" t="s">
        <v>5032</v>
      </c>
      <c r="F2627" t="s">
        <v>5036</v>
      </c>
      <c r="G2627" s="3">
        <v>5674.16</v>
      </c>
      <c r="H2627" s="3">
        <v>0</v>
      </c>
      <c r="I2627" s="3">
        <f>SUM(Tabla1[[#This Row],[Monto_Base]],H2627)</f>
        <v>5674.16</v>
      </c>
      <c r="J2627" t="s">
        <v>5042</v>
      </c>
      <c r="K2627" t="s">
        <v>5048</v>
      </c>
      <c r="L2627" t="s">
        <v>5051</v>
      </c>
      <c r="M2627" t="s">
        <v>5055</v>
      </c>
    </row>
    <row r="2628" spans="1:13" x14ac:dyDescent="0.3">
      <c r="A2628" s="1">
        <v>45604</v>
      </c>
      <c r="B2628" s="1" t="str">
        <f>TEXT(Tabla1[[#This Row],[Fecha]],"MMMM")</f>
        <v>noviembre</v>
      </c>
      <c r="C2628" t="s">
        <v>2638</v>
      </c>
      <c r="D2628" t="s">
        <v>5025</v>
      </c>
      <c r="E2628" t="s">
        <v>5032</v>
      </c>
      <c r="F2628" t="s">
        <v>5038</v>
      </c>
      <c r="G2628" s="3">
        <v>658.34</v>
      </c>
      <c r="H2628" s="3">
        <v>0</v>
      </c>
      <c r="I2628" s="3">
        <f>SUM(Tabla1[[#This Row],[Monto_Base]],H2628)</f>
        <v>658.34</v>
      </c>
      <c r="J2628" t="s">
        <v>5043</v>
      </c>
      <c r="K2628" t="s">
        <v>5049</v>
      </c>
      <c r="L2628" t="s">
        <v>5052</v>
      </c>
      <c r="M2628" t="s">
        <v>5054</v>
      </c>
    </row>
    <row r="2629" spans="1:13" x14ac:dyDescent="0.3">
      <c r="A2629" s="1">
        <v>45479</v>
      </c>
      <c r="B2629" s="1" t="str">
        <f>TEXT(Tabla1[[#This Row],[Fecha]],"MMMM")</f>
        <v>julio</v>
      </c>
      <c r="C2629" t="s">
        <v>2639</v>
      </c>
      <c r="D2629" t="s">
        <v>5029</v>
      </c>
      <c r="E2629" t="s">
        <v>5033</v>
      </c>
      <c r="F2629" t="s">
        <v>5035</v>
      </c>
      <c r="G2629" s="3">
        <v>9244.15</v>
      </c>
      <c r="H2629" s="3">
        <v>1201.74</v>
      </c>
      <c r="I2629" s="3">
        <f>SUM(Tabla1[[#This Row],[Monto_Base]],H2629)</f>
        <v>10445.89</v>
      </c>
      <c r="J2629" t="s">
        <v>5046</v>
      </c>
      <c r="K2629" t="s">
        <v>5047</v>
      </c>
      <c r="L2629" t="s">
        <v>5051</v>
      </c>
      <c r="M2629" t="s">
        <v>5054</v>
      </c>
    </row>
    <row r="2630" spans="1:13" x14ac:dyDescent="0.3">
      <c r="A2630" s="1">
        <v>45647</v>
      </c>
      <c r="B2630" s="1" t="str">
        <f>TEXT(Tabla1[[#This Row],[Fecha]],"MMMM")</f>
        <v>diciembre</v>
      </c>
      <c r="C2630" t="s">
        <v>2640</v>
      </c>
      <c r="D2630" t="s">
        <v>5020</v>
      </c>
      <c r="E2630" t="s">
        <v>5033</v>
      </c>
      <c r="F2630" t="s">
        <v>5041</v>
      </c>
      <c r="G2630" s="3">
        <v>9380.94</v>
      </c>
      <c r="H2630" s="3">
        <v>1219.52</v>
      </c>
      <c r="I2630" s="3">
        <f>SUM(Tabla1[[#This Row],[Monto_Base]],H2630)</f>
        <v>10600.460000000001</v>
      </c>
      <c r="J2630" t="s">
        <v>5046</v>
      </c>
      <c r="K2630" t="s">
        <v>5047</v>
      </c>
      <c r="L2630" t="s">
        <v>5053</v>
      </c>
      <c r="M2630" t="s">
        <v>5054</v>
      </c>
    </row>
    <row r="2631" spans="1:13" x14ac:dyDescent="0.3">
      <c r="A2631" s="1">
        <v>45646</v>
      </c>
      <c r="B2631" s="1" t="str">
        <f>TEXT(Tabla1[[#This Row],[Fecha]],"MMMM")</f>
        <v>diciembre</v>
      </c>
      <c r="C2631" t="s">
        <v>2641</v>
      </c>
      <c r="D2631" t="s">
        <v>5024</v>
      </c>
      <c r="E2631" t="s">
        <v>5033</v>
      </c>
      <c r="F2631" t="s">
        <v>5041</v>
      </c>
      <c r="G2631" s="3">
        <v>367.71</v>
      </c>
      <c r="H2631" s="3">
        <v>47.8</v>
      </c>
      <c r="I2631" s="3">
        <f>SUM(Tabla1[[#This Row],[Monto_Base]],H2631)</f>
        <v>415.51</v>
      </c>
      <c r="J2631" t="s">
        <v>5044</v>
      </c>
      <c r="K2631" t="s">
        <v>5048</v>
      </c>
      <c r="L2631" t="s">
        <v>5052</v>
      </c>
      <c r="M2631" t="s">
        <v>5055</v>
      </c>
    </row>
    <row r="2632" spans="1:13" x14ac:dyDescent="0.3">
      <c r="A2632" s="1">
        <v>45592</v>
      </c>
      <c r="B2632" s="1" t="str">
        <f>TEXT(Tabla1[[#This Row],[Fecha]],"MMMM")</f>
        <v>octubre</v>
      </c>
      <c r="C2632" t="s">
        <v>2642</v>
      </c>
      <c r="D2632" t="s">
        <v>5013</v>
      </c>
      <c r="E2632" t="s">
        <v>5032</v>
      </c>
      <c r="F2632" t="s">
        <v>5041</v>
      </c>
      <c r="G2632" s="3">
        <v>11839.43</v>
      </c>
      <c r="H2632" s="3">
        <v>0</v>
      </c>
      <c r="I2632" s="3">
        <f>SUM(Tabla1[[#This Row],[Monto_Base]],H2632)</f>
        <v>11839.43</v>
      </c>
      <c r="J2632" t="s">
        <v>5045</v>
      </c>
      <c r="K2632" t="s">
        <v>5047</v>
      </c>
      <c r="L2632" t="s">
        <v>5051</v>
      </c>
      <c r="M2632" t="s">
        <v>5054</v>
      </c>
    </row>
    <row r="2633" spans="1:13" x14ac:dyDescent="0.3">
      <c r="A2633" s="1">
        <v>45369</v>
      </c>
      <c r="B2633" s="1" t="str">
        <f>TEXT(Tabla1[[#This Row],[Fecha]],"MMMM")</f>
        <v>marzo</v>
      </c>
      <c r="C2633" t="s">
        <v>2643</v>
      </c>
      <c r="D2633" t="s">
        <v>5012</v>
      </c>
      <c r="E2633" t="s">
        <v>5033</v>
      </c>
      <c r="F2633" t="s">
        <v>5037</v>
      </c>
      <c r="G2633" s="3">
        <v>10647.15</v>
      </c>
      <c r="H2633" s="3">
        <v>1384.13</v>
      </c>
      <c r="I2633" s="3">
        <f>SUM(Tabla1[[#This Row],[Monto_Base]],H2633)</f>
        <v>12031.279999999999</v>
      </c>
      <c r="J2633" t="s">
        <v>5043</v>
      </c>
      <c r="K2633" t="s">
        <v>5047</v>
      </c>
      <c r="L2633" t="s">
        <v>5053</v>
      </c>
      <c r="M2633" t="s">
        <v>5054</v>
      </c>
    </row>
    <row r="2634" spans="1:13" x14ac:dyDescent="0.3">
      <c r="A2634" s="1">
        <v>45531</v>
      </c>
      <c r="B2634" s="1" t="str">
        <f>TEXT(Tabla1[[#This Row],[Fecha]],"MMMM")</f>
        <v>agosto</v>
      </c>
      <c r="C2634" t="s">
        <v>2644</v>
      </c>
      <c r="D2634" t="s">
        <v>5027</v>
      </c>
      <c r="E2634" t="s">
        <v>5032</v>
      </c>
      <c r="F2634" t="s">
        <v>5034</v>
      </c>
      <c r="G2634" s="3">
        <v>10057.9</v>
      </c>
      <c r="H2634" s="3">
        <v>0</v>
      </c>
      <c r="I2634" s="3">
        <f>SUM(Tabla1[[#This Row],[Monto_Base]],H2634)</f>
        <v>10057.9</v>
      </c>
      <c r="J2634" t="s">
        <v>5044</v>
      </c>
      <c r="K2634" t="s">
        <v>5049</v>
      </c>
      <c r="L2634" t="s">
        <v>5050</v>
      </c>
      <c r="M2634" t="s">
        <v>5054</v>
      </c>
    </row>
    <row r="2635" spans="1:13" x14ac:dyDescent="0.3">
      <c r="A2635" s="1">
        <v>45337</v>
      </c>
      <c r="B2635" s="1" t="str">
        <f>TEXT(Tabla1[[#This Row],[Fecha]],"MMMM")</f>
        <v>febrero</v>
      </c>
      <c r="C2635" t="s">
        <v>2645</v>
      </c>
      <c r="D2635" t="s">
        <v>5015</v>
      </c>
      <c r="E2635" t="s">
        <v>5032</v>
      </c>
      <c r="F2635" t="s">
        <v>5034</v>
      </c>
      <c r="G2635" s="3">
        <v>5404.44</v>
      </c>
      <c r="H2635" s="3">
        <v>0</v>
      </c>
      <c r="I2635" s="3">
        <f>SUM(Tabla1[[#This Row],[Monto_Base]],H2635)</f>
        <v>5404.44</v>
      </c>
      <c r="J2635" t="s">
        <v>5042</v>
      </c>
      <c r="K2635" t="s">
        <v>5047</v>
      </c>
      <c r="L2635" t="s">
        <v>5053</v>
      </c>
      <c r="M2635" t="s">
        <v>5055</v>
      </c>
    </row>
    <row r="2636" spans="1:13" x14ac:dyDescent="0.3">
      <c r="A2636" s="1">
        <v>45655</v>
      </c>
      <c r="B2636" s="1" t="str">
        <f>TEXT(Tabla1[[#This Row],[Fecha]],"MMMM")</f>
        <v>diciembre</v>
      </c>
      <c r="C2636" t="s">
        <v>2646</v>
      </c>
      <c r="D2636" t="s">
        <v>5025</v>
      </c>
      <c r="E2636" t="s">
        <v>5033</v>
      </c>
      <c r="F2636" t="s">
        <v>5038</v>
      </c>
      <c r="G2636" s="3">
        <v>5796.84</v>
      </c>
      <c r="H2636" s="3">
        <v>753.59</v>
      </c>
      <c r="I2636" s="3">
        <f>SUM(Tabla1[[#This Row],[Monto_Base]],H2636)</f>
        <v>6550.43</v>
      </c>
      <c r="J2636" t="s">
        <v>5042</v>
      </c>
      <c r="K2636" t="s">
        <v>5048</v>
      </c>
      <c r="L2636" t="s">
        <v>5050</v>
      </c>
      <c r="M2636" t="s">
        <v>5055</v>
      </c>
    </row>
    <row r="2637" spans="1:13" x14ac:dyDescent="0.3">
      <c r="A2637" s="1">
        <v>45545</v>
      </c>
      <c r="B2637" s="1" t="str">
        <f>TEXT(Tabla1[[#This Row],[Fecha]],"MMMM")</f>
        <v>septiembre</v>
      </c>
      <c r="C2637" t="s">
        <v>2647</v>
      </c>
      <c r="D2637" t="s">
        <v>5026</v>
      </c>
      <c r="E2637" t="s">
        <v>5033</v>
      </c>
      <c r="F2637" t="s">
        <v>5034</v>
      </c>
      <c r="G2637" s="3">
        <v>1419.71</v>
      </c>
      <c r="H2637" s="3">
        <v>184.56</v>
      </c>
      <c r="I2637" s="3">
        <f>SUM(Tabla1[[#This Row],[Monto_Base]],H2637)</f>
        <v>1604.27</v>
      </c>
      <c r="J2637" t="s">
        <v>5046</v>
      </c>
      <c r="K2637" t="s">
        <v>5049</v>
      </c>
      <c r="L2637" t="s">
        <v>5050</v>
      </c>
      <c r="M2637" t="s">
        <v>5055</v>
      </c>
    </row>
    <row r="2638" spans="1:13" x14ac:dyDescent="0.3">
      <c r="A2638" s="1">
        <v>45462</v>
      </c>
      <c r="B2638" s="1" t="str">
        <f>TEXT(Tabla1[[#This Row],[Fecha]],"MMMM")</f>
        <v>junio</v>
      </c>
      <c r="C2638" t="s">
        <v>2648</v>
      </c>
      <c r="D2638" t="s">
        <v>5028</v>
      </c>
      <c r="E2638" t="s">
        <v>5033</v>
      </c>
      <c r="F2638" t="s">
        <v>5038</v>
      </c>
      <c r="G2638" s="3">
        <v>5923.04</v>
      </c>
      <c r="H2638" s="3">
        <v>770</v>
      </c>
      <c r="I2638" s="3">
        <f>SUM(Tabla1[[#This Row],[Monto_Base]],H2638)</f>
        <v>6693.04</v>
      </c>
      <c r="J2638" t="s">
        <v>5044</v>
      </c>
      <c r="K2638" t="s">
        <v>5049</v>
      </c>
      <c r="L2638" t="s">
        <v>5052</v>
      </c>
      <c r="M2638" t="s">
        <v>5055</v>
      </c>
    </row>
    <row r="2639" spans="1:13" x14ac:dyDescent="0.3">
      <c r="A2639" s="1">
        <v>45644</v>
      </c>
      <c r="B2639" s="1" t="str">
        <f>TEXT(Tabla1[[#This Row],[Fecha]],"MMMM")</f>
        <v>diciembre</v>
      </c>
      <c r="C2639" t="s">
        <v>2649</v>
      </c>
      <c r="D2639" t="s">
        <v>5021</v>
      </c>
      <c r="E2639" t="s">
        <v>5033</v>
      </c>
      <c r="F2639" t="s">
        <v>5035</v>
      </c>
      <c r="G2639" s="3">
        <v>12172.12</v>
      </c>
      <c r="H2639" s="3">
        <v>1582.38</v>
      </c>
      <c r="I2639" s="3">
        <f>SUM(Tabla1[[#This Row],[Monto_Base]],H2639)</f>
        <v>13754.5</v>
      </c>
      <c r="J2639" t="s">
        <v>5046</v>
      </c>
      <c r="K2639" t="s">
        <v>5047</v>
      </c>
      <c r="L2639" t="s">
        <v>5050</v>
      </c>
      <c r="M2639" t="s">
        <v>5054</v>
      </c>
    </row>
    <row r="2640" spans="1:13" x14ac:dyDescent="0.3">
      <c r="A2640" s="1">
        <v>45593</v>
      </c>
      <c r="B2640" s="1" t="str">
        <f>TEXT(Tabla1[[#This Row],[Fecha]],"MMMM")</f>
        <v>octubre</v>
      </c>
      <c r="C2640" t="s">
        <v>2650</v>
      </c>
      <c r="D2640" t="s">
        <v>5021</v>
      </c>
      <c r="E2640" t="s">
        <v>5032</v>
      </c>
      <c r="F2640" t="s">
        <v>5035</v>
      </c>
      <c r="G2640" s="3">
        <v>4828.46</v>
      </c>
      <c r="H2640" s="3">
        <v>0</v>
      </c>
      <c r="I2640" s="3">
        <f>SUM(Tabla1[[#This Row],[Monto_Base]],H2640)</f>
        <v>4828.46</v>
      </c>
      <c r="J2640" t="s">
        <v>5045</v>
      </c>
      <c r="K2640" t="s">
        <v>5049</v>
      </c>
      <c r="L2640" t="s">
        <v>5051</v>
      </c>
      <c r="M2640" t="s">
        <v>5055</v>
      </c>
    </row>
    <row r="2641" spans="1:13" x14ac:dyDescent="0.3">
      <c r="A2641" s="1">
        <v>45625</v>
      </c>
      <c r="B2641" s="1" t="str">
        <f>TEXT(Tabla1[[#This Row],[Fecha]],"MMMM")</f>
        <v>noviembre</v>
      </c>
      <c r="C2641" t="s">
        <v>2651</v>
      </c>
      <c r="D2641" t="s">
        <v>5026</v>
      </c>
      <c r="E2641" t="s">
        <v>5032</v>
      </c>
      <c r="F2641" t="s">
        <v>5036</v>
      </c>
      <c r="G2641" s="3">
        <v>6039.63</v>
      </c>
      <c r="H2641" s="3">
        <v>0</v>
      </c>
      <c r="I2641" s="3">
        <f>SUM(Tabla1[[#This Row],[Monto_Base]],H2641)</f>
        <v>6039.63</v>
      </c>
      <c r="J2641" t="s">
        <v>5046</v>
      </c>
      <c r="K2641" t="s">
        <v>5049</v>
      </c>
      <c r="L2641" t="s">
        <v>5053</v>
      </c>
      <c r="M2641" t="s">
        <v>5054</v>
      </c>
    </row>
    <row r="2642" spans="1:13" x14ac:dyDescent="0.3">
      <c r="A2642" s="1">
        <v>45656</v>
      </c>
      <c r="B2642" s="1" t="str">
        <f>TEXT(Tabla1[[#This Row],[Fecha]],"MMMM")</f>
        <v>diciembre</v>
      </c>
      <c r="C2642" t="s">
        <v>2652</v>
      </c>
      <c r="D2642" t="s">
        <v>5015</v>
      </c>
      <c r="E2642" t="s">
        <v>5032</v>
      </c>
      <c r="F2642" t="s">
        <v>5034</v>
      </c>
      <c r="G2642" s="3">
        <v>5751.77</v>
      </c>
      <c r="H2642" s="3">
        <v>0</v>
      </c>
      <c r="I2642" s="3">
        <f>SUM(Tabla1[[#This Row],[Monto_Base]],H2642)</f>
        <v>5751.77</v>
      </c>
      <c r="J2642" t="s">
        <v>5046</v>
      </c>
      <c r="K2642" t="s">
        <v>5047</v>
      </c>
      <c r="L2642" t="s">
        <v>5053</v>
      </c>
      <c r="M2642" t="s">
        <v>5054</v>
      </c>
    </row>
    <row r="2643" spans="1:13" x14ac:dyDescent="0.3">
      <c r="A2643" s="1">
        <v>45519</v>
      </c>
      <c r="B2643" s="1" t="str">
        <f>TEXT(Tabla1[[#This Row],[Fecha]],"MMMM")</f>
        <v>agosto</v>
      </c>
      <c r="C2643" t="s">
        <v>2653</v>
      </c>
      <c r="D2643" t="s">
        <v>5012</v>
      </c>
      <c r="E2643" t="s">
        <v>5033</v>
      </c>
      <c r="F2643" t="s">
        <v>5034</v>
      </c>
      <c r="G2643" s="3">
        <v>1036.2</v>
      </c>
      <c r="H2643" s="3">
        <v>134.71</v>
      </c>
      <c r="I2643" s="3">
        <f>SUM(Tabla1[[#This Row],[Monto_Base]],H2643)</f>
        <v>1170.9100000000001</v>
      </c>
      <c r="J2643" t="s">
        <v>5042</v>
      </c>
      <c r="K2643" t="s">
        <v>5047</v>
      </c>
      <c r="L2643" t="s">
        <v>5053</v>
      </c>
      <c r="M2643" t="s">
        <v>5055</v>
      </c>
    </row>
    <row r="2644" spans="1:13" x14ac:dyDescent="0.3">
      <c r="A2644" s="1">
        <v>45434</v>
      </c>
      <c r="B2644" s="1" t="str">
        <f>TEXT(Tabla1[[#This Row],[Fecha]],"MMMM")</f>
        <v>mayo</v>
      </c>
      <c r="C2644" t="s">
        <v>2654</v>
      </c>
      <c r="D2644" t="s">
        <v>5026</v>
      </c>
      <c r="E2644" t="s">
        <v>5033</v>
      </c>
      <c r="F2644" t="s">
        <v>5040</v>
      </c>
      <c r="G2644" s="3">
        <v>10500.35</v>
      </c>
      <c r="H2644" s="3">
        <v>1365.05</v>
      </c>
      <c r="I2644" s="3">
        <f>SUM(Tabla1[[#This Row],[Monto_Base]],H2644)</f>
        <v>11865.4</v>
      </c>
      <c r="J2644" t="s">
        <v>5045</v>
      </c>
      <c r="K2644" t="s">
        <v>5048</v>
      </c>
      <c r="L2644" t="s">
        <v>5052</v>
      </c>
      <c r="M2644" t="s">
        <v>5054</v>
      </c>
    </row>
    <row r="2645" spans="1:13" x14ac:dyDescent="0.3">
      <c r="A2645" s="1">
        <v>45505</v>
      </c>
      <c r="B2645" s="1" t="str">
        <f>TEXT(Tabla1[[#This Row],[Fecha]],"MMMM")</f>
        <v>agosto</v>
      </c>
      <c r="C2645" t="s">
        <v>2655</v>
      </c>
      <c r="D2645" t="s">
        <v>5012</v>
      </c>
      <c r="E2645" t="s">
        <v>5032</v>
      </c>
      <c r="F2645" t="s">
        <v>5034</v>
      </c>
      <c r="G2645" s="3">
        <v>9518.69</v>
      </c>
      <c r="H2645" s="3">
        <v>0</v>
      </c>
      <c r="I2645" s="3">
        <f>SUM(Tabla1[[#This Row],[Monto_Base]],H2645)</f>
        <v>9518.69</v>
      </c>
      <c r="J2645" t="s">
        <v>5043</v>
      </c>
      <c r="K2645" t="s">
        <v>5047</v>
      </c>
      <c r="L2645" t="s">
        <v>5052</v>
      </c>
      <c r="M2645" t="s">
        <v>5055</v>
      </c>
    </row>
    <row r="2646" spans="1:13" x14ac:dyDescent="0.3">
      <c r="A2646" s="1">
        <v>45362</v>
      </c>
      <c r="B2646" s="1" t="str">
        <f>TEXT(Tabla1[[#This Row],[Fecha]],"MMMM")</f>
        <v>marzo</v>
      </c>
      <c r="C2646" t="s">
        <v>2656</v>
      </c>
      <c r="D2646" t="s">
        <v>5028</v>
      </c>
      <c r="E2646" t="s">
        <v>5033</v>
      </c>
      <c r="F2646" t="s">
        <v>5036</v>
      </c>
      <c r="G2646" s="3">
        <v>2147.94</v>
      </c>
      <c r="H2646" s="3">
        <v>279.23</v>
      </c>
      <c r="I2646" s="3">
        <f>SUM(Tabla1[[#This Row],[Monto_Base]],H2646)</f>
        <v>2427.17</v>
      </c>
      <c r="J2646" t="s">
        <v>5043</v>
      </c>
      <c r="K2646" t="s">
        <v>5049</v>
      </c>
      <c r="L2646" t="s">
        <v>5053</v>
      </c>
      <c r="M2646" t="s">
        <v>5055</v>
      </c>
    </row>
    <row r="2647" spans="1:13" x14ac:dyDescent="0.3">
      <c r="A2647" s="1">
        <v>45469</v>
      </c>
      <c r="B2647" s="1" t="str">
        <f>TEXT(Tabla1[[#This Row],[Fecha]],"MMMM")</f>
        <v>junio</v>
      </c>
      <c r="C2647" t="s">
        <v>2657</v>
      </c>
      <c r="D2647" t="s">
        <v>5025</v>
      </c>
      <c r="E2647" t="s">
        <v>5032</v>
      </c>
      <c r="F2647" t="s">
        <v>5041</v>
      </c>
      <c r="G2647" s="3">
        <v>12709.72</v>
      </c>
      <c r="H2647" s="3">
        <v>0</v>
      </c>
      <c r="I2647" s="3">
        <f>SUM(Tabla1[[#This Row],[Monto_Base]],H2647)</f>
        <v>12709.72</v>
      </c>
      <c r="J2647" t="s">
        <v>5046</v>
      </c>
      <c r="K2647" t="s">
        <v>5047</v>
      </c>
      <c r="L2647" t="s">
        <v>5053</v>
      </c>
      <c r="M2647" t="s">
        <v>5054</v>
      </c>
    </row>
    <row r="2648" spans="1:13" x14ac:dyDescent="0.3">
      <c r="A2648" s="1">
        <v>45605</v>
      </c>
      <c r="B2648" s="1" t="str">
        <f>TEXT(Tabla1[[#This Row],[Fecha]],"MMMM")</f>
        <v>noviembre</v>
      </c>
      <c r="C2648" t="s">
        <v>2658</v>
      </c>
      <c r="D2648" t="s">
        <v>5016</v>
      </c>
      <c r="E2648" t="s">
        <v>5033</v>
      </c>
      <c r="F2648" t="s">
        <v>5034</v>
      </c>
      <c r="G2648" s="3">
        <v>175.09</v>
      </c>
      <c r="H2648" s="3">
        <v>22.76</v>
      </c>
      <c r="I2648" s="3">
        <f>SUM(Tabla1[[#This Row],[Monto_Base]],H2648)</f>
        <v>197.85</v>
      </c>
      <c r="J2648" t="s">
        <v>5043</v>
      </c>
      <c r="K2648" t="s">
        <v>5048</v>
      </c>
      <c r="L2648" t="s">
        <v>5052</v>
      </c>
      <c r="M2648" t="s">
        <v>5055</v>
      </c>
    </row>
    <row r="2649" spans="1:13" x14ac:dyDescent="0.3">
      <c r="A2649" s="1">
        <v>45363</v>
      </c>
      <c r="B2649" s="1" t="str">
        <f>TEXT(Tabla1[[#This Row],[Fecha]],"MMMM")</f>
        <v>marzo</v>
      </c>
      <c r="C2649" t="s">
        <v>2659</v>
      </c>
      <c r="D2649" t="s">
        <v>5028</v>
      </c>
      <c r="E2649" t="s">
        <v>5033</v>
      </c>
      <c r="F2649" t="s">
        <v>5036</v>
      </c>
      <c r="G2649" s="3">
        <v>11217.59</v>
      </c>
      <c r="H2649" s="3">
        <v>1458.29</v>
      </c>
      <c r="I2649" s="3">
        <f>SUM(Tabla1[[#This Row],[Monto_Base]],H2649)</f>
        <v>12675.880000000001</v>
      </c>
      <c r="J2649" t="s">
        <v>5043</v>
      </c>
      <c r="K2649" t="s">
        <v>5049</v>
      </c>
      <c r="L2649" t="s">
        <v>5052</v>
      </c>
      <c r="M2649" t="s">
        <v>5055</v>
      </c>
    </row>
    <row r="2650" spans="1:13" x14ac:dyDescent="0.3">
      <c r="A2650" s="1">
        <v>45540</v>
      </c>
      <c r="B2650" s="1" t="str">
        <f>TEXT(Tabla1[[#This Row],[Fecha]],"MMMM")</f>
        <v>septiembre</v>
      </c>
      <c r="C2650" t="s">
        <v>2660</v>
      </c>
      <c r="D2650" t="s">
        <v>5020</v>
      </c>
      <c r="E2650" t="s">
        <v>5033</v>
      </c>
      <c r="F2650" t="s">
        <v>5036</v>
      </c>
      <c r="G2650" s="3">
        <v>6112.76</v>
      </c>
      <c r="H2650" s="3">
        <v>794.66</v>
      </c>
      <c r="I2650" s="3">
        <f>SUM(Tabla1[[#This Row],[Monto_Base]],H2650)</f>
        <v>6907.42</v>
      </c>
      <c r="J2650" t="s">
        <v>5043</v>
      </c>
      <c r="K2650" t="s">
        <v>5048</v>
      </c>
      <c r="L2650" t="s">
        <v>5053</v>
      </c>
      <c r="M2650" t="s">
        <v>5055</v>
      </c>
    </row>
    <row r="2651" spans="1:13" x14ac:dyDescent="0.3">
      <c r="A2651" s="1">
        <v>45412</v>
      </c>
      <c r="B2651" s="1" t="str">
        <f>TEXT(Tabla1[[#This Row],[Fecha]],"MMMM")</f>
        <v>abril</v>
      </c>
      <c r="C2651" t="s">
        <v>2661</v>
      </c>
      <c r="D2651" t="s">
        <v>5019</v>
      </c>
      <c r="E2651" t="s">
        <v>5033</v>
      </c>
      <c r="F2651" t="s">
        <v>5034</v>
      </c>
      <c r="G2651" s="3">
        <v>6167.05</v>
      </c>
      <c r="H2651" s="3">
        <v>801.72</v>
      </c>
      <c r="I2651" s="3">
        <f>SUM(Tabla1[[#This Row],[Monto_Base]],H2651)</f>
        <v>6968.77</v>
      </c>
      <c r="J2651" t="s">
        <v>5043</v>
      </c>
      <c r="K2651" t="s">
        <v>5049</v>
      </c>
      <c r="L2651" t="s">
        <v>5051</v>
      </c>
      <c r="M2651" t="s">
        <v>5054</v>
      </c>
    </row>
    <row r="2652" spans="1:13" x14ac:dyDescent="0.3">
      <c r="A2652" s="1">
        <v>45380</v>
      </c>
      <c r="B2652" s="1" t="str">
        <f>TEXT(Tabla1[[#This Row],[Fecha]],"MMMM")</f>
        <v>marzo</v>
      </c>
      <c r="C2652" t="s">
        <v>2662</v>
      </c>
      <c r="D2652" t="s">
        <v>5027</v>
      </c>
      <c r="E2652" t="s">
        <v>5033</v>
      </c>
      <c r="F2652" t="s">
        <v>5041</v>
      </c>
      <c r="G2652" s="3">
        <v>13868.56</v>
      </c>
      <c r="H2652" s="3">
        <v>1802.91</v>
      </c>
      <c r="I2652" s="3">
        <f>SUM(Tabla1[[#This Row],[Monto_Base]],H2652)</f>
        <v>15671.47</v>
      </c>
      <c r="J2652" t="s">
        <v>5042</v>
      </c>
      <c r="K2652" t="s">
        <v>5047</v>
      </c>
      <c r="L2652" t="s">
        <v>5052</v>
      </c>
      <c r="M2652" t="s">
        <v>5055</v>
      </c>
    </row>
    <row r="2653" spans="1:13" x14ac:dyDescent="0.3">
      <c r="A2653" s="1">
        <v>45644</v>
      </c>
      <c r="B2653" s="1" t="str">
        <f>TEXT(Tabla1[[#This Row],[Fecha]],"MMMM")</f>
        <v>diciembre</v>
      </c>
      <c r="C2653" t="s">
        <v>2663</v>
      </c>
      <c r="D2653" t="s">
        <v>5019</v>
      </c>
      <c r="E2653" t="s">
        <v>5032</v>
      </c>
      <c r="F2653" t="s">
        <v>5035</v>
      </c>
      <c r="G2653" s="3">
        <v>8569.65</v>
      </c>
      <c r="H2653" s="3">
        <v>0</v>
      </c>
      <c r="I2653" s="3">
        <f>SUM(Tabla1[[#This Row],[Monto_Base]],H2653)</f>
        <v>8569.65</v>
      </c>
      <c r="J2653" t="s">
        <v>5046</v>
      </c>
      <c r="K2653" t="s">
        <v>5048</v>
      </c>
      <c r="L2653" t="s">
        <v>5050</v>
      </c>
      <c r="M2653" t="s">
        <v>5054</v>
      </c>
    </row>
    <row r="2654" spans="1:13" x14ac:dyDescent="0.3">
      <c r="A2654" s="1">
        <v>45620</v>
      </c>
      <c r="B2654" s="1" t="str">
        <f>TEXT(Tabla1[[#This Row],[Fecha]],"MMMM")</f>
        <v>noviembre</v>
      </c>
      <c r="C2654" t="s">
        <v>2664</v>
      </c>
      <c r="D2654" t="s">
        <v>5020</v>
      </c>
      <c r="E2654" t="s">
        <v>5033</v>
      </c>
      <c r="F2654" t="s">
        <v>5039</v>
      </c>
      <c r="G2654" s="3">
        <v>8276.94</v>
      </c>
      <c r="H2654" s="3">
        <v>1076</v>
      </c>
      <c r="I2654" s="3">
        <f>SUM(Tabla1[[#This Row],[Monto_Base]],H2654)</f>
        <v>9352.94</v>
      </c>
      <c r="J2654" t="s">
        <v>5042</v>
      </c>
      <c r="K2654" t="s">
        <v>5049</v>
      </c>
      <c r="L2654" t="s">
        <v>5053</v>
      </c>
      <c r="M2654" t="s">
        <v>5055</v>
      </c>
    </row>
    <row r="2655" spans="1:13" x14ac:dyDescent="0.3">
      <c r="A2655" s="1">
        <v>45346</v>
      </c>
      <c r="B2655" s="1" t="str">
        <f>TEXT(Tabla1[[#This Row],[Fecha]],"MMMM")</f>
        <v>febrero</v>
      </c>
      <c r="C2655" t="s">
        <v>2665</v>
      </c>
      <c r="D2655" t="s">
        <v>5014</v>
      </c>
      <c r="E2655" t="s">
        <v>5033</v>
      </c>
      <c r="F2655" t="s">
        <v>5040</v>
      </c>
      <c r="G2655" s="3">
        <v>8505.73</v>
      </c>
      <c r="H2655" s="3">
        <v>1105.74</v>
      </c>
      <c r="I2655" s="3">
        <f>SUM(Tabla1[[#This Row],[Monto_Base]],H2655)</f>
        <v>9611.4699999999993</v>
      </c>
      <c r="J2655" t="s">
        <v>5046</v>
      </c>
      <c r="K2655" t="s">
        <v>5048</v>
      </c>
      <c r="L2655" t="s">
        <v>5051</v>
      </c>
      <c r="M2655" t="s">
        <v>5055</v>
      </c>
    </row>
    <row r="2656" spans="1:13" x14ac:dyDescent="0.3">
      <c r="A2656" s="1">
        <v>45600</v>
      </c>
      <c r="B2656" s="1" t="str">
        <f>TEXT(Tabla1[[#This Row],[Fecha]],"MMMM")</f>
        <v>noviembre</v>
      </c>
      <c r="C2656" t="s">
        <v>2666</v>
      </c>
      <c r="D2656" t="s">
        <v>5025</v>
      </c>
      <c r="E2656" t="s">
        <v>5033</v>
      </c>
      <c r="F2656" t="s">
        <v>5037</v>
      </c>
      <c r="G2656" s="3">
        <v>4874.6099999999997</v>
      </c>
      <c r="H2656" s="3">
        <v>633.70000000000005</v>
      </c>
      <c r="I2656" s="3">
        <f>SUM(Tabla1[[#This Row],[Monto_Base]],H2656)</f>
        <v>5508.3099999999995</v>
      </c>
      <c r="J2656" t="s">
        <v>5043</v>
      </c>
      <c r="K2656" t="s">
        <v>5048</v>
      </c>
      <c r="L2656" t="s">
        <v>5051</v>
      </c>
      <c r="M2656" t="s">
        <v>5054</v>
      </c>
    </row>
    <row r="2657" spans="1:13" x14ac:dyDescent="0.3">
      <c r="A2657" s="1">
        <v>45329</v>
      </c>
      <c r="B2657" s="1" t="str">
        <f>TEXT(Tabla1[[#This Row],[Fecha]],"MMMM")</f>
        <v>febrero</v>
      </c>
      <c r="C2657" t="s">
        <v>2667</v>
      </c>
      <c r="D2657" t="s">
        <v>5023</v>
      </c>
      <c r="E2657" t="s">
        <v>5032</v>
      </c>
      <c r="F2657" t="s">
        <v>5035</v>
      </c>
      <c r="G2657" s="3">
        <v>4790.46</v>
      </c>
      <c r="H2657" s="3">
        <v>0</v>
      </c>
      <c r="I2657" s="3">
        <f>SUM(Tabla1[[#This Row],[Monto_Base]],H2657)</f>
        <v>4790.46</v>
      </c>
      <c r="J2657" t="s">
        <v>5044</v>
      </c>
      <c r="K2657" t="s">
        <v>5047</v>
      </c>
      <c r="L2657" t="s">
        <v>5050</v>
      </c>
      <c r="M2657" t="s">
        <v>5054</v>
      </c>
    </row>
    <row r="2658" spans="1:13" x14ac:dyDescent="0.3">
      <c r="A2658" s="1">
        <v>45363</v>
      </c>
      <c r="B2658" s="1" t="str">
        <f>TEXT(Tabla1[[#This Row],[Fecha]],"MMMM")</f>
        <v>marzo</v>
      </c>
      <c r="C2658" t="s">
        <v>2668</v>
      </c>
      <c r="D2658" t="s">
        <v>5020</v>
      </c>
      <c r="E2658" t="s">
        <v>5032</v>
      </c>
      <c r="F2658" t="s">
        <v>5034</v>
      </c>
      <c r="G2658" s="3">
        <v>8596.27</v>
      </c>
      <c r="H2658" s="3">
        <v>0</v>
      </c>
      <c r="I2658" s="3">
        <f>SUM(Tabla1[[#This Row],[Monto_Base]],H2658)</f>
        <v>8596.27</v>
      </c>
      <c r="J2658" t="s">
        <v>5042</v>
      </c>
      <c r="K2658" t="s">
        <v>5048</v>
      </c>
      <c r="L2658" t="s">
        <v>5050</v>
      </c>
      <c r="M2658" t="s">
        <v>5055</v>
      </c>
    </row>
    <row r="2659" spans="1:13" x14ac:dyDescent="0.3">
      <c r="A2659" s="1">
        <v>45449</v>
      </c>
      <c r="B2659" s="1" t="str">
        <f>TEXT(Tabla1[[#This Row],[Fecha]],"MMMM")</f>
        <v>junio</v>
      </c>
      <c r="C2659" t="s">
        <v>2669</v>
      </c>
      <c r="D2659" t="s">
        <v>5023</v>
      </c>
      <c r="E2659" t="s">
        <v>5032</v>
      </c>
      <c r="F2659" t="s">
        <v>5036</v>
      </c>
      <c r="G2659" s="3">
        <v>9741.89</v>
      </c>
      <c r="H2659" s="3">
        <v>0</v>
      </c>
      <c r="I2659" s="3">
        <f>SUM(Tabla1[[#This Row],[Monto_Base]],H2659)</f>
        <v>9741.89</v>
      </c>
      <c r="J2659" t="s">
        <v>5042</v>
      </c>
      <c r="K2659" t="s">
        <v>5048</v>
      </c>
      <c r="L2659" t="s">
        <v>5053</v>
      </c>
      <c r="M2659" t="s">
        <v>5054</v>
      </c>
    </row>
    <row r="2660" spans="1:13" x14ac:dyDescent="0.3">
      <c r="A2660" s="1">
        <v>45596</v>
      </c>
      <c r="B2660" s="1" t="str">
        <f>TEXT(Tabla1[[#This Row],[Fecha]],"MMMM")</f>
        <v>octubre</v>
      </c>
      <c r="C2660" t="s">
        <v>2670</v>
      </c>
      <c r="D2660" t="s">
        <v>5022</v>
      </c>
      <c r="E2660" t="s">
        <v>5033</v>
      </c>
      <c r="F2660" t="s">
        <v>5039</v>
      </c>
      <c r="G2660" s="3">
        <v>3965.26</v>
      </c>
      <c r="H2660" s="3">
        <v>515.48</v>
      </c>
      <c r="I2660" s="3">
        <f>SUM(Tabla1[[#This Row],[Monto_Base]],H2660)</f>
        <v>4480.74</v>
      </c>
      <c r="J2660" t="s">
        <v>5046</v>
      </c>
      <c r="K2660" t="s">
        <v>5049</v>
      </c>
      <c r="L2660" t="s">
        <v>5050</v>
      </c>
      <c r="M2660" t="s">
        <v>5055</v>
      </c>
    </row>
    <row r="2661" spans="1:13" x14ac:dyDescent="0.3">
      <c r="A2661" s="1">
        <v>45364</v>
      </c>
      <c r="B2661" s="1" t="str">
        <f>TEXT(Tabla1[[#This Row],[Fecha]],"MMMM")</f>
        <v>marzo</v>
      </c>
      <c r="C2661" t="s">
        <v>2671</v>
      </c>
      <c r="D2661" t="s">
        <v>5025</v>
      </c>
      <c r="E2661" t="s">
        <v>5033</v>
      </c>
      <c r="F2661" t="s">
        <v>5034</v>
      </c>
      <c r="G2661" s="3">
        <v>9656.2800000000007</v>
      </c>
      <c r="H2661" s="3">
        <v>1255.32</v>
      </c>
      <c r="I2661" s="3">
        <f>SUM(Tabla1[[#This Row],[Monto_Base]],H2661)</f>
        <v>10911.6</v>
      </c>
      <c r="J2661" t="s">
        <v>5042</v>
      </c>
      <c r="K2661" t="s">
        <v>5047</v>
      </c>
      <c r="L2661" t="s">
        <v>5053</v>
      </c>
      <c r="M2661" t="s">
        <v>5054</v>
      </c>
    </row>
    <row r="2662" spans="1:13" x14ac:dyDescent="0.3">
      <c r="A2662" s="1">
        <v>45551</v>
      </c>
      <c r="B2662" s="1" t="str">
        <f>TEXT(Tabla1[[#This Row],[Fecha]],"MMMM")</f>
        <v>septiembre</v>
      </c>
      <c r="C2662" t="s">
        <v>2672</v>
      </c>
      <c r="D2662" t="s">
        <v>5026</v>
      </c>
      <c r="E2662" t="s">
        <v>5032</v>
      </c>
      <c r="F2662" t="s">
        <v>5035</v>
      </c>
      <c r="G2662" s="3">
        <v>1003.93</v>
      </c>
      <c r="H2662" s="3">
        <v>0</v>
      </c>
      <c r="I2662" s="3">
        <f>SUM(Tabla1[[#This Row],[Monto_Base]],H2662)</f>
        <v>1003.93</v>
      </c>
      <c r="J2662" t="s">
        <v>5043</v>
      </c>
      <c r="K2662" t="s">
        <v>5049</v>
      </c>
      <c r="L2662" t="s">
        <v>5053</v>
      </c>
      <c r="M2662" t="s">
        <v>5055</v>
      </c>
    </row>
    <row r="2663" spans="1:13" x14ac:dyDescent="0.3">
      <c r="A2663" s="1">
        <v>45599</v>
      </c>
      <c r="B2663" s="1" t="str">
        <f>TEXT(Tabla1[[#This Row],[Fecha]],"MMMM")</f>
        <v>noviembre</v>
      </c>
      <c r="C2663" t="s">
        <v>2673</v>
      </c>
      <c r="D2663" t="s">
        <v>5028</v>
      </c>
      <c r="E2663" t="s">
        <v>5033</v>
      </c>
      <c r="F2663" t="s">
        <v>5037</v>
      </c>
      <c r="G2663" s="3">
        <v>9940.44</v>
      </c>
      <c r="H2663" s="3">
        <v>1292.26</v>
      </c>
      <c r="I2663" s="3">
        <f>SUM(Tabla1[[#This Row],[Monto_Base]],H2663)</f>
        <v>11232.7</v>
      </c>
      <c r="J2663" t="s">
        <v>5044</v>
      </c>
      <c r="K2663" t="s">
        <v>5047</v>
      </c>
      <c r="L2663" t="s">
        <v>5052</v>
      </c>
      <c r="M2663" t="s">
        <v>5054</v>
      </c>
    </row>
    <row r="2664" spans="1:13" x14ac:dyDescent="0.3">
      <c r="A2664" s="1">
        <v>45616</v>
      </c>
      <c r="B2664" s="1" t="str">
        <f>TEXT(Tabla1[[#This Row],[Fecha]],"MMMM")</f>
        <v>noviembre</v>
      </c>
      <c r="C2664" t="s">
        <v>2674</v>
      </c>
      <c r="D2664" t="s">
        <v>5017</v>
      </c>
      <c r="E2664" t="s">
        <v>5032</v>
      </c>
      <c r="F2664" t="s">
        <v>5034</v>
      </c>
      <c r="G2664" s="3">
        <v>12321.56</v>
      </c>
      <c r="H2664" s="3">
        <v>0</v>
      </c>
      <c r="I2664" s="3">
        <f>SUM(Tabla1[[#This Row],[Monto_Base]],H2664)</f>
        <v>12321.56</v>
      </c>
      <c r="J2664" t="s">
        <v>5042</v>
      </c>
      <c r="K2664" t="s">
        <v>5047</v>
      </c>
      <c r="L2664" t="s">
        <v>5050</v>
      </c>
      <c r="M2664" t="s">
        <v>5054</v>
      </c>
    </row>
    <row r="2665" spans="1:13" x14ac:dyDescent="0.3">
      <c r="A2665" s="1">
        <v>45361</v>
      </c>
      <c r="B2665" s="1" t="str">
        <f>TEXT(Tabla1[[#This Row],[Fecha]],"MMMM")</f>
        <v>marzo</v>
      </c>
      <c r="C2665" t="s">
        <v>2675</v>
      </c>
      <c r="D2665" t="s">
        <v>5012</v>
      </c>
      <c r="E2665" t="s">
        <v>5032</v>
      </c>
      <c r="F2665" t="s">
        <v>5034</v>
      </c>
      <c r="G2665" s="3">
        <v>346.2</v>
      </c>
      <c r="H2665" s="3">
        <v>0</v>
      </c>
      <c r="I2665" s="3">
        <f>SUM(Tabla1[[#This Row],[Monto_Base]],H2665)</f>
        <v>346.2</v>
      </c>
      <c r="J2665" t="s">
        <v>5044</v>
      </c>
      <c r="K2665" t="s">
        <v>5047</v>
      </c>
      <c r="L2665" t="s">
        <v>5050</v>
      </c>
      <c r="M2665" t="s">
        <v>5055</v>
      </c>
    </row>
    <row r="2666" spans="1:13" x14ac:dyDescent="0.3">
      <c r="A2666" s="1">
        <v>45617</v>
      </c>
      <c r="B2666" s="1" t="str">
        <f>TEXT(Tabla1[[#This Row],[Fecha]],"MMMM")</f>
        <v>noviembre</v>
      </c>
      <c r="C2666" t="s">
        <v>2676</v>
      </c>
      <c r="D2666" t="s">
        <v>5021</v>
      </c>
      <c r="E2666" t="s">
        <v>5032</v>
      </c>
      <c r="F2666" t="s">
        <v>5040</v>
      </c>
      <c r="G2666" s="3">
        <v>3626.31</v>
      </c>
      <c r="H2666" s="3">
        <v>0</v>
      </c>
      <c r="I2666" s="3">
        <f>SUM(Tabla1[[#This Row],[Monto_Base]],H2666)</f>
        <v>3626.31</v>
      </c>
      <c r="J2666" t="s">
        <v>5044</v>
      </c>
      <c r="K2666" t="s">
        <v>5047</v>
      </c>
      <c r="L2666" t="s">
        <v>5051</v>
      </c>
      <c r="M2666" t="s">
        <v>5055</v>
      </c>
    </row>
    <row r="2667" spans="1:13" x14ac:dyDescent="0.3">
      <c r="A2667" s="1">
        <v>45597</v>
      </c>
      <c r="B2667" s="1" t="str">
        <f>TEXT(Tabla1[[#This Row],[Fecha]],"MMMM")</f>
        <v>noviembre</v>
      </c>
      <c r="C2667" t="s">
        <v>2677</v>
      </c>
      <c r="D2667" t="s">
        <v>5021</v>
      </c>
      <c r="E2667" t="s">
        <v>5032</v>
      </c>
      <c r="F2667" t="s">
        <v>5037</v>
      </c>
      <c r="G2667" s="3">
        <v>14193.25</v>
      </c>
      <c r="H2667" s="3">
        <v>0</v>
      </c>
      <c r="I2667" s="3">
        <f>SUM(Tabla1[[#This Row],[Monto_Base]],H2667)</f>
        <v>14193.25</v>
      </c>
      <c r="J2667" t="s">
        <v>5044</v>
      </c>
      <c r="K2667" t="s">
        <v>5048</v>
      </c>
      <c r="L2667" t="s">
        <v>5050</v>
      </c>
      <c r="M2667" t="s">
        <v>5055</v>
      </c>
    </row>
    <row r="2668" spans="1:13" x14ac:dyDescent="0.3">
      <c r="A2668" s="1">
        <v>45447</v>
      </c>
      <c r="B2668" s="1" t="str">
        <f>TEXT(Tabla1[[#This Row],[Fecha]],"MMMM")</f>
        <v>junio</v>
      </c>
      <c r="C2668" t="s">
        <v>2678</v>
      </c>
      <c r="D2668" t="s">
        <v>5027</v>
      </c>
      <c r="E2668" t="s">
        <v>5032</v>
      </c>
      <c r="F2668" t="s">
        <v>5034</v>
      </c>
      <c r="G2668" s="3">
        <v>5460.21</v>
      </c>
      <c r="H2668" s="3">
        <v>0</v>
      </c>
      <c r="I2668" s="3">
        <f>SUM(Tabla1[[#This Row],[Monto_Base]],H2668)</f>
        <v>5460.21</v>
      </c>
      <c r="J2668" t="s">
        <v>5044</v>
      </c>
      <c r="K2668" t="s">
        <v>5048</v>
      </c>
      <c r="L2668" t="s">
        <v>5052</v>
      </c>
      <c r="M2668" t="s">
        <v>5055</v>
      </c>
    </row>
    <row r="2669" spans="1:13" x14ac:dyDescent="0.3">
      <c r="A2669" s="1">
        <v>45573</v>
      </c>
      <c r="B2669" s="1" t="str">
        <f>TEXT(Tabla1[[#This Row],[Fecha]],"MMMM")</f>
        <v>octubre</v>
      </c>
      <c r="C2669" t="s">
        <v>2679</v>
      </c>
      <c r="D2669" t="s">
        <v>5030</v>
      </c>
      <c r="E2669" t="s">
        <v>5032</v>
      </c>
      <c r="F2669" t="s">
        <v>5037</v>
      </c>
      <c r="G2669" s="3">
        <v>9846.98</v>
      </c>
      <c r="H2669" s="3">
        <v>0</v>
      </c>
      <c r="I2669" s="3">
        <f>SUM(Tabla1[[#This Row],[Monto_Base]],H2669)</f>
        <v>9846.98</v>
      </c>
      <c r="J2669" t="s">
        <v>5042</v>
      </c>
      <c r="K2669" t="s">
        <v>5049</v>
      </c>
      <c r="L2669" t="s">
        <v>5050</v>
      </c>
      <c r="M2669" t="s">
        <v>5055</v>
      </c>
    </row>
    <row r="2670" spans="1:13" x14ac:dyDescent="0.3">
      <c r="A2670" s="1">
        <v>45409</v>
      </c>
      <c r="B2670" s="1" t="str">
        <f>TEXT(Tabla1[[#This Row],[Fecha]],"MMMM")</f>
        <v>abril</v>
      </c>
      <c r="C2670" t="s">
        <v>2680</v>
      </c>
      <c r="D2670" t="s">
        <v>5021</v>
      </c>
      <c r="E2670" t="s">
        <v>5033</v>
      </c>
      <c r="F2670" t="s">
        <v>5038</v>
      </c>
      <c r="G2670" s="3">
        <v>8445.39</v>
      </c>
      <c r="H2670" s="3">
        <v>1097.9000000000001</v>
      </c>
      <c r="I2670" s="3">
        <f>SUM(Tabla1[[#This Row],[Monto_Base]],H2670)</f>
        <v>9543.2899999999991</v>
      </c>
      <c r="J2670" t="s">
        <v>5044</v>
      </c>
      <c r="K2670" t="s">
        <v>5049</v>
      </c>
      <c r="L2670" t="s">
        <v>5050</v>
      </c>
      <c r="M2670" t="s">
        <v>5054</v>
      </c>
    </row>
    <row r="2671" spans="1:13" x14ac:dyDescent="0.3">
      <c r="A2671" s="1">
        <v>45445</v>
      </c>
      <c r="B2671" s="1" t="str">
        <f>TEXT(Tabla1[[#This Row],[Fecha]],"MMMM")</f>
        <v>junio</v>
      </c>
      <c r="C2671" t="s">
        <v>2681</v>
      </c>
      <c r="D2671" t="s">
        <v>5025</v>
      </c>
      <c r="E2671" t="s">
        <v>5033</v>
      </c>
      <c r="F2671" t="s">
        <v>5037</v>
      </c>
      <c r="G2671" s="3">
        <v>14680.63</v>
      </c>
      <c r="H2671" s="3">
        <v>1908.48</v>
      </c>
      <c r="I2671" s="3">
        <f>SUM(Tabla1[[#This Row],[Monto_Base]],H2671)</f>
        <v>16589.11</v>
      </c>
      <c r="J2671" t="s">
        <v>5042</v>
      </c>
      <c r="K2671" t="s">
        <v>5048</v>
      </c>
      <c r="L2671" t="s">
        <v>5052</v>
      </c>
      <c r="M2671" t="s">
        <v>5054</v>
      </c>
    </row>
    <row r="2672" spans="1:13" x14ac:dyDescent="0.3">
      <c r="A2672" s="1">
        <v>45294</v>
      </c>
      <c r="B2672" s="1" t="str">
        <f>TEXT(Tabla1[[#This Row],[Fecha]],"MMMM")</f>
        <v>enero</v>
      </c>
      <c r="C2672" t="s">
        <v>2682</v>
      </c>
      <c r="D2672" t="s">
        <v>5018</v>
      </c>
      <c r="E2672" t="s">
        <v>5032</v>
      </c>
      <c r="F2672" t="s">
        <v>5040</v>
      </c>
      <c r="G2672" s="3">
        <v>7891.65</v>
      </c>
      <c r="H2672" s="3">
        <v>0</v>
      </c>
      <c r="I2672" s="3">
        <f>SUM(Tabla1[[#This Row],[Monto_Base]],H2672)</f>
        <v>7891.65</v>
      </c>
      <c r="J2672" t="s">
        <v>5042</v>
      </c>
      <c r="K2672" t="s">
        <v>5049</v>
      </c>
      <c r="L2672" t="s">
        <v>5051</v>
      </c>
      <c r="M2672" t="s">
        <v>5054</v>
      </c>
    </row>
    <row r="2673" spans="1:13" x14ac:dyDescent="0.3">
      <c r="A2673" s="1">
        <v>45512</v>
      </c>
      <c r="B2673" s="1" t="str">
        <f>TEXT(Tabla1[[#This Row],[Fecha]],"MMMM")</f>
        <v>agosto</v>
      </c>
      <c r="C2673" t="s">
        <v>2683</v>
      </c>
      <c r="D2673" t="s">
        <v>5027</v>
      </c>
      <c r="E2673" t="s">
        <v>5033</v>
      </c>
      <c r="F2673" t="s">
        <v>5038</v>
      </c>
      <c r="G2673" s="3">
        <v>4546.45</v>
      </c>
      <c r="H2673" s="3">
        <v>591.04</v>
      </c>
      <c r="I2673" s="3">
        <f>SUM(Tabla1[[#This Row],[Monto_Base]],H2673)</f>
        <v>5137.49</v>
      </c>
      <c r="J2673" t="s">
        <v>5042</v>
      </c>
      <c r="K2673" t="s">
        <v>5049</v>
      </c>
      <c r="L2673" t="s">
        <v>5051</v>
      </c>
      <c r="M2673" t="s">
        <v>5054</v>
      </c>
    </row>
    <row r="2674" spans="1:13" x14ac:dyDescent="0.3">
      <c r="A2674" s="1">
        <v>45476</v>
      </c>
      <c r="B2674" s="1" t="str">
        <f>TEXT(Tabla1[[#This Row],[Fecha]],"MMMM")</f>
        <v>julio</v>
      </c>
      <c r="C2674" t="s">
        <v>2684</v>
      </c>
      <c r="D2674" t="s">
        <v>5022</v>
      </c>
      <c r="E2674" t="s">
        <v>5032</v>
      </c>
      <c r="F2674" t="s">
        <v>5040</v>
      </c>
      <c r="G2674" s="3">
        <v>12005.66</v>
      </c>
      <c r="H2674" s="3">
        <v>0</v>
      </c>
      <c r="I2674" s="3">
        <f>SUM(Tabla1[[#This Row],[Monto_Base]],H2674)</f>
        <v>12005.66</v>
      </c>
      <c r="J2674" t="s">
        <v>5045</v>
      </c>
      <c r="K2674" t="s">
        <v>5049</v>
      </c>
      <c r="L2674" t="s">
        <v>5052</v>
      </c>
      <c r="M2674" t="s">
        <v>5055</v>
      </c>
    </row>
    <row r="2675" spans="1:13" x14ac:dyDescent="0.3">
      <c r="A2675" s="1">
        <v>45392</v>
      </c>
      <c r="B2675" s="1" t="str">
        <f>TEXT(Tabla1[[#This Row],[Fecha]],"MMMM")</f>
        <v>abril</v>
      </c>
      <c r="C2675" t="s">
        <v>2685</v>
      </c>
      <c r="D2675" t="s">
        <v>5025</v>
      </c>
      <c r="E2675" t="s">
        <v>5033</v>
      </c>
      <c r="F2675" t="s">
        <v>5035</v>
      </c>
      <c r="G2675" s="3">
        <v>814.49</v>
      </c>
      <c r="H2675" s="3">
        <v>105.88</v>
      </c>
      <c r="I2675" s="3">
        <f>SUM(Tabla1[[#This Row],[Monto_Base]],H2675)</f>
        <v>920.37</v>
      </c>
      <c r="J2675" t="s">
        <v>5044</v>
      </c>
      <c r="K2675" t="s">
        <v>5047</v>
      </c>
      <c r="L2675" t="s">
        <v>5052</v>
      </c>
      <c r="M2675" t="s">
        <v>5054</v>
      </c>
    </row>
    <row r="2676" spans="1:13" x14ac:dyDescent="0.3">
      <c r="A2676" s="1">
        <v>45594</v>
      </c>
      <c r="B2676" s="1" t="str">
        <f>TEXT(Tabla1[[#This Row],[Fecha]],"MMMM")</f>
        <v>octubre</v>
      </c>
      <c r="C2676" t="s">
        <v>2686</v>
      </c>
      <c r="D2676" t="s">
        <v>5025</v>
      </c>
      <c r="E2676" t="s">
        <v>5033</v>
      </c>
      <c r="F2676" t="s">
        <v>5041</v>
      </c>
      <c r="G2676" s="3">
        <v>13609.43</v>
      </c>
      <c r="H2676" s="3">
        <v>1769.23</v>
      </c>
      <c r="I2676" s="3">
        <f>SUM(Tabla1[[#This Row],[Monto_Base]],H2676)</f>
        <v>15378.66</v>
      </c>
      <c r="J2676" t="s">
        <v>5044</v>
      </c>
      <c r="K2676" t="s">
        <v>5048</v>
      </c>
      <c r="L2676" t="s">
        <v>5051</v>
      </c>
      <c r="M2676" t="s">
        <v>5054</v>
      </c>
    </row>
    <row r="2677" spans="1:13" x14ac:dyDescent="0.3">
      <c r="A2677" s="1">
        <v>45463</v>
      </c>
      <c r="B2677" s="1" t="str">
        <f>TEXT(Tabla1[[#This Row],[Fecha]],"MMMM")</f>
        <v>junio</v>
      </c>
      <c r="C2677" t="s">
        <v>2687</v>
      </c>
      <c r="D2677" t="s">
        <v>5023</v>
      </c>
      <c r="E2677" t="s">
        <v>5033</v>
      </c>
      <c r="F2677" t="s">
        <v>5036</v>
      </c>
      <c r="G2677" s="3">
        <v>6354.57</v>
      </c>
      <c r="H2677" s="3">
        <v>826.09</v>
      </c>
      <c r="I2677" s="3">
        <f>SUM(Tabla1[[#This Row],[Monto_Base]],H2677)</f>
        <v>7180.66</v>
      </c>
      <c r="J2677" t="s">
        <v>5042</v>
      </c>
      <c r="K2677" t="s">
        <v>5048</v>
      </c>
      <c r="L2677" t="s">
        <v>5053</v>
      </c>
      <c r="M2677" t="s">
        <v>5055</v>
      </c>
    </row>
    <row r="2678" spans="1:13" x14ac:dyDescent="0.3">
      <c r="A2678" s="1">
        <v>45303</v>
      </c>
      <c r="B2678" s="1" t="str">
        <f>TEXT(Tabla1[[#This Row],[Fecha]],"MMMM")</f>
        <v>enero</v>
      </c>
      <c r="C2678" t="s">
        <v>2688</v>
      </c>
      <c r="D2678" t="s">
        <v>5026</v>
      </c>
      <c r="E2678" t="s">
        <v>5033</v>
      </c>
      <c r="F2678" t="s">
        <v>5038</v>
      </c>
      <c r="G2678" s="3">
        <v>14887.23</v>
      </c>
      <c r="H2678" s="3">
        <v>1935.34</v>
      </c>
      <c r="I2678" s="3">
        <f>SUM(Tabla1[[#This Row],[Monto_Base]],H2678)</f>
        <v>16822.57</v>
      </c>
      <c r="J2678" t="s">
        <v>5046</v>
      </c>
      <c r="K2678" t="s">
        <v>5049</v>
      </c>
      <c r="L2678" t="s">
        <v>5053</v>
      </c>
      <c r="M2678" t="s">
        <v>5055</v>
      </c>
    </row>
    <row r="2679" spans="1:13" x14ac:dyDescent="0.3">
      <c r="A2679" s="1">
        <v>45529</v>
      </c>
      <c r="B2679" s="1" t="str">
        <f>TEXT(Tabla1[[#This Row],[Fecha]],"MMMM")</f>
        <v>agosto</v>
      </c>
      <c r="C2679" t="s">
        <v>2689</v>
      </c>
      <c r="D2679" t="s">
        <v>5015</v>
      </c>
      <c r="E2679" t="s">
        <v>5033</v>
      </c>
      <c r="F2679" t="s">
        <v>5036</v>
      </c>
      <c r="G2679" s="3">
        <v>2132.0700000000002</v>
      </c>
      <c r="H2679" s="3">
        <v>277.17</v>
      </c>
      <c r="I2679" s="3">
        <f>SUM(Tabla1[[#This Row],[Monto_Base]],H2679)</f>
        <v>2409.2400000000002</v>
      </c>
      <c r="J2679" t="s">
        <v>5042</v>
      </c>
      <c r="K2679" t="s">
        <v>5048</v>
      </c>
      <c r="L2679" t="s">
        <v>5052</v>
      </c>
      <c r="M2679" t="s">
        <v>5054</v>
      </c>
    </row>
    <row r="2680" spans="1:13" x14ac:dyDescent="0.3">
      <c r="A2680" s="1">
        <v>45343</v>
      </c>
      <c r="B2680" s="1" t="str">
        <f>TEXT(Tabla1[[#This Row],[Fecha]],"MMMM")</f>
        <v>febrero</v>
      </c>
      <c r="C2680" t="s">
        <v>2690</v>
      </c>
      <c r="D2680" t="s">
        <v>5014</v>
      </c>
      <c r="E2680" t="s">
        <v>5032</v>
      </c>
      <c r="F2680" t="s">
        <v>5034</v>
      </c>
      <c r="G2680" s="3">
        <v>1226.1099999999999</v>
      </c>
      <c r="H2680" s="3">
        <v>0</v>
      </c>
      <c r="I2680" s="3">
        <f>SUM(Tabla1[[#This Row],[Monto_Base]],H2680)</f>
        <v>1226.1099999999999</v>
      </c>
      <c r="J2680" t="s">
        <v>5045</v>
      </c>
      <c r="K2680" t="s">
        <v>5047</v>
      </c>
      <c r="L2680" t="s">
        <v>5052</v>
      </c>
      <c r="M2680" t="s">
        <v>5055</v>
      </c>
    </row>
    <row r="2681" spans="1:13" x14ac:dyDescent="0.3">
      <c r="A2681" s="1">
        <v>45527</v>
      </c>
      <c r="B2681" s="1" t="str">
        <f>TEXT(Tabla1[[#This Row],[Fecha]],"MMMM")</f>
        <v>agosto</v>
      </c>
      <c r="C2681" t="s">
        <v>2691</v>
      </c>
      <c r="D2681" t="s">
        <v>5021</v>
      </c>
      <c r="E2681" t="s">
        <v>5033</v>
      </c>
      <c r="F2681" t="s">
        <v>5037</v>
      </c>
      <c r="G2681" s="3">
        <v>5401.65</v>
      </c>
      <c r="H2681" s="3">
        <v>702.21</v>
      </c>
      <c r="I2681" s="3">
        <f>SUM(Tabla1[[#This Row],[Monto_Base]],H2681)</f>
        <v>6103.86</v>
      </c>
      <c r="J2681" t="s">
        <v>5044</v>
      </c>
      <c r="K2681" t="s">
        <v>5047</v>
      </c>
      <c r="L2681" t="s">
        <v>5050</v>
      </c>
      <c r="M2681" t="s">
        <v>5055</v>
      </c>
    </row>
    <row r="2682" spans="1:13" x14ac:dyDescent="0.3">
      <c r="A2682" s="1">
        <v>45545</v>
      </c>
      <c r="B2682" s="1" t="str">
        <f>TEXT(Tabla1[[#This Row],[Fecha]],"MMMM")</f>
        <v>septiembre</v>
      </c>
      <c r="C2682" t="s">
        <v>2692</v>
      </c>
      <c r="D2682" t="s">
        <v>5015</v>
      </c>
      <c r="E2682" t="s">
        <v>5033</v>
      </c>
      <c r="F2682" t="s">
        <v>5035</v>
      </c>
      <c r="G2682" s="3">
        <v>7877.41</v>
      </c>
      <c r="H2682" s="3">
        <v>1024.06</v>
      </c>
      <c r="I2682" s="3">
        <f>SUM(Tabla1[[#This Row],[Monto_Base]],H2682)</f>
        <v>8901.4699999999993</v>
      </c>
      <c r="J2682" t="s">
        <v>5046</v>
      </c>
      <c r="K2682" t="s">
        <v>5049</v>
      </c>
      <c r="L2682" t="s">
        <v>5052</v>
      </c>
      <c r="M2682" t="s">
        <v>5055</v>
      </c>
    </row>
    <row r="2683" spans="1:13" x14ac:dyDescent="0.3">
      <c r="A2683" s="1">
        <v>45512</v>
      </c>
      <c r="B2683" s="1" t="str">
        <f>TEXT(Tabla1[[#This Row],[Fecha]],"MMMM")</f>
        <v>agosto</v>
      </c>
      <c r="C2683" t="s">
        <v>2693</v>
      </c>
      <c r="D2683" t="s">
        <v>5029</v>
      </c>
      <c r="E2683" t="s">
        <v>5032</v>
      </c>
      <c r="F2683" t="s">
        <v>5036</v>
      </c>
      <c r="G2683" s="3">
        <v>3930.18</v>
      </c>
      <c r="H2683" s="3">
        <v>0</v>
      </c>
      <c r="I2683" s="3">
        <f>SUM(Tabla1[[#This Row],[Monto_Base]],H2683)</f>
        <v>3930.18</v>
      </c>
      <c r="J2683" t="s">
        <v>5045</v>
      </c>
      <c r="K2683" t="s">
        <v>5049</v>
      </c>
      <c r="L2683" t="s">
        <v>5053</v>
      </c>
      <c r="M2683" t="s">
        <v>5054</v>
      </c>
    </row>
    <row r="2684" spans="1:13" x14ac:dyDescent="0.3">
      <c r="A2684" s="1">
        <v>45447</v>
      </c>
      <c r="B2684" s="1" t="str">
        <f>TEXT(Tabla1[[#This Row],[Fecha]],"MMMM")</f>
        <v>junio</v>
      </c>
      <c r="C2684" t="s">
        <v>2694</v>
      </c>
      <c r="D2684" t="s">
        <v>5030</v>
      </c>
      <c r="E2684" t="s">
        <v>5033</v>
      </c>
      <c r="F2684" t="s">
        <v>5041</v>
      </c>
      <c r="G2684" s="3">
        <v>10000.16</v>
      </c>
      <c r="H2684" s="3">
        <v>1300.02</v>
      </c>
      <c r="I2684" s="3">
        <f>SUM(Tabla1[[#This Row],[Monto_Base]],H2684)</f>
        <v>11300.18</v>
      </c>
      <c r="J2684" t="s">
        <v>5044</v>
      </c>
      <c r="K2684" t="s">
        <v>5048</v>
      </c>
      <c r="L2684" t="s">
        <v>5051</v>
      </c>
      <c r="M2684" t="s">
        <v>5054</v>
      </c>
    </row>
    <row r="2685" spans="1:13" x14ac:dyDescent="0.3">
      <c r="A2685" s="1">
        <v>45570</v>
      </c>
      <c r="B2685" s="1" t="str">
        <f>TEXT(Tabla1[[#This Row],[Fecha]],"MMMM")</f>
        <v>octubre</v>
      </c>
      <c r="C2685" t="s">
        <v>2695</v>
      </c>
      <c r="D2685" t="s">
        <v>5022</v>
      </c>
      <c r="E2685" t="s">
        <v>5032</v>
      </c>
      <c r="F2685" t="s">
        <v>5039</v>
      </c>
      <c r="G2685" s="3">
        <v>7134.9</v>
      </c>
      <c r="H2685" s="3">
        <v>0</v>
      </c>
      <c r="I2685" s="3">
        <f>SUM(Tabla1[[#This Row],[Monto_Base]],H2685)</f>
        <v>7134.9</v>
      </c>
      <c r="J2685" t="s">
        <v>5045</v>
      </c>
      <c r="K2685" t="s">
        <v>5048</v>
      </c>
      <c r="L2685" t="s">
        <v>5050</v>
      </c>
      <c r="M2685" t="s">
        <v>5054</v>
      </c>
    </row>
    <row r="2686" spans="1:13" x14ac:dyDescent="0.3">
      <c r="A2686" s="1">
        <v>45363</v>
      </c>
      <c r="B2686" s="1" t="str">
        <f>TEXT(Tabla1[[#This Row],[Fecha]],"MMMM")</f>
        <v>marzo</v>
      </c>
      <c r="C2686" t="s">
        <v>2696</v>
      </c>
      <c r="D2686" t="s">
        <v>5018</v>
      </c>
      <c r="E2686" t="s">
        <v>5032</v>
      </c>
      <c r="F2686" t="s">
        <v>5037</v>
      </c>
      <c r="G2686" s="3">
        <v>1477.25</v>
      </c>
      <c r="H2686" s="3">
        <v>0</v>
      </c>
      <c r="I2686" s="3">
        <f>SUM(Tabla1[[#This Row],[Monto_Base]],H2686)</f>
        <v>1477.25</v>
      </c>
      <c r="J2686" t="s">
        <v>5045</v>
      </c>
      <c r="K2686" t="s">
        <v>5049</v>
      </c>
      <c r="L2686" t="s">
        <v>5051</v>
      </c>
      <c r="M2686" t="s">
        <v>5055</v>
      </c>
    </row>
    <row r="2687" spans="1:13" x14ac:dyDescent="0.3">
      <c r="A2687" s="1">
        <v>45343</v>
      </c>
      <c r="B2687" s="1" t="str">
        <f>TEXT(Tabla1[[#This Row],[Fecha]],"MMMM")</f>
        <v>febrero</v>
      </c>
      <c r="C2687" t="s">
        <v>2697</v>
      </c>
      <c r="D2687" t="s">
        <v>5019</v>
      </c>
      <c r="E2687" t="s">
        <v>5033</v>
      </c>
      <c r="F2687" t="s">
        <v>5037</v>
      </c>
      <c r="G2687" s="3">
        <v>3897.06</v>
      </c>
      <c r="H2687" s="3">
        <v>506.62</v>
      </c>
      <c r="I2687" s="3">
        <f>SUM(Tabla1[[#This Row],[Monto_Base]],H2687)</f>
        <v>4403.68</v>
      </c>
      <c r="J2687" t="s">
        <v>5046</v>
      </c>
      <c r="K2687" t="s">
        <v>5048</v>
      </c>
      <c r="L2687" t="s">
        <v>5053</v>
      </c>
      <c r="M2687" t="s">
        <v>5055</v>
      </c>
    </row>
    <row r="2688" spans="1:13" x14ac:dyDescent="0.3">
      <c r="A2688" s="1">
        <v>45593</v>
      </c>
      <c r="B2688" s="1" t="str">
        <f>TEXT(Tabla1[[#This Row],[Fecha]],"MMMM")</f>
        <v>octubre</v>
      </c>
      <c r="C2688" t="s">
        <v>2698</v>
      </c>
      <c r="D2688" t="s">
        <v>5023</v>
      </c>
      <c r="E2688" t="s">
        <v>5032</v>
      </c>
      <c r="F2688" t="s">
        <v>5037</v>
      </c>
      <c r="G2688" s="3">
        <v>2438.77</v>
      </c>
      <c r="H2688" s="3">
        <v>0</v>
      </c>
      <c r="I2688" s="3">
        <f>SUM(Tabla1[[#This Row],[Monto_Base]],H2688)</f>
        <v>2438.77</v>
      </c>
      <c r="J2688" t="s">
        <v>5042</v>
      </c>
      <c r="K2688" t="s">
        <v>5047</v>
      </c>
      <c r="L2688" t="s">
        <v>5050</v>
      </c>
      <c r="M2688" t="s">
        <v>5054</v>
      </c>
    </row>
    <row r="2689" spans="1:13" x14ac:dyDescent="0.3">
      <c r="A2689" s="1">
        <v>45412</v>
      </c>
      <c r="B2689" s="1" t="str">
        <f>TEXT(Tabla1[[#This Row],[Fecha]],"MMMM")</f>
        <v>abril</v>
      </c>
      <c r="C2689" t="s">
        <v>2699</v>
      </c>
      <c r="D2689" t="s">
        <v>5031</v>
      </c>
      <c r="E2689" t="s">
        <v>5032</v>
      </c>
      <c r="F2689" t="s">
        <v>5034</v>
      </c>
      <c r="G2689" s="3">
        <v>351.66</v>
      </c>
      <c r="H2689" s="3">
        <v>0</v>
      </c>
      <c r="I2689" s="3">
        <f>SUM(Tabla1[[#This Row],[Monto_Base]],H2689)</f>
        <v>351.66</v>
      </c>
      <c r="J2689" t="s">
        <v>5042</v>
      </c>
      <c r="K2689" t="s">
        <v>5049</v>
      </c>
      <c r="L2689" t="s">
        <v>5051</v>
      </c>
      <c r="M2689" t="s">
        <v>5054</v>
      </c>
    </row>
    <row r="2690" spans="1:13" x14ac:dyDescent="0.3">
      <c r="A2690" s="1">
        <v>45656</v>
      </c>
      <c r="B2690" s="1" t="str">
        <f>TEXT(Tabla1[[#This Row],[Fecha]],"MMMM")</f>
        <v>diciembre</v>
      </c>
      <c r="C2690" t="s">
        <v>2700</v>
      </c>
      <c r="D2690" t="s">
        <v>5025</v>
      </c>
      <c r="E2690" t="s">
        <v>5033</v>
      </c>
      <c r="F2690" t="s">
        <v>5038</v>
      </c>
      <c r="G2690" s="3">
        <v>5067.0200000000004</v>
      </c>
      <c r="H2690" s="3">
        <v>658.71</v>
      </c>
      <c r="I2690" s="3">
        <f>SUM(Tabla1[[#This Row],[Monto_Base]],H2690)</f>
        <v>5725.7300000000005</v>
      </c>
      <c r="J2690" t="s">
        <v>5044</v>
      </c>
      <c r="K2690" t="s">
        <v>5049</v>
      </c>
      <c r="L2690" t="s">
        <v>5052</v>
      </c>
      <c r="M2690" t="s">
        <v>5054</v>
      </c>
    </row>
    <row r="2691" spans="1:13" x14ac:dyDescent="0.3">
      <c r="A2691" s="1">
        <v>45402</v>
      </c>
      <c r="B2691" s="1" t="str">
        <f>TEXT(Tabla1[[#This Row],[Fecha]],"MMMM")</f>
        <v>abril</v>
      </c>
      <c r="C2691" t="s">
        <v>2701</v>
      </c>
      <c r="D2691" t="s">
        <v>5025</v>
      </c>
      <c r="E2691" t="s">
        <v>5033</v>
      </c>
      <c r="F2691" t="s">
        <v>5036</v>
      </c>
      <c r="G2691" s="3">
        <v>14217.26</v>
      </c>
      <c r="H2691" s="3">
        <v>1848.24</v>
      </c>
      <c r="I2691" s="3">
        <f>SUM(Tabla1[[#This Row],[Monto_Base]],H2691)</f>
        <v>16065.5</v>
      </c>
      <c r="J2691" t="s">
        <v>5044</v>
      </c>
      <c r="K2691" t="s">
        <v>5047</v>
      </c>
      <c r="L2691" t="s">
        <v>5053</v>
      </c>
      <c r="M2691" t="s">
        <v>5055</v>
      </c>
    </row>
    <row r="2692" spans="1:13" x14ac:dyDescent="0.3">
      <c r="A2692" s="1">
        <v>45481</v>
      </c>
      <c r="B2692" s="1" t="str">
        <f>TEXT(Tabla1[[#This Row],[Fecha]],"MMMM")</f>
        <v>julio</v>
      </c>
      <c r="C2692" t="s">
        <v>2702</v>
      </c>
      <c r="D2692" t="s">
        <v>5030</v>
      </c>
      <c r="E2692" t="s">
        <v>5032</v>
      </c>
      <c r="F2692" t="s">
        <v>5039</v>
      </c>
      <c r="G2692" s="3">
        <v>904.91</v>
      </c>
      <c r="H2692" s="3">
        <v>0</v>
      </c>
      <c r="I2692" s="3">
        <f>SUM(Tabla1[[#This Row],[Monto_Base]],H2692)</f>
        <v>904.91</v>
      </c>
      <c r="J2692" t="s">
        <v>5042</v>
      </c>
      <c r="K2692" t="s">
        <v>5047</v>
      </c>
      <c r="L2692" t="s">
        <v>5050</v>
      </c>
      <c r="M2692" t="s">
        <v>5055</v>
      </c>
    </row>
    <row r="2693" spans="1:13" x14ac:dyDescent="0.3">
      <c r="A2693" s="1">
        <v>45413</v>
      </c>
      <c r="B2693" s="1" t="str">
        <f>TEXT(Tabla1[[#This Row],[Fecha]],"MMMM")</f>
        <v>mayo</v>
      </c>
      <c r="C2693" t="s">
        <v>2703</v>
      </c>
      <c r="D2693" t="s">
        <v>5022</v>
      </c>
      <c r="E2693" t="s">
        <v>5033</v>
      </c>
      <c r="F2693" t="s">
        <v>5039</v>
      </c>
      <c r="G2693" s="3">
        <v>11792.23</v>
      </c>
      <c r="H2693" s="3">
        <v>1532.99</v>
      </c>
      <c r="I2693" s="3">
        <f>SUM(Tabla1[[#This Row],[Monto_Base]],H2693)</f>
        <v>13325.22</v>
      </c>
      <c r="J2693" t="s">
        <v>5045</v>
      </c>
      <c r="K2693" t="s">
        <v>5047</v>
      </c>
      <c r="L2693" t="s">
        <v>5051</v>
      </c>
      <c r="M2693" t="s">
        <v>5054</v>
      </c>
    </row>
    <row r="2694" spans="1:13" x14ac:dyDescent="0.3">
      <c r="A2694" s="1">
        <v>45386</v>
      </c>
      <c r="B2694" s="1" t="str">
        <f>TEXT(Tabla1[[#This Row],[Fecha]],"MMMM")</f>
        <v>abril</v>
      </c>
      <c r="C2694" t="s">
        <v>2704</v>
      </c>
      <c r="D2694" t="s">
        <v>5020</v>
      </c>
      <c r="E2694" t="s">
        <v>5032</v>
      </c>
      <c r="F2694" t="s">
        <v>5041</v>
      </c>
      <c r="G2694" s="3">
        <v>5710.02</v>
      </c>
      <c r="H2694" s="3">
        <v>0</v>
      </c>
      <c r="I2694" s="3">
        <f>SUM(Tabla1[[#This Row],[Monto_Base]],H2694)</f>
        <v>5710.02</v>
      </c>
      <c r="J2694" t="s">
        <v>5042</v>
      </c>
      <c r="K2694" t="s">
        <v>5049</v>
      </c>
      <c r="L2694" t="s">
        <v>5053</v>
      </c>
      <c r="M2694" t="s">
        <v>5054</v>
      </c>
    </row>
    <row r="2695" spans="1:13" x14ac:dyDescent="0.3">
      <c r="A2695" s="1">
        <v>45391</v>
      </c>
      <c r="B2695" s="1" t="str">
        <f>TEXT(Tabla1[[#This Row],[Fecha]],"MMMM")</f>
        <v>abril</v>
      </c>
      <c r="C2695" t="s">
        <v>2705</v>
      </c>
      <c r="D2695" t="s">
        <v>5029</v>
      </c>
      <c r="E2695" t="s">
        <v>5033</v>
      </c>
      <c r="F2695" t="s">
        <v>5038</v>
      </c>
      <c r="G2695" s="3">
        <v>9449.23</v>
      </c>
      <c r="H2695" s="3">
        <v>1228.4000000000001</v>
      </c>
      <c r="I2695" s="3">
        <f>SUM(Tabla1[[#This Row],[Monto_Base]],H2695)</f>
        <v>10677.63</v>
      </c>
      <c r="J2695" t="s">
        <v>5045</v>
      </c>
      <c r="K2695" t="s">
        <v>5049</v>
      </c>
      <c r="L2695" t="s">
        <v>5052</v>
      </c>
      <c r="M2695" t="s">
        <v>5055</v>
      </c>
    </row>
    <row r="2696" spans="1:13" x14ac:dyDescent="0.3">
      <c r="A2696" s="1">
        <v>45335</v>
      </c>
      <c r="B2696" s="1" t="str">
        <f>TEXT(Tabla1[[#This Row],[Fecha]],"MMMM")</f>
        <v>febrero</v>
      </c>
      <c r="C2696" t="s">
        <v>2706</v>
      </c>
      <c r="D2696" t="s">
        <v>5027</v>
      </c>
      <c r="E2696" t="s">
        <v>5032</v>
      </c>
      <c r="F2696" t="s">
        <v>5034</v>
      </c>
      <c r="G2696" s="3">
        <v>13734.51</v>
      </c>
      <c r="H2696" s="3">
        <v>0</v>
      </c>
      <c r="I2696" s="3">
        <f>SUM(Tabla1[[#This Row],[Monto_Base]],H2696)</f>
        <v>13734.51</v>
      </c>
      <c r="J2696" t="s">
        <v>5045</v>
      </c>
      <c r="K2696" t="s">
        <v>5049</v>
      </c>
      <c r="L2696" t="s">
        <v>5052</v>
      </c>
      <c r="M2696" t="s">
        <v>5055</v>
      </c>
    </row>
    <row r="2697" spans="1:13" x14ac:dyDescent="0.3">
      <c r="A2697" s="1">
        <v>45367</v>
      </c>
      <c r="B2697" s="1" t="str">
        <f>TEXT(Tabla1[[#This Row],[Fecha]],"MMMM")</f>
        <v>marzo</v>
      </c>
      <c r="C2697" t="s">
        <v>2707</v>
      </c>
      <c r="D2697" t="s">
        <v>5030</v>
      </c>
      <c r="E2697" t="s">
        <v>5033</v>
      </c>
      <c r="F2697" t="s">
        <v>5040</v>
      </c>
      <c r="G2697" s="3">
        <v>286.2</v>
      </c>
      <c r="H2697" s="3">
        <v>37.21</v>
      </c>
      <c r="I2697" s="3">
        <f>SUM(Tabla1[[#This Row],[Monto_Base]],H2697)</f>
        <v>323.40999999999997</v>
      </c>
      <c r="J2697" t="s">
        <v>5042</v>
      </c>
      <c r="K2697" t="s">
        <v>5047</v>
      </c>
      <c r="L2697" t="s">
        <v>5050</v>
      </c>
      <c r="M2697" t="s">
        <v>5054</v>
      </c>
    </row>
    <row r="2698" spans="1:13" x14ac:dyDescent="0.3">
      <c r="A2698" s="1">
        <v>45374</v>
      </c>
      <c r="B2698" s="1" t="str">
        <f>TEXT(Tabla1[[#This Row],[Fecha]],"MMMM")</f>
        <v>marzo</v>
      </c>
      <c r="C2698" t="s">
        <v>2708</v>
      </c>
      <c r="D2698" t="s">
        <v>5020</v>
      </c>
      <c r="E2698" t="s">
        <v>5033</v>
      </c>
      <c r="F2698" t="s">
        <v>5041</v>
      </c>
      <c r="G2698" s="3">
        <v>3243.76</v>
      </c>
      <c r="H2698" s="3">
        <v>421.69</v>
      </c>
      <c r="I2698" s="3">
        <f>SUM(Tabla1[[#This Row],[Monto_Base]],H2698)</f>
        <v>3665.4500000000003</v>
      </c>
      <c r="J2698" t="s">
        <v>5042</v>
      </c>
      <c r="K2698" t="s">
        <v>5047</v>
      </c>
      <c r="L2698" t="s">
        <v>5050</v>
      </c>
      <c r="M2698" t="s">
        <v>5054</v>
      </c>
    </row>
    <row r="2699" spans="1:13" x14ac:dyDescent="0.3">
      <c r="A2699" s="1">
        <v>45371</v>
      </c>
      <c r="B2699" s="1" t="str">
        <f>TEXT(Tabla1[[#This Row],[Fecha]],"MMMM")</f>
        <v>marzo</v>
      </c>
      <c r="C2699" t="s">
        <v>2709</v>
      </c>
      <c r="D2699" t="s">
        <v>5012</v>
      </c>
      <c r="E2699" t="s">
        <v>5032</v>
      </c>
      <c r="F2699" t="s">
        <v>5034</v>
      </c>
      <c r="G2699" s="3">
        <v>12310.45</v>
      </c>
      <c r="H2699" s="3">
        <v>0</v>
      </c>
      <c r="I2699" s="3">
        <f>SUM(Tabla1[[#This Row],[Monto_Base]],H2699)</f>
        <v>12310.45</v>
      </c>
      <c r="J2699" t="s">
        <v>5046</v>
      </c>
      <c r="K2699" t="s">
        <v>5047</v>
      </c>
      <c r="L2699" t="s">
        <v>5052</v>
      </c>
      <c r="M2699" t="s">
        <v>5055</v>
      </c>
    </row>
    <row r="2700" spans="1:13" x14ac:dyDescent="0.3">
      <c r="A2700" s="1">
        <v>45514</v>
      </c>
      <c r="B2700" s="1" t="str">
        <f>TEXT(Tabla1[[#This Row],[Fecha]],"MMMM")</f>
        <v>agosto</v>
      </c>
      <c r="C2700" t="s">
        <v>2710</v>
      </c>
      <c r="D2700" t="s">
        <v>5015</v>
      </c>
      <c r="E2700" t="s">
        <v>5032</v>
      </c>
      <c r="F2700" t="s">
        <v>5034</v>
      </c>
      <c r="G2700" s="3">
        <v>10206.99</v>
      </c>
      <c r="H2700" s="3">
        <v>0</v>
      </c>
      <c r="I2700" s="3">
        <f>SUM(Tabla1[[#This Row],[Monto_Base]],H2700)</f>
        <v>10206.99</v>
      </c>
      <c r="J2700" t="s">
        <v>5043</v>
      </c>
      <c r="K2700" t="s">
        <v>5047</v>
      </c>
      <c r="L2700" t="s">
        <v>5053</v>
      </c>
      <c r="M2700" t="s">
        <v>5055</v>
      </c>
    </row>
    <row r="2701" spans="1:13" x14ac:dyDescent="0.3">
      <c r="A2701" s="1">
        <v>45621</v>
      </c>
      <c r="B2701" s="1" t="str">
        <f>TEXT(Tabla1[[#This Row],[Fecha]],"MMMM")</f>
        <v>noviembre</v>
      </c>
      <c r="C2701" t="s">
        <v>2711</v>
      </c>
      <c r="D2701" t="s">
        <v>5031</v>
      </c>
      <c r="E2701" t="s">
        <v>5032</v>
      </c>
      <c r="F2701" t="s">
        <v>5041</v>
      </c>
      <c r="G2701" s="3">
        <v>64.63</v>
      </c>
      <c r="H2701" s="3">
        <v>0</v>
      </c>
      <c r="I2701" s="3">
        <f>SUM(Tabla1[[#This Row],[Monto_Base]],H2701)</f>
        <v>64.63</v>
      </c>
      <c r="J2701" t="s">
        <v>5044</v>
      </c>
      <c r="K2701" t="s">
        <v>5048</v>
      </c>
      <c r="L2701" t="s">
        <v>5053</v>
      </c>
      <c r="M2701" t="s">
        <v>5055</v>
      </c>
    </row>
    <row r="2702" spans="1:13" x14ac:dyDescent="0.3">
      <c r="A2702" s="1">
        <v>45297</v>
      </c>
      <c r="B2702" s="1" t="str">
        <f>TEXT(Tabla1[[#This Row],[Fecha]],"MMMM")</f>
        <v>enero</v>
      </c>
      <c r="C2702" t="s">
        <v>2712</v>
      </c>
      <c r="D2702" t="s">
        <v>5012</v>
      </c>
      <c r="E2702" t="s">
        <v>5032</v>
      </c>
      <c r="F2702" t="s">
        <v>5038</v>
      </c>
      <c r="G2702" s="3">
        <v>4801.05</v>
      </c>
      <c r="H2702" s="3">
        <v>0</v>
      </c>
      <c r="I2702" s="3">
        <f>SUM(Tabla1[[#This Row],[Monto_Base]],H2702)</f>
        <v>4801.05</v>
      </c>
      <c r="J2702" t="s">
        <v>5046</v>
      </c>
      <c r="K2702" t="s">
        <v>5047</v>
      </c>
      <c r="L2702" t="s">
        <v>5052</v>
      </c>
      <c r="M2702" t="s">
        <v>5055</v>
      </c>
    </row>
    <row r="2703" spans="1:13" x14ac:dyDescent="0.3">
      <c r="A2703" s="1">
        <v>45450</v>
      </c>
      <c r="B2703" s="1" t="str">
        <f>TEXT(Tabla1[[#This Row],[Fecha]],"MMMM")</f>
        <v>junio</v>
      </c>
      <c r="C2703" t="s">
        <v>2713</v>
      </c>
      <c r="D2703" t="s">
        <v>5023</v>
      </c>
      <c r="E2703" t="s">
        <v>5032</v>
      </c>
      <c r="F2703" t="s">
        <v>5035</v>
      </c>
      <c r="G2703" s="3">
        <v>13311.46</v>
      </c>
      <c r="H2703" s="3">
        <v>0</v>
      </c>
      <c r="I2703" s="3">
        <f>SUM(Tabla1[[#This Row],[Monto_Base]],H2703)</f>
        <v>13311.46</v>
      </c>
      <c r="J2703" t="s">
        <v>5044</v>
      </c>
      <c r="K2703" t="s">
        <v>5047</v>
      </c>
      <c r="L2703" t="s">
        <v>5052</v>
      </c>
      <c r="M2703" t="s">
        <v>5055</v>
      </c>
    </row>
    <row r="2704" spans="1:13" x14ac:dyDescent="0.3">
      <c r="A2704" s="1">
        <v>45316</v>
      </c>
      <c r="B2704" s="1" t="str">
        <f>TEXT(Tabla1[[#This Row],[Fecha]],"MMMM")</f>
        <v>enero</v>
      </c>
      <c r="C2704" t="s">
        <v>2714</v>
      </c>
      <c r="D2704" t="s">
        <v>5025</v>
      </c>
      <c r="E2704" t="s">
        <v>5032</v>
      </c>
      <c r="F2704" t="s">
        <v>5035</v>
      </c>
      <c r="G2704" s="3">
        <v>3604.21</v>
      </c>
      <c r="H2704" s="3">
        <v>0</v>
      </c>
      <c r="I2704" s="3">
        <f>SUM(Tabla1[[#This Row],[Monto_Base]],H2704)</f>
        <v>3604.21</v>
      </c>
      <c r="J2704" t="s">
        <v>5044</v>
      </c>
      <c r="K2704" t="s">
        <v>5047</v>
      </c>
      <c r="L2704" t="s">
        <v>5052</v>
      </c>
      <c r="M2704" t="s">
        <v>5055</v>
      </c>
    </row>
    <row r="2705" spans="1:13" x14ac:dyDescent="0.3">
      <c r="A2705" s="1">
        <v>45566</v>
      </c>
      <c r="B2705" s="1" t="str">
        <f>TEXT(Tabla1[[#This Row],[Fecha]],"MMMM")</f>
        <v>octubre</v>
      </c>
      <c r="C2705" t="s">
        <v>2715</v>
      </c>
      <c r="D2705" t="s">
        <v>5025</v>
      </c>
      <c r="E2705" t="s">
        <v>5032</v>
      </c>
      <c r="F2705" t="s">
        <v>5038</v>
      </c>
      <c r="G2705" s="3">
        <v>9400.23</v>
      </c>
      <c r="H2705" s="3">
        <v>0</v>
      </c>
      <c r="I2705" s="3">
        <f>SUM(Tabla1[[#This Row],[Monto_Base]],H2705)</f>
        <v>9400.23</v>
      </c>
      <c r="J2705" t="s">
        <v>5046</v>
      </c>
      <c r="K2705" t="s">
        <v>5047</v>
      </c>
      <c r="L2705" t="s">
        <v>5050</v>
      </c>
      <c r="M2705" t="s">
        <v>5054</v>
      </c>
    </row>
    <row r="2706" spans="1:13" x14ac:dyDescent="0.3">
      <c r="A2706" s="1">
        <v>45328</v>
      </c>
      <c r="B2706" s="1" t="str">
        <f>TEXT(Tabla1[[#This Row],[Fecha]],"MMMM")</f>
        <v>febrero</v>
      </c>
      <c r="C2706" t="s">
        <v>2716</v>
      </c>
      <c r="D2706" t="s">
        <v>5013</v>
      </c>
      <c r="E2706" t="s">
        <v>5033</v>
      </c>
      <c r="F2706" t="s">
        <v>5039</v>
      </c>
      <c r="G2706" s="3">
        <v>6723.79</v>
      </c>
      <c r="H2706" s="3">
        <v>874.09</v>
      </c>
      <c r="I2706" s="3">
        <f>SUM(Tabla1[[#This Row],[Monto_Base]],H2706)</f>
        <v>7597.88</v>
      </c>
      <c r="J2706" t="s">
        <v>5045</v>
      </c>
      <c r="K2706" t="s">
        <v>5048</v>
      </c>
      <c r="L2706" t="s">
        <v>5053</v>
      </c>
      <c r="M2706" t="s">
        <v>5054</v>
      </c>
    </row>
    <row r="2707" spans="1:13" x14ac:dyDescent="0.3">
      <c r="A2707" s="1">
        <v>45450</v>
      </c>
      <c r="B2707" s="1" t="str">
        <f>TEXT(Tabla1[[#This Row],[Fecha]],"MMMM")</f>
        <v>junio</v>
      </c>
      <c r="C2707" t="s">
        <v>2717</v>
      </c>
      <c r="D2707" t="s">
        <v>5021</v>
      </c>
      <c r="E2707" t="s">
        <v>5032</v>
      </c>
      <c r="F2707" t="s">
        <v>5035</v>
      </c>
      <c r="G2707" s="3">
        <v>1553.22</v>
      </c>
      <c r="H2707" s="3">
        <v>0</v>
      </c>
      <c r="I2707" s="3">
        <f>SUM(Tabla1[[#This Row],[Monto_Base]],H2707)</f>
        <v>1553.22</v>
      </c>
      <c r="J2707" t="s">
        <v>5046</v>
      </c>
      <c r="K2707" t="s">
        <v>5047</v>
      </c>
      <c r="L2707" t="s">
        <v>5053</v>
      </c>
      <c r="M2707" t="s">
        <v>5054</v>
      </c>
    </row>
    <row r="2708" spans="1:13" x14ac:dyDescent="0.3">
      <c r="A2708" s="1">
        <v>45380</v>
      </c>
      <c r="B2708" s="1" t="str">
        <f>TEXT(Tabla1[[#This Row],[Fecha]],"MMMM")</f>
        <v>marzo</v>
      </c>
      <c r="C2708" t="s">
        <v>2718</v>
      </c>
      <c r="D2708" t="s">
        <v>5023</v>
      </c>
      <c r="E2708" t="s">
        <v>5033</v>
      </c>
      <c r="F2708" t="s">
        <v>5040</v>
      </c>
      <c r="G2708" s="3">
        <v>11951.61</v>
      </c>
      <c r="H2708" s="3">
        <v>1553.71</v>
      </c>
      <c r="I2708" s="3">
        <f>SUM(Tabla1[[#This Row],[Monto_Base]],H2708)</f>
        <v>13505.32</v>
      </c>
      <c r="J2708" t="s">
        <v>5045</v>
      </c>
      <c r="K2708" t="s">
        <v>5049</v>
      </c>
      <c r="L2708" t="s">
        <v>5052</v>
      </c>
      <c r="M2708" t="s">
        <v>5054</v>
      </c>
    </row>
    <row r="2709" spans="1:13" x14ac:dyDescent="0.3">
      <c r="A2709" s="1">
        <v>45296</v>
      </c>
      <c r="B2709" s="1" t="str">
        <f>TEXT(Tabla1[[#This Row],[Fecha]],"MMMM")</f>
        <v>enero</v>
      </c>
      <c r="C2709" t="s">
        <v>2719</v>
      </c>
      <c r="D2709" t="s">
        <v>5016</v>
      </c>
      <c r="E2709" t="s">
        <v>5033</v>
      </c>
      <c r="F2709" t="s">
        <v>5037</v>
      </c>
      <c r="G2709" s="3">
        <v>3372.84</v>
      </c>
      <c r="H2709" s="3">
        <v>438.47</v>
      </c>
      <c r="I2709" s="3">
        <f>SUM(Tabla1[[#This Row],[Monto_Base]],H2709)</f>
        <v>3811.3100000000004</v>
      </c>
      <c r="J2709" t="s">
        <v>5046</v>
      </c>
      <c r="K2709" t="s">
        <v>5049</v>
      </c>
      <c r="L2709" t="s">
        <v>5053</v>
      </c>
      <c r="M2709" t="s">
        <v>5055</v>
      </c>
    </row>
    <row r="2710" spans="1:13" x14ac:dyDescent="0.3">
      <c r="A2710" s="1">
        <v>45595</v>
      </c>
      <c r="B2710" s="1" t="str">
        <f>TEXT(Tabla1[[#This Row],[Fecha]],"MMMM")</f>
        <v>octubre</v>
      </c>
      <c r="C2710" t="s">
        <v>2720</v>
      </c>
      <c r="D2710" t="s">
        <v>5027</v>
      </c>
      <c r="E2710" t="s">
        <v>5033</v>
      </c>
      <c r="F2710" t="s">
        <v>5041</v>
      </c>
      <c r="G2710" s="3">
        <v>11248.84</v>
      </c>
      <c r="H2710" s="3">
        <v>1462.35</v>
      </c>
      <c r="I2710" s="3">
        <f>SUM(Tabla1[[#This Row],[Monto_Base]],H2710)</f>
        <v>12711.19</v>
      </c>
      <c r="J2710" t="s">
        <v>5044</v>
      </c>
      <c r="K2710" t="s">
        <v>5049</v>
      </c>
      <c r="L2710" t="s">
        <v>5050</v>
      </c>
      <c r="M2710" t="s">
        <v>5055</v>
      </c>
    </row>
    <row r="2711" spans="1:13" x14ac:dyDescent="0.3">
      <c r="A2711" s="1">
        <v>45358</v>
      </c>
      <c r="B2711" s="1" t="str">
        <f>TEXT(Tabla1[[#This Row],[Fecha]],"MMMM")</f>
        <v>marzo</v>
      </c>
      <c r="C2711" t="s">
        <v>2721</v>
      </c>
      <c r="D2711" t="s">
        <v>5028</v>
      </c>
      <c r="E2711" t="s">
        <v>5033</v>
      </c>
      <c r="F2711" t="s">
        <v>5035</v>
      </c>
      <c r="G2711" s="3">
        <v>395.86</v>
      </c>
      <c r="H2711" s="3">
        <v>51.46</v>
      </c>
      <c r="I2711" s="3">
        <f>SUM(Tabla1[[#This Row],[Monto_Base]],H2711)</f>
        <v>447.32</v>
      </c>
      <c r="J2711" t="s">
        <v>5045</v>
      </c>
      <c r="K2711" t="s">
        <v>5048</v>
      </c>
      <c r="L2711" t="s">
        <v>5053</v>
      </c>
      <c r="M2711" t="s">
        <v>5054</v>
      </c>
    </row>
    <row r="2712" spans="1:13" x14ac:dyDescent="0.3">
      <c r="A2712" s="1">
        <v>45429</v>
      </c>
      <c r="B2712" s="1" t="str">
        <f>TEXT(Tabla1[[#This Row],[Fecha]],"MMMM")</f>
        <v>mayo</v>
      </c>
      <c r="C2712" t="s">
        <v>2722</v>
      </c>
      <c r="D2712" t="s">
        <v>5022</v>
      </c>
      <c r="E2712" t="s">
        <v>5032</v>
      </c>
      <c r="F2712" t="s">
        <v>5036</v>
      </c>
      <c r="G2712" s="3">
        <v>6533.84</v>
      </c>
      <c r="H2712" s="3">
        <v>0</v>
      </c>
      <c r="I2712" s="3">
        <f>SUM(Tabla1[[#This Row],[Monto_Base]],H2712)</f>
        <v>6533.84</v>
      </c>
      <c r="J2712" t="s">
        <v>5042</v>
      </c>
      <c r="K2712" t="s">
        <v>5048</v>
      </c>
      <c r="L2712" t="s">
        <v>5053</v>
      </c>
      <c r="M2712" t="s">
        <v>5055</v>
      </c>
    </row>
    <row r="2713" spans="1:13" x14ac:dyDescent="0.3">
      <c r="A2713" s="1">
        <v>45482</v>
      </c>
      <c r="B2713" s="1" t="str">
        <f>TEXT(Tabla1[[#This Row],[Fecha]],"MMMM")</f>
        <v>julio</v>
      </c>
      <c r="C2713" t="s">
        <v>2723</v>
      </c>
      <c r="D2713" t="s">
        <v>5026</v>
      </c>
      <c r="E2713" t="s">
        <v>5033</v>
      </c>
      <c r="F2713" t="s">
        <v>5041</v>
      </c>
      <c r="G2713" s="3">
        <v>145.97999999999999</v>
      </c>
      <c r="H2713" s="3">
        <v>18.98</v>
      </c>
      <c r="I2713" s="3">
        <f>SUM(Tabla1[[#This Row],[Monto_Base]],H2713)</f>
        <v>164.95999999999998</v>
      </c>
      <c r="J2713" t="s">
        <v>5045</v>
      </c>
      <c r="K2713" t="s">
        <v>5047</v>
      </c>
      <c r="L2713" t="s">
        <v>5053</v>
      </c>
      <c r="M2713" t="s">
        <v>5055</v>
      </c>
    </row>
    <row r="2714" spans="1:13" x14ac:dyDescent="0.3">
      <c r="A2714" s="1">
        <v>45533</v>
      </c>
      <c r="B2714" s="1" t="str">
        <f>TEXT(Tabla1[[#This Row],[Fecha]],"MMMM")</f>
        <v>agosto</v>
      </c>
      <c r="C2714" t="s">
        <v>2724</v>
      </c>
      <c r="D2714" t="s">
        <v>5020</v>
      </c>
      <c r="E2714" t="s">
        <v>5032</v>
      </c>
      <c r="F2714" t="s">
        <v>5040</v>
      </c>
      <c r="G2714" s="3">
        <v>6333.72</v>
      </c>
      <c r="H2714" s="3">
        <v>0</v>
      </c>
      <c r="I2714" s="3">
        <f>SUM(Tabla1[[#This Row],[Monto_Base]],H2714)</f>
        <v>6333.72</v>
      </c>
      <c r="J2714" t="s">
        <v>5046</v>
      </c>
      <c r="K2714" t="s">
        <v>5049</v>
      </c>
      <c r="L2714" t="s">
        <v>5050</v>
      </c>
      <c r="M2714" t="s">
        <v>5055</v>
      </c>
    </row>
    <row r="2715" spans="1:13" x14ac:dyDescent="0.3">
      <c r="A2715" s="1">
        <v>45547</v>
      </c>
      <c r="B2715" s="1" t="str">
        <f>TEXT(Tabla1[[#This Row],[Fecha]],"MMMM")</f>
        <v>septiembre</v>
      </c>
      <c r="C2715" t="s">
        <v>2725</v>
      </c>
      <c r="D2715" t="s">
        <v>5019</v>
      </c>
      <c r="E2715" t="s">
        <v>5033</v>
      </c>
      <c r="F2715" t="s">
        <v>5039</v>
      </c>
      <c r="G2715" s="3">
        <v>6830.12</v>
      </c>
      <c r="H2715" s="3">
        <v>887.92</v>
      </c>
      <c r="I2715" s="3">
        <f>SUM(Tabla1[[#This Row],[Monto_Base]],H2715)</f>
        <v>7718.04</v>
      </c>
      <c r="J2715" t="s">
        <v>5045</v>
      </c>
      <c r="K2715" t="s">
        <v>5047</v>
      </c>
      <c r="L2715" t="s">
        <v>5050</v>
      </c>
      <c r="M2715" t="s">
        <v>5055</v>
      </c>
    </row>
    <row r="2716" spans="1:13" x14ac:dyDescent="0.3">
      <c r="A2716" s="1">
        <v>45415</v>
      </c>
      <c r="B2716" s="1" t="str">
        <f>TEXT(Tabla1[[#This Row],[Fecha]],"MMMM")</f>
        <v>mayo</v>
      </c>
      <c r="C2716" t="s">
        <v>2726</v>
      </c>
      <c r="D2716" t="s">
        <v>5023</v>
      </c>
      <c r="E2716" t="s">
        <v>5032</v>
      </c>
      <c r="F2716" t="s">
        <v>5039</v>
      </c>
      <c r="G2716" s="3">
        <v>12704.54</v>
      </c>
      <c r="H2716" s="3">
        <v>0</v>
      </c>
      <c r="I2716" s="3">
        <f>SUM(Tabla1[[#This Row],[Monto_Base]],H2716)</f>
        <v>12704.54</v>
      </c>
      <c r="J2716" t="s">
        <v>5042</v>
      </c>
      <c r="K2716" t="s">
        <v>5048</v>
      </c>
      <c r="L2716" t="s">
        <v>5050</v>
      </c>
      <c r="M2716" t="s">
        <v>5054</v>
      </c>
    </row>
    <row r="2717" spans="1:13" x14ac:dyDescent="0.3">
      <c r="A2717" s="1">
        <v>45304</v>
      </c>
      <c r="B2717" s="1" t="str">
        <f>TEXT(Tabla1[[#This Row],[Fecha]],"MMMM")</f>
        <v>enero</v>
      </c>
      <c r="C2717" t="s">
        <v>2727</v>
      </c>
      <c r="D2717" t="s">
        <v>5027</v>
      </c>
      <c r="E2717" t="s">
        <v>5032</v>
      </c>
      <c r="F2717" t="s">
        <v>5041</v>
      </c>
      <c r="G2717" s="3">
        <v>8181.35</v>
      </c>
      <c r="H2717" s="3">
        <v>0</v>
      </c>
      <c r="I2717" s="3">
        <f>SUM(Tabla1[[#This Row],[Monto_Base]],H2717)</f>
        <v>8181.35</v>
      </c>
      <c r="J2717" t="s">
        <v>5044</v>
      </c>
      <c r="K2717" t="s">
        <v>5048</v>
      </c>
      <c r="L2717" t="s">
        <v>5050</v>
      </c>
      <c r="M2717" t="s">
        <v>5054</v>
      </c>
    </row>
    <row r="2718" spans="1:13" x14ac:dyDescent="0.3">
      <c r="A2718" s="1">
        <v>45315</v>
      </c>
      <c r="B2718" s="1" t="str">
        <f>TEXT(Tabla1[[#This Row],[Fecha]],"MMMM")</f>
        <v>enero</v>
      </c>
      <c r="C2718" t="s">
        <v>2728</v>
      </c>
      <c r="D2718" t="s">
        <v>5030</v>
      </c>
      <c r="E2718" t="s">
        <v>5033</v>
      </c>
      <c r="F2718" t="s">
        <v>5041</v>
      </c>
      <c r="G2718" s="3">
        <v>11224.22</v>
      </c>
      <c r="H2718" s="3">
        <v>1459.15</v>
      </c>
      <c r="I2718" s="3">
        <f>SUM(Tabla1[[#This Row],[Monto_Base]],H2718)</f>
        <v>12683.369999999999</v>
      </c>
      <c r="J2718" t="s">
        <v>5046</v>
      </c>
      <c r="K2718" t="s">
        <v>5049</v>
      </c>
      <c r="L2718" t="s">
        <v>5052</v>
      </c>
      <c r="M2718" t="s">
        <v>5054</v>
      </c>
    </row>
    <row r="2719" spans="1:13" x14ac:dyDescent="0.3">
      <c r="A2719" s="1">
        <v>45492</v>
      </c>
      <c r="B2719" s="1" t="str">
        <f>TEXT(Tabla1[[#This Row],[Fecha]],"MMMM")</f>
        <v>julio</v>
      </c>
      <c r="C2719" t="s">
        <v>2729</v>
      </c>
      <c r="D2719" t="s">
        <v>5019</v>
      </c>
      <c r="E2719" t="s">
        <v>5033</v>
      </c>
      <c r="F2719" t="s">
        <v>5038</v>
      </c>
      <c r="G2719" s="3">
        <v>4491.93</v>
      </c>
      <c r="H2719" s="3">
        <v>583.95000000000005</v>
      </c>
      <c r="I2719" s="3">
        <f>SUM(Tabla1[[#This Row],[Monto_Base]],H2719)</f>
        <v>5075.88</v>
      </c>
      <c r="J2719" t="s">
        <v>5043</v>
      </c>
      <c r="K2719" t="s">
        <v>5047</v>
      </c>
      <c r="L2719" t="s">
        <v>5050</v>
      </c>
      <c r="M2719" t="s">
        <v>5055</v>
      </c>
    </row>
    <row r="2720" spans="1:13" x14ac:dyDescent="0.3">
      <c r="A2720" s="1">
        <v>45348</v>
      </c>
      <c r="B2720" s="1" t="str">
        <f>TEXT(Tabla1[[#This Row],[Fecha]],"MMMM")</f>
        <v>febrero</v>
      </c>
      <c r="C2720" t="s">
        <v>2730</v>
      </c>
      <c r="D2720" t="s">
        <v>5017</v>
      </c>
      <c r="E2720" t="s">
        <v>5033</v>
      </c>
      <c r="F2720" t="s">
        <v>5038</v>
      </c>
      <c r="G2720" s="3">
        <v>14273.85</v>
      </c>
      <c r="H2720" s="3">
        <v>1855.6</v>
      </c>
      <c r="I2720" s="3">
        <f>SUM(Tabla1[[#This Row],[Monto_Base]],H2720)</f>
        <v>16129.45</v>
      </c>
      <c r="J2720" t="s">
        <v>5045</v>
      </c>
      <c r="K2720" t="s">
        <v>5048</v>
      </c>
      <c r="L2720" t="s">
        <v>5050</v>
      </c>
      <c r="M2720" t="s">
        <v>5054</v>
      </c>
    </row>
    <row r="2721" spans="1:13" x14ac:dyDescent="0.3">
      <c r="A2721" s="1">
        <v>45553</v>
      </c>
      <c r="B2721" s="1" t="str">
        <f>TEXT(Tabla1[[#This Row],[Fecha]],"MMMM")</f>
        <v>septiembre</v>
      </c>
      <c r="C2721" t="s">
        <v>2731</v>
      </c>
      <c r="D2721" t="s">
        <v>5028</v>
      </c>
      <c r="E2721" t="s">
        <v>5033</v>
      </c>
      <c r="F2721" t="s">
        <v>5040</v>
      </c>
      <c r="G2721" s="3">
        <v>2824.25</v>
      </c>
      <c r="H2721" s="3">
        <v>367.15</v>
      </c>
      <c r="I2721" s="3">
        <f>SUM(Tabla1[[#This Row],[Monto_Base]],H2721)</f>
        <v>3191.4</v>
      </c>
      <c r="J2721" t="s">
        <v>5046</v>
      </c>
      <c r="K2721" t="s">
        <v>5047</v>
      </c>
      <c r="L2721" t="s">
        <v>5050</v>
      </c>
      <c r="M2721" t="s">
        <v>5055</v>
      </c>
    </row>
    <row r="2722" spans="1:13" x14ac:dyDescent="0.3">
      <c r="A2722" s="1">
        <v>45420</v>
      </c>
      <c r="B2722" s="1" t="str">
        <f>TEXT(Tabla1[[#This Row],[Fecha]],"MMMM")</f>
        <v>mayo</v>
      </c>
      <c r="C2722" t="s">
        <v>2732</v>
      </c>
      <c r="D2722" t="s">
        <v>5027</v>
      </c>
      <c r="E2722" t="s">
        <v>5032</v>
      </c>
      <c r="F2722" t="s">
        <v>5041</v>
      </c>
      <c r="G2722" s="3">
        <v>456.84</v>
      </c>
      <c r="H2722" s="3">
        <v>0</v>
      </c>
      <c r="I2722" s="3">
        <f>SUM(Tabla1[[#This Row],[Monto_Base]],H2722)</f>
        <v>456.84</v>
      </c>
      <c r="J2722" t="s">
        <v>5043</v>
      </c>
      <c r="K2722" t="s">
        <v>5048</v>
      </c>
      <c r="L2722" t="s">
        <v>5050</v>
      </c>
      <c r="M2722" t="s">
        <v>5055</v>
      </c>
    </row>
    <row r="2723" spans="1:13" x14ac:dyDescent="0.3">
      <c r="A2723" s="1">
        <v>45410</v>
      </c>
      <c r="B2723" s="1" t="str">
        <f>TEXT(Tabla1[[#This Row],[Fecha]],"MMMM")</f>
        <v>abril</v>
      </c>
      <c r="C2723" t="s">
        <v>2733</v>
      </c>
      <c r="D2723" t="s">
        <v>5022</v>
      </c>
      <c r="E2723" t="s">
        <v>5033</v>
      </c>
      <c r="F2723" t="s">
        <v>5037</v>
      </c>
      <c r="G2723" s="3">
        <v>8290.5400000000009</v>
      </c>
      <c r="H2723" s="3">
        <v>1077.77</v>
      </c>
      <c r="I2723" s="3">
        <f>SUM(Tabla1[[#This Row],[Monto_Base]],H2723)</f>
        <v>9368.3100000000013</v>
      </c>
      <c r="J2723" t="s">
        <v>5045</v>
      </c>
      <c r="K2723" t="s">
        <v>5047</v>
      </c>
      <c r="L2723" t="s">
        <v>5051</v>
      </c>
      <c r="M2723" t="s">
        <v>5054</v>
      </c>
    </row>
    <row r="2724" spans="1:13" x14ac:dyDescent="0.3">
      <c r="A2724" s="1">
        <v>45645</v>
      </c>
      <c r="B2724" s="1" t="str">
        <f>TEXT(Tabla1[[#This Row],[Fecha]],"MMMM")</f>
        <v>diciembre</v>
      </c>
      <c r="C2724" t="s">
        <v>2734</v>
      </c>
      <c r="D2724" t="s">
        <v>5014</v>
      </c>
      <c r="E2724" t="s">
        <v>5033</v>
      </c>
      <c r="F2724" t="s">
        <v>5037</v>
      </c>
      <c r="G2724" s="3">
        <v>10947.6</v>
      </c>
      <c r="H2724" s="3">
        <v>1423.19</v>
      </c>
      <c r="I2724" s="3">
        <f>SUM(Tabla1[[#This Row],[Monto_Base]],H2724)</f>
        <v>12370.79</v>
      </c>
      <c r="J2724" t="s">
        <v>5045</v>
      </c>
      <c r="K2724" t="s">
        <v>5048</v>
      </c>
      <c r="L2724" t="s">
        <v>5052</v>
      </c>
      <c r="M2724" t="s">
        <v>5054</v>
      </c>
    </row>
    <row r="2725" spans="1:13" x14ac:dyDescent="0.3">
      <c r="A2725" s="1">
        <v>45598</v>
      </c>
      <c r="B2725" s="1" t="str">
        <f>TEXT(Tabla1[[#This Row],[Fecha]],"MMMM")</f>
        <v>noviembre</v>
      </c>
      <c r="C2725" t="s">
        <v>2735</v>
      </c>
      <c r="D2725" t="s">
        <v>5026</v>
      </c>
      <c r="E2725" t="s">
        <v>5032</v>
      </c>
      <c r="F2725" t="s">
        <v>5035</v>
      </c>
      <c r="G2725" s="3">
        <v>5780.36</v>
      </c>
      <c r="H2725" s="3">
        <v>0</v>
      </c>
      <c r="I2725" s="3">
        <f>SUM(Tabla1[[#This Row],[Monto_Base]],H2725)</f>
        <v>5780.36</v>
      </c>
      <c r="J2725" t="s">
        <v>5046</v>
      </c>
      <c r="K2725" t="s">
        <v>5048</v>
      </c>
      <c r="L2725" t="s">
        <v>5053</v>
      </c>
      <c r="M2725" t="s">
        <v>5054</v>
      </c>
    </row>
    <row r="2726" spans="1:13" x14ac:dyDescent="0.3">
      <c r="A2726" s="1">
        <v>45333</v>
      </c>
      <c r="B2726" s="1" t="str">
        <f>TEXT(Tabla1[[#This Row],[Fecha]],"MMMM")</f>
        <v>febrero</v>
      </c>
      <c r="C2726" t="s">
        <v>2736</v>
      </c>
      <c r="D2726" t="s">
        <v>5022</v>
      </c>
      <c r="E2726" t="s">
        <v>5032</v>
      </c>
      <c r="F2726" t="s">
        <v>5039</v>
      </c>
      <c r="G2726" s="3">
        <v>8706.19</v>
      </c>
      <c r="H2726" s="3">
        <v>0</v>
      </c>
      <c r="I2726" s="3">
        <f>SUM(Tabla1[[#This Row],[Monto_Base]],H2726)</f>
        <v>8706.19</v>
      </c>
      <c r="J2726" t="s">
        <v>5042</v>
      </c>
      <c r="K2726" t="s">
        <v>5048</v>
      </c>
      <c r="L2726" t="s">
        <v>5052</v>
      </c>
      <c r="M2726" t="s">
        <v>5054</v>
      </c>
    </row>
    <row r="2727" spans="1:13" x14ac:dyDescent="0.3">
      <c r="A2727" s="1">
        <v>45302</v>
      </c>
      <c r="B2727" s="1" t="str">
        <f>TEXT(Tabla1[[#This Row],[Fecha]],"MMMM")</f>
        <v>enero</v>
      </c>
      <c r="C2727" t="s">
        <v>2737</v>
      </c>
      <c r="D2727" t="s">
        <v>5021</v>
      </c>
      <c r="E2727" t="s">
        <v>5032</v>
      </c>
      <c r="F2727" t="s">
        <v>5036</v>
      </c>
      <c r="G2727" s="3">
        <v>7802.98</v>
      </c>
      <c r="H2727" s="3">
        <v>0</v>
      </c>
      <c r="I2727" s="3">
        <f>SUM(Tabla1[[#This Row],[Monto_Base]],H2727)</f>
        <v>7802.98</v>
      </c>
      <c r="J2727" t="s">
        <v>5045</v>
      </c>
      <c r="K2727" t="s">
        <v>5049</v>
      </c>
      <c r="L2727" t="s">
        <v>5053</v>
      </c>
      <c r="M2727" t="s">
        <v>5055</v>
      </c>
    </row>
    <row r="2728" spans="1:13" x14ac:dyDescent="0.3">
      <c r="A2728" s="1">
        <v>45561</v>
      </c>
      <c r="B2728" s="1" t="str">
        <f>TEXT(Tabla1[[#This Row],[Fecha]],"MMMM")</f>
        <v>septiembre</v>
      </c>
      <c r="C2728" t="s">
        <v>2738</v>
      </c>
      <c r="D2728" t="s">
        <v>5022</v>
      </c>
      <c r="E2728" t="s">
        <v>5032</v>
      </c>
      <c r="F2728" t="s">
        <v>5040</v>
      </c>
      <c r="G2728" s="3">
        <v>10173.32</v>
      </c>
      <c r="H2728" s="3">
        <v>0</v>
      </c>
      <c r="I2728" s="3">
        <f>SUM(Tabla1[[#This Row],[Monto_Base]],H2728)</f>
        <v>10173.32</v>
      </c>
      <c r="J2728" t="s">
        <v>5042</v>
      </c>
      <c r="K2728" t="s">
        <v>5049</v>
      </c>
      <c r="L2728" t="s">
        <v>5051</v>
      </c>
      <c r="M2728" t="s">
        <v>5055</v>
      </c>
    </row>
    <row r="2729" spans="1:13" x14ac:dyDescent="0.3">
      <c r="A2729" s="1">
        <v>45361</v>
      </c>
      <c r="B2729" s="1" t="str">
        <f>TEXT(Tabla1[[#This Row],[Fecha]],"MMMM")</f>
        <v>marzo</v>
      </c>
      <c r="C2729" t="s">
        <v>2739</v>
      </c>
      <c r="D2729" t="s">
        <v>5014</v>
      </c>
      <c r="E2729" t="s">
        <v>5032</v>
      </c>
      <c r="F2729" t="s">
        <v>5035</v>
      </c>
      <c r="G2729" s="3">
        <v>4770.07</v>
      </c>
      <c r="H2729" s="3">
        <v>0</v>
      </c>
      <c r="I2729" s="3">
        <f>SUM(Tabla1[[#This Row],[Monto_Base]],H2729)</f>
        <v>4770.07</v>
      </c>
      <c r="J2729" t="s">
        <v>5045</v>
      </c>
      <c r="K2729" t="s">
        <v>5048</v>
      </c>
      <c r="L2729" t="s">
        <v>5053</v>
      </c>
      <c r="M2729" t="s">
        <v>5054</v>
      </c>
    </row>
    <row r="2730" spans="1:13" x14ac:dyDescent="0.3">
      <c r="A2730" s="1">
        <v>45474</v>
      </c>
      <c r="B2730" s="1" t="str">
        <f>TEXT(Tabla1[[#This Row],[Fecha]],"MMMM")</f>
        <v>julio</v>
      </c>
      <c r="C2730" t="s">
        <v>2740</v>
      </c>
      <c r="D2730" t="s">
        <v>5016</v>
      </c>
      <c r="E2730" t="s">
        <v>5032</v>
      </c>
      <c r="F2730" t="s">
        <v>5040</v>
      </c>
      <c r="G2730" s="3">
        <v>14818.28</v>
      </c>
      <c r="H2730" s="3">
        <v>0</v>
      </c>
      <c r="I2730" s="3">
        <f>SUM(Tabla1[[#This Row],[Monto_Base]],H2730)</f>
        <v>14818.28</v>
      </c>
      <c r="J2730" t="s">
        <v>5042</v>
      </c>
      <c r="K2730" t="s">
        <v>5049</v>
      </c>
      <c r="L2730" t="s">
        <v>5053</v>
      </c>
      <c r="M2730" t="s">
        <v>5054</v>
      </c>
    </row>
    <row r="2731" spans="1:13" x14ac:dyDescent="0.3">
      <c r="A2731" s="1">
        <v>45642</v>
      </c>
      <c r="B2731" s="1" t="str">
        <f>TEXT(Tabla1[[#This Row],[Fecha]],"MMMM")</f>
        <v>diciembre</v>
      </c>
      <c r="C2731" t="s">
        <v>2741</v>
      </c>
      <c r="D2731" t="s">
        <v>5027</v>
      </c>
      <c r="E2731" t="s">
        <v>5033</v>
      </c>
      <c r="F2731" t="s">
        <v>5041</v>
      </c>
      <c r="G2731" s="3">
        <v>3208.33</v>
      </c>
      <c r="H2731" s="3">
        <v>417.08</v>
      </c>
      <c r="I2731" s="3">
        <f>SUM(Tabla1[[#This Row],[Monto_Base]],H2731)</f>
        <v>3625.41</v>
      </c>
      <c r="J2731" t="s">
        <v>5044</v>
      </c>
      <c r="K2731" t="s">
        <v>5048</v>
      </c>
      <c r="L2731" t="s">
        <v>5052</v>
      </c>
      <c r="M2731" t="s">
        <v>5054</v>
      </c>
    </row>
    <row r="2732" spans="1:13" x14ac:dyDescent="0.3">
      <c r="A2732" s="1">
        <v>45479</v>
      </c>
      <c r="B2732" s="1" t="str">
        <f>TEXT(Tabla1[[#This Row],[Fecha]],"MMMM")</f>
        <v>julio</v>
      </c>
      <c r="C2732" t="s">
        <v>2742</v>
      </c>
      <c r="D2732" t="s">
        <v>5024</v>
      </c>
      <c r="E2732" t="s">
        <v>5033</v>
      </c>
      <c r="F2732" t="s">
        <v>5039</v>
      </c>
      <c r="G2732" s="3">
        <v>8965.85</v>
      </c>
      <c r="H2732" s="3">
        <v>1165.56</v>
      </c>
      <c r="I2732" s="3">
        <f>SUM(Tabla1[[#This Row],[Monto_Base]],H2732)</f>
        <v>10131.41</v>
      </c>
      <c r="J2732" t="s">
        <v>5044</v>
      </c>
      <c r="K2732" t="s">
        <v>5048</v>
      </c>
      <c r="L2732" t="s">
        <v>5052</v>
      </c>
      <c r="M2732" t="s">
        <v>5055</v>
      </c>
    </row>
    <row r="2733" spans="1:13" x14ac:dyDescent="0.3">
      <c r="A2733" s="1">
        <v>45579</v>
      </c>
      <c r="B2733" s="1" t="str">
        <f>TEXT(Tabla1[[#This Row],[Fecha]],"MMMM")</f>
        <v>octubre</v>
      </c>
      <c r="C2733" t="s">
        <v>2743</v>
      </c>
      <c r="D2733" t="s">
        <v>5027</v>
      </c>
      <c r="E2733" t="s">
        <v>5032</v>
      </c>
      <c r="F2733" t="s">
        <v>5037</v>
      </c>
      <c r="G2733" s="3">
        <v>3307.88</v>
      </c>
      <c r="H2733" s="3">
        <v>0</v>
      </c>
      <c r="I2733" s="3">
        <f>SUM(Tabla1[[#This Row],[Monto_Base]],H2733)</f>
        <v>3307.88</v>
      </c>
      <c r="J2733" t="s">
        <v>5042</v>
      </c>
      <c r="K2733" t="s">
        <v>5047</v>
      </c>
      <c r="L2733" t="s">
        <v>5053</v>
      </c>
      <c r="M2733" t="s">
        <v>5054</v>
      </c>
    </row>
    <row r="2734" spans="1:13" x14ac:dyDescent="0.3">
      <c r="A2734" s="1">
        <v>45398</v>
      </c>
      <c r="B2734" s="1" t="str">
        <f>TEXT(Tabla1[[#This Row],[Fecha]],"MMMM")</f>
        <v>abril</v>
      </c>
      <c r="C2734" t="s">
        <v>2744</v>
      </c>
      <c r="D2734" t="s">
        <v>5027</v>
      </c>
      <c r="E2734" t="s">
        <v>5033</v>
      </c>
      <c r="F2734" t="s">
        <v>5035</v>
      </c>
      <c r="G2734" s="3">
        <v>1751.74</v>
      </c>
      <c r="H2734" s="3">
        <v>227.73</v>
      </c>
      <c r="I2734" s="3">
        <f>SUM(Tabla1[[#This Row],[Monto_Base]],H2734)</f>
        <v>1979.47</v>
      </c>
      <c r="J2734" t="s">
        <v>5045</v>
      </c>
      <c r="K2734" t="s">
        <v>5048</v>
      </c>
      <c r="L2734" t="s">
        <v>5053</v>
      </c>
      <c r="M2734" t="s">
        <v>5055</v>
      </c>
    </row>
    <row r="2735" spans="1:13" x14ac:dyDescent="0.3">
      <c r="A2735" s="1">
        <v>45405</v>
      </c>
      <c r="B2735" s="1" t="str">
        <f>TEXT(Tabla1[[#This Row],[Fecha]],"MMMM")</f>
        <v>abril</v>
      </c>
      <c r="C2735" t="s">
        <v>2745</v>
      </c>
      <c r="D2735" t="s">
        <v>5020</v>
      </c>
      <c r="E2735" t="s">
        <v>5033</v>
      </c>
      <c r="F2735" t="s">
        <v>5039</v>
      </c>
      <c r="G2735" s="3">
        <v>1768.04</v>
      </c>
      <c r="H2735" s="3">
        <v>229.85</v>
      </c>
      <c r="I2735" s="3">
        <f>SUM(Tabla1[[#This Row],[Monto_Base]],H2735)</f>
        <v>1997.8899999999999</v>
      </c>
      <c r="J2735" t="s">
        <v>5046</v>
      </c>
      <c r="K2735" t="s">
        <v>5048</v>
      </c>
      <c r="L2735" t="s">
        <v>5053</v>
      </c>
      <c r="M2735" t="s">
        <v>5054</v>
      </c>
    </row>
    <row r="2736" spans="1:13" x14ac:dyDescent="0.3">
      <c r="A2736" s="1">
        <v>45315</v>
      </c>
      <c r="B2736" s="1" t="str">
        <f>TEXT(Tabla1[[#This Row],[Fecha]],"MMMM")</f>
        <v>enero</v>
      </c>
      <c r="C2736" t="s">
        <v>2746</v>
      </c>
      <c r="D2736" t="s">
        <v>5018</v>
      </c>
      <c r="E2736" t="s">
        <v>5032</v>
      </c>
      <c r="F2736" t="s">
        <v>5038</v>
      </c>
      <c r="G2736" s="3">
        <v>8697.02</v>
      </c>
      <c r="H2736" s="3">
        <v>0</v>
      </c>
      <c r="I2736" s="3">
        <f>SUM(Tabla1[[#This Row],[Monto_Base]],H2736)</f>
        <v>8697.02</v>
      </c>
      <c r="J2736" t="s">
        <v>5044</v>
      </c>
      <c r="K2736" t="s">
        <v>5049</v>
      </c>
      <c r="L2736" t="s">
        <v>5053</v>
      </c>
      <c r="M2736" t="s">
        <v>5054</v>
      </c>
    </row>
    <row r="2737" spans="1:13" x14ac:dyDescent="0.3">
      <c r="A2737" s="1">
        <v>45462</v>
      </c>
      <c r="B2737" s="1" t="str">
        <f>TEXT(Tabla1[[#This Row],[Fecha]],"MMMM")</f>
        <v>junio</v>
      </c>
      <c r="C2737" t="s">
        <v>2747</v>
      </c>
      <c r="D2737" t="s">
        <v>5028</v>
      </c>
      <c r="E2737" t="s">
        <v>5032</v>
      </c>
      <c r="F2737" t="s">
        <v>5038</v>
      </c>
      <c r="G2737" s="3">
        <v>5604.99</v>
      </c>
      <c r="H2737" s="3">
        <v>0</v>
      </c>
      <c r="I2737" s="3">
        <f>SUM(Tabla1[[#This Row],[Monto_Base]],H2737)</f>
        <v>5604.99</v>
      </c>
      <c r="J2737" t="s">
        <v>5042</v>
      </c>
      <c r="K2737" t="s">
        <v>5047</v>
      </c>
      <c r="L2737" t="s">
        <v>5051</v>
      </c>
      <c r="M2737" t="s">
        <v>5055</v>
      </c>
    </row>
    <row r="2738" spans="1:13" x14ac:dyDescent="0.3">
      <c r="A2738" s="1">
        <v>45434</v>
      </c>
      <c r="B2738" s="1" t="str">
        <f>TEXT(Tabla1[[#This Row],[Fecha]],"MMMM")</f>
        <v>mayo</v>
      </c>
      <c r="C2738" t="s">
        <v>2748</v>
      </c>
      <c r="D2738" t="s">
        <v>5031</v>
      </c>
      <c r="E2738" t="s">
        <v>5033</v>
      </c>
      <c r="F2738" t="s">
        <v>5039</v>
      </c>
      <c r="G2738" s="3">
        <v>7253.34</v>
      </c>
      <c r="H2738" s="3">
        <v>942.93</v>
      </c>
      <c r="I2738" s="3">
        <f>SUM(Tabla1[[#This Row],[Monto_Base]],H2738)</f>
        <v>8196.27</v>
      </c>
      <c r="J2738" t="s">
        <v>5046</v>
      </c>
      <c r="K2738" t="s">
        <v>5049</v>
      </c>
      <c r="L2738" t="s">
        <v>5052</v>
      </c>
      <c r="M2738" t="s">
        <v>5054</v>
      </c>
    </row>
    <row r="2739" spans="1:13" x14ac:dyDescent="0.3">
      <c r="A2739" s="1">
        <v>45327</v>
      </c>
      <c r="B2739" s="1" t="str">
        <f>TEXT(Tabla1[[#This Row],[Fecha]],"MMMM")</f>
        <v>febrero</v>
      </c>
      <c r="C2739" t="s">
        <v>2749</v>
      </c>
      <c r="D2739" t="s">
        <v>5020</v>
      </c>
      <c r="E2739" t="s">
        <v>5033</v>
      </c>
      <c r="F2739" t="s">
        <v>5041</v>
      </c>
      <c r="G2739" s="3">
        <v>12140.39</v>
      </c>
      <c r="H2739" s="3">
        <v>1578.25</v>
      </c>
      <c r="I2739" s="3">
        <f>SUM(Tabla1[[#This Row],[Monto_Base]],H2739)</f>
        <v>13718.64</v>
      </c>
      <c r="J2739" t="s">
        <v>5042</v>
      </c>
      <c r="K2739" t="s">
        <v>5049</v>
      </c>
      <c r="L2739" t="s">
        <v>5052</v>
      </c>
      <c r="M2739" t="s">
        <v>5055</v>
      </c>
    </row>
    <row r="2740" spans="1:13" x14ac:dyDescent="0.3">
      <c r="A2740" s="1">
        <v>45346</v>
      </c>
      <c r="B2740" s="1" t="str">
        <f>TEXT(Tabla1[[#This Row],[Fecha]],"MMMM")</f>
        <v>febrero</v>
      </c>
      <c r="C2740" t="s">
        <v>2750</v>
      </c>
      <c r="D2740" t="s">
        <v>5021</v>
      </c>
      <c r="E2740" t="s">
        <v>5032</v>
      </c>
      <c r="F2740" t="s">
        <v>5037</v>
      </c>
      <c r="G2740" s="3">
        <v>13475.55</v>
      </c>
      <c r="H2740" s="3">
        <v>0</v>
      </c>
      <c r="I2740" s="3">
        <f>SUM(Tabla1[[#This Row],[Monto_Base]],H2740)</f>
        <v>13475.55</v>
      </c>
      <c r="J2740" t="s">
        <v>5046</v>
      </c>
      <c r="K2740" t="s">
        <v>5049</v>
      </c>
      <c r="L2740" t="s">
        <v>5052</v>
      </c>
      <c r="M2740" t="s">
        <v>5055</v>
      </c>
    </row>
    <row r="2741" spans="1:13" x14ac:dyDescent="0.3">
      <c r="A2741" s="1">
        <v>45425</v>
      </c>
      <c r="B2741" s="1" t="str">
        <f>TEXT(Tabla1[[#This Row],[Fecha]],"MMMM")</f>
        <v>mayo</v>
      </c>
      <c r="C2741" t="s">
        <v>2751</v>
      </c>
      <c r="D2741" t="s">
        <v>5013</v>
      </c>
      <c r="E2741" t="s">
        <v>5032</v>
      </c>
      <c r="F2741" t="s">
        <v>5034</v>
      </c>
      <c r="G2741" s="3">
        <v>8593.15</v>
      </c>
      <c r="H2741" s="3">
        <v>0</v>
      </c>
      <c r="I2741" s="3">
        <f>SUM(Tabla1[[#This Row],[Monto_Base]],H2741)</f>
        <v>8593.15</v>
      </c>
      <c r="J2741" t="s">
        <v>5044</v>
      </c>
      <c r="K2741" t="s">
        <v>5048</v>
      </c>
      <c r="L2741" t="s">
        <v>5053</v>
      </c>
      <c r="M2741" t="s">
        <v>5054</v>
      </c>
    </row>
    <row r="2742" spans="1:13" x14ac:dyDescent="0.3">
      <c r="A2742" s="1">
        <v>45403</v>
      </c>
      <c r="B2742" s="1" t="str">
        <f>TEXT(Tabla1[[#This Row],[Fecha]],"MMMM")</f>
        <v>abril</v>
      </c>
      <c r="C2742" t="s">
        <v>2752</v>
      </c>
      <c r="D2742" t="s">
        <v>5020</v>
      </c>
      <c r="E2742" t="s">
        <v>5033</v>
      </c>
      <c r="F2742" t="s">
        <v>5036</v>
      </c>
      <c r="G2742" s="3">
        <v>4743.57</v>
      </c>
      <c r="H2742" s="3">
        <v>616.66</v>
      </c>
      <c r="I2742" s="3">
        <f>SUM(Tabla1[[#This Row],[Monto_Base]],H2742)</f>
        <v>5360.23</v>
      </c>
      <c r="J2742" t="s">
        <v>5045</v>
      </c>
      <c r="K2742" t="s">
        <v>5049</v>
      </c>
      <c r="L2742" t="s">
        <v>5052</v>
      </c>
      <c r="M2742" t="s">
        <v>5054</v>
      </c>
    </row>
    <row r="2743" spans="1:13" x14ac:dyDescent="0.3">
      <c r="A2743" s="1">
        <v>45610</v>
      </c>
      <c r="B2743" s="1" t="str">
        <f>TEXT(Tabla1[[#This Row],[Fecha]],"MMMM")</f>
        <v>noviembre</v>
      </c>
      <c r="C2743" t="s">
        <v>2753</v>
      </c>
      <c r="D2743" t="s">
        <v>5014</v>
      </c>
      <c r="E2743" t="s">
        <v>5032</v>
      </c>
      <c r="F2743" t="s">
        <v>5040</v>
      </c>
      <c r="G2743" s="3">
        <v>11638.79</v>
      </c>
      <c r="H2743" s="3">
        <v>0</v>
      </c>
      <c r="I2743" s="3">
        <f>SUM(Tabla1[[#This Row],[Monto_Base]],H2743)</f>
        <v>11638.79</v>
      </c>
      <c r="J2743" t="s">
        <v>5045</v>
      </c>
      <c r="K2743" t="s">
        <v>5049</v>
      </c>
      <c r="L2743" t="s">
        <v>5050</v>
      </c>
      <c r="M2743" t="s">
        <v>5055</v>
      </c>
    </row>
    <row r="2744" spans="1:13" x14ac:dyDescent="0.3">
      <c r="A2744" s="1">
        <v>45308</v>
      </c>
      <c r="B2744" s="1" t="str">
        <f>TEXT(Tabla1[[#This Row],[Fecha]],"MMMM")</f>
        <v>enero</v>
      </c>
      <c r="C2744" t="s">
        <v>2754</v>
      </c>
      <c r="D2744" t="s">
        <v>5014</v>
      </c>
      <c r="E2744" t="s">
        <v>5032</v>
      </c>
      <c r="F2744" t="s">
        <v>5039</v>
      </c>
      <c r="G2744" s="3">
        <v>9463.08</v>
      </c>
      <c r="H2744" s="3">
        <v>0</v>
      </c>
      <c r="I2744" s="3">
        <f>SUM(Tabla1[[#This Row],[Monto_Base]],H2744)</f>
        <v>9463.08</v>
      </c>
      <c r="J2744" t="s">
        <v>5042</v>
      </c>
      <c r="K2744" t="s">
        <v>5049</v>
      </c>
      <c r="L2744" t="s">
        <v>5052</v>
      </c>
      <c r="M2744" t="s">
        <v>5054</v>
      </c>
    </row>
    <row r="2745" spans="1:13" x14ac:dyDescent="0.3">
      <c r="A2745" s="1">
        <v>45339</v>
      </c>
      <c r="B2745" s="1" t="str">
        <f>TEXT(Tabla1[[#This Row],[Fecha]],"MMMM")</f>
        <v>febrero</v>
      </c>
      <c r="C2745" t="s">
        <v>2755</v>
      </c>
      <c r="D2745" t="s">
        <v>5025</v>
      </c>
      <c r="E2745" t="s">
        <v>5033</v>
      </c>
      <c r="F2745" t="s">
        <v>5040</v>
      </c>
      <c r="G2745" s="3">
        <v>9780.2099999999991</v>
      </c>
      <c r="H2745" s="3">
        <v>1271.43</v>
      </c>
      <c r="I2745" s="3">
        <f>SUM(Tabla1[[#This Row],[Monto_Base]],H2745)</f>
        <v>11051.64</v>
      </c>
      <c r="J2745" t="s">
        <v>5043</v>
      </c>
      <c r="K2745" t="s">
        <v>5048</v>
      </c>
      <c r="L2745" t="s">
        <v>5053</v>
      </c>
      <c r="M2745" t="s">
        <v>5054</v>
      </c>
    </row>
    <row r="2746" spans="1:13" x14ac:dyDescent="0.3">
      <c r="A2746" s="1">
        <v>45523</v>
      </c>
      <c r="B2746" s="1" t="str">
        <f>TEXT(Tabla1[[#This Row],[Fecha]],"MMMM")</f>
        <v>agosto</v>
      </c>
      <c r="C2746" t="s">
        <v>2756</v>
      </c>
      <c r="D2746" t="s">
        <v>5017</v>
      </c>
      <c r="E2746" t="s">
        <v>5032</v>
      </c>
      <c r="F2746" t="s">
        <v>5034</v>
      </c>
      <c r="G2746" s="3">
        <v>14017.87</v>
      </c>
      <c r="H2746" s="3">
        <v>0</v>
      </c>
      <c r="I2746" s="3">
        <f>SUM(Tabla1[[#This Row],[Monto_Base]],H2746)</f>
        <v>14017.87</v>
      </c>
      <c r="J2746" t="s">
        <v>5045</v>
      </c>
      <c r="K2746" t="s">
        <v>5048</v>
      </c>
      <c r="L2746" t="s">
        <v>5052</v>
      </c>
      <c r="M2746" t="s">
        <v>5054</v>
      </c>
    </row>
    <row r="2747" spans="1:13" x14ac:dyDescent="0.3">
      <c r="A2747" s="1">
        <v>45384</v>
      </c>
      <c r="B2747" s="1" t="str">
        <f>TEXT(Tabla1[[#This Row],[Fecha]],"MMMM")</f>
        <v>abril</v>
      </c>
      <c r="C2747" t="s">
        <v>2757</v>
      </c>
      <c r="D2747" t="s">
        <v>5024</v>
      </c>
      <c r="E2747" t="s">
        <v>5032</v>
      </c>
      <c r="F2747" t="s">
        <v>5035</v>
      </c>
      <c r="G2747" s="3">
        <v>10609.89</v>
      </c>
      <c r="H2747" s="3">
        <v>0</v>
      </c>
      <c r="I2747" s="3">
        <f>SUM(Tabla1[[#This Row],[Monto_Base]],H2747)</f>
        <v>10609.89</v>
      </c>
      <c r="J2747" t="s">
        <v>5044</v>
      </c>
      <c r="K2747" t="s">
        <v>5047</v>
      </c>
      <c r="L2747" t="s">
        <v>5052</v>
      </c>
      <c r="M2747" t="s">
        <v>5054</v>
      </c>
    </row>
    <row r="2748" spans="1:13" x14ac:dyDescent="0.3">
      <c r="A2748" s="1">
        <v>45417</v>
      </c>
      <c r="B2748" s="1" t="str">
        <f>TEXT(Tabla1[[#This Row],[Fecha]],"MMMM")</f>
        <v>mayo</v>
      </c>
      <c r="C2748" t="s">
        <v>2758</v>
      </c>
      <c r="D2748" t="s">
        <v>5030</v>
      </c>
      <c r="E2748" t="s">
        <v>5033</v>
      </c>
      <c r="F2748" t="s">
        <v>5035</v>
      </c>
      <c r="G2748" s="3">
        <v>6206.33</v>
      </c>
      <c r="H2748" s="3">
        <v>806.82</v>
      </c>
      <c r="I2748" s="3">
        <f>SUM(Tabla1[[#This Row],[Monto_Base]],H2748)</f>
        <v>7013.15</v>
      </c>
      <c r="J2748" t="s">
        <v>5046</v>
      </c>
      <c r="K2748" t="s">
        <v>5049</v>
      </c>
      <c r="L2748" t="s">
        <v>5052</v>
      </c>
      <c r="M2748" t="s">
        <v>5055</v>
      </c>
    </row>
    <row r="2749" spans="1:13" x14ac:dyDescent="0.3">
      <c r="A2749" s="1">
        <v>45343</v>
      </c>
      <c r="B2749" s="1" t="str">
        <f>TEXT(Tabla1[[#This Row],[Fecha]],"MMMM")</f>
        <v>febrero</v>
      </c>
      <c r="C2749" t="s">
        <v>2759</v>
      </c>
      <c r="D2749" t="s">
        <v>5029</v>
      </c>
      <c r="E2749" t="s">
        <v>5033</v>
      </c>
      <c r="F2749" t="s">
        <v>5036</v>
      </c>
      <c r="G2749" s="3">
        <v>13378.82</v>
      </c>
      <c r="H2749" s="3">
        <v>1739.25</v>
      </c>
      <c r="I2749" s="3">
        <f>SUM(Tabla1[[#This Row],[Monto_Base]],H2749)</f>
        <v>15118.07</v>
      </c>
      <c r="J2749" t="s">
        <v>5044</v>
      </c>
      <c r="K2749" t="s">
        <v>5048</v>
      </c>
      <c r="L2749" t="s">
        <v>5051</v>
      </c>
      <c r="M2749" t="s">
        <v>5054</v>
      </c>
    </row>
    <row r="2750" spans="1:13" x14ac:dyDescent="0.3">
      <c r="A2750" s="1">
        <v>45634</v>
      </c>
      <c r="B2750" s="1" t="str">
        <f>TEXT(Tabla1[[#This Row],[Fecha]],"MMMM")</f>
        <v>diciembre</v>
      </c>
      <c r="C2750" t="s">
        <v>2760</v>
      </c>
      <c r="D2750" t="s">
        <v>5016</v>
      </c>
      <c r="E2750" t="s">
        <v>5032</v>
      </c>
      <c r="F2750" t="s">
        <v>5039</v>
      </c>
      <c r="G2750" s="3">
        <v>10057.56</v>
      </c>
      <c r="H2750" s="3">
        <v>0</v>
      </c>
      <c r="I2750" s="3">
        <f>SUM(Tabla1[[#This Row],[Monto_Base]],H2750)</f>
        <v>10057.56</v>
      </c>
      <c r="J2750" t="s">
        <v>5045</v>
      </c>
      <c r="K2750" t="s">
        <v>5047</v>
      </c>
      <c r="L2750" t="s">
        <v>5051</v>
      </c>
      <c r="M2750" t="s">
        <v>5054</v>
      </c>
    </row>
    <row r="2751" spans="1:13" x14ac:dyDescent="0.3">
      <c r="A2751" s="1">
        <v>45651</v>
      </c>
      <c r="B2751" s="1" t="str">
        <f>TEXT(Tabla1[[#This Row],[Fecha]],"MMMM")</f>
        <v>diciembre</v>
      </c>
      <c r="C2751" t="s">
        <v>2761</v>
      </c>
      <c r="D2751" t="s">
        <v>5022</v>
      </c>
      <c r="E2751" t="s">
        <v>5032</v>
      </c>
      <c r="F2751" t="s">
        <v>5041</v>
      </c>
      <c r="G2751" s="3">
        <v>6199.72</v>
      </c>
      <c r="H2751" s="3">
        <v>0</v>
      </c>
      <c r="I2751" s="3">
        <f>SUM(Tabla1[[#This Row],[Monto_Base]],H2751)</f>
        <v>6199.72</v>
      </c>
      <c r="J2751" t="s">
        <v>5045</v>
      </c>
      <c r="K2751" t="s">
        <v>5047</v>
      </c>
      <c r="L2751" t="s">
        <v>5050</v>
      </c>
      <c r="M2751" t="s">
        <v>5054</v>
      </c>
    </row>
    <row r="2752" spans="1:13" x14ac:dyDescent="0.3">
      <c r="A2752" s="1">
        <v>45586</v>
      </c>
      <c r="B2752" s="1" t="str">
        <f>TEXT(Tabla1[[#This Row],[Fecha]],"MMMM")</f>
        <v>octubre</v>
      </c>
      <c r="C2752" t="s">
        <v>2762</v>
      </c>
      <c r="D2752" t="s">
        <v>5019</v>
      </c>
      <c r="E2752" t="s">
        <v>5032</v>
      </c>
      <c r="F2752" t="s">
        <v>5035</v>
      </c>
      <c r="G2752" s="3">
        <v>9209.69</v>
      </c>
      <c r="H2752" s="3">
        <v>0</v>
      </c>
      <c r="I2752" s="3">
        <f>SUM(Tabla1[[#This Row],[Monto_Base]],H2752)</f>
        <v>9209.69</v>
      </c>
      <c r="J2752" t="s">
        <v>5044</v>
      </c>
      <c r="K2752" t="s">
        <v>5047</v>
      </c>
      <c r="L2752" t="s">
        <v>5051</v>
      </c>
      <c r="M2752" t="s">
        <v>5055</v>
      </c>
    </row>
    <row r="2753" spans="1:13" x14ac:dyDescent="0.3">
      <c r="A2753" s="1">
        <v>45455</v>
      </c>
      <c r="B2753" s="1" t="str">
        <f>TEXT(Tabla1[[#This Row],[Fecha]],"MMMM")</f>
        <v>junio</v>
      </c>
      <c r="C2753" t="s">
        <v>2763</v>
      </c>
      <c r="D2753" t="s">
        <v>5024</v>
      </c>
      <c r="E2753" t="s">
        <v>5033</v>
      </c>
      <c r="F2753" t="s">
        <v>5034</v>
      </c>
      <c r="G2753" s="3">
        <v>7038.5</v>
      </c>
      <c r="H2753" s="3">
        <v>915</v>
      </c>
      <c r="I2753" s="3">
        <f>SUM(Tabla1[[#This Row],[Monto_Base]],H2753)</f>
        <v>7953.5</v>
      </c>
      <c r="J2753" t="s">
        <v>5044</v>
      </c>
      <c r="K2753" t="s">
        <v>5049</v>
      </c>
      <c r="L2753" t="s">
        <v>5052</v>
      </c>
      <c r="M2753" t="s">
        <v>5055</v>
      </c>
    </row>
    <row r="2754" spans="1:13" x14ac:dyDescent="0.3">
      <c r="A2754" s="1">
        <v>45330</v>
      </c>
      <c r="B2754" s="1" t="str">
        <f>TEXT(Tabla1[[#This Row],[Fecha]],"MMMM")</f>
        <v>febrero</v>
      </c>
      <c r="C2754" t="s">
        <v>2764</v>
      </c>
      <c r="D2754" t="s">
        <v>5030</v>
      </c>
      <c r="E2754" t="s">
        <v>5033</v>
      </c>
      <c r="F2754" t="s">
        <v>5039</v>
      </c>
      <c r="G2754" s="3">
        <v>5813.88</v>
      </c>
      <c r="H2754" s="3">
        <v>755.8</v>
      </c>
      <c r="I2754" s="3">
        <f>SUM(Tabla1[[#This Row],[Monto_Base]],H2754)</f>
        <v>6569.68</v>
      </c>
      <c r="J2754" t="s">
        <v>5045</v>
      </c>
      <c r="K2754" t="s">
        <v>5047</v>
      </c>
      <c r="L2754" t="s">
        <v>5052</v>
      </c>
      <c r="M2754" t="s">
        <v>5055</v>
      </c>
    </row>
    <row r="2755" spans="1:13" x14ac:dyDescent="0.3">
      <c r="A2755" s="1">
        <v>45595</v>
      </c>
      <c r="B2755" s="1" t="str">
        <f>TEXT(Tabla1[[#This Row],[Fecha]],"MMMM")</f>
        <v>octubre</v>
      </c>
      <c r="C2755" t="s">
        <v>2765</v>
      </c>
      <c r="D2755" t="s">
        <v>5020</v>
      </c>
      <c r="E2755" t="s">
        <v>5032</v>
      </c>
      <c r="F2755" t="s">
        <v>5039</v>
      </c>
      <c r="G2755" s="3">
        <v>11252.77</v>
      </c>
      <c r="H2755" s="3">
        <v>0</v>
      </c>
      <c r="I2755" s="3">
        <f>SUM(Tabla1[[#This Row],[Monto_Base]],H2755)</f>
        <v>11252.77</v>
      </c>
      <c r="J2755" t="s">
        <v>5046</v>
      </c>
      <c r="K2755" t="s">
        <v>5047</v>
      </c>
      <c r="L2755" t="s">
        <v>5052</v>
      </c>
      <c r="M2755" t="s">
        <v>5054</v>
      </c>
    </row>
    <row r="2756" spans="1:13" x14ac:dyDescent="0.3">
      <c r="A2756" s="1">
        <v>45508</v>
      </c>
      <c r="B2756" s="1" t="str">
        <f>TEXT(Tabla1[[#This Row],[Fecha]],"MMMM")</f>
        <v>agosto</v>
      </c>
      <c r="C2756" t="s">
        <v>2766</v>
      </c>
      <c r="D2756" t="s">
        <v>5019</v>
      </c>
      <c r="E2756" t="s">
        <v>5032</v>
      </c>
      <c r="F2756" t="s">
        <v>5037</v>
      </c>
      <c r="G2756" s="3">
        <v>8767.14</v>
      </c>
      <c r="H2756" s="3">
        <v>0</v>
      </c>
      <c r="I2756" s="3">
        <f>SUM(Tabla1[[#This Row],[Monto_Base]],H2756)</f>
        <v>8767.14</v>
      </c>
      <c r="J2756" t="s">
        <v>5042</v>
      </c>
      <c r="K2756" t="s">
        <v>5047</v>
      </c>
      <c r="L2756" t="s">
        <v>5052</v>
      </c>
      <c r="M2756" t="s">
        <v>5055</v>
      </c>
    </row>
    <row r="2757" spans="1:13" x14ac:dyDescent="0.3">
      <c r="A2757" s="1">
        <v>45339</v>
      </c>
      <c r="B2757" s="1" t="str">
        <f>TEXT(Tabla1[[#This Row],[Fecha]],"MMMM")</f>
        <v>febrero</v>
      </c>
      <c r="C2757" t="s">
        <v>2767</v>
      </c>
      <c r="D2757" t="s">
        <v>5017</v>
      </c>
      <c r="E2757" t="s">
        <v>5032</v>
      </c>
      <c r="F2757" t="s">
        <v>5036</v>
      </c>
      <c r="G2757" s="3">
        <v>8551.7800000000007</v>
      </c>
      <c r="H2757" s="3">
        <v>0</v>
      </c>
      <c r="I2757" s="3">
        <f>SUM(Tabla1[[#This Row],[Monto_Base]],H2757)</f>
        <v>8551.7800000000007</v>
      </c>
      <c r="J2757" t="s">
        <v>5045</v>
      </c>
      <c r="K2757" t="s">
        <v>5049</v>
      </c>
      <c r="L2757" t="s">
        <v>5052</v>
      </c>
      <c r="M2757" t="s">
        <v>5054</v>
      </c>
    </row>
    <row r="2758" spans="1:13" x14ac:dyDescent="0.3">
      <c r="A2758" s="1">
        <v>45368</v>
      </c>
      <c r="B2758" s="1" t="str">
        <f>TEXT(Tabla1[[#This Row],[Fecha]],"MMMM")</f>
        <v>marzo</v>
      </c>
      <c r="C2758" t="s">
        <v>2768</v>
      </c>
      <c r="D2758" t="s">
        <v>5021</v>
      </c>
      <c r="E2758" t="s">
        <v>5033</v>
      </c>
      <c r="F2758" t="s">
        <v>5038</v>
      </c>
      <c r="G2758" s="3">
        <v>9822.89</v>
      </c>
      <c r="H2758" s="3">
        <v>1276.98</v>
      </c>
      <c r="I2758" s="3">
        <f>SUM(Tabla1[[#This Row],[Monto_Base]],H2758)</f>
        <v>11099.869999999999</v>
      </c>
      <c r="J2758" t="s">
        <v>5044</v>
      </c>
      <c r="K2758" t="s">
        <v>5047</v>
      </c>
      <c r="L2758" t="s">
        <v>5050</v>
      </c>
      <c r="M2758" t="s">
        <v>5055</v>
      </c>
    </row>
    <row r="2759" spans="1:13" x14ac:dyDescent="0.3">
      <c r="A2759" s="1">
        <v>45395</v>
      </c>
      <c r="B2759" s="1" t="str">
        <f>TEXT(Tabla1[[#This Row],[Fecha]],"MMMM")</f>
        <v>abril</v>
      </c>
      <c r="C2759" t="s">
        <v>2769</v>
      </c>
      <c r="D2759" t="s">
        <v>5023</v>
      </c>
      <c r="E2759" t="s">
        <v>5033</v>
      </c>
      <c r="F2759" t="s">
        <v>5038</v>
      </c>
      <c r="G2759" s="3">
        <v>6181.17</v>
      </c>
      <c r="H2759" s="3">
        <v>803.55</v>
      </c>
      <c r="I2759" s="3">
        <f>SUM(Tabla1[[#This Row],[Monto_Base]],H2759)</f>
        <v>6984.72</v>
      </c>
      <c r="J2759" t="s">
        <v>5044</v>
      </c>
      <c r="K2759" t="s">
        <v>5049</v>
      </c>
      <c r="L2759" t="s">
        <v>5052</v>
      </c>
      <c r="M2759" t="s">
        <v>5054</v>
      </c>
    </row>
    <row r="2760" spans="1:13" x14ac:dyDescent="0.3">
      <c r="A2760" s="1">
        <v>45561</v>
      </c>
      <c r="B2760" s="1" t="str">
        <f>TEXT(Tabla1[[#This Row],[Fecha]],"MMMM")</f>
        <v>septiembre</v>
      </c>
      <c r="C2760" t="s">
        <v>2770</v>
      </c>
      <c r="D2760" t="s">
        <v>5024</v>
      </c>
      <c r="E2760" t="s">
        <v>5032</v>
      </c>
      <c r="F2760" t="s">
        <v>5040</v>
      </c>
      <c r="G2760" s="3">
        <v>1582.79</v>
      </c>
      <c r="H2760" s="3">
        <v>0</v>
      </c>
      <c r="I2760" s="3">
        <f>SUM(Tabla1[[#This Row],[Monto_Base]],H2760)</f>
        <v>1582.79</v>
      </c>
      <c r="J2760" t="s">
        <v>5043</v>
      </c>
      <c r="K2760" t="s">
        <v>5048</v>
      </c>
      <c r="L2760" t="s">
        <v>5051</v>
      </c>
      <c r="M2760" t="s">
        <v>5054</v>
      </c>
    </row>
    <row r="2761" spans="1:13" x14ac:dyDescent="0.3">
      <c r="A2761" s="1">
        <v>45579</v>
      </c>
      <c r="B2761" s="1" t="str">
        <f>TEXT(Tabla1[[#This Row],[Fecha]],"MMMM")</f>
        <v>octubre</v>
      </c>
      <c r="C2761" t="s">
        <v>2771</v>
      </c>
      <c r="D2761" t="s">
        <v>5020</v>
      </c>
      <c r="E2761" t="s">
        <v>5032</v>
      </c>
      <c r="F2761" t="s">
        <v>5039</v>
      </c>
      <c r="G2761" s="3">
        <v>4299.97</v>
      </c>
      <c r="H2761" s="3">
        <v>0</v>
      </c>
      <c r="I2761" s="3">
        <f>SUM(Tabla1[[#This Row],[Monto_Base]],H2761)</f>
        <v>4299.97</v>
      </c>
      <c r="J2761" t="s">
        <v>5046</v>
      </c>
      <c r="K2761" t="s">
        <v>5048</v>
      </c>
      <c r="L2761" t="s">
        <v>5052</v>
      </c>
      <c r="M2761" t="s">
        <v>5055</v>
      </c>
    </row>
    <row r="2762" spans="1:13" x14ac:dyDescent="0.3">
      <c r="A2762" s="1">
        <v>45303</v>
      </c>
      <c r="B2762" s="1" t="str">
        <f>TEXT(Tabla1[[#This Row],[Fecha]],"MMMM")</f>
        <v>enero</v>
      </c>
      <c r="C2762" t="s">
        <v>2772</v>
      </c>
      <c r="D2762" t="s">
        <v>5022</v>
      </c>
      <c r="E2762" t="s">
        <v>5032</v>
      </c>
      <c r="F2762" t="s">
        <v>5038</v>
      </c>
      <c r="G2762" s="3">
        <v>3102.83</v>
      </c>
      <c r="H2762" s="3">
        <v>0</v>
      </c>
      <c r="I2762" s="3">
        <f>SUM(Tabla1[[#This Row],[Monto_Base]],H2762)</f>
        <v>3102.83</v>
      </c>
      <c r="J2762" t="s">
        <v>5042</v>
      </c>
      <c r="K2762" t="s">
        <v>5048</v>
      </c>
      <c r="L2762" t="s">
        <v>5052</v>
      </c>
      <c r="M2762" t="s">
        <v>5055</v>
      </c>
    </row>
    <row r="2763" spans="1:13" x14ac:dyDescent="0.3">
      <c r="A2763" s="1">
        <v>45601</v>
      </c>
      <c r="B2763" s="1" t="str">
        <f>TEXT(Tabla1[[#This Row],[Fecha]],"MMMM")</f>
        <v>noviembre</v>
      </c>
      <c r="C2763" t="s">
        <v>2773</v>
      </c>
      <c r="D2763" t="s">
        <v>5025</v>
      </c>
      <c r="E2763" t="s">
        <v>5033</v>
      </c>
      <c r="F2763" t="s">
        <v>5034</v>
      </c>
      <c r="G2763" s="3">
        <v>8561.31</v>
      </c>
      <c r="H2763" s="3">
        <v>1112.97</v>
      </c>
      <c r="I2763" s="3">
        <f>SUM(Tabla1[[#This Row],[Monto_Base]],H2763)</f>
        <v>9674.2799999999988</v>
      </c>
      <c r="J2763" t="s">
        <v>5043</v>
      </c>
      <c r="K2763" t="s">
        <v>5048</v>
      </c>
      <c r="L2763" t="s">
        <v>5051</v>
      </c>
      <c r="M2763" t="s">
        <v>5054</v>
      </c>
    </row>
    <row r="2764" spans="1:13" x14ac:dyDescent="0.3">
      <c r="A2764" s="1">
        <v>45314</v>
      </c>
      <c r="B2764" s="1" t="str">
        <f>TEXT(Tabla1[[#This Row],[Fecha]],"MMMM")</f>
        <v>enero</v>
      </c>
      <c r="C2764" t="s">
        <v>2774</v>
      </c>
      <c r="D2764" t="s">
        <v>5014</v>
      </c>
      <c r="E2764" t="s">
        <v>5033</v>
      </c>
      <c r="F2764" t="s">
        <v>5041</v>
      </c>
      <c r="G2764" s="3">
        <v>6102.62</v>
      </c>
      <c r="H2764" s="3">
        <v>793.34</v>
      </c>
      <c r="I2764" s="3">
        <f>SUM(Tabla1[[#This Row],[Monto_Base]],H2764)</f>
        <v>6895.96</v>
      </c>
      <c r="J2764" t="s">
        <v>5044</v>
      </c>
      <c r="K2764" t="s">
        <v>5048</v>
      </c>
      <c r="L2764" t="s">
        <v>5053</v>
      </c>
      <c r="M2764" t="s">
        <v>5054</v>
      </c>
    </row>
    <row r="2765" spans="1:13" x14ac:dyDescent="0.3">
      <c r="A2765" s="1">
        <v>45552</v>
      </c>
      <c r="B2765" s="1" t="str">
        <f>TEXT(Tabla1[[#This Row],[Fecha]],"MMMM")</f>
        <v>septiembre</v>
      </c>
      <c r="C2765" t="s">
        <v>2775</v>
      </c>
      <c r="D2765" t="s">
        <v>5012</v>
      </c>
      <c r="E2765" t="s">
        <v>5032</v>
      </c>
      <c r="F2765" t="s">
        <v>5038</v>
      </c>
      <c r="G2765" s="3">
        <v>2088.79</v>
      </c>
      <c r="H2765" s="3">
        <v>0</v>
      </c>
      <c r="I2765" s="3">
        <f>SUM(Tabla1[[#This Row],[Monto_Base]],H2765)</f>
        <v>2088.79</v>
      </c>
      <c r="J2765" t="s">
        <v>5043</v>
      </c>
      <c r="K2765" t="s">
        <v>5047</v>
      </c>
      <c r="L2765" t="s">
        <v>5051</v>
      </c>
      <c r="M2765" t="s">
        <v>5055</v>
      </c>
    </row>
    <row r="2766" spans="1:13" x14ac:dyDescent="0.3">
      <c r="A2766" s="1">
        <v>45567</v>
      </c>
      <c r="B2766" s="1" t="str">
        <f>TEXT(Tabla1[[#This Row],[Fecha]],"MMMM")</f>
        <v>octubre</v>
      </c>
      <c r="C2766" t="s">
        <v>2776</v>
      </c>
      <c r="D2766" t="s">
        <v>5019</v>
      </c>
      <c r="E2766" t="s">
        <v>5032</v>
      </c>
      <c r="F2766" t="s">
        <v>5037</v>
      </c>
      <c r="G2766" s="3">
        <v>6777.11</v>
      </c>
      <c r="H2766" s="3">
        <v>0</v>
      </c>
      <c r="I2766" s="3">
        <f>SUM(Tabla1[[#This Row],[Monto_Base]],H2766)</f>
        <v>6777.11</v>
      </c>
      <c r="J2766" t="s">
        <v>5042</v>
      </c>
      <c r="K2766" t="s">
        <v>5049</v>
      </c>
      <c r="L2766" t="s">
        <v>5051</v>
      </c>
      <c r="M2766" t="s">
        <v>5055</v>
      </c>
    </row>
    <row r="2767" spans="1:13" x14ac:dyDescent="0.3">
      <c r="A2767" s="1">
        <v>45620</v>
      </c>
      <c r="B2767" s="1" t="str">
        <f>TEXT(Tabla1[[#This Row],[Fecha]],"MMMM")</f>
        <v>noviembre</v>
      </c>
      <c r="C2767" t="s">
        <v>2777</v>
      </c>
      <c r="D2767" t="s">
        <v>5027</v>
      </c>
      <c r="E2767" t="s">
        <v>5033</v>
      </c>
      <c r="F2767" t="s">
        <v>5041</v>
      </c>
      <c r="G2767" s="3">
        <v>10519.19</v>
      </c>
      <c r="H2767" s="3">
        <v>1367.49</v>
      </c>
      <c r="I2767" s="3">
        <f>SUM(Tabla1[[#This Row],[Monto_Base]],H2767)</f>
        <v>11886.68</v>
      </c>
      <c r="J2767" t="s">
        <v>5045</v>
      </c>
      <c r="K2767" t="s">
        <v>5048</v>
      </c>
      <c r="L2767" t="s">
        <v>5053</v>
      </c>
      <c r="M2767" t="s">
        <v>5054</v>
      </c>
    </row>
    <row r="2768" spans="1:13" x14ac:dyDescent="0.3">
      <c r="A2768" s="1">
        <v>45402</v>
      </c>
      <c r="B2768" s="1" t="str">
        <f>TEXT(Tabla1[[#This Row],[Fecha]],"MMMM")</f>
        <v>abril</v>
      </c>
      <c r="C2768" t="s">
        <v>2778</v>
      </c>
      <c r="D2768" t="s">
        <v>5014</v>
      </c>
      <c r="E2768" t="s">
        <v>5032</v>
      </c>
      <c r="F2768" t="s">
        <v>5036</v>
      </c>
      <c r="G2768" s="3">
        <v>1257.8599999999999</v>
      </c>
      <c r="H2768" s="3">
        <v>0</v>
      </c>
      <c r="I2768" s="3">
        <f>SUM(Tabla1[[#This Row],[Monto_Base]],H2768)</f>
        <v>1257.8599999999999</v>
      </c>
      <c r="J2768" t="s">
        <v>5042</v>
      </c>
      <c r="K2768" t="s">
        <v>5048</v>
      </c>
      <c r="L2768" t="s">
        <v>5050</v>
      </c>
      <c r="M2768" t="s">
        <v>5054</v>
      </c>
    </row>
    <row r="2769" spans="1:13" x14ac:dyDescent="0.3">
      <c r="A2769" s="1">
        <v>45458</v>
      </c>
      <c r="B2769" s="1" t="str">
        <f>TEXT(Tabla1[[#This Row],[Fecha]],"MMMM")</f>
        <v>junio</v>
      </c>
      <c r="C2769" t="s">
        <v>2779</v>
      </c>
      <c r="D2769" t="s">
        <v>5019</v>
      </c>
      <c r="E2769" t="s">
        <v>5032</v>
      </c>
      <c r="F2769" t="s">
        <v>5040</v>
      </c>
      <c r="G2769" s="3">
        <v>6311.53</v>
      </c>
      <c r="H2769" s="3">
        <v>0</v>
      </c>
      <c r="I2769" s="3">
        <f>SUM(Tabla1[[#This Row],[Monto_Base]],H2769)</f>
        <v>6311.53</v>
      </c>
      <c r="J2769" t="s">
        <v>5045</v>
      </c>
      <c r="K2769" t="s">
        <v>5049</v>
      </c>
      <c r="L2769" t="s">
        <v>5051</v>
      </c>
      <c r="M2769" t="s">
        <v>5054</v>
      </c>
    </row>
    <row r="2770" spans="1:13" x14ac:dyDescent="0.3">
      <c r="A2770" s="1">
        <v>45441</v>
      </c>
      <c r="B2770" s="1" t="str">
        <f>TEXT(Tabla1[[#This Row],[Fecha]],"MMMM")</f>
        <v>mayo</v>
      </c>
      <c r="C2770" t="s">
        <v>2780</v>
      </c>
      <c r="D2770" t="s">
        <v>5022</v>
      </c>
      <c r="E2770" t="s">
        <v>5033</v>
      </c>
      <c r="F2770" t="s">
        <v>5037</v>
      </c>
      <c r="G2770" s="3">
        <v>7396.35</v>
      </c>
      <c r="H2770" s="3">
        <v>961.53</v>
      </c>
      <c r="I2770" s="3">
        <f>SUM(Tabla1[[#This Row],[Monto_Base]],H2770)</f>
        <v>8357.880000000001</v>
      </c>
      <c r="J2770" t="s">
        <v>5044</v>
      </c>
      <c r="K2770" t="s">
        <v>5049</v>
      </c>
      <c r="L2770" t="s">
        <v>5052</v>
      </c>
      <c r="M2770" t="s">
        <v>5054</v>
      </c>
    </row>
    <row r="2771" spans="1:13" x14ac:dyDescent="0.3">
      <c r="A2771" s="1">
        <v>45459</v>
      </c>
      <c r="B2771" s="1" t="str">
        <f>TEXT(Tabla1[[#This Row],[Fecha]],"MMMM")</f>
        <v>junio</v>
      </c>
      <c r="C2771" t="s">
        <v>2781</v>
      </c>
      <c r="D2771" t="s">
        <v>5024</v>
      </c>
      <c r="E2771" t="s">
        <v>5032</v>
      </c>
      <c r="F2771" t="s">
        <v>5037</v>
      </c>
      <c r="G2771" s="3">
        <v>8653.48</v>
      </c>
      <c r="H2771" s="3">
        <v>0</v>
      </c>
      <c r="I2771" s="3">
        <f>SUM(Tabla1[[#This Row],[Monto_Base]],H2771)</f>
        <v>8653.48</v>
      </c>
      <c r="J2771" t="s">
        <v>5045</v>
      </c>
      <c r="K2771" t="s">
        <v>5048</v>
      </c>
      <c r="L2771" t="s">
        <v>5051</v>
      </c>
      <c r="M2771" t="s">
        <v>5054</v>
      </c>
    </row>
    <row r="2772" spans="1:13" x14ac:dyDescent="0.3">
      <c r="A2772" s="1">
        <v>45451</v>
      </c>
      <c r="B2772" s="1" t="str">
        <f>TEXT(Tabla1[[#This Row],[Fecha]],"MMMM")</f>
        <v>junio</v>
      </c>
      <c r="C2772" t="s">
        <v>2782</v>
      </c>
      <c r="D2772" t="s">
        <v>5019</v>
      </c>
      <c r="E2772" t="s">
        <v>5032</v>
      </c>
      <c r="F2772" t="s">
        <v>5034</v>
      </c>
      <c r="G2772" s="3">
        <v>7292.86</v>
      </c>
      <c r="H2772" s="3">
        <v>0</v>
      </c>
      <c r="I2772" s="3">
        <f>SUM(Tabla1[[#This Row],[Monto_Base]],H2772)</f>
        <v>7292.86</v>
      </c>
      <c r="J2772" t="s">
        <v>5045</v>
      </c>
      <c r="K2772" t="s">
        <v>5047</v>
      </c>
      <c r="L2772" t="s">
        <v>5051</v>
      </c>
      <c r="M2772" t="s">
        <v>5054</v>
      </c>
    </row>
    <row r="2773" spans="1:13" x14ac:dyDescent="0.3">
      <c r="A2773" s="1">
        <v>45520</v>
      </c>
      <c r="B2773" s="1" t="str">
        <f>TEXT(Tabla1[[#This Row],[Fecha]],"MMMM")</f>
        <v>agosto</v>
      </c>
      <c r="C2773" t="s">
        <v>2783</v>
      </c>
      <c r="D2773" t="s">
        <v>5030</v>
      </c>
      <c r="E2773" t="s">
        <v>5032</v>
      </c>
      <c r="F2773" t="s">
        <v>5039</v>
      </c>
      <c r="G2773" s="3">
        <v>13497.65</v>
      </c>
      <c r="H2773" s="3">
        <v>0</v>
      </c>
      <c r="I2773" s="3">
        <f>SUM(Tabla1[[#This Row],[Monto_Base]],H2773)</f>
        <v>13497.65</v>
      </c>
      <c r="J2773" t="s">
        <v>5045</v>
      </c>
      <c r="K2773" t="s">
        <v>5048</v>
      </c>
      <c r="L2773" t="s">
        <v>5053</v>
      </c>
      <c r="M2773" t="s">
        <v>5054</v>
      </c>
    </row>
    <row r="2774" spans="1:13" x14ac:dyDescent="0.3">
      <c r="A2774" s="1">
        <v>45543</v>
      </c>
      <c r="B2774" s="1" t="str">
        <f>TEXT(Tabla1[[#This Row],[Fecha]],"MMMM")</f>
        <v>septiembre</v>
      </c>
      <c r="C2774" t="s">
        <v>2784</v>
      </c>
      <c r="D2774" t="s">
        <v>5022</v>
      </c>
      <c r="E2774" t="s">
        <v>5033</v>
      </c>
      <c r="F2774" t="s">
        <v>5040</v>
      </c>
      <c r="G2774" s="3">
        <v>13075.83</v>
      </c>
      <c r="H2774" s="3">
        <v>1699.86</v>
      </c>
      <c r="I2774" s="3">
        <f>SUM(Tabla1[[#This Row],[Monto_Base]],H2774)</f>
        <v>14775.69</v>
      </c>
      <c r="J2774" t="s">
        <v>5043</v>
      </c>
      <c r="K2774" t="s">
        <v>5049</v>
      </c>
      <c r="L2774" t="s">
        <v>5052</v>
      </c>
      <c r="M2774" t="s">
        <v>5055</v>
      </c>
    </row>
    <row r="2775" spans="1:13" x14ac:dyDescent="0.3">
      <c r="A2775" s="1">
        <v>45419</v>
      </c>
      <c r="B2775" s="1" t="str">
        <f>TEXT(Tabla1[[#This Row],[Fecha]],"MMMM")</f>
        <v>mayo</v>
      </c>
      <c r="C2775" t="s">
        <v>2785</v>
      </c>
      <c r="D2775" t="s">
        <v>5016</v>
      </c>
      <c r="E2775" t="s">
        <v>5033</v>
      </c>
      <c r="F2775" t="s">
        <v>5037</v>
      </c>
      <c r="G2775" s="3">
        <v>11420.84</v>
      </c>
      <c r="H2775" s="3">
        <v>1484.71</v>
      </c>
      <c r="I2775" s="3">
        <f>SUM(Tabla1[[#This Row],[Monto_Base]],H2775)</f>
        <v>12905.55</v>
      </c>
      <c r="J2775" t="s">
        <v>5042</v>
      </c>
      <c r="K2775" t="s">
        <v>5049</v>
      </c>
      <c r="L2775" t="s">
        <v>5051</v>
      </c>
      <c r="M2775" t="s">
        <v>5054</v>
      </c>
    </row>
    <row r="2776" spans="1:13" x14ac:dyDescent="0.3">
      <c r="A2776" s="1">
        <v>45554</v>
      </c>
      <c r="B2776" s="1" t="str">
        <f>TEXT(Tabla1[[#This Row],[Fecha]],"MMMM")</f>
        <v>septiembre</v>
      </c>
      <c r="C2776" t="s">
        <v>2786</v>
      </c>
      <c r="D2776" t="s">
        <v>5016</v>
      </c>
      <c r="E2776" t="s">
        <v>5033</v>
      </c>
      <c r="F2776" t="s">
        <v>5037</v>
      </c>
      <c r="G2776" s="3">
        <v>2978.14</v>
      </c>
      <c r="H2776" s="3">
        <v>387.16</v>
      </c>
      <c r="I2776" s="3">
        <f>SUM(Tabla1[[#This Row],[Monto_Base]],H2776)</f>
        <v>3365.2999999999997</v>
      </c>
      <c r="J2776" t="s">
        <v>5044</v>
      </c>
      <c r="K2776" t="s">
        <v>5047</v>
      </c>
      <c r="L2776" t="s">
        <v>5053</v>
      </c>
      <c r="M2776" t="s">
        <v>5054</v>
      </c>
    </row>
    <row r="2777" spans="1:13" x14ac:dyDescent="0.3">
      <c r="A2777" s="1">
        <v>45485</v>
      </c>
      <c r="B2777" s="1" t="str">
        <f>TEXT(Tabla1[[#This Row],[Fecha]],"MMMM")</f>
        <v>julio</v>
      </c>
      <c r="C2777" t="s">
        <v>2787</v>
      </c>
      <c r="D2777" t="s">
        <v>5013</v>
      </c>
      <c r="E2777" t="s">
        <v>5033</v>
      </c>
      <c r="F2777" t="s">
        <v>5041</v>
      </c>
      <c r="G2777" s="3">
        <v>8261.61</v>
      </c>
      <c r="H2777" s="3">
        <v>1074.01</v>
      </c>
      <c r="I2777" s="3">
        <f>SUM(Tabla1[[#This Row],[Monto_Base]],H2777)</f>
        <v>9335.6200000000008</v>
      </c>
      <c r="J2777" t="s">
        <v>5042</v>
      </c>
      <c r="K2777" t="s">
        <v>5048</v>
      </c>
      <c r="L2777" t="s">
        <v>5053</v>
      </c>
      <c r="M2777" t="s">
        <v>5054</v>
      </c>
    </row>
    <row r="2778" spans="1:13" x14ac:dyDescent="0.3">
      <c r="A2778" s="1">
        <v>45654</v>
      </c>
      <c r="B2778" s="1" t="str">
        <f>TEXT(Tabla1[[#This Row],[Fecha]],"MMMM")</f>
        <v>diciembre</v>
      </c>
      <c r="C2778" t="s">
        <v>2788</v>
      </c>
      <c r="D2778" t="s">
        <v>5021</v>
      </c>
      <c r="E2778" t="s">
        <v>5032</v>
      </c>
      <c r="F2778" t="s">
        <v>5039</v>
      </c>
      <c r="G2778" s="3">
        <v>13602.94</v>
      </c>
      <c r="H2778" s="3">
        <v>0</v>
      </c>
      <c r="I2778" s="3">
        <f>SUM(Tabla1[[#This Row],[Monto_Base]],H2778)</f>
        <v>13602.94</v>
      </c>
      <c r="J2778" t="s">
        <v>5043</v>
      </c>
      <c r="K2778" t="s">
        <v>5048</v>
      </c>
      <c r="L2778" t="s">
        <v>5051</v>
      </c>
      <c r="M2778" t="s">
        <v>5055</v>
      </c>
    </row>
    <row r="2779" spans="1:13" x14ac:dyDescent="0.3">
      <c r="A2779" s="1">
        <v>45367</v>
      </c>
      <c r="B2779" s="1" t="str">
        <f>TEXT(Tabla1[[#This Row],[Fecha]],"MMMM")</f>
        <v>marzo</v>
      </c>
      <c r="C2779" t="s">
        <v>2789</v>
      </c>
      <c r="D2779" t="s">
        <v>5022</v>
      </c>
      <c r="E2779" t="s">
        <v>5033</v>
      </c>
      <c r="F2779" t="s">
        <v>5037</v>
      </c>
      <c r="G2779" s="3">
        <v>4946.84</v>
      </c>
      <c r="H2779" s="3">
        <v>643.09</v>
      </c>
      <c r="I2779" s="3">
        <f>SUM(Tabla1[[#This Row],[Monto_Base]],H2779)</f>
        <v>5589.93</v>
      </c>
      <c r="J2779" t="s">
        <v>5045</v>
      </c>
      <c r="K2779" t="s">
        <v>5047</v>
      </c>
      <c r="L2779" t="s">
        <v>5050</v>
      </c>
      <c r="M2779" t="s">
        <v>5054</v>
      </c>
    </row>
    <row r="2780" spans="1:13" x14ac:dyDescent="0.3">
      <c r="A2780" s="1">
        <v>45424</v>
      </c>
      <c r="B2780" s="1" t="str">
        <f>TEXT(Tabla1[[#This Row],[Fecha]],"MMMM")</f>
        <v>mayo</v>
      </c>
      <c r="C2780" t="s">
        <v>2790</v>
      </c>
      <c r="D2780" t="s">
        <v>5029</v>
      </c>
      <c r="E2780" t="s">
        <v>5032</v>
      </c>
      <c r="F2780" t="s">
        <v>5034</v>
      </c>
      <c r="G2780" s="3">
        <v>9451.58</v>
      </c>
      <c r="H2780" s="3">
        <v>0</v>
      </c>
      <c r="I2780" s="3">
        <f>SUM(Tabla1[[#This Row],[Monto_Base]],H2780)</f>
        <v>9451.58</v>
      </c>
      <c r="J2780" t="s">
        <v>5043</v>
      </c>
      <c r="K2780" t="s">
        <v>5049</v>
      </c>
      <c r="L2780" t="s">
        <v>5050</v>
      </c>
      <c r="M2780" t="s">
        <v>5054</v>
      </c>
    </row>
    <row r="2781" spans="1:13" x14ac:dyDescent="0.3">
      <c r="A2781" s="1">
        <v>45481</v>
      </c>
      <c r="B2781" s="1" t="str">
        <f>TEXT(Tabla1[[#This Row],[Fecha]],"MMMM")</f>
        <v>julio</v>
      </c>
      <c r="C2781" t="s">
        <v>2791</v>
      </c>
      <c r="D2781" t="s">
        <v>5013</v>
      </c>
      <c r="E2781" t="s">
        <v>5033</v>
      </c>
      <c r="F2781" t="s">
        <v>5039</v>
      </c>
      <c r="G2781" s="3">
        <v>2982.84</v>
      </c>
      <c r="H2781" s="3">
        <v>387.77</v>
      </c>
      <c r="I2781" s="3">
        <f>SUM(Tabla1[[#This Row],[Monto_Base]],H2781)</f>
        <v>3370.61</v>
      </c>
      <c r="J2781" t="s">
        <v>5043</v>
      </c>
      <c r="K2781" t="s">
        <v>5049</v>
      </c>
      <c r="L2781" t="s">
        <v>5050</v>
      </c>
      <c r="M2781" t="s">
        <v>5054</v>
      </c>
    </row>
    <row r="2782" spans="1:13" x14ac:dyDescent="0.3">
      <c r="A2782" s="1">
        <v>45520</v>
      </c>
      <c r="B2782" s="1" t="str">
        <f>TEXT(Tabla1[[#This Row],[Fecha]],"MMMM")</f>
        <v>agosto</v>
      </c>
      <c r="C2782" t="s">
        <v>2792</v>
      </c>
      <c r="D2782" t="s">
        <v>5022</v>
      </c>
      <c r="E2782" t="s">
        <v>5032</v>
      </c>
      <c r="F2782" t="s">
        <v>5034</v>
      </c>
      <c r="G2782" s="3">
        <v>12581.07</v>
      </c>
      <c r="H2782" s="3">
        <v>0</v>
      </c>
      <c r="I2782" s="3">
        <f>SUM(Tabla1[[#This Row],[Monto_Base]],H2782)</f>
        <v>12581.07</v>
      </c>
      <c r="J2782" t="s">
        <v>5044</v>
      </c>
      <c r="K2782" t="s">
        <v>5048</v>
      </c>
      <c r="L2782" t="s">
        <v>5051</v>
      </c>
      <c r="M2782" t="s">
        <v>5055</v>
      </c>
    </row>
    <row r="2783" spans="1:13" x14ac:dyDescent="0.3">
      <c r="A2783" s="1">
        <v>45490</v>
      </c>
      <c r="B2783" s="1" t="str">
        <f>TEXT(Tabla1[[#This Row],[Fecha]],"MMMM")</f>
        <v>julio</v>
      </c>
      <c r="C2783" t="s">
        <v>2793</v>
      </c>
      <c r="D2783" t="s">
        <v>5019</v>
      </c>
      <c r="E2783" t="s">
        <v>5033</v>
      </c>
      <c r="F2783" t="s">
        <v>5037</v>
      </c>
      <c r="G2783" s="3">
        <v>13358.37</v>
      </c>
      <c r="H2783" s="3">
        <v>1736.59</v>
      </c>
      <c r="I2783" s="3">
        <f>SUM(Tabla1[[#This Row],[Monto_Base]],H2783)</f>
        <v>15094.960000000001</v>
      </c>
      <c r="J2783" t="s">
        <v>5046</v>
      </c>
      <c r="K2783" t="s">
        <v>5048</v>
      </c>
      <c r="L2783" t="s">
        <v>5050</v>
      </c>
      <c r="M2783" t="s">
        <v>5055</v>
      </c>
    </row>
    <row r="2784" spans="1:13" x14ac:dyDescent="0.3">
      <c r="A2784" s="1">
        <v>45545</v>
      </c>
      <c r="B2784" s="1" t="str">
        <f>TEXT(Tabla1[[#This Row],[Fecha]],"MMMM")</f>
        <v>septiembre</v>
      </c>
      <c r="C2784" t="s">
        <v>2794</v>
      </c>
      <c r="D2784" t="s">
        <v>5023</v>
      </c>
      <c r="E2784" t="s">
        <v>5032</v>
      </c>
      <c r="F2784" t="s">
        <v>5041</v>
      </c>
      <c r="G2784" s="3">
        <v>4011.24</v>
      </c>
      <c r="H2784" s="3">
        <v>0</v>
      </c>
      <c r="I2784" s="3">
        <f>SUM(Tabla1[[#This Row],[Monto_Base]],H2784)</f>
        <v>4011.24</v>
      </c>
      <c r="J2784" t="s">
        <v>5044</v>
      </c>
      <c r="K2784" t="s">
        <v>5049</v>
      </c>
      <c r="L2784" t="s">
        <v>5051</v>
      </c>
      <c r="M2784" t="s">
        <v>5055</v>
      </c>
    </row>
    <row r="2785" spans="1:13" x14ac:dyDescent="0.3">
      <c r="A2785" s="1">
        <v>45389</v>
      </c>
      <c r="B2785" s="1" t="str">
        <f>TEXT(Tabla1[[#This Row],[Fecha]],"MMMM")</f>
        <v>abril</v>
      </c>
      <c r="C2785" t="s">
        <v>2795</v>
      </c>
      <c r="D2785" t="s">
        <v>5021</v>
      </c>
      <c r="E2785" t="s">
        <v>5032</v>
      </c>
      <c r="F2785" t="s">
        <v>5039</v>
      </c>
      <c r="G2785" s="3">
        <v>8832.1299999999992</v>
      </c>
      <c r="H2785" s="3">
        <v>0</v>
      </c>
      <c r="I2785" s="3">
        <f>SUM(Tabla1[[#This Row],[Monto_Base]],H2785)</f>
        <v>8832.1299999999992</v>
      </c>
      <c r="J2785" t="s">
        <v>5043</v>
      </c>
      <c r="K2785" t="s">
        <v>5049</v>
      </c>
      <c r="L2785" t="s">
        <v>5050</v>
      </c>
      <c r="M2785" t="s">
        <v>5055</v>
      </c>
    </row>
    <row r="2786" spans="1:13" x14ac:dyDescent="0.3">
      <c r="A2786" s="1">
        <v>45577</v>
      </c>
      <c r="B2786" s="1" t="str">
        <f>TEXT(Tabla1[[#This Row],[Fecha]],"MMMM")</f>
        <v>octubre</v>
      </c>
      <c r="C2786" t="s">
        <v>2796</v>
      </c>
      <c r="D2786" t="s">
        <v>5017</v>
      </c>
      <c r="E2786" t="s">
        <v>5032</v>
      </c>
      <c r="F2786" t="s">
        <v>5037</v>
      </c>
      <c r="G2786" s="3">
        <v>7012.68</v>
      </c>
      <c r="H2786" s="3">
        <v>0</v>
      </c>
      <c r="I2786" s="3">
        <f>SUM(Tabla1[[#This Row],[Monto_Base]],H2786)</f>
        <v>7012.68</v>
      </c>
      <c r="J2786" t="s">
        <v>5043</v>
      </c>
      <c r="K2786" t="s">
        <v>5048</v>
      </c>
      <c r="L2786" t="s">
        <v>5053</v>
      </c>
      <c r="M2786" t="s">
        <v>5055</v>
      </c>
    </row>
    <row r="2787" spans="1:13" x14ac:dyDescent="0.3">
      <c r="A2787" s="1">
        <v>45333</v>
      </c>
      <c r="B2787" s="1" t="str">
        <f>TEXT(Tabla1[[#This Row],[Fecha]],"MMMM")</f>
        <v>febrero</v>
      </c>
      <c r="C2787" t="s">
        <v>2797</v>
      </c>
      <c r="D2787" t="s">
        <v>5012</v>
      </c>
      <c r="E2787" t="s">
        <v>5032</v>
      </c>
      <c r="F2787" t="s">
        <v>5037</v>
      </c>
      <c r="G2787" s="3">
        <v>7035.33</v>
      </c>
      <c r="H2787" s="3">
        <v>0</v>
      </c>
      <c r="I2787" s="3">
        <f>SUM(Tabla1[[#This Row],[Monto_Base]],H2787)</f>
        <v>7035.33</v>
      </c>
      <c r="J2787" t="s">
        <v>5044</v>
      </c>
      <c r="K2787" t="s">
        <v>5049</v>
      </c>
      <c r="L2787" t="s">
        <v>5050</v>
      </c>
      <c r="M2787" t="s">
        <v>5055</v>
      </c>
    </row>
    <row r="2788" spans="1:13" x14ac:dyDescent="0.3">
      <c r="A2788" s="1">
        <v>45533</v>
      </c>
      <c r="B2788" s="1" t="str">
        <f>TEXT(Tabla1[[#This Row],[Fecha]],"MMMM")</f>
        <v>agosto</v>
      </c>
      <c r="C2788" t="s">
        <v>2798</v>
      </c>
      <c r="D2788" t="s">
        <v>5021</v>
      </c>
      <c r="E2788" t="s">
        <v>5033</v>
      </c>
      <c r="F2788" t="s">
        <v>5036</v>
      </c>
      <c r="G2788" s="3">
        <v>4790.5</v>
      </c>
      <c r="H2788" s="3">
        <v>622.76</v>
      </c>
      <c r="I2788" s="3">
        <f>SUM(Tabla1[[#This Row],[Monto_Base]],H2788)</f>
        <v>5413.26</v>
      </c>
      <c r="J2788" t="s">
        <v>5046</v>
      </c>
      <c r="K2788" t="s">
        <v>5049</v>
      </c>
      <c r="L2788" t="s">
        <v>5052</v>
      </c>
      <c r="M2788" t="s">
        <v>5054</v>
      </c>
    </row>
    <row r="2789" spans="1:13" x14ac:dyDescent="0.3">
      <c r="A2789" s="1">
        <v>45501</v>
      </c>
      <c r="B2789" s="1" t="str">
        <f>TEXT(Tabla1[[#This Row],[Fecha]],"MMMM")</f>
        <v>julio</v>
      </c>
      <c r="C2789" t="s">
        <v>2799</v>
      </c>
      <c r="D2789" t="s">
        <v>5012</v>
      </c>
      <c r="E2789" t="s">
        <v>5033</v>
      </c>
      <c r="F2789" t="s">
        <v>5038</v>
      </c>
      <c r="G2789" s="3">
        <v>11090.2</v>
      </c>
      <c r="H2789" s="3">
        <v>1441.73</v>
      </c>
      <c r="I2789" s="3">
        <f>SUM(Tabla1[[#This Row],[Monto_Base]],H2789)</f>
        <v>12531.93</v>
      </c>
      <c r="J2789" t="s">
        <v>5044</v>
      </c>
      <c r="K2789" t="s">
        <v>5048</v>
      </c>
      <c r="L2789" t="s">
        <v>5051</v>
      </c>
      <c r="M2789" t="s">
        <v>5054</v>
      </c>
    </row>
    <row r="2790" spans="1:13" x14ac:dyDescent="0.3">
      <c r="A2790" s="1">
        <v>45462</v>
      </c>
      <c r="B2790" s="1" t="str">
        <f>TEXT(Tabla1[[#This Row],[Fecha]],"MMMM")</f>
        <v>junio</v>
      </c>
      <c r="C2790" t="s">
        <v>2800</v>
      </c>
      <c r="D2790" t="s">
        <v>5021</v>
      </c>
      <c r="E2790" t="s">
        <v>5032</v>
      </c>
      <c r="F2790" t="s">
        <v>5040</v>
      </c>
      <c r="G2790" s="3">
        <v>3700.28</v>
      </c>
      <c r="H2790" s="3">
        <v>0</v>
      </c>
      <c r="I2790" s="3">
        <f>SUM(Tabla1[[#This Row],[Monto_Base]],H2790)</f>
        <v>3700.28</v>
      </c>
      <c r="J2790" t="s">
        <v>5043</v>
      </c>
      <c r="K2790" t="s">
        <v>5048</v>
      </c>
      <c r="L2790" t="s">
        <v>5052</v>
      </c>
      <c r="M2790" t="s">
        <v>5055</v>
      </c>
    </row>
    <row r="2791" spans="1:13" x14ac:dyDescent="0.3">
      <c r="A2791" s="1">
        <v>45308</v>
      </c>
      <c r="B2791" s="1" t="str">
        <f>TEXT(Tabla1[[#This Row],[Fecha]],"MMMM")</f>
        <v>enero</v>
      </c>
      <c r="C2791" t="s">
        <v>2801</v>
      </c>
      <c r="D2791" t="s">
        <v>5017</v>
      </c>
      <c r="E2791" t="s">
        <v>5033</v>
      </c>
      <c r="F2791" t="s">
        <v>5037</v>
      </c>
      <c r="G2791" s="3">
        <v>6476.07</v>
      </c>
      <c r="H2791" s="3">
        <v>841.89</v>
      </c>
      <c r="I2791" s="3">
        <f>SUM(Tabla1[[#This Row],[Monto_Base]],H2791)</f>
        <v>7317.96</v>
      </c>
      <c r="J2791" t="s">
        <v>5045</v>
      </c>
      <c r="K2791" t="s">
        <v>5047</v>
      </c>
      <c r="L2791" t="s">
        <v>5051</v>
      </c>
      <c r="M2791" t="s">
        <v>5055</v>
      </c>
    </row>
    <row r="2792" spans="1:13" x14ac:dyDescent="0.3">
      <c r="A2792" s="1">
        <v>45417</v>
      </c>
      <c r="B2792" s="1" t="str">
        <f>TEXT(Tabla1[[#This Row],[Fecha]],"MMMM")</f>
        <v>mayo</v>
      </c>
      <c r="C2792" t="s">
        <v>2802</v>
      </c>
      <c r="D2792" t="s">
        <v>5031</v>
      </c>
      <c r="E2792" t="s">
        <v>5033</v>
      </c>
      <c r="F2792" t="s">
        <v>5036</v>
      </c>
      <c r="G2792" s="3">
        <v>945.95</v>
      </c>
      <c r="H2792" s="3">
        <v>122.97</v>
      </c>
      <c r="I2792" s="3">
        <f>SUM(Tabla1[[#This Row],[Monto_Base]],H2792)</f>
        <v>1068.92</v>
      </c>
      <c r="J2792" t="s">
        <v>5044</v>
      </c>
      <c r="K2792" t="s">
        <v>5049</v>
      </c>
      <c r="L2792" t="s">
        <v>5051</v>
      </c>
      <c r="M2792" t="s">
        <v>5055</v>
      </c>
    </row>
    <row r="2793" spans="1:13" x14ac:dyDescent="0.3">
      <c r="A2793" s="1">
        <v>45336</v>
      </c>
      <c r="B2793" s="1" t="str">
        <f>TEXT(Tabla1[[#This Row],[Fecha]],"MMMM")</f>
        <v>febrero</v>
      </c>
      <c r="C2793" t="s">
        <v>2803</v>
      </c>
      <c r="D2793" t="s">
        <v>5013</v>
      </c>
      <c r="E2793" t="s">
        <v>5032</v>
      </c>
      <c r="F2793" t="s">
        <v>5040</v>
      </c>
      <c r="G2793" s="3">
        <v>14904.6</v>
      </c>
      <c r="H2793" s="3">
        <v>0</v>
      </c>
      <c r="I2793" s="3">
        <f>SUM(Tabla1[[#This Row],[Monto_Base]],H2793)</f>
        <v>14904.6</v>
      </c>
      <c r="J2793" t="s">
        <v>5042</v>
      </c>
      <c r="K2793" t="s">
        <v>5047</v>
      </c>
      <c r="L2793" t="s">
        <v>5051</v>
      </c>
      <c r="M2793" t="s">
        <v>5054</v>
      </c>
    </row>
    <row r="2794" spans="1:13" x14ac:dyDescent="0.3">
      <c r="A2794" s="1">
        <v>45448</v>
      </c>
      <c r="B2794" s="1" t="str">
        <f>TEXT(Tabla1[[#This Row],[Fecha]],"MMMM")</f>
        <v>junio</v>
      </c>
      <c r="C2794" t="s">
        <v>2804</v>
      </c>
      <c r="D2794" t="s">
        <v>5029</v>
      </c>
      <c r="E2794" t="s">
        <v>5032</v>
      </c>
      <c r="F2794" t="s">
        <v>5037</v>
      </c>
      <c r="G2794" s="3">
        <v>1193.69</v>
      </c>
      <c r="H2794" s="3">
        <v>0</v>
      </c>
      <c r="I2794" s="3">
        <f>SUM(Tabla1[[#This Row],[Monto_Base]],H2794)</f>
        <v>1193.69</v>
      </c>
      <c r="J2794" t="s">
        <v>5043</v>
      </c>
      <c r="K2794" t="s">
        <v>5048</v>
      </c>
      <c r="L2794" t="s">
        <v>5050</v>
      </c>
      <c r="M2794" t="s">
        <v>5054</v>
      </c>
    </row>
    <row r="2795" spans="1:13" x14ac:dyDescent="0.3">
      <c r="A2795" s="1">
        <v>45528</v>
      </c>
      <c r="B2795" s="1" t="str">
        <f>TEXT(Tabla1[[#This Row],[Fecha]],"MMMM")</f>
        <v>agosto</v>
      </c>
      <c r="C2795" t="s">
        <v>2805</v>
      </c>
      <c r="D2795" t="s">
        <v>5016</v>
      </c>
      <c r="E2795" t="s">
        <v>5032</v>
      </c>
      <c r="F2795" t="s">
        <v>5035</v>
      </c>
      <c r="G2795" s="3">
        <v>4245.93</v>
      </c>
      <c r="H2795" s="3">
        <v>0</v>
      </c>
      <c r="I2795" s="3">
        <f>SUM(Tabla1[[#This Row],[Monto_Base]],H2795)</f>
        <v>4245.93</v>
      </c>
      <c r="J2795" t="s">
        <v>5042</v>
      </c>
      <c r="K2795" t="s">
        <v>5048</v>
      </c>
      <c r="L2795" t="s">
        <v>5050</v>
      </c>
      <c r="M2795" t="s">
        <v>5055</v>
      </c>
    </row>
    <row r="2796" spans="1:13" x14ac:dyDescent="0.3">
      <c r="A2796" s="1">
        <v>45480</v>
      </c>
      <c r="B2796" s="1" t="str">
        <f>TEXT(Tabla1[[#This Row],[Fecha]],"MMMM")</f>
        <v>julio</v>
      </c>
      <c r="C2796" t="s">
        <v>2806</v>
      </c>
      <c r="D2796" t="s">
        <v>5031</v>
      </c>
      <c r="E2796" t="s">
        <v>5033</v>
      </c>
      <c r="F2796" t="s">
        <v>5040</v>
      </c>
      <c r="G2796" s="3">
        <v>10694.62</v>
      </c>
      <c r="H2796" s="3">
        <v>1390.3</v>
      </c>
      <c r="I2796" s="3">
        <f>SUM(Tabla1[[#This Row],[Monto_Base]],H2796)</f>
        <v>12084.92</v>
      </c>
      <c r="J2796" t="s">
        <v>5043</v>
      </c>
      <c r="K2796" t="s">
        <v>5048</v>
      </c>
      <c r="L2796" t="s">
        <v>5051</v>
      </c>
      <c r="M2796" t="s">
        <v>5054</v>
      </c>
    </row>
    <row r="2797" spans="1:13" x14ac:dyDescent="0.3">
      <c r="A2797" s="1">
        <v>45293</v>
      </c>
      <c r="B2797" s="1" t="str">
        <f>TEXT(Tabla1[[#This Row],[Fecha]],"MMMM")</f>
        <v>enero</v>
      </c>
      <c r="C2797" t="s">
        <v>2807</v>
      </c>
      <c r="D2797" t="s">
        <v>5021</v>
      </c>
      <c r="E2797" t="s">
        <v>5033</v>
      </c>
      <c r="F2797" t="s">
        <v>5034</v>
      </c>
      <c r="G2797" s="3">
        <v>10390.25</v>
      </c>
      <c r="H2797" s="3">
        <v>1350.73</v>
      </c>
      <c r="I2797" s="3">
        <f>SUM(Tabla1[[#This Row],[Monto_Base]],H2797)</f>
        <v>11740.98</v>
      </c>
      <c r="J2797" t="s">
        <v>5046</v>
      </c>
      <c r="K2797" t="s">
        <v>5049</v>
      </c>
      <c r="L2797" t="s">
        <v>5052</v>
      </c>
      <c r="M2797" t="s">
        <v>5055</v>
      </c>
    </row>
    <row r="2798" spans="1:13" x14ac:dyDescent="0.3">
      <c r="A2798" s="1">
        <v>45538</v>
      </c>
      <c r="B2798" s="1" t="str">
        <f>TEXT(Tabla1[[#This Row],[Fecha]],"MMMM")</f>
        <v>septiembre</v>
      </c>
      <c r="C2798" t="s">
        <v>2808</v>
      </c>
      <c r="D2798" t="s">
        <v>5029</v>
      </c>
      <c r="E2798" t="s">
        <v>5033</v>
      </c>
      <c r="F2798" t="s">
        <v>5040</v>
      </c>
      <c r="G2798" s="3">
        <v>4209.68</v>
      </c>
      <c r="H2798" s="3">
        <v>547.26</v>
      </c>
      <c r="I2798" s="3">
        <f>SUM(Tabla1[[#This Row],[Monto_Base]],H2798)</f>
        <v>4756.9400000000005</v>
      </c>
      <c r="J2798" t="s">
        <v>5046</v>
      </c>
      <c r="K2798" t="s">
        <v>5049</v>
      </c>
      <c r="L2798" t="s">
        <v>5050</v>
      </c>
      <c r="M2798" t="s">
        <v>5054</v>
      </c>
    </row>
    <row r="2799" spans="1:13" x14ac:dyDescent="0.3">
      <c r="A2799" s="1">
        <v>45402</v>
      </c>
      <c r="B2799" s="1" t="str">
        <f>TEXT(Tabla1[[#This Row],[Fecha]],"MMMM")</f>
        <v>abril</v>
      </c>
      <c r="C2799" t="s">
        <v>2809</v>
      </c>
      <c r="D2799" t="s">
        <v>5013</v>
      </c>
      <c r="E2799" t="s">
        <v>5032</v>
      </c>
      <c r="F2799" t="s">
        <v>5035</v>
      </c>
      <c r="G2799" s="3">
        <v>5350.57</v>
      </c>
      <c r="H2799" s="3">
        <v>0</v>
      </c>
      <c r="I2799" s="3">
        <f>SUM(Tabla1[[#This Row],[Monto_Base]],H2799)</f>
        <v>5350.57</v>
      </c>
      <c r="J2799" t="s">
        <v>5045</v>
      </c>
      <c r="K2799" t="s">
        <v>5049</v>
      </c>
      <c r="L2799" t="s">
        <v>5050</v>
      </c>
      <c r="M2799" t="s">
        <v>5055</v>
      </c>
    </row>
    <row r="2800" spans="1:13" x14ac:dyDescent="0.3">
      <c r="A2800" s="1">
        <v>45416</v>
      </c>
      <c r="B2800" s="1" t="str">
        <f>TEXT(Tabla1[[#This Row],[Fecha]],"MMMM")</f>
        <v>mayo</v>
      </c>
      <c r="C2800" t="s">
        <v>2810</v>
      </c>
      <c r="D2800" t="s">
        <v>5021</v>
      </c>
      <c r="E2800" t="s">
        <v>5032</v>
      </c>
      <c r="F2800" t="s">
        <v>5038</v>
      </c>
      <c r="G2800" s="3">
        <v>6793.46</v>
      </c>
      <c r="H2800" s="3">
        <v>0</v>
      </c>
      <c r="I2800" s="3">
        <f>SUM(Tabla1[[#This Row],[Monto_Base]],H2800)</f>
        <v>6793.46</v>
      </c>
      <c r="J2800" t="s">
        <v>5046</v>
      </c>
      <c r="K2800" t="s">
        <v>5049</v>
      </c>
      <c r="L2800" t="s">
        <v>5053</v>
      </c>
      <c r="M2800" t="s">
        <v>5055</v>
      </c>
    </row>
    <row r="2801" spans="1:13" x14ac:dyDescent="0.3">
      <c r="A2801" s="1">
        <v>45445</v>
      </c>
      <c r="B2801" s="1" t="str">
        <f>TEXT(Tabla1[[#This Row],[Fecha]],"MMMM")</f>
        <v>junio</v>
      </c>
      <c r="C2801" t="s">
        <v>2811</v>
      </c>
      <c r="D2801" t="s">
        <v>5016</v>
      </c>
      <c r="E2801" t="s">
        <v>5032</v>
      </c>
      <c r="F2801" t="s">
        <v>5039</v>
      </c>
      <c r="G2801" s="3">
        <v>3954.19</v>
      </c>
      <c r="H2801" s="3">
        <v>0</v>
      </c>
      <c r="I2801" s="3">
        <f>SUM(Tabla1[[#This Row],[Monto_Base]],H2801)</f>
        <v>3954.19</v>
      </c>
      <c r="J2801" t="s">
        <v>5044</v>
      </c>
      <c r="K2801" t="s">
        <v>5047</v>
      </c>
      <c r="L2801" t="s">
        <v>5053</v>
      </c>
      <c r="M2801" t="s">
        <v>5054</v>
      </c>
    </row>
    <row r="2802" spans="1:13" x14ac:dyDescent="0.3">
      <c r="A2802" s="1">
        <v>45636</v>
      </c>
      <c r="B2802" s="1" t="str">
        <f>TEXT(Tabla1[[#This Row],[Fecha]],"MMMM")</f>
        <v>diciembre</v>
      </c>
      <c r="C2802" t="s">
        <v>2812</v>
      </c>
      <c r="D2802" t="s">
        <v>5014</v>
      </c>
      <c r="E2802" t="s">
        <v>5032</v>
      </c>
      <c r="F2802" t="s">
        <v>5038</v>
      </c>
      <c r="G2802" s="3">
        <v>1591.52</v>
      </c>
      <c r="H2802" s="3">
        <v>0</v>
      </c>
      <c r="I2802" s="3">
        <f>SUM(Tabla1[[#This Row],[Monto_Base]],H2802)</f>
        <v>1591.52</v>
      </c>
      <c r="J2802" t="s">
        <v>5046</v>
      </c>
      <c r="K2802" t="s">
        <v>5049</v>
      </c>
      <c r="L2802" t="s">
        <v>5052</v>
      </c>
      <c r="M2802" t="s">
        <v>5055</v>
      </c>
    </row>
    <row r="2803" spans="1:13" x14ac:dyDescent="0.3">
      <c r="A2803" s="1">
        <v>45546</v>
      </c>
      <c r="B2803" s="1" t="str">
        <f>TEXT(Tabla1[[#This Row],[Fecha]],"MMMM")</f>
        <v>septiembre</v>
      </c>
      <c r="C2803" t="s">
        <v>2813</v>
      </c>
      <c r="D2803" t="s">
        <v>5015</v>
      </c>
      <c r="E2803" t="s">
        <v>5033</v>
      </c>
      <c r="F2803" t="s">
        <v>5037</v>
      </c>
      <c r="G2803" s="3">
        <v>6233.62</v>
      </c>
      <c r="H2803" s="3">
        <v>810.37</v>
      </c>
      <c r="I2803" s="3">
        <f>SUM(Tabla1[[#This Row],[Monto_Base]],H2803)</f>
        <v>7043.99</v>
      </c>
      <c r="J2803" t="s">
        <v>5043</v>
      </c>
      <c r="K2803" t="s">
        <v>5048</v>
      </c>
      <c r="L2803" t="s">
        <v>5053</v>
      </c>
      <c r="M2803" t="s">
        <v>5054</v>
      </c>
    </row>
    <row r="2804" spans="1:13" x14ac:dyDescent="0.3">
      <c r="A2804" s="1">
        <v>45388</v>
      </c>
      <c r="B2804" s="1" t="str">
        <f>TEXT(Tabla1[[#This Row],[Fecha]],"MMMM")</f>
        <v>abril</v>
      </c>
      <c r="C2804" t="s">
        <v>2814</v>
      </c>
      <c r="D2804" t="s">
        <v>5017</v>
      </c>
      <c r="E2804" t="s">
        <v>5032</v>
      </c>
      <c r="F2804" t="s">
        <v>5036</v>
      </c>
      <c r="G2804" s="3">
        <v>7606.96</v>
      </c>
      <c r="H2804" s="3">
        <v>0</v>
      </c>
      <c r="I2804" s="3">
        <f>SUM(Tabla1[[#This Row],[Monto_Base]],H2804)</f>
        <v>7606.96</v>
      </c>
      <c r="J2804" t="s">
        <v>5045</v>
      </c>
      <c r="K2804" t="s">
        <v>5047</v>
      </c>
      <c r="L2804" t="s">
        <v>5051</v>
      </c>
      <c r="M2804" t="s">
        <v>5055</v>
      </c>
    </row>
    <row r="2805" spans="1:13" x14ac:dyDescent="0.3">
      <c r="A2805" s="1">
        <v>45332</v>
      </c>
      <c r="B2805" s="1" t="str">
        <f>TEXT(Tabla1[[#This Row],[Fecha]],"MMMM")</f>
        <v>febrero</v>
      </c>
      <c r="C2805" t="s">
        <v>2815</v>
      </c>
      <c r="D2805" t="s">
        <v>5021</v>
      </c>
      <c r="E2805" t="s">
        <v>5032</v>
      </c>
      <c r="F2805" t="s">
        <v>5040</v>
      </c>
      <c r="G2805" s="3">
        <v>8040.95</v>
      </c>
      <c r="H2805" s="3">
        <v>0</v>
      </c>
      <c r="I2805" s="3">
        <f>SUM(Tabla1[[#This Row],[Monto_Base]],H2805)</f>
        <v>8040.95</v>
      </c>
      <c r="J2805" t="s">
        <v>5044</v>
      </c>
      <c r="K2805" t="s">
        <v>5047</v>
      </c>
      <c r="L2805" t="s">
        <v>5051</v>
      </c>
      <c r="M2805" t="s">
        <v>5054</v>
      </c>
    </row>
    <row r="2806" spans="1:13" x14ac:dyDescent="0.3">
      <c r="A2806" s="1">
        <v>45609</v>
      </c>
      <c r="B2806" s="1" t="str">
        <f>TEXT(Tabla1[[#This Row],[Fecha]],"MMMM")</f>
        <v>noviembre</v>
      </c>
      <c r="C2806" t="s">
        <v>2816</v>
      </c>
      <c r="D2806" t="s">
        <v>5018</v>
      </c>
      <c r="E2806" t="s">
        <v>5032</v>
      </c>
      <c r="F2806" t="s">
        <v>5040</v>
      </c>
      <c r="G2806" s="3">
        <v>13158.52</v>
      </c>
      <c r="H2806" s="3">
        <v>0</v>
      </c>
      <c r="I2806" s="3">
        <f>SUM(Tabla1[[#This Row],[Monto_Base]],H2806)</f>
        <v>13158.52</v>
      </c>
      <c r="J2806" t="s">
        <v>5045</v>
      </c>
      <c r="K2806" t="s">
        <v>5049</v>
      </c>
      <c r="L2806" t="s">
        <v>5051</v>
      </c>
      <c r="M2806" t="s">
        <v>5054</v>
      </c>
    </row>
    <row r="2807" spans="1:13" x14ac:dyDescent="0.3">
      <c r="A2807" s="1">
        <v>45557</v>
      </c>
      <c r="B2807" s="1" t="str">
        <f>TEXT(Tabla1[[#This Row],[Fecha]],"MMMM")</f>
        <v>septiembre</v>
      </c>
      <c r="C2807" t="s">
        <v>2817</v>
      </c>
      <c r="D2807" t="s">
        <v>5023</v>
      </c>
      <c r="E2807" t="s">
        <v>5032</v>
      </c>
      <c r="F2807" t="s">
        <v>5040</v>
      </c>
      <c r="G2807" s="3">
        <v>5447.04</v>
      </c>
      <c r="H2807" s="3">
        <v>0</v>
      </c>
      <c r="I2807" s="3">
        <f>SUM(Tabla1[[#This Row],[Monto_Base]],H2807)</f>
        <v>5447.04</v>
      </c>
      <c r="J2807" t="s">
        <v>5045</v>
      </c>
      <c r="K2807" t="s">
        <v>5048</v>
      </c>
      <c r="L2807" t="s">
        <v>5050</v>
      </c>
      <c r="M2807" t="s">
        <v>5055</v>
      </c>
    </row>
    <row r="2808" spans="1:13" x14ac:dyDescent="0.3">
      <c r="A2808" s="1">
        <v>45451</v>
      </c>
      <c r="B2808" s="1" t="str">
        <f>TEXT(Tabla1[[#This Row],[Fecha]],"MMMM")</f>
        <v>junio</v>
      </c>
      <c r="C2808" t="s">
        <v>2818</v>
      </c>
      <c r="D2808" t="s">
        <v>5017</v>
      </c>
      <c r="E2808" t="s">
        <v>5033</v>
      </c>
      <c r="F2808" t="s">
        <v>5036</v>
      </c>
      <c r="G2808" s="3">
        <v>8834.57</v>
      </c>
      <c r="H2808" s="3">
        <v>1148.49</v>
      </c>
      <c r="I2808" s="3">
        <f>SUM(Tabla1[[#This Row],[Monto_Base]],H2808)</f>
        <v>9983.06</v>
      </c>
      <c r="J2808" t="s">
        <v>5042</v>
      </c>
      <c r="K2808" t="s">
        <v>5049</v>
      </c>
      <c r="L2808" t="s">
        <v>5053</v>
      </c>
      <c r="M2808" t="s">
        <v>5054</v>
      </c>
    </row>
    <row r="2809" spans="1:13" x14ac:dyDescent="0.3">
      <c r="A2809" s="1">
        <v>45388</v>
      </c>
      <c r="B2809" s="1" t="str">
        <f>TEXT(Tabla1[[#This Row],[Fecha]],"MMMM")</f>
        <v>abril</v>
      </c>
      <c r="C2809" t="s">
        <v>2819</v>
      </c>
      <c r="D2809" t="s">
        <v>5017</v>
      </c>
      <c r="E2809" t="s">
        <v>5033</v>
      </c>
      <c r="F2809" t="s">
        <v>5038</v>
      </c>
      <c r="G2809" s="3">
        <v>12998.92</v>
      </c>
      <c r="H2809" s="3">
        <v>1689.86</v>
      </c>
      <c r="I2809" s="3">
        <f>SUM(Tabla1[[#This Row],[Monto_Base]],H2809)</f>
        <v>14688.78</v>
      </c>
      <c r="J2809" t="s">
        <v>5044</v>
      </c>
      <c r="K2809" t="s">
        <v>5047</v>
      </c>
      <c r="L2809" t="s">
        <v>5052</v>
      </c>
      <c r="M2809" t="s">
        <v>5055</v>
      </c>
    </row>
    <row r="2810" spans="1:13" x14ac:dyDescent="0.3">
      <c r="A2810" s="1">
        <v>45415</v>
      </c>
      <c r="B2810" s="1" t="str">
        <f>TEXT(Tabla1[[#This Row],[Fecha]],"MMMM")</f>
        <v>mayo</v>
      </c>
      <c r="C2810" t="s">
        <v>2820</v>
      </c>
      <c r="D2810" t="s">
        <v>5013</v>
      </c>
      <c r="E2810" t="s">
        <v>5032</v>
      </c>
      <c r="F2810" t="s">
        <v>5041</v>
      </c>
      <c r="G2810" s="3">
        <v>11181.21</v>
      </c>
      <c r="H2810" s="3">
        <v>0</v>
      </c>
      <c r="I2810" s="3">
        <f>SUM(Tabla1[[#This Row],[Monto_Base]],H2810)</f>
        <v>11181.21</v>
      </c>
      <c r="J2810" t="s">
        <v>5045</v>
      </c>
      <c r="K2810" t="s">
        <v>5049</v>
      </c>
      <c r="L2810" t="s">
        <v>5053</v>
      </c>
      <c r="M2810" t="s">
        <v>5054</v>
      </c>
    </row>
    <row r="2811" spans="1:13" x14ac:dyDescent="0.3">
      <c r="A2811" s="1">
        <v>45390</v>
      </c>
      <c r="B2811" s="1" t="str">
        <f>TEXT(Tabla1[[#This Row],[Fecha]],"MMMM")</f>
        <v>abril</v>
      </c>
      <c r="C2811" t="s">
        <v>2821</v>
      </c>
      <c r="D2811" t="s">
        <v>5023</v>
      </c>
      <c r="E2811" t="s">
        <v>5032</v>
      </c>
      <c r="F2811" t="s">
        <v>5039</v>
      </c>
      <c r="G2811" s="3">
        <v>7109.12</v>
      </c>
      <c r="H2811" s="3">
        <v>0</v>
      </c>
      <c r="I2811" s="3">
        <f>SUM(Tabla1[[#This Row],[Monto_Base]],H2811)</f>
        <v>7109.12</v>
      </c>
      <c r="J2811" t="s">
        <v>5044</v>
      </c>
      <c r="K2811" t="s">
        <v>5047</v>
      </c>
      <c r="L2811" t="s">
        <v>5053</v>
      </c>
      <c r="M2811" t="s">
        <v>5055</v>
      </c>
    </row>
    <row r="2812" spans="1:13" x14ac:dyDescent="0.3">
      <c r="A2812" s="1">
        <v>45620</v>
      </c>
      <c r="B2812" s="1" t="str">
        <f>TEXT(Tabla1[[#This Row],[Fecha]],"MMMM")</f>
        <v>noviembre</v>
      </c>
      <c r="C2812" t="s">
        <v>2822</v>
      </c>
      <c r="D2812" t="s">
        <v>5030</v>
      </c>
      <c r="E2812" t="s">
        <v>5033</v>
      </c>
      <c r="F2812" t="s">
        <v>5034</v>
      </c>
      <c r="G2812" s="3">
        <v>1303.52</v>
      </c>
      <c r="H2812" s="3">
        <v>169.46</v>
      </c>
      <c r="I2812" s="3">
        <f>SUM(Tabla1[[#This Row],[Monto_Base]],H2812)</f>
        <v>1472.98</v>
      </c>
      <c r="J2812" t="s">
        <v>5044</v>
      </c>
      <c r="K2812" t="s">
        <v>5048</v>
      </c>
      <c r="L2812" t="s">
        <v>5052</v>
      </c>
      <c r="M2812" t="s">
        <v>5054</v>
      </c>
    </row>
    <row r="2813" spans="1:13" x14ac:dyDescent="0.3">
      <c r="A2813" s="1">
        <v>45449</v>
      </c>
      <c r="B2813" s="1" t="str">
        <f>TEXT(Tabla1[[#This Row],[Fecha]],"MMMM")</f>
        <v>junio</v>
      </c>
      <c r="C2813" t="s">
        <v>2823</v>
      </c>
      <c r="D2813" t="s">
        <v>5015</v>
      </c>
      <c r="E2813" t="s">
        <v>5033</v>
      </c>
      <c r="F2813" t="s">
        <v>5035</v>
      </c>
      <c r="G2813" s="3">
        <v>2887.65</v>
      </c>
      <c r="H2813" s="3">
        <v>375.39</v>
      </c>
      <c r="I2813" s="3">
        <f>SUM(Tabla1[[#This Row],[Monto_Base]],H2813)</f>
        <v>3263.04</v>
      </c>
      <c r="J2813" t="s">
        <v>5044</v>
      </c>
      <c r="K2813" t="s">
        <v>5047</v>
      </c>
      <c r="L2813" t="s">
        <v>5050</v>
      </c>
      <c r="M2813" t="s">
        <v>5055</v>
      </c>
    </row>
    <row r="2814" spans="1:13" x14ac:dyDescent="0.3">
      <c r="A2814" s="1">
        <v>45573</v>
      </c>
      <c r="B2814" s="1" t="str">
        <f>TEXT(Tabla1[[#This Row],[Fecha]],"MMMM")</f>
        <v>octubre</v>
      </c>
      <c r="C2814" t="s">
        <v>2824</v>
      </c>
      <c r="D2814" t="s">
        <v>5013</v>
      </c>
      <c r="E2814" t="s">
        <v>5033</v>
      </c>
      <c r="F2814" t="s">
        <v>5037</v>
      </c>
      <c r="G2814" s="3">
        <v>5440.41</v>
      </c>
      <c r="H2814" s="3">
        <v>707.25</v>
      </c>
      <c r="I2814" s="3">
        <f>SUM(Tabla1[[#This Row],[Monto_Base]],H2814)</f>
        <v>6147.66</v>
      </c>
      <c r="J2814" t="s">
        <v>5044</v>
      </c>
      <c r="K2814" t="s">
        <v>5049</v>
      </c>
      <c r="L2814" t="s">
        <v>5051</v>
      </c>
      <c r="M2814" t="s">
        <v>5055</v>
      </c>
    </row>
    <row r="2815" spans="1:13" x14ac:dyDescent="0.3">
      <c r="A2815" s="1">
        <v>45448</v>
      </c>
      <c r="B2815" s="1" t="str">
        <f>TEXT(Tabla1[[#This Row],[Fecha]],"MMMM")</f>
        <v>junio</v>
      </c>
      <c r="C2815" t="s">
        <v>2825</v>
      </c>
      <c r="D2815" t="s">
        <v>5019</v>
      </c>
      <c r="E2815" t="s">
        <v>5032</v>
      </c>
      <c r="F2815" t="s">
        <v>5034</v>
      </c>
      <c r="G2815" s="3">
        <v>11252.22</v>
      </c>
      <c r="H2815" s="3">
        <v>0</v>
      </c>
      <c r="I2815" s="3">
        <f>SUM(Tabla1[[#This Row],[Monto_Base]],H2815)</f>
        <v>11252.22</v>
      </c>
      <c r="J2815" t="s">
        <v>5044</v>
      </c>
      <c r="K2815" t="s">
        <v>5048</v>
      </c>
      <c r="L2815" t="s">
        <v>5053</v>
      </c>
      <c r="M2815" t="s">
        <v>5054</v>
      </c>
    </row>
    <row r="2816" spans="1:13" x14ac:dyDescent="0.3">
      <c r="A2816" s="1">
        <v>45320</v>
      </c>
      <c r="B2816" s="1" t="str">
        <f>TEXT(Tabla1[[#This Row],[Fecha]],"MMMM")</f>
        <v>enero</v>
      </c>
      <c r="C2816" t="s">
        <v>2826</v>
      </c>
      <c r="D2816" t="s">
        <v>5026</v>
      </c>
      <c r="E2816" t="s">
        <v>5032</v>
      </c>
      <c r="F2816" t="s">
        <v>5038</v>
      </c>
      <c r="G2816" s="3">
        <v>5151.59</v>
      </c>
      <c r="H2816" s="3">
        <v>0</v>
      </c>
      <c r="I2816" s="3">
        <f>SUM(Tabla1[[#This Row],[Monto_Base]],H2816)</f>
        <v>5151.59</v>
      </c>
      <c r="J2816" t="s">
        <v>5043</v>
      </c>
      <c r="K2816" t="s">
        <v>5048</v>
      </c>
      <c r="L2816" t="s">
        <v>5053</v>
      </c>
      <c r="M2816" t="s">
        <v>5054</v>
      </c>
    </row>
    <row r="2817" spans="1:13" x14ac:dyDescent="0.3">
      <c r="A2817" s="1">
        <v>45486</v>
      </c>
      <c r="B2817" s="1" t="str">
        <f>TEXT(Tabla1[[#This Row],[Fecha]],"MMMM")</f>
        <v>julio</v>
      </c>
      <c r="C2817" t="s">
        <v>2827</v>
      </c>
      <c r="D2817" t="s">
        <v>5027</v>
      </c>
      <c r="E2817" t="s">
        <v>5033</v>
      </c>
      <c r="F2817" t="s">
        <v>5037</v>
      </c>
      <c r="G2817" s="3">
        <v>14733.93</v>
      </c>
      <c r="H2817" s="3">
        <v>1915.41</v>
      </c>
      <c r="I2817" s="3">
        <f>SUM(Tabla1[[#This Row],[Monto_Base]],H2817)</f>
        <v>16649.34</v>
      </c>
      <c r="J2817" t="s">
        <v>5042</v>
      </c>
      <c r="K2817" t="s">
        <v>5047</v>
      </c>
      <c r="L2817" t="s">
        <v>5053</v>
      </c>
      <c r="M2817" t="s">
        <v>5054</v>
      </c>
    </row>
    <row r="2818" spans="1:13" x14ac:dyDescent="0.3">
      <c r="A2818" s="1">
        <v>45355</v>
      </c>
      <c r="B2818" s="1" t="str">
        <f>TEXT(Tabla1[[#This Row],[Fecha]],"MMMM")</f>
        <v>marzo</v>
      </c>
      <c r="C2818" t="s">
        <v>2828</v>
      </c>
      <c r="D2818" t="s">
        <v>5026</v>
      </c>
      <c r="E2818" t="s">
        <v>5032</v>
      </c>
      <c r="F2818" t="s">
        <v>5039</v>
      </c>
      <c r="G2818" s="3">
        <v>12010.92</v>
      </c>
      <c r="H2818" s="3">
        <v>0</v>
      </c>
      <c r="I2818" s="3">
        <f>SUM(Tabla1[[#This Row],[Monto_Base]],H2818)</f>
        <v>12010.92</v>
      </c>
      <c r="J2818" t="s">
        <v>5043</v>
      </c>
      <c r="K2818" t="s">
        <v>5049</v>
      </c>
      <c r="L2818" t="s">
        <v>5052</v>
      </c>
      <c r="M2818" t="s">
        <v>5055</v>
      </c>
    </row>
    <row r="2819" spans="1:13" x14ac:dyDescent="0.3">
      <c r="A2819" s="1">
        <v>45618</v>
      </c>
      <c r="B2819" s="1" t="str">
        <f>TEXT(Tabla1[[#This Row],[Fecha]],"MMMM")</f>
        <v>noviembre</v>
      </c>
      <c r="C2819" t="s">
        <v>2829</v>
      </c>
      <c r="D2819" t="s">
        <v>5026</v>
      </c>
      <c r="E2819" t="s">
        <v>5033</v>
      </c>
      <c r="F2819" t="s">
        <v>5041</v>
      </c>
      <c r="G2819" s="3">
        <v>5369.8</v>
      </c>
      <c r="H2819" s="3">
        <v>698.07</v>
      </c>
      <c r="I2819" s="3">
        <f>SUM(Tabla1[[#This Row],[Monto_Base]],H2819)</f>
        <v>6067.87</v>
      </c>
      <c r="J2819" t="s">
        <v>5043</v>
      </c>
      <c r="K2819" t="s">
        <v>5047</v>
      </c>
      <c r="L2819" t="s">
        <v>5050</v>
      </c>
      <c r="M2819" t="s">
        <v>5055</v>
      </c>
    </row>
    <row r="2820" spans="1:13" x14ac:dyDescent="0.3">
      <c r="A2820" s="1">
        <v>45654</v>
      </c>
      <c r="B2820" s="1" t="str">
        <f>TEXT(Tabla1[[#This Row],[Fecha]],"MMMM")</f>
        <v>diciembre</v>
      </c>
      <c r="C2820" t="s">
        <v>2830</v>
      </c>
      <c r="D2820" t="s">
        <v>5012</v>
      </c>
      <c r="E2820" t="s">
        <v>5033</v>
      </c>
      <c r="F2820" t="s">
        <v>5038</v>
      </c>
      <c r="G2820" s="3">
        <v>7473.71</v>
      </c>
      <c r="H2820" s="3">
        <v>971.58</v>
      </c>
      <c r="I2820" s="3">
        <f>SUM(Tabla1[[#This Row],[Monto_Base]],H2820)</f>
        <v>8445.2900000000009</v>
      </c>
      <c r="J2820" t="s">
        <v>5045</v>
      </c>
      <c r="K2820" t="s">
        <v>5049</v>
      </c>
      <c r="L2820" t="s">
        <v>5053</v>
      </c>
      <c r="M2820" t="s">
        <v>5054</v>
      </c>
    </row>
    <row r="2821" spans="1:13" x14ac:dyDescent="0.3">
      <c r="A2821" s="1">
        <v>45616</v>
      </c>
      <c r="B2821" s="1" t="str">
        <f>TEXT(Tabla1[[#This Row],[Fecha]],"MMMM")</f>
        <v>noviembre</v>
      </c>
      <c r="C2821" t="s">
        <v>2831</v>
      </c>
      <c r="D2821" t="s">
        <v>5014</v>
      </c>
      <c r="E2821" t="s">
        <v>5033</v>
      </c>
      <c r="F2821" t="s">
        <v>5039</v>
      </c>
      <c r="G2821" s="3">
        <v>9947.6299999999992</v>
      </c>
      <c r="H2821" s="3">
        <v>1293.19</v>
      </c>
      <c r="I2821" s="3">
        <f>SUM(Tabla1[[#This Row],[Monto_Base]],H2821)</f>
        <v>11240.82</v>
      </c>
      <c r="J2821" t="s">
        <v>5044</v>
      </c>
      <c r="K2821" t="s">
        <v>5048</v>
      </c>
      <c r="L2821" t="s">
        <v>5052</v>
      </c>
      <c r="M2821" t="s">
        <v>5054</v>
      </c>
    </row>
    <row r="2822" spans="1:13" x14ac:dyDescent="0.3">
      <c r="A2822" s="1">
        <v>45315</v>
      </c>
      <c r="B2822" s="1" t="str">
        <f>TEXT(Tabla1[[#This Row],[Fecha]],"MMMM")</f>
        <v>enero</v>
      </c>
      <c r="C2822" t="s">
        <v>2832</v>
      </c>
      <c r="D2822" t="s">
        <v>5022</v>
      </c>
      <c r="E2822" t="s">
        <v>5033</v>
      </c>
      <c r="F2822" t="s">
        <v>5039</v>
      </c>
      <c r="G2822" s="3">
        <v>2229.2199999999998</v>
      </c>
      <c r="H2822" s="3">
        <v>289.8</v>
      </c>
      <c r="I2822" s="3">
        <f>SUM(Tabla1[[#This Row],[Monto_Base]],H2822)</f>
        <v>2519.02</v>
      </c>
      <c r="J2822" t="s">
        <v>5043</v>
      </c>
      <c r="K2822" t="s">
        <v>5048</v>
      </c>
      <c r="L2822" t="s">
        <v>5051</v>
      </c>
      <c r="M2822" t="s">
        <v>5055</v>
      </c>
    </row>
    <row r="2823" spans="1:13" x14ac:dyDescent="0.3">
      <c r="A2823" s="1">
        <v>45366</v>
      </c>
      <c r="B2823" s="1" t="str">
        <f>TEXT(Tabla1[[#This Row],[Fecha]],"MMMM")</f>
        <v>marzo</v>
      </c>
      <c r="C2823" t="s">
        <v>2833</v>
      </c>
      <c r="D2823" t="s">
        <v>5021</v>
      </c>
      <c r="E2823" t="s">
        <v>5033</v>
      </c>
      <c r="F2823" t="s">
        <v>5041</v>
      </c>
      <c r="G2823" s="3">
        <v>14092.17</v>
      </c>
      <c r="H2823" s="3">
        <v>1831.98</v>
      </c>
      <c r="I2823" s="3">
        <f>SUM(Tabla1[[#This Row],[Monto_Base]],H2823)</f>
        <v>15924.15</v>
      </c>
      <c r="J2823" t="s">
        <v>5042</v>
      </c>
      <c r="K2823" t="s">
        <v>5048</v>
      </c>
      <c r="L2823" t="s">
        <v>5053</v>
      </c>
      <c r="M2823" t="s">
        <v>5055</v>
      </c>
    </row>
    <row r="2824" spans="1:13" x14ac:dyDescent="0.3">
      <c r="A2824" s="1">
        <v>45554</v>
      </c>
      <c r="B2824" s="1" t="str">
        <f>TEXT(Tabla1[[#This Row],[Fecha]],"MMMM")</f>
        <v>septiembre</v>
      </c>
      <c r="C2824" t="s">
        <v>2834</v>
      </c>
      <c r="D2824" t="s">
        <v>5028</v>
      </c>
      <c r="E2824" t="s">
        <v>5033</v>
      </c>
      <c r="F2824" t="s">
        <v>5040</v>
      </c>
      <c r="G2824" s="3">
        <v>10169.530000000001</v>
      </c>
      <c r="H2824" s="3">
        <v>1322.04</v>
      </c>
      <c r="I2824" s="3">
        <f>SUM(Tabla1[[#This Row],[Monto_Base]],H2824)</f>
        <v>11491.57</v>
      </c>
      <c r="J2824" t="s">
        <v>5045</v>
      </c>
      <c r="K2824" t="s">
        <v>5049</v>
      </c>
      <c r="L2824" t="s">
        <v>5052</v>
      </c>
      <c r="M2824" t="s">
        <v>5055</v>
      </c>
    </row>
    <row r="2825" spans="1:13" x14ac:dyDescent="0.3">
      <c r="A2825" s="1">
        <v>45380</v>
      </c>
      <c r="B2825" s="1" t="str">
        <f>TEXT(Tabla1[[#This Row],[Fecha]],"MMMM")</f>
        <v>marzo</v>
      </c>
      <c r="C2825" t="s">
        <v>2835</v>
      </c>
      <c r="D2825" t="s">
        <v>5027</v>
      </c>
      <c r="E2825" t="s">
        <v>5033</v>
      </c>
      <c r="F2825" t="s">
        <v>5038</v>
      </c>
      <c r="G2825" s="3">
        <v>8308.65</v>
      </c>
      <c r="H2825" s="3">
        <v>1080.1199999999999</v>
      </c>
      <c r="I2825" s="3">
        <f>SUM(Tabla1[[#This Row],[Monto_Base]],H2825)</f>
        <v>9388.77</v>
      </c>
      <c r="J2825" t="s">
        <v>5046</v>
      </c>
      <c r="K2825" t="s">
        <v>5048</v>
      </c>
      <c r="L2825" t="s">
        <v>5053</v>
      </c>
      <c r="M2825" t="s">
        <v>5055</v>
      </c>
    </row>
    <row r="2826" spans="1:13" x14ac:dyDescent="0.3">
      <c r="A2826" s="1">
        <v>45496</v>
      </c>
      <c r="B2826" s="1" t="str">
        <f>TEXT(Tabla1[[#This Row],[Fecha]],"MMMM")</f>
        <v>julio</v>
      </c>
      <c r="C2826" t="s">
        <v>2836</v>
      </c>
      <c r="D2826" t="s">
        <v>5029</v>
      </c>
      <c r="E2826" t="s">
        <v>5032</v>
      </c>
      <c r="F2826" t="s">
        <v>5038</v>
      </c>
      <c r="G2826" s="3">
        <v>6794.77</v>
      </c>
      <c r="H2826" s="3">
        <v>0</v>
      </c>
      <c r="I2826" s="3">
        <f>SUM(Tabla1[[#This Row],[Monto_Base]],H2826)</f>
        <v>6794.77</v>
      </c>
      <c r="J2826" t="s">
        <v>5042</v>
      </c>
      <c r="K2826" t="s">
        <v>5048</v>
      </c>
      <c r="L2826" t="s">
        <v>5053</v>
      </c>
      <c r="M2826" t="s">
        <v>5054</v>
      </c>
    </row>
    <row r="2827" spans="1:13" x14ac:dyDescent="0.3">
      <c r="A2827" s="1">
        <v>45644</v>
      </c>
      <c r="B2827" s="1" t="str">
        <f>TEXT(Tabla1[[#This Row],[Fecha]],"MMMM")</f>
        <v>diciembre</v>
      </c>
      <c r="C2827" t="s">
        <v>2837</v>
      </c>
      <c r="D2827" t="s">
        <v>5030</v>
      </c>
      <c r="E2827" t="s">
        <v>5032</v>
      </c>
      <c r="F2827" t="s">
        <v>5037</v>
      </c>
      <c r="G2827" s="3">
        <v>5912.53</v>
      </c>
      <c r="H2827" s="3">
        <v>0</v>
      </c>
      <c r="I2827" s="3">
        <f>SUM(Tabla1[[#This Row],[Monto_Base]],H2827)</f>
        <v>5912.53</v>
      </c>
      <c r="J2827" t="s">
        <v>5044</v>
      </c>
      <c r="K2827" t="s">
        <v>5047</v>
      </c>
      <c r="L2827" t="s">
        <v>5053</v>
      </c>
      <c r="M2827" t="s">
        <v>5054</v>
      </c>
    </row>
    <row r="2828" spans="1:13" x14ac:dyDescent="0.3">
      <c r="A2828" s="1">
        <v>45404</v>
      </c>
      <c r="B2828" s="1" t="str">
        <f>TEXT(Tabla1[[#This Row],[Fecha]],"MMMM")</f>
        <v>abril</v>
      </c>
      <c r="C2828" t="s">
        <v>2838</v>
      </c>
      <c r="D2828" t="s">
        <v>5020</v>
      </c>
      <c r="E2828" t="s">
        <v>5032</v>
      </c>
      <c r="F2828" t="s">
        <v>5037</v>
      </c>
      <c r="G2828" s="3">
        <v>12088.62</v>
      </c>
      <c r="H2828" s="3">
        <v>0</v>
      </c>
      <c r="I2828" s="3">
        <f>SUM(Tabla1[[#This Row],[Monto_Base]],H2828)</f>
        <v>12088.62</v>
      </c>
      <c r="J2828" t="s">
        <v>5042</v>
      </c>
      <c r="K2828" t="s">
        <v>5049</v>
      </c>
      <c r="L2828" t="s">
        <v>5050</v>
      </c>
      <c r="M2828" t="s">
        <v>5055</v>
      </c>
    </row>
    <row r="2829" spans="1:13" x14ac:dyDescent="0.3">
      <c r="A2829" s="1">
        <v>45491</v>
      </c>
      <c r="B2829" s="1" t="str">
        <f>TEXT(Tabla1[[#This Row],[Fecha]],"MMMM")</f>
        <v>julio</v>
      </c>
      <c r="C2829" t="s">
        <v>2839</v>
      </c>
      <c r="D2829" t="s">
        <v>5020</v>
      </c>
      <c r="E2829" t="s">
        <v>5032</v>
      </c>
      <c r="F2829" t="s">
        <v>5034</v>
      </c>
      <c r="G2829" s="3">
        <v>1157.33</v>
      </c>
      <c r="H2829" s="3">
        <v>0</v>
      </c>
      <c r="I2829" s="3">
        <f>SUM(Tabla1[[#This Row],[Monto_Base]],H2829)</f>
        <v>1157.33</v>
      </c>
      <c r="J2829" t="s">
        <v>5045</v>
      </c>
      <c r="K2829" t="s">
        <v>5048</v>
      </c>
      <c r="L2829" t="s">
        <v>5052</v>
      </c>
      <c r="M2829" t="s">
        <v>5054</v>
      </c>
    </row>
    <row r="2830" spans="1:13" x14ac:dyDescent="0.3">
      <c r="A2830" s="1">
        <v>45296</v>
      </c>
      <c r="B2830" s="1" t="str">
        <f>TEXT(Tabla1[[#This Row],[Fecha]],"MMMM")</f>
        <v>enero</v>
      </c>
      <c r="C2830" t="s">
        <v>2840</v>
      </c>
      <c r="D2830" t="s">
        <v>5013</v>
      </c>
      <c r="E2830" t="s">
        <v>5033</v>
      </c>
      <c r="F2830" t="s">
        <v>5034</v>
      </c>
      <c r="G2830" s="3">
        <v>8362.39</v>
      </c>
      <c r="H2830" s="3">
        <v>1087.1099999999999</v>
      </c>
      <c r="I2830" s="3">
        <f>SUM(Tabla1[[#This Row],[Monto_Base]],H2830)</f>
        <v>9449.5</v>
      </c>
      <c r="J2830" t="s">
        <v>5044</v>
      </c>
      <c r="K2830" t="s">
        <v>5048</v>
      </c>
      <c r="L2830" t="s">
        <v>5051</v>
      </c>
      <c r="M2830" t="s">
        <v>5055</v>
      </c>
    </row>
    <row r="2831" spans="1:13" x14ac:dyDescent="0.3">
      <c r="A2831" s="1">
        <v>45398</v>
      </c>
      <c r="B2831" s="1" t="str">
        <f>TEXT(Tabla1[[#This Row],[Fecha]],"MMMM")</f>
        <v>abril</v>
      </c>
      <c r="C2831" t="s">
        <v>2841</v>
      </c>
      <c r="D2831" t="s">
        <v>5031</v>
      </c>
      <c r="E2831" t="s">
        <v>5033</v>
      </c>
      <c r="F2831" t="s">
        <v>5034</v>
      </c>
      <c r="G2831" s="3">
        <v>7658.65</v>
      </c>
      <c r="H2831" s="3">
        <v>995.62</v>
      </c>
      <c r="I2831" s="3">
        <f>SUM(Tabla1[[#This Row],[Monto_Base]],H2831)</f>
        <v>8654.27</v>
      </c>
      <c r="J2831" t="s">
        <v>5044</v>
      </c>
      <c r="K2831" t="s">
        <v>5047</v>
      </c>
      <c r="L2831" t="s">
        <v>5051</v>
      </c>
      <c r="M2831" t="s">
        <v>5055</v>
      </c>
    </row>
    <row r="2832" spans="1:13" x14ac:dyDescent="0.3">
      <c r="A2832" s="1">
        <v>45593</v>
      </c>
      <c r="B2832" s="1" t="str">
        <f>TEXT(Tabla1[[#This Row],[Fecha]],"MMMM")</f>
        <v>octubre</v>
      </c>
      <c r="C2832" t="s">
        <v>2842</v>
      </c>
      <c r="D2832" t="s">
        <v>5023</v>
      </c>
      <c r="E2832" t="s">
        <v>5033</v>
      </c>
      <c r="F2832" t="s">
        <v>5038</v>
      </c>
      <c r="G2832" s="3">
        <v>4655.1899999999996</v>
      </c>
      <c r="H2832" s="3">
        <v>605.16999999999996</v>
      </c>
      <c r="I2832" s="3">
        <f>SUM(Tabla1[[#This Row],[Monto_Base]],H2832)</f>
        <v>5260.36</v>
      </c>
      <c r="J2832" t="s">
        <v>5045</v>
      </c>
      <c r="K2832" t="s">
        <v>5048</v>
      </c>
      <c r="L2832" t="s">
        <v>5050</v>
      </c>
      <c r="M2832" t="s">
        <v>5054</v>
      </c>
    </row>
    <row r="2833" spans="1:13" x14ac:dyDescent="0.3">
      <c r="A2833" s="1">
        <v>45414</v>
      </c>
      <c r="B2833" s="1" t="str">
        <f>TEXT(Tabla1[[#This Row],[Fecha]],"MMMM")</f>
        <v>mayo</v>
      </c>
      <c r="C2833" t="s">
        <v>2843</v>
      </c>
      <c r="D2833" t="s">
        <v>5024</v>
      </c>
      <c r="E2833" t="s">
        <v>5032</v>
      </c>
      <c r="F2833" t="s">
        <v>5041</v>
      </c>
      <c r="G2833" s="3">
        <v>1965.78</v>
      </c>
      <c r="H2833" s="3">
        <v>0</v>
      </c>
      <c r="I2833" s="3">
        <f>SUM(Tabla1[[#This Row],[Monto_Base]],H2833)</f>
        <v>1965.78</v>
      </c>
      <c r="J2833" t="s">
        <v>5042</v>
      </c>
      <c r="K2833" t="s">
        <v>5048</v>
      </c>
      <c r="L2833" t="s">
        <v>5053</v>
      </c>
      <c r="M2833" t="s">
        <v>5055</v>
      </c>
    </row>
    <row r="2834" spans="1:13" x14ac:dyDescent="0.3">
      <c r="A2834" s="1">
        <v>45356</v>
      </c>
      <c r="B2834" s="1" t="str">
        <f>TEXT(Tabla1[[#This Row],[Fecha]],"MMMM")</f>
        <v>marzo</v>
      </c>
      <c r="C2834" t="s">
        <v>2844</v>
      </c>
      <c r="D2834" t="s">
        <v>5024</v>
      </c>
      <c r="E2834" t="s">
        <v>5033</v>
      </c>
      <c r="F2834" t="s">
        <v>5040</v>
      </c>
      <c r="G2834" s="3">
        <v>10944.26</v>
      </c>
      <c r="H2834" s="3">
        <v>1422.75</v>
      </c>
      <c r="I2834" s="3">
        <f>SUM(Tabla1[[#This Row],[Monto_Base]],H2834)</f>
        <v>12367.01</v>
      </c>
      <c r="J2834" t="s">
        <v>5043</v>
      </c>
      <c r="K2834" t="s">
        <v>5048</v>
      </c>
      <c r="L2834" t="s">
        <v>5053</v>
      </c>
      <c r="M2834" t="s">
        <v>5055</v>
      </c>
    </row>
    <row r="2835" spans="1:13" x14ac:dyDescent="0.3">
      <c r="A2835" s="1">
        <v>45630</v>
      </c>
      <c r="B2835" s="1" t="str">
        <f>TEXT(Tabla1[[#This Row],[Fecha]],"MMMM")</f>
        <v>diciembre</v>
      </c>
      <c r="C2835" t="s">
        <v>2845</v>
      </c>
      <c r="D2835" t="s">
        <v>5016</v>
      </c>
      <c r="E2835" t="s">
        <v>5032</v>
      </c>
      <c r="F2835" t="s">
        <v>5040</v>
      </c>
      <c r="G2835" s="3">
        <v>5730.97</v>
      </c>
      <c r="H2835" s="3">
        <v>0</v>
      </c>
      <c r="I2835" s="3">
        <f>SUM(Tabla1[[#This Row],[Monto_Base]],H2835)</f>
        <v>5730.97</v>
      </c>
      <c r="J2835" t="s">
        <v>5046</v>
      </c>
      <c r="K2835" t="s">
        <v>5049</v>
      </c>
      <c r="L2835" t="s">
        <v>5052</v>
      </c>
      <c r="M2835" t="s">
        <v>5055</v>
      </c>
    </row>
    <row r="2836" spans="1:13" x14ac:dyDescent="0.3">
      <c r="A2836" s="1">
        <v>45348</v>
      </c>
      <c r="B2836" s="1" t="str">
        <f>TEXT(Tabla1[[#This Row],[Fecha]],"MMMM")</f>
        <v>febrero</v>
      </c>
      <c r="C2836" t="s">
        <v>2846</v>
      </c>
      <c r="D2836" t="s">
        <v>5026</v>
      </c>
      <c r="E2836" t="s">
        <v>5033</v>
      </c>
      <c r="F2836" t="s">
        <v>5035</v>
      </c>
      <c r="G2836" s="3">
        <v>11414.04</v>
      </c>
      <c r="H2836" s="3">
        <v>1483.83</v>
      </c>
      <c r="I2836" s="3">
        <f>SUM(Tabla1[[#This Row],[Monto_Base]],H2836)</f>
        <v>12897.87</v>
      </c>
      <c r="J2836" t="s">
        <v>5042</v>
      </c>
      <c r="K2836" t="s">
        <v>5047</v>
      </c>
      <c r="L2836" t="s">
        <v>5052</v>
      </c>
      <c r="M2836" t="s">
        <v>5054</v>
      </c>
    </row>
    <row r="2837" spans="1:13" x14ac:dyDescent="0.3">
      <c r="A2837" s="1">
        <v>45555</v>
      </c>
      <c r="B2837" s="1" t="str">
        <f>TEXT(Tabla1[[#This Row],[Fecha]],"MMMM")</f>
        <v>septiembre</v>
      </c>
      <c r="C2837" t="s">
        <v>2847</v>
      </c>
      <c r="D2837" t="s">
        <v>5024</v>
      </c>
      <c r="E2837" t="s">
        <v>5033</v>
      </c>
      <c r="F2837" t="s">
        <v>5037</v>
      </c>
      <c r="G2837" s="3">
        <v>13479.25</v>
      </c>
      <c r="H2837" s="3">
        <v>1752.3</v>
      </c>
      <c r="I2837" s="3">
        <f>SUM(Tabla1[[#This Row],[Monto_Base]],H2837)</f>
        <v>15231.55</v>
      </c>
      <c r="J2837" t="s">
        <v>5044</v>
      </c>
      <c r="K2837" t="s">
        <v>5048</v>
      </c>
      <c r="L2837" t="s">
        <v>5051</v>
      </c>
      <c r="M2837" t="s">
        <v>5055</v>
      </c>
    </row>
    <row r="2838" spans="1:13" x14ac:dyDescent="0.3">
      <c r="A2838" s="1">
        <v>45496</v>
      </c>
      <c r="B2838" s="1" t="str">
        <f>TEXT(Tabla1[[#This Row],[Fecha]],"MMMM")</f>
        <v>julio</v>
      </c>
      <c r="C2838" t="s">
        <v>2848</v>
      </c>
      <c r="D2838" t="s">
        <v>5019</v>
      </c>
      <c r="E2838" t="s">
        <v>5032</v>
      </c>
      <c r="F2838" t="s">
        <v>5035</v>
      </c>
      <c r="G2838" s="3">
        <v>9181.64</v>
      </c>
      <c r="H2838" s="3">
        <v>0</v>
      </c>
      <c r="I2838" s="3">
        <f>SUM(Tabla1[[#This Row],[Monto_Base]],H2838)</f>
        <v>9181.64</v>
      </c>
      <c r="J2838" t="s">
        <v>5044</v>
      </c>
      <c r="K2838" t="s">
        <v>5048</v>
      </c>
      <c r="L2838" t="s">
        <v>5052</v>
      </c>
      <c r="M2838" t="s">
        <v>5055</v>
      </c>
    </row>
    <row r="2839" spans="1:13" x14ac:dyDescent="0.3">
      <c r="A2839" s="1">
        <v>45332</v>
      </c>
      <c r="B2839" s="1" t="str">
        <f>TEXT(Tabla1[[#This Row],[Fecha]],"MMMM")</f>
        <v>febrero</v>
      </c>
      <c r="C2839" t="s">
        <v>2849</v>
      </c>
      <c r="D2839" t="s">
        <v>5029</v>
      </c>
      <c r="E2839" t="s">
        <v>5032</v>
      </c>
      <c r="F2839" t="s">
        <v>5041</v>
      </c>
      <c r="G2839" s="3">
        <v>5054.1099999999997</v>
      </c>
      <c r="H2839" s="3">
        <v>0</v>
      </c>
      <c r="I2839" s="3">
        <f>SUM(Tabla1[[#This Row],[Monto_Base]],H2839)</f>
        <v>5054.1099999999997</v>
      </c>
      <c r="J2839" t="s">
        <v>5046</v>
      </c>
      <c r="K2839" t="s">
        <v>5048</v>
      </c>
      <c r="L2839" t="s">
        <v>5052</v>
      </c>
      <c r="M2839" t="s">
        <v>5054</v>
      </c>
    </row>
    <row r="2840" spans="1:13" x14ac:dyDescent="0.3">
      <c r="A2840" s="1">
        <v>45373</v>
      </c>
      <c r="B2840" s="1" t="str">
        <f>TEXT(Tabla1[[#This Row],[Fecha]],"MMMM")</f>
        <v>marzo</v>
      </c>
      <c r="C2840" t="s">
        <v>2850</v>
      </c>
      <c r="D2840" t="s">
        <v>5020</v>
      </c>
      <c r="E2840" t="s">
        <v>5032</v>
      </c>
      <c r="F2840" t="s">
        <v>5040</v>
      </c>
      <c r="G2840" s="3">
        <v>9015.52</v>
      </c>
      <c r="H2840" s="3">
        <v>0</v>
      </c>
      <c r="I2840" s="3">
        <f>SUM(Tabla1[[#This Row],[Monto_Base]],H2840)</f>
        <v>9015.52</v>
      </c>
      <c r="J2840" t="s">
        <v>5042</v>
      </c>
      <c r="K2840" t="s">
        <v>5049</v>
      </c>
      <c r="L2840" t="s">
        <v>5050</v>
      </c>
      <c r="M2840" t="s">
        <v>5055</v>
      </c>
    </row>
    <row r="2841" spans="1:13" x14ac:dyDescent="0.3">
      <c r="A2841" s="1">
        <v>45441</v>
      </c>
      <c r="B2841" s="1" t="str">
        <f>TEXT(Tabla1[[#This Row],[Fecha]],"MMMM")</f>
        <v>mayo</v>
      </c>
      <c r="C2841" t="s">
        <v>2851</v>
      </c>
      <c r="D2841" t="s">
        <v>5029</v>
      </c>
      <c r="E2841" t="s">
        <v>5033</v>
      </c>
      <c r="F2841" t="s">
        <v>5036</v>
      </c>
      <c r="G2841" s="3">
        <v>10601.02</v>
      </c>
      <c r="H2841" s="3">
        <v>1378.13</v>
      </c>
      <c r="I2841" s="3">
        <f>SUM(Tabla1[[#This Row],[Monto_Base]],H2841)</f>
        <v>11979.150000000001</v>
      </c>
      <c r="J2841" t="s">
        <v>5042</v>
      </c>
      <c r="K2841" t="s">
        <v>5048</v>
      </c>
      <c r="L2841" t="s">
        <v>5052</v>
      </c>
      <c r="M2841" t="s">
        <v>5055</v>
      </c>
    </row>
    <row r="2842" spans="1:13" x14ac:dyDescent="0.3">
      <c r="A2842" s="1">
        <v>45608</v>
      </c>
      <c r="B2842" s="1" t="str">
        <f>TEXT(Tabla1[[#This Row],[Fecha]],"MMMM")</f>
        <v>noviembre</v>
      </c>
      <c r="C2842" t="s">
        <v>2852</v>
      </c>
      <c r="D2842" t="s">
        <v>5020</v>
      </c>
      <c r="E2842" t="s">
        <v>5033</v>
      </c>
      <c r="F2842" t="s">
        <v>5036</v>
      </c>
      <c r="G2842" s="3">
        <v>11859.14</v>
      </c>
      <c r="H2842" s="3">
        <v>1541.69</v>
      </c>
      <c r="I2842" s="3">
        <f>SUM(Tabla1[[#This Row],[Monto_Base]],H2842)</f>
        <v>13400.83</v>
      </c>
      <c r="J2842" t="s">
        <v>5043</v>
      </c>
      <c r="K2842" t="s">
        <v>5048</v>
      </c>
      <c r="L2842" t="s">
        <v>5051</v>
      </c>
      <c r="M2842" t="s">
        <v>5055</v>
      </c>
    </row>
    <row r="2843" spans="1:13" x14ac:dyDescent="0.3">
      <c r="A2843" s="1">
        <v>45328</v>
      </c>
      <c r="B2843" s="1" t="str">
        <f>TEXT(Tabla1[[#This Row],[Fecha]],"MMMM")</f>
        <v>febrero</v>
      </c>
      <c r="C2843" t="s">
        <v>2853</v>
      </c>
      <c r="D2843" t="s">
        <v>5021</v>
      </c>
      <c r="E2843" t="s">
        <v>5032</v>
      </c>
      <c r="F2843" t="s">
        <v>5040</v>
      </c>
      <c r="G2843" s="3">
        <v>11817.6</v>
      </c>
      <c r="H2843" s="3">
        <v>0</v>
      </c>
      <c r="I2843" s="3">
        <f>SUM(Tabla1[[#This Row],[Monto_Base]],H2843)</f>
        <v>11817.6</v>
      </c>
      <c r="J2843" t="s">
        <v>5044</v>
      </c>
      <c r="K2843" t="s">
        <v>5049</v>
      </c>
      <c r="L2843" t="s">
        <v>5050</v>
      </c>
      <c r="M2843" t="s">
        <v>5055</v>
      </c>
    </row>
    <row r="2844" spans="1:13" x14ac:dyDescent="0.3">
      <c r="A2844" s="1">
        <v>45510</v>
      </c>
      <c r="B2844" s="1" t="str">
        <f>TEXT(Tabla1[[#This Row],[Fecha]],"MMMM")</f>
        <v>agosto</v>
      </c>
      <c r="C2844" t="s">
        <v>2854</v>
      </c>
      <c r="D2844" t="s">
        <v>5031</v>
      </c>
      <c r="E2844" t="s">
        <v>5032</v>
      </c>
      <c r="F2844" t="s">
        <v>5041</v>
      </c>
      <c r="G2844" s="3">
        <v>7964.36</v>
      </c>
      <c r="H2844" s="3">
        <v>0</v>
      </c>
      <c r="I2844" s="3">
        <f>SUM(Tabla1[[#This Row],[Monto_Base]],H2844)</f>
        <v>7964.36</v>
      </c>
      <c r="J2844" t="s">
        <v>5046</v>
      </c>
      <c r="K2844" t="s">
        <v>5049</v>
      </c>
      <c r="L2844" t="s">
        <v>5053</v>
      </c>
      <c r="M2844" t="s">
        <v>5054</v>
      </c>
    </row>
    <row r="2845" spans="1:13" x14ac:dyDescent="0.3">
      <c r="A2845" s="1">
        <v>45494</v>
      </c>
      <c r="B2845" s="1" t="str">
        <f>TEXT(Tabla1[[#This Row],[Fecha]],"MMMM")</f>
        <v>julio</v>
      </c>
      <c r="C2845" t="s">
        <v>2855</v>
      </c>
      <c r="D2845" t="s">
        <v>5015</v>
      </c>
      <c r="E2845" t="s">
        <v>5033</v>
      </c>
      <c r="F2845" t="s">
        <v>5035</v>
      </c>
      <c r="G2845" s="3">
        <v>12534.3</v>
      </c>
      <c r="H2845" s="3">
        <v>1629.46</v>
      </c>
      <c r="I2845" s="3">
        <f>SUM(Tabla1[[#This Row],[Monto_Base]],H2845)</f>
        <v>14163.759999999998</v>
      </c>
      <c r="J2845" t="s">
        <v>5046</v>
      </c>
      <c r="K2845" t="s">
        <v>5047</v>
      </c>
      <c r="L2845" t="s">
        <v>5053</v>
      </c>
      <c r="M2845" t="s">
        <v>5055</v>
      </c>
    </row>
    <row r="2846" spans="1:13" x14ac:dyDescent="0.3">
      <c r="A2846" s="1">
        <v>45560</v>
      </c>
      <c r="B2846" s="1" t="str">
        <f>TEXT(Tabla1[[#This Row],[Fecha]],"MMMM")</f>
        <v>septiembre</v>
      </c>
      <c r="C2846" t="s">
        <v>2856</v>
      </c>
      <c r="D2846" t="s">
        <v>5028</v>
      </c>
      <c r="E2846" t="s">
        <v>5033</v>
      </c>
      <c r="F2846" t="s">
        <v>5038</v>
      </c>
      <c r="G2846" s="3">
        <v>2211.52</v>
      </c>
      <c r="H2846" s="3">
        <v>287.5</v>
      </c>
      <c r="I2846" s="3">
        <f>SUM(Tabla1[[#This Row],[Monto_Base]],H2846)</f>
        <v>2499.02</v>
      </c>
      <c r="J2846" t="s">
        <v>5044</v>
      </c>
      <c r="K2846" t="s">
        <v>5049</v>
      </c>
      <c r="L2846" t="s">
        <v>5052</v>
      </c>
      <c r="M2846" t="s">
        <v>5055</v>
      </c>
    </row>
    <row r="2847" spans="1:13" x14ac:dyDescent="0.3">
      <c r="A2847" s="1">
        <v>45582</v>
      </c>
      <c r="B2847" s="1" t="str">
        <f>TEXT(Tabla1[[#This Row],[Fecha]],"MMMM")</f>
        <v>octubre</v>
      </c>
      <c r="C2847" t="s">
        <v>2857</v>
      </c>
      <c r="D2847" t="s">
        <v>5018</v>
      </c>
      <c r="E2847" t="s">
        <v>5032</v>
      </c>
      <c r="F2847" t="s">
        <v>5037</v>
      </c>
      <c r="G2847" s="3">
        <v>8321.7900000000009</v>
      </c>
      <c r="H2847" s="3">
        <v>0</v>
      </c>
      <c r="I2847" s="3">
        <f>SUM(Tabla1[[#This Row],[Monto_Base]],H2847)</f>
        <v>8321.7900000000009</v>
      </c>
      <c r="J2847" t="s">
        <v>5042</v>
      </c>
      <c r="K2847" t="s">
        <v>5048</v>
      </c>
      <c r="L2847" t="s">
        <v>5050</v>
      </c>
      <c r="M2847" t="s">
        <v>5054</v>
      </c>
    </row>
    <row r="2848" spans="1:13" x14ac:dyDescent="0.3">
      <c r="A2848" s="1">
        <v>45396</v>
      </c>
      <c r="B2848" s="1" t="str">
        <f>TEXT(Tabla1[[#This Row],[Fecha]],"MMMM")</f>
        <v>abril</v>
      </c>
      <c r="C2848" t="s">
        <v>2858</v>
      </c>
      <c r="D2848" t="s">
        <v>5023</v>
      </c>
      <c r="E2848" t="s">
        <v>5033</v>
      </c>
      <c r="F2848" t="s">
        <v>5038</v>
      </c>
      <c r="G2848" s="3">
        <v>171.19</v>
      </c>
      <c r="H2848" s="3">
        <v>22.25</v>
      </c>
      <c r="I2848" s="3">
        <f>SUM(Tabla1[[#This Row],[Monto_Base]],H2848)</f>
        <v>193.44</v>
      </c>
      <c r="J2848" t="s">
        <v>5046</v>
      </c>
      <c r="K2848" t="s">
        <v>5048</v>
      </c>
      <c r="L2848" t="s">
        <v>5053</v>
      </c>
      <c r="M2848" t="s">
        <v>5054</v>
      </c>
    </row>
    <row r="2849" spans="1:13" x14ac:dyDescent="0.3">
      <c r="A2849" s="1">
        <v>45561</v>
      </c>
      <c r="B2849" s="1" t="str">
        <f>TEXT(Tabla1[[#This Row],[Fecha]],"MMMM")</f>
        <v>septiembre</v>
      </c>
      <c r="C2849" t="s">
        <v>2859</v>
      </c>
      <c r="D2849" t="s">
        <v>5024</v>
      </c>
      <c r="E2849" t="s">
        <v>5032</v>
      </c>
      <c r="F2849" t="s">
        <v>5034</v>
      </c>
      <c r="G2849" s="3">
        <v>5652.18</v>
      </c>
      <c r="H2849" s="3">
        <v>0</v>
      </c>
      <c r="I2849" s="3">
        <f>SUM(Tabla1[[#This Row],[Monto_Base]],H2849)</f>
        <v>5652.18</v>
      </c>
      <c r="J2849" t="s">
        <v>5043</v>
      </c>
      <c r="K2849" t="s">
        <v>5048</v>
      </c>
      <c r="L2849" t="s">
        <v>5050</v>
      </c>
      <c r="M2849" t="s">
        <v>5054</v>
      </c>
    </row>
    <row r="2850" spans="1:13" x14ac:dyDescent="0.3">
      <c r="A2850" s="1">
        <v>45300</v>
      </c>
      <c r="B2850" s="1" t="str">
        <f>TEXT(Tabla1[[#This Row],[Fecha]],"MMMM")</f>
        <v>enero</v>
      </c>
      <c r="C2850" t="s">
        <v>2860</v>
      </c>
      <c r="D2850" t="s">
        <v>5020</v>
      </c>
      <c r="E2850" t="s">
        <v>5032</v>
      </c>
      <c r="F2850" t="s">
        <v>5038</v>
      </c>
      <c r="G2850" s="3">
        <v>6281.59</v>
      </c>
      <c r="H2850" s="3">
        <v>0</v>
      </c>
      <c r="I2850" s="3">
        <f>SUM(Tabla1[[#This Row],[Monto_Base]],H2850)</f>
        <v>6281.59</v>
      </c>
      <c r="J2850" t="s">
        <v>5044</v>
      </c>
      <c r="K2850" t="s">
        <v>5047</v>
      </c>
      <c r="L2850" t="s">
        <v>5052</v>
      </c>
      <c r="M2850" t="s">
        <v>5055</v>
      </c>
    </row>
    <row r="2851" spans="1:13" x14ac:dyDescent="0.3">
      <c r="A2851" s="1">
        <v>45498</v>
      </c>
      <c r="B2851" s="1" t="str">
        <f>TEXT(Tabla1[[#This Row],[Fecha]],"MMMM")</f>
        <v>julio</v>
      </c>
      <c r="C2851" t="s">
        <v>2861</v>
      </c>
      <c r="D2851" t="s">
        <v>5031</v>
      </c>
      <c r="E2851" t="s">
        <v>5032</v>
      </c>
      <c r="F2851" t="s">
        <v>5041</v>
      </c>
      <c r="G2851" s="3">
        <v>12844.09</v>
      </c>
      <c r="H2851" s="3">
        <v>0</v>
      </c>
      <c r="I2851" s="3">
        <f>SUM(Tabla1[[#This Row],[Monto_Base]],H2851)</f>
        <v>12844.09</v>
      </c>
      <c r="J2851" t="s">
        <v>5046</v>
      </c>
      <c r="K2851" t="s">
        <v>5048</v>
      </c>
      <c r="L2851" t="s">
        <v>5052</v>
      </c>
      <c r="M2851" t="s">
        <v>5054</v>
      </c>
    </row>
    <row r="2852" spans="1:13" x14ac:dyDescent="0.3">
      <c r="A2852" s="1">
        <v>45324</v>
      </c>
      <c r="B2852" s="1" t="str">
        <f>TEXT(Tabla1[[#This Row],[Fecha]],"MMMM")</f>
        <v>febrero</v>
      </c>
      <c r="C2852" t="s">
        <v>2862</v>
      </c>
      <c r="D2852" t="s">
        <v>5024</v>
      </c>
      <c r="E2852" t="s">
        <v>5032</v>
      </c>
      <c r="F2852" t="s">
        <v>5038</v>
      </c>
      <c r="G2852" s="3">
        <v>9379.56</v>
      </c>
      <c r="H2852" s="3">
        <v>0</v>
      </c>
      <c r="I2852" s="3">
        <f>SUM(Tabla1[[#This Row],[Monto_Base]],H2852)</f>
        <v>9379.56</v>
      </c>
      <c r="J2852" t="s">
        <v>5045</v>
      </c>
      <c r="K2852" t="s">
        <v>5049</v>
      </c>
      <c r="L2852" t="s">
        <v>5052</v>
      </c>
      <c r="M2852" t="s">
        <v>5055</v>
      </c>
    </row>
    <row r="2853" spans="1:13" x14ac:dyDescent="0.3">
      <c r="A2853" s="1">
        <v>45379</v>
      </c>
      <c r="B2853" s="1" t="str">
        <f>TEXT(Tabla1[[#This Row],[Fecha]],"MMMM")</f>
        <v>marzo</v>
      </c>
      <c r="C2853" t="s">
        <v>2863</v>
      </c>
      <c r="D2853" t="s">
        <v>5025</v>
      </c>
      <c r="E2853" t="s">
        <v>5033</v>
      </c>
      <c r="F2853" t="s">
        <v>5040</v>
      </c>
      <c r="G2853" s="3">
        <v>11081.05</v>
      </c>
      <c r="H2853" s="3">
        <v>1440.54</v>
      </c>
      <c r="I2853" s="3">
        <f>SUM(Tabla1[[#This Row],[Monto_Base]],H2853)</f>
        <v>12521.59</v>
      </c>
      <c r="J2853" t="s">
        <v>5045</v>
      </c>
      <c r="K2853" t="s">
        <v>5048</v>
      </c>
      <c r="L2853" t="s">
        <v>5051</v>
      </c>
      <c r="M2853" t="s">
        <v>5054</v>
      </c>
    </row>
    <row r="2854" spans="1:13" x14ac:dyDescent="0.3">
      <c r="A2854" s="1">
        <v>45455</v>
      </c>
      <c r="B2854" s="1" t="str">
        <f>TEXT(Tabla1[[#This Row],[Fecha]],"MMMM")</f>
        <v>junio</v>
      </c>
      <c r="C2854" t="s">
        <v>2864</v>
      </c>
      <c r="D2854" t="s">
        <v>5012</v>
      </c>
      <c r="E2854" t="s">
        <v>5032</v>
      </c>
      <c r="F2854" t="s">
        <v>5041</v>
      </c>
      <c r="G2854" s="3">
        <v>5135.75</v>
      </c>
      <c r="H2854" s="3">
        <v>0</v>
      </c>
      <c r="I2854" s="3">
        <f>SUM(Tabla1[[#This Row],[Monto_Base]],H2854)</f>
        <v>5135.75</v>
      </c>
      <c r="J2854" t="s">
        <v>5042</v>
      </c>
      <c r="K2854" t="s">
        <v>5047</v>
      </c>
      <c r="L2854" t="s">
        <v>5053</v>
      </c>
      <c r="M2854" t="s">
        <v>5054</v>
      </c>
    </row>
    <row r="2855" spans="1:13" x14ac:dyDescent="0.3">
      <c r="A2855" s="1">
        <v>45602</v>
      </c>
      <c r="B2855" s="1" t="str">
        <f>TEXT(Tabla1[[#This Row],[Fecha]],"MMMM")</f>
        <v>noviembre</v>
      </c>
      <c r="C2855" t="s">
        <v>2865</v>
      </c>
      <c r="D2855" t="s">
        <v>5028</v>
      </c>
      <c r="E2855" t="s">
        <v>5032</v>
      </c>
      <c r="F2855" t="s">
        <v>5038</v>
      </c>
      <c r="G2855" s="3">
        <v>3302.28</v>
      </c>
      <c r="H2855" s="3">
        <v>0</v>
      </c>
      <c r="I2855" s="3">
        <f>SUM(Tabla1[[#This Row],[Monto_Base]],H2855)</f>
        <v>3302.28</v>
      </c>
      <c r="J2855" t="s">
        <v>5044</v>
      </c>
      <c r="K2855" t="s">
        <v>5048</v>
      </c>
      <c r="L2855" t="s">
        <v>5050</v>
      </c>
      <c r="M2855" t="s">
        <v>5055</v>
      </c>
    </row>
    <row r="2856" spans="1:13" x14ac:dyDescent="0.3">
      <c r="A2856" s="1">
        <v>45303</v>
      </c>
      <c r="B2856" s="1" t="str">
        <f>TEXT(Tabla1[[#This Row],[Fecha]],"MMMM")</f>
        <v>enero</v>
      </c>
      <c r="C2856" t="s">
        <v>2866</v>
      </c>
      <c r="D2856" t="s">
        <v>5019</v>
      </c>
      <c r="E2856" t="s">
        <v>5033</v>
      </c>
      <c r="F2856" t="s">
        <v>5041</v>
      </c>
      <c r="G2856" s="3">
        <v>8439.6200000000008</v>
      </c>
      <c r="H2856" s="3">
        <v>1097.1500000000001</v>
      </c>
      <c r="I2856" s="3">
        <f>SUM(Tabla1[[#This Row],[Monto_Base]],H2856)</f>
        <v>9536.77</v>
      </c>
      <c r="J2856" t="s">
        <v>5043</v>
      </c>
      <c r="K2856" t="s">
        <v>5048</v>
      </c>
      <c r="L2856" t="s">
        <v>5053</v>
      </c>
      <c r="M2856" t="s">
        <v>5054</v>
      </c>
    </row>
    <row r="2857" spans="1:13" x14ac:dyDescent="0.3">
      <c r="A2857" s="1">
        <v>45370</v>
      </c>
      <c r="B2857" s="1" t="str">
        <f>TEXT(Tabla1[[#This Row],[Fecha]],"MMMM")</f>
        <v>marzo</v>
      </c>
      <c r="C2857" t="s">
        <v>2867</v>
      </c>
      <c r="D2857" t="s">
        <v>5018</v>
      </c>
      <c r="E2857" t="s">
        <v>5032</v>
      </c>
      <c r="F2857" t="s">
        <v>5040</v>
      </c>
      <c r="G2857" s="3">
        <v>5586.36</v>
      </c>
      <c r="H2857" s="3">
        <v>0</v>
      </c>
      <c r="I2857" s="3">
        <f>SUM(Tabla1[[#This Row],[Monto_Base]],H2857)</f>
        <v>5586.36</v>
      </c>
      <c r="J2857" t="s">
        <v>5042</v>
      </c>
      <c r="K2857" t="s">
        <v>5049</v>
      </c>
      <c r="L2857" t="s">
        <v>5051</v>
      </c>
      <c r="M2857" t="s">
        <v>5055</v>
      </c>
    </row>
    <row r="2858" spans="1:13" x14ac:dyDescent="0.3">
      <c r="A2858" s="1">
        <v>45343</v>
      </c>
      <c r="B2858" s="1" t="str">
        <f>TEXT(Tabla1[[#This Row],[Fecha]],"MMMM")</f>
        <v>febrero</v>
      </c>
      <c r="C2858" t="s">
        <v>2868</v>
      </c>
      <c r="D2858" t="s">
        <v>5021</v>
      </c>
      <c r="E2858" t="s">
        <v>5033</v>
      </c>
      <c r="F2858" t="s">
        <v>5040</v>
      </c>
      <c r="G2858" s="3">
        <v>3129.83</v>
      </c>
      <c r="H2858" s="3">
        <v>406.88</v>
      </c>
      <c r="I2858" s="3">
        <f>SUM(Tabla1[[#This Row],[Monto_Base]],H2858)</f>
        <v>3536.71</v>
      </c>
      <c r="J2858" t="s">
        <v>5043</v>
      </c>
      <c r="K2858" t="s">
        <v>5048</v>
      </c>
      <c r="L2858" t="s">
        <v>5052</v>
      </c>
      <c r="M2858" t="s">
        <v>5054</v>
      </c>
    </row>
    <row r="2859" spans="1:13" x14ac:dyDescent="0.3">
      <c r="A2859" s="1">
        <v>45514</v>
      </c>
      <c r="B2859" s="1" t="str">
        <f>TEXT(Tabla1[[#This Row],[Fecha]],"MMMM")</f>
        <v>agosto</v>
      </c>
      <c r="C2859" t="s">
        <v>2869</v>
      </c>
      <c r="D2859" t="s">
        <v>5014</v>
      </c>
      <c r="E2859" t="s">
        <v>5032</v>
      </c>
      <c r="F2859" t="s">
        <v>5038</v>
      </c>
      <c r="G2859" s="3">
        <v>6627.62</v>
      </c>
      <c r="H2859" s="3">
        <v>0</v>
      </c>
      <c r="I2859" s="3">
        <f>SUM(Tabla1[[#This Row],[Monto_Base]],H2859)</f>
        <v>6627.62</v>
      </c>
      <c r="J2859" t="s">
        <v>5044</v>
      </c>
      <c r="K2859" t="s">
        <v>5048</v>
      </c>
      <c r="L2859" t="s">
        <v>5051</v>
      </c>
      <c r="M2859" t="s">
        <v>5054</v>
      </c>
    </row>
    <row r="2860" spans="1:13" x14ac:dyDescent="0.3">
      <c r="A2860" s="1">
        <v>45605</v>
      </c>
      <c r="B2860" s="1" t="str">
        <f>TEXT(Tabla1[[#This Row],[Fecha]],"MMMM")</f>
        <v>noviembre</v>
      </c>
      <c r="C2860" t="s">
        <v>2870</v>
      </c>
      <c r="D2860" t="s">
        <v>5022</v>
      </c>
      <c r="E2860" t="s">
        <v>5032</v>
      </c>
      <c r="F2860" t="s">
        <v>5040</v>
      </c>
      <c r="G2860" s="3">
        <v>4579.74</v>
      </c>
      <c r="H2860" s="3">
        <v>0</v>
      </c>
      <c r="I2860" s="3">
        <f>SUM(Tabla1[[#This Row],[Monto_Base]],H2860)</f>
        <v>4579.74</v>
      </c>
      <c r="J2860" t="s">
        <v>5044</v>
      </c>
      <c r="K2860" t="s">
        <v>5049</v>
      </c>
      <c r="L2860" t="s">
        <v>5052</v>
      </c>
      <c r="M2860" t="s">
        <v>5055</v>
      </c>
    </row>
    <row r="2861" spans="1:13" x14ac:dyDescent="0.3">
      <c r="A2861" s="1">
        <v>45502</v>
      </c>
      <c r="B2861" s="1" t="str">
        <f>TEXT(Tabla1[[#This Row],[Fecha]],"MMMM")</f>
        <v>julio</v>
      </c>
      <c r="C2861" t="s">
        <v>2871</v>
      </c>
      <c r="D2861" t="s">
        <v>5027</v>
      </c>
      <c r="E2861" t="s">
        <v>5032</v>
      </c>
      <c r="F2861" t="s">
        <v>5041</v>
      </c>
      <c r="G2861" s="3">
        <v>1572.64</v>
      </c>
      <c r="H2861" s="3">
        <v>0</v>
      </c>
      <c r="I2861" s="3">
        <f>SUM(Tabla1[[#This Row],[Monto_Base]],H2861)</f>
        <v>1572.64</v>
      </c>
      <c r="J2861" t="s">
        <v>5042</v>
      </c>
      <c r="K2861" t="s">
        <v>5047</v>
      </c>
      <c r="L2861" t="s">
        <v>5052</v>
      </c>
      <c r="M2861" t="s">
        <v>5054</v>
      </c>
    </row>
    <row r="2862" spans="1:13" x14ac:dyDescent="0.3">
      <c r="A2862" s="1">
        <v>45647</v>
      </c>
      <c r="B2862" s="1" t="str">
        <f>TEXT(Tabla1[[#This Row],[Fecha]],"MMMM")</f>
        <v>diciembre</v>
      </c>
      <c r="C2862" t="s">
        <v>2872</v>
      </c>
      <c r="D2862" t="s">
        <v>5014</v>
      </c>
      <c r="E2862" t="s">
        <v>5033</v>
      </c>
      <c r="F2862" t="s">
        <v>5041</v>
      </c>
      <c r="G2862" s="3">
        <v>6103.48</v>
      </c>
      <c r="H2862" s="3">
        <v>793.45</v>
      </c>
      <c r="I2862" s="3">
        <f>SUM(Tabla1[[#This Row],[Monto_Base]],H2862)</f>
        <v>6896.9299999999994</v>
      </c>
      <c r="J2862" t="s">
        <v>5046</v>
      </c>
      <c r="K2862" t="s">
        <v>5048</v>
      </c>
      <c r="L2862" t="s">
        <v>5053</v>
      </c>
      <c r="M2862" t="s">
        <v>5055</v>
      </c>
    </row>
    <row r="2863" spans="1:13" x14ac:dyDescent="0.3">
      <c r="A2863" s="1">
        <v>45318</v>
      </c>
      <c r="B2863" s="1" t="str">
        <f>TEXT(Tabla1[[#This Row],[Fecha]],"MMMM")</f>
        <v>enero</v>
      </c>
      <c r="C2863" t="s">
        <v>2873</v>
      </c>
      <c r="D2863" t="s">
        <v>5015</v>
      </c>
      <c r="E2863" t="s">
        <v>5032</v>
      </c>
      <c r="F2863" t="s">
        <v>5041</v>
      </c>
      <c r="G2863" s="3">
        <v>1918.59</v>
      </c>
      <c r="H2863" s="3">
        <v>0</v>
      </c>
      <c r="I2863" s="3">
        <f>SUM(Tabla1[[#This Row],[Monto_Base]],H2863)</f>
        <v>1918.59</v>
      </c>
      <c r="J2863" t="s">
        <v>5045</v>
      </c>
      <c r="K2863" t="s">
        <v>5047</v>
      </c>
      <c r="L2863" t="s">
        <v>5053</v>
      </c>
      <c r="M2863" t="s">
        <v>5055</v>
      </c>
    </row>
    <row r="2864" spans="1:13" x14ac:dyDescent="0.3">
      <c r="A2864" s="1">
        <v>45606</v>
      </c>
      <c r="B2864" s="1" t="str">
        <f>TEXT(Tabla1[[#This Row],[Fecha]],"MMMM")</f>
        <v>noviembre</v>
      </c>
      <c r="C2864" t="s">
        <v>2874</v>
      </c>
      <c r="D2864" t="s">
        <v>5025</v>
      </c>
      <c r="E2864" t="s">
        <v>5032</v>
      </c>
      <c r="F2864" t="s">
        <v>5034</v>
      </c>
      <c r="G2864" s="3">
        <v>11509.17</v>
      </c>
      <c r="H2864" s="3">
        <v>0</v>
      </c>
      <c r="I2864" s="3">
        <f>SUM(Tabla1[[#This Row],[Monto_Base]],H2864)</f>
        <v>11509.17</v>
      </c>
      <c r="J2864" t="s">
        <v>5044</v>
      </c>
      <c r="K2864" t="s">
        <v>5047</v>
      </c>
      <c r="L2864" t="s">
        <v>5053</v>
      </c>
      <c r="M2864" t="s">
        <v>5055</v>
      </c>
    </row>
    <row r="2865" spans="1:13" x14ac:dyDescent="0.3">
      <c r="A2865" s="1">
        <v>45531</v>
      </c>
      <c r="B2865" s="1" t="str">
        <f>TEXT(Tabla1[[#This Row],[Fecha]],"MMMM")</f>
        <v>agosto</v>
      </c>
      <c r="C2865" t="s">
        <v>2875</v>
      </c>
      <c r="D2865" t="s">
        <v>5028</v>
      </c>
      <c r="E2865" t="s">
        <v>5033</v>
      </c>
      <c r="F2865" t="s">
        <v>5040</v>
      </c>
      <c r="G2865" s="3">
        <v>14141.63</v>
      </c>
      <c r="H2865" s="3">
        <v>1838.41</v>
      </c>
      <c r="I2865" s="3">
        <f>SUM(Tabla1[[#This Row],[Monto_Base]],H2865)</f>
        <v>15980.039999999999</v>
      </c>
      <c r="J2865" t="s">
        <v>5042</v>
      </c>
      <c r="K2865" t="s">
        <v>5048</v>
      </c>
      <c r="L2865" t="s">
        <v>5050</v>
      </c>
      <c r="M2865" t="s">
        <v>5055</v>
      </c>
    </row>
    <row r="2866" spans="1:13" x14ac:dyDescent="0.3">
      <c r="A2866" s="1">
        <v>45616</v>
      </c>
      <c r="B2866" s="1" t="str">
        <f>TEXT(Tabla1[[#This Row],[Fecha]],"MMMM")</f>
        <v>noviembre</v>
      </c>
      <c r="C2866" t="s">
        <v>2876</v>
      </c>
      <c r="D2866" t="s">
        <v>5017</v>
      </c>
      <c r="E2866" t="s">
        <v>5032</v>
      </c>
      <c r="F2866" t="s">
        <v>5038</v>
      </c>
      <c r="G2866" s="3">
        <v>9739.9599999999991</v>
      </c>
      <c r="H2866" s="3">
        <v>0</v>
      </c>
      <c r="I2866" s="3">
        <f>SUM(Tabla1[[#This Row],[Monto_Base]],H2866)</f>
        <v>9739.9599999999991</v>
      </c>
      <c r="J2866" t="s">
        <v>5043</v>
      </c>
      <c r="K2866" t="s">
        <v>5048</v>
      </c>
      <c r="L2866" t="s">
        <v>5053</v>
      </c>
      <c r="M2866" t="s">
        <v>5055</v>
      </c>
    </row>
    <row r="2867" spans="1:13" x14ac:dyDescent="0.3">
      <c r="A2867" s="1">
        <v>45452</v>
      </c>
      <c r="B2867" s="1" t="str">
        <f>TEXT(Tabla1[[#This Row],[Fecha]],"MMMM")</f>
        <v>junio</v>
      </c>
      <c r="C2867" t="s">
        <v>2877</v>
      </c>
      <c r="D2867" t="s">
        <v>5020</v>
      </c>
      <c r="E2867" t="s">
        <v>5032</v>
      </c>
      <c r="F2867" t="s">
        <v>5034</v>
      </c>
      <c r="G2867" s="3">
        <v>9312.64</v>
      </c>
      <c r="H2867" s="3">
        <v>0</v>
      </c>
      <c r="I2867" s="3">
        <f>SUM(Tabla1[[#This Row],[Monto_Base]],H2867)</f>
        <v>9312.64</v>
      </c>
      <c r="J2867" t="s">
        <v>5046</v>
      </c>
      <c r="K2867" t="s">
        <v>5047</v>
      </c>
      <c r="L2867" t="s">
        <v>5052</v>
      </c>
      <c r="M2867" t="s">
        <v>5055</v>
      </c>
    </row>
    <row r="2868" spans="1:13" x14ac:dyDescent="0.3">
      <c r="A2868" s="1">
        <v>45598</v>
      </c>
      <c r="B2868" s="1" t="str">
        <f>TEXT(Tabla1[[#This Row],[Fecha]],"MMMM")</f>
        <v>noviembre</v>
      </c>
      <c r="C2868" t="s">
        <v>2878</v>
      </c>
      <c r="D2868" t="s">
        <v>5020</v>
      </c>
      <c r="E2868" t="s">
        <v>5033</v>
      </c>
      <c r="F2868" t="s">
        <v>5040</v>
      </c>
      <c r="G2868" s="3">
        <v>7315.47</v>
      </c>
      <c r="H2868" s="3">
        <v>951.01</v>
      </c>
      <c r="I2868" s="3">
        <f>SUM(Tabla1[[#This Row],[Monto_Base]],H2868)</f>
        <v>8266.48</v>
      </c>
      <c r="J2868" t="s">
        <v>5044</v>
      </c>
      <c r="K2868" t="s">
        <v>5048</v>
      </c>
      <c r="L2868" t="s">
        <v>5051</v>
      </c>
      <c r="M2868" t="s">
        <v>5054</v>
      </c>
    </row>
    <row r="2869" spans="1:13" x14ac:dyDescent="0.3">
      <c r="A2869" s="1">
        <v>45563</v>
      </c>
      <c r="B2869" s="1" t="str">
        <f>TEXT(Tabla1[[#This Row],[Fecha]],"MMMM")</f>
        <v>septiembre</v>
      </c>
      <c r="C2869" t="s">
        <v>2879</v>
      </c>
      <c r="D2869" t="s">
        <v>5019</v>
      </c>
      <c r="E2869" t="s">
        <v>5033</v>
      </c>
      <c r="F2869" t="s">
        <v>5039</v>
      </c>
      <c r="G2869" s="3">
        <v>11821.85</v>
      </c>
      <c r="H2869" s="3">
        <v>1536.84</v>
      </c>
      <c r="I2869" s="3">
        <f>SUM(Tabla1[[#This Row],[Monto_Base]],H2869)</f>
        <v>13358.69</v>
      </c>
      <c r="J2869" t="s">
        <v>5044</v>
      </c>
      <c r="K2869" t="s">
        <v>5049</v>
      </c>
      <c r="L2869" t="s">
        <v>5053</v>
      </c>
      <c r="M2869" t="s">
        <v>5054</v>
      </c>
    </row>
    <row r="2870" spans="1:13" x14ac:dyDescent="0.3">
      <c r="A2870" s="1">
        <v>45627</v>
      </c>
      <c r="B2870" s="1" t="str">
        <f>TEXT(Tabla1[[#This Row],[Fecha]],"MMMM")</f>
        <v>diciembre</v>
      </c>
      <c r="C2870" t="s">
        <v>2880</v>
      </c>
      <c r="D2870" t="s">
        <v>5028</v>
      </c>
      <c r="E2870" t="s">
        <v>5033</v>
      </c>
      <c r="F2870" t="s">
        <v>5034</v>
      </c>
      <c r="G2870" s="3">
        <v>11137.87</v>
      </c>
      <c r="H2870" s="3">
        <v>1447.92</v>
      </c>
      <c r="I2870" s="3">
        <f>SUM(Tabla1[[#This Row],[Monto_Base]],H2870)</f>
        <v>12585.79</v>
      </c>
      <c r="J2870" t="s">
        <v>5044</v>
      </c>
      <c r="K2870" t="s">
        <v>5048</v>
      </c>
      <c r="L2870" t="s">
        <v>5053</v>
      </c>
      <c r="M2870" t="s">
        <v>5055</v>
      </c>
    </row>
    <row r="2871" spans="1:13" x14ac:dyDescent="0.3">
      <c r="A2871" s="1">
        <v>45595</v>
      </c>
      <c r="B2871" s="1" t="str">
        <f>TEXT(Tabla1[[#This Row],[Fecha]],"MMMM")</f>
        <v>octubre</v>
      </c>
      <c r="C2871" t="s">
        <v>2881</v>
      </c>
      <c r="D2871" t="s">
        <v>5018</v>
      </c>
      <c r="E2871" t="s">
        <v>5033</v>
      </c>
      <c r="F2871" t="s">
        <v>5038</v>
      </c>
      <c r="G2871" s="3">
        <v>6036.69</v>
      </c>
      <c r="H2871" s="3">
        <v>784.77</v>
      </c>
      <c r="I2871" s="3">
        <f>SUM(Tabla1[[#This Row],[Monto_Base]],H2871)</f>
        <v>6821.4599999999991</v>
      </c>
      <c r="J2871" t="s">
        <v>5043</v>
      </c>
      <c r="K2871" t="s">
        <v>5049</v>
      </c>
      <c r="L2871" t="s">
        <v>5053</v>
      </c>
      <c r="M2871" t="s">
        <v>5055</v>
      </c>
    </row>
    <row r="2872" spans="1:13" x14ac:dyDescent="0.3">
      <c r="A2872" s="1">
        <v>45355</v>
      </c>
      <c r="B2872" s="1" t="str">
        <f>TEXT(Tabla1[[#This Row],[Fecha]],"MMMM")</f>
        <v>marzo</v>
      </c>
      <c r="C2872" t="s">
        <v>2882</v>
      </c>
      <c r="D2872" t="s">
        <v>5014</v>
      </c>
      <c r="E2872" t="s">
        <v>5032</v>
      </c>
      <c r="F2872" t="s">
        <v>5034</v>
      </c>
      <c r="G2872" s="3">
        <v>14614.19</v>
      </c>
      <c r="H2872" s="3">
        <v>0</v>
      </c>
      <c r="I2872" s="3">
        <f>SUM(Tabla1[[#This Row],[Monto_Base]],H2872)</f>
        <v>14614.19</v>
      </c>
      <c r="J2872" t="s">
        <v>5042</v>
      </c>
      <c r="K2872" t="s">
        <v>5048</v>
      </c>
      <c r="L2872" t="s">
        <v>5051</v>
      </c>
      <c r="M2872" t="s">
        <v>5055</v>
      </c>
    </row>
    <row r="2873" spans="1:13" x14ac:dyDescent="0.3">
      <c r="A2873" s="1">
        <v>45482</v>
      </c>
      <c r="B2873" s="1" t="str">
        <f>TEXT(Tabla1[[#This Row],[Fecha]],"MMMM")</f>
        <v>julio</v>
      </c>
      <c r="C2873" t="s">
        <v>2883</v>
      </c>
      <c r="D2873" t="s">
        <v>5023</v>
      </c>
      <c r="E2873" t="s">
        <v>5033</v>
      </c>
      <c r="F2873" t="s">
        <v>5041</v>
      </c>
      <c r="G2873" s="3">
        <v>14085.51</v>
      </c>
      <c r="H2873" s="3">
        <v>1831.12</v>
      </c>
      <c r="I2873" s="3">
        <f>SUM(Tabla1[[#This Row],[Monto_Base]],H2873)</f>
        <v>15916.630000000001</v>
      </c>
      <c r="J2873" t="s">
        <v>5043</v>
      </c>
      <c r="K2873" t="s">
        <v>5047</v>
      </c>
      <c r="L2873" t="s">
        <v>5053</v>
      </c>
      <c r="M2873" t="s">
        <v>5055</v>
      </c>
    </row>
    <row r="2874" spans="1:13" x14ac:dyDescent="0.3">
      <c r="A2874" s="1">
        <v>45527</v>
      </c>
      <c r="B2874" s="1" t="str">
        <f>TEXT(Tabla1[[#This Row],[Fecha]],"MMMM")</f>
        <v>agosto</v>
      </c>
      <c r="C2874" t="s">
        <v>2884</v>
      </c>
      <c r="D2874" t="s">
        <v>5017</v>
      </c>
      <c r="E2874" t="s">
        <v>5032</v>
      </c>
      <c r="F2874" t="s">
        <v>5036</v>
      </c>
      <c r="G2874" s="3">
        <v>338.46</v>
      </c>
      <c r="H2874" s="3">
        <v>0</v>
      </c>
      <c r="I2874" s="3">
        <f>SUM(Tabla1[[#This Row],[Monto_Base]],H2874)</f>
        <v>338.46</v>
      </c>
      <c r="J2874" t="s">
        <v>5044</v>
      </c>
      <c r="K2874" t="s">
        <v>5049</v>
      </c>
      <c r="L2874" t="s">
        <v>5053</v>
      </c>
      <c r="M2874" t="s">
        <v>5054</v>
      </c>
    </row>
    <row r="2875" spans="1:13" x14ac:dyDescent="0.3">
      <c r="A2875" s="1">
        <v>45622</v>
      </c>
      <c r="B2875" s="1" t="str">
        <f>TEXT(Tabla1[[#This Row],[Fecha]],"MMMM")</f>
        <v>noviembre</v>
      </c>
      <c r="C2875" t="s">
        <v>2885</v>
      </c>
      <c r="D2875" t="s">
        <v>5018</v>
      </c>
      <c r="E2875" t="s">
        <v>5033</v>
      </c>
      <c r="F2875" t="s">
        <v>5037</v>
      </c>
      <c r="G2875" s="3">
        <v>6927.18</v>
      </c>
      <c r="H2875" s="3">
        <v>900.53</v>
      </c>
      <c r="I2875" s="3">
        <f>SUM(Tabla1[[#This Row],[Monto_Base]],H2875)</f>
        <v>7827.71</v>
      </c>
      <c r="J2875" t="s">
        <v>5044</v>
      </c>
      <c r="K2875" t="s">
        <v>5049</v>
      </c>
      <c r="L2875" t="s">
        <v>5053</v>
      </c>
      <c r="M2875" t="s">
        <v>5055</v>
      </c>
    </row>
    <row r="2876" spans="1:13" x14ac:dyDescent="0.3">
      <c r="A2876" s="1">
        <v>45342</v>
      </c>
      <c r="B2876" s="1" t="str">
        <f>TEXT(Tabla1[[#This Row],[Fecha]],"MMMM")</f>
        <v>febrero</v>
      </c>
      <c r="C2876" t="s">
        <v>2886</v>
      </c>
      <c r="D2876" t="s">
        <v>5014</v>
      </c>
      <c r="E2876" t="s">
        <v>5033</v>
      </c>
      <c r="F2876" t="s">
        <v>5040</v>
      </c>
      <c r="G2876" s="3">
        <v>4741.55</v>
      </c>
      <c r="H2876" s="3">
        <v>616.4</v>
      </c>
      <c r="I2876" s="3">
        <f>SUM(Tabla1[[#This Row],[Monto_Base]],H2876)</f>
        <v>5357.95</v>
      </c>
      <c r="J2876" t="s">
        <v>5043</v>
      </c>
      <c r="K2876" t="s">
        <v>5049</v>
      </c>
      <c r="L2876" t="s">
        <v>5052</v>
      </c>
      <c r="M2876" t="s">
        <v>5054</v>
      </c>
    </row>
    <row r="2877" spans="1:13" x14ac:dyDescent="0.3">
      <c r="A2877" s="1">
        <v>45638</v>
      </c>
      <c r="B2877" s="1" t="str">
        <f>TEXT(Tabla1[[#This Row],[Fecha]],"MMMM")</f>
        <v>diciembre</v>
      </c>
      <c r="C2877" t="s">
        <v>2887</v>
      </c>
      <c r="D2877" t="s">
        <v>5014</v>
      </c>
      <c r="E2877" t="s">
        <v>5033</v>
      </c>
      <c r="F2877" t="s">
        <v>5037</v>
      </c>
      <c r="G2877" s="3">
        <v>6705.29</v>
      </c>
      <c r="H2877" s="3">
        <v>871.69</v>
      </c>
      <c r="I2877" s="3">
        <f>SUM(Tabla1[[#This Row],[Monto_Base]],H2877)</f>
        <v>7576.98</v>
      </c>
      <c r="J2877" t="s">
        <v>5046</v>
      </c>
      <c r="K2877" t="s">
        <v>5048</v>
      </c>
      <c r="L2877" t="s">
        <v>5052</v>
      </c>
      <c r="M2877" t="s">
        <v>5055</v>
      </c>
    </row>
    <row r="2878" spans="1:13" x14ac:dyDescent="0.3">
      <c r="A2878" s="1">
        <v>45596</v>
      </c>
      <c r="B2878" s="1" t="str">
        <f>TEXT(Tabla1[[#This Row],[Fecha]],"MMMM")</f>
        <v>octubre</v>
      </c>
      <c r="C2878" t="s">
        <v>2888</v>
      </c>
      <c r="D2878" t="s">
        <v>5024</v>
      </c>
      <c r="E2878" t="s">
        <v>5032</v>
      </c>
      <c r="F2878" t="s">
        <v>5040</v>
      </c>
      <c r="G2878" s="3">
        <v>10563.3</v>
      </c>
      <c r="H2878" s="3">
        <v>0</v>
      </c>
      <c r="I2878" s="3">
        <f>SUM(Tabla1[[#This Row],[Monto_Base]],H2878)</f>
        <v>10563.3</v>
      </c>
      <c r="J2878" t="s">
        <v>5043</v>
      </c>
      <c r="K2878" t="s">
        <v>5047</v>
      </c>
      <c r="L2878" t="s">
        <v>5050</v>
      </c>
      <c r="M2878" t="s">
        <v>5054</v>
      </c>
    </row>
    <row r="2879" spans="1:13" x14ac:dyDescent="0.3">
      <c r="A2879" s="1">
        <v>45335</v>
      </c>
      <c r="B2879" s="1" t="str">
        <f>TEXT(Tabla1[[#This Row],[Fecha]],"MMMM")</f>
        <v>febrero</v>
      </c>
      <c r="C2879" t="s">
        <v>2889</v>
      </c>
      <c r="D2879" t="s">
        <v>5028</v>
      </c>
      <c r="E2879" t="s">
        <v>5033</v>
      </c>
      <c r="F2879" t="s">
        <v>5034</v>
      </c>
      <c r="G2879" s="3">
        <v>4087.85</v>
      </c>
      <c r="H2879" s="3">
        <v>531.41999999999996</v>
      </c>
      <c r="I2879" s="3">
        <f>SUM(Tabla1[[#This Row],[Monto_Base]],H2879)</f>
        <v>4619.2699999999995</v>
      </c>
      <c r="J2879" t="s">
        <v>5046</v>
      </c>
      <c r="K2879" t="s">
        <v>5047</v>
      </c>
      <c r="L2879" t="s">
        <v>5051</v>
      </c>
      <c r="M2879" t="s">
        <v>5054</v>
      </c>
    </row>
    <row r="2880" spans="1:13" x14ac:dyDescent="0.3">
      <c r="A2880" s="1">
        <v>45316</v>
      </c>
      <c r="B2880" s="1" t="str">
        <f>TEXT(Tabla1[[#This Row],[Fecha]],"MMMM")</f>
        <v>enero</v>
      </c>
      <c r="C2880" t="s">
        <v>2890</v>
      </c>
      <c r="D2880" t="s">
        <v>5031</v>
      </c>
      <c r="E2880" t="s">
        <v>5033</v>
      </c>
      <c r="F2880" t="s">
        <v>5036</v>
      </c>
      <c r="G2880" s="3">
        <v>4117.97</v>
      </c>
      <c r="H2880" s="3">
        <v>535.34</v>
      </c>
      <c r="I2880" s="3">
        <f>SUM(Tabla1[[#This Row],[Monto_Base]],H2880)</f>
        <v>4653.3100000000004</v>
      </c>
      <c r="J2880" t="s">
        <v>5042</v>
      </c>
      <c r="K2880" t="s">
        <v>5048</v>
      </c>
      <c r="L2880" t="s">
        <v>5051</v>
      </c>
      <c r="M2880" t="s">
        <v>5054</v>
      </c>
    </row>
    <row r="2881" spans="1:13" x14ac:dyDescent="0.3">
      <c r="A2881" s="1">
        <v>45636</v>
      </c>
      <c r="B2881" s="1" t="str">
        <f>TEXT(Tabla1[[#This Row],[Fecha]],"MMMM")</f>
        <v>diciembre</v>
      </c>
      <c r="C2881" t="s">
        <v>2891</v>
      </c>
      <c r="D2881" t="s">
        <v>5029</v>
      </c>
      <c r="E2881" t="s">
        <v>5033</v>
      </c>
      <c r="F2881" t="s">
        <v>5037</v>
      </c>
      <c r="G2881" s="3">
        <v>6107.57</v>
      </c>
      <c r="H2881" s="3">
        <v>793.98</v>
      </c>
      <c r="I2881" s="3">
        <f>SUM(Tabla1[[#This Row],[Monto_Base]],H2881)</f>
        <v>6901.5499999999993</v>
      </c>
      <c r="J2881" t="s">
        <v>5046</v>
      </c>
      <c r="K2881" t="s">
        <v>5048</v>
      </c>
      <c r="L2881" t="s">
        <v>5050</v>
      </c>
      <c r="M2881" t="s">
        <v>5055</v>
      </c>
    </row>
    <row r="2882" spans="1:13" x14ac:dyDescent="0.3">
      <c r="A2882" s="1">
        <v>45633</v>
      </c>
      <c r="B2882" s="1" t="str">
        <f>TEXT(Tabla1[[#This Row],[Fecha]],"MMMM")</f>
        <v>diciembre</v>
      </c>
      <c r="C2882" t="s">
        <v>2892</v>
      </c>
      <c r="D2882" t="s">
        <v>5030</v>
      </c>
      <c r="E2882" t="s">
        <v>5032</v>
      </c>
      <c r="F2882" t="s">
        <v>5035</v>
      </c>
      <c r="G2882" s="3">
        <v>2980.46</v>
      </c>
      <c r="H2882" s="3">
        <v>0</v>
      </c>
      <c r="I2882" s="3">
        <f>SUM(Tabla1[[#This Row],[Monto_Base]],H2882)</f>
        <v>2980.46</v>
      </c>
      <c r="J2882" t="s">
        <v>5045</v>
      </c>
      <c r="K2882" t="s">
        <v>5049</v>
      </c>
      <c r="L2882" t="s">
        <v>5053</v>
      </c>
      <c r="M2882" t="s">
        <v>5055</v>
      </c>
    </row>
    <row r="2883" spans="1:13" x14ac:dyDescent="0.3">
      <c r="A2883" s="1">
        <v>45370</v>
      </c>
      <c r="B2883" s="1" t="str">
        <f>TEXT(Tabla1[[#This Row],[Fecha]],"MMMM")</f>
        <v>marzo</v>
      </c>
      <c r="C2883" t="s">
        <v>2893</v>
      </c>
      <c r="D2883" t="s">
        <v>5015</v>
      </c>
      <c r="E2883" t="s">
        <v>5032</v>
      </c>
      <c r="F2883" t="s">
        <v>5040</v>
      </c>
      <c r="G2883" s="3">
        <v>8432.76</v>
      </c>
      <c r="H2883" s="3">
        <v>0</v>
      </c>
      <c r="I2883" s="3">
        <f>SUM(Tabla1[[#This Row],[Monto_Base]],H2883)</f>
        <v>8432.76</v>
      </c>
      <c r="J2883" t="s">
        <v>5043</v>
      </c>
      <c r="K2883" t="s">
        <v>5047</v>
      </c>
      <c r="L2883" t="s">
        <v>5052</v>
      </c>
      <c r="M2883" t="s">
        <v>5055</v>
      </c>
    </row>
    <row r="2884" spans="1:13" x14ac:dyDescent="0.3">
      <c r="A2884" s="1">
        <v>45427</v>
      </c>
      <c r="B2884" s="1" t="str">
        <f>TEXT(Tabla1[[#This Row],[Fecha]],"MMMM")</f>
        <v>mayo</v>
      </c>
      <c r="C2884" t="s">
        <v>2894</v>
      </c>
      <c r="D2884" t="s">
        <v>5027</v>
      </c>
      <c r="E2884" t="s">
        <v>5033</v>
      </c>
      <c r="F2884" t="s">
        <v>5041</v>
      </c>
      <c r="G2884" s="3">
        <v>12156.18</v>
      </c>
      <c r="H2884" s="3">
        <v>1580.3</v>
      </c>
      <c r="I2884" s="3">
        <f>SUM(Tabla1[[#This Row],[Monto_Base]],H2884)</f>
        <v>13736.48</v>
      </c>
      <c r="J2884" t="s">
        <v>5045</v>
      </c>
      <c r="K2884" t="s">
        <v>5047</v>
      </c>
      <c r="L2884" t="s">
        <v>5050</v>
      </c>
      <c r="M2884" t="s">
        <v>5055</v>
      </c>
    </row>
    <row r="2885" spans="1:13" x14ac:dyDescent="0.3">
      <c r="A2885" s="1">
        <v>45377</v>
      </c>
      <c r="B2885" s="1" t="str">
        <f>TEXT(Tabla1[[#This Row],[Fecha]],"MMMM")</f>
        <v>marzo</v>
      </c>
      <c r="C2885" t="s">
        <v>2895</v>
      </c>
      <c r="D2885" t="s">
        <v>5013</v>
      </c>
      <c r="E2885" t="s">
        <v>5033</v>
      </c>
      <c r="F2885" t="s">
        <v>5039</v>
      </c>
      <c r="G2885" s="3">
        <v>14355.87</v>
      </c>
      <c r="H2885" s="3">
        <v>1866.26</v>
      </c>
      <c r="I2885" s="3">
        <f>SUM(Tabla1[[#This Row],[Monto_Base]],H2885)</f>
        <v>16222.130000000001</v>
      </c>
      <c r="J2885" t="s">
        <v>5045</v>
      </c>
      <c r="K2885" t="s">
        <v>5048</v>
      </c>
      <c r="L2885" t="s">
        <v>5052</v>
      </c>
      <c r="M2885" t="s">
        <v>5055</v>
      </c>
    </row>
    <row r="2886" spans="1:13" x14ac:dyDescent="0.3">
      <c r="A2886" s="1">
        <v>45620</v>
      </c>
      <c r="B2886" s="1" t="str">
        <f>TEXT(Tabla1[[#This Row],[Fecha]],"MMMM")</f>
        <v>noviembre</v>
      </c>
      <c r="C2886" t="s">
        <v>2896</v>
      </c>
      <c r="D2886" t="s">
        <v>5027</v>
      </c>
      <c r="E2886" t="s">
        <v>5033</v>
      </c>
      <c r="F2886" t="s">
        <v>5036</v>
      </c>
      <c r="G2886" s="3">
        <v>8804.43</v>
      </c>
      <c r="H2886" s="3">
        <v>1144.58</v>
      </c>
      <c r="I2886" s="3">
        <f>SUM(Tabla1[[#This Row],[Monto_Base]],H2886)</f>
        <v>9949.01</v>
      </c>
      <c r="J2886" t="s">
        <v>5042</v>
      </c>
      <c r="K2886" t="s">
        <v>5049</v>
      </c>
      <c r="L2886" t="s">
        <v>5052</v>
      </c>
      <c r="M2886" t="s">
        <v>5055</v>
      </c>
    </row>
    <row r="2887" spans="1:13" x14ac:dyDescent="0.3">
      <c r="A2887" s="1">
        <v>45614</v>
      </c>
      <c r="B2887" s="1" t="str">
        <f>TEXT(Tabla1[[#This Row],[Fecha]],"MMMM")</f>
        <v>noviembre</v>
      </c>
      <c r="C2887" t="s">
        <v>2897</v>
      </c>
      <c r="D2887" t="s">
        <v>5019</v>
      </c>
      <c r="E2887" t="s">
        <v>5032</v>
      </c>
      <c r="F2887" t="s">
        <v>5041</v>
      </c>
      <c r="G2887" s="3">
        <v>14458.23</v>
      </c>
      <c r="H2887" s="3">
        <v>0</v>
      </c>
      <c r="I2887" s="3">
        <f>SUM(Tabla1[[#This Row],[Monto_Base]],H2887)</f>
        <v>14458.23</v>
      </c>
      <c r="J2887" t="s">
        <v>5044</v>
      </c>
      <c r="K2887" t="s">
        <v>5048</v>
      </c>
      <c r="L2887" t="s">
        <v>5051</v>
      </c>
      <c r="M2887" t="s">
        <v>5054</v>
      </c>
    </row>
    <row r="2888" spans="1:13" x14ac:dyDescent="0.3">
      <c r="A2888" s="1">
        <v>45331</v>
      </c>
      <c r="B2888" s="1" t="str">
        <f>TEXT(Tabla1[[#This Row],[Fecha]],"MMMM")</f>
        <v>febrero</v>
      </c>
      <c r="C2888" t="s">
        <v>2898</v>
      </c>
      <c r="D2888" t="s">
        <v>5015</v>
      </c>
      <c r="E2888" t="s">
        <v>5032</v>
      </c>
      <c r="F2888" t="s">
        <v>5038</v>
      </c>
      <c r="G2888" s="3">
        <v>4331.83</v>
      </c>
      <c r="H2888" s="3">
        <v>0</v>
      </c>
      <c r="I2888" s="3">
        <f>SUM(Tabla1[[#This Row],[Monto_Base]],H2888)</f>
        <v>4331.83</v>
      </c>
      <c r="J2888" t="s">
        <v>5045</v>
      </c>
      <c r="K2888" t="s">
        <v>5049</v>
      </c>
      <c r="L2888" t="s">
        <v>5053</v>
      </c>
      <c r="M2888" t="s">
        <v>5055</v>
      </c>
    </row>
    <row r="2889" spans="1:13" x14ac:dyDescent="0.3">
      <c r="A2889" s="1">
        <v>45301</v>
      </c>
      <c r="B2889" s="1" t="str">
        <f>TEXT(Tabla1[[#This Row],[Fecha]],"MMMM")</f>
        <v>enero</v>
      </c>
      <c r="C2889" t="s">
        <v>2899</v>
      </c>
      <c r="D2889" t="s">
        <v>5017</v>
      </c>
      <c r="E2889" t="s">
        <v>5032</v>
      </c>
      <c r="F2889" t="s">
        <v>5041</v>
      </c>
      <c r="G2889" s="3">
        <v>2854.32</v>
      </c>
      <c r="H2889" s="3">
        <v>0</v>
      </c>
      <c r="I2889" s="3">
        <f>SUM(Tabla1[[#This Row],[Monto_Base]],H2889)</f>
        <v>2854.32</v>
      </c>
      <c r="J2889" t="s">
        <v>5044</v>
      </c>
      <c r="K2889" t="s">
        <v>5047</v>
      </c>
      <c r="L2889" t="s">
        <v>5053</v>
      </c>
      <c r="M2889" t="s">
        <v>5054</v>
      </c>
    </row>
    <row r="2890" spans="1:13" x14ac:dyDescent="0.3">
      <c r="A2890" s="1">
        <v>45511</v>
      </c>
      <c r="B2890" s="1" t="str">
        <f>TEXT(Tabla1[[#This Row],[Fecha]],"MMMM")</f>
        <v>agosto</v>
      </c>
      <c r="C2890" t="s">
        <v>2900</v>
      </c>
      <c r="D2890" t="s">
        <v>5031</v>
      </c>
      <c r="E2890" t="s">
        <v>5033</v>
      </c>
      <c r="F2890" t="s">
        <v>5041</v>
      </c>
      <c r="G2890" s="3">
        <v>12570.65</v>
      </c>
      <c r="H2890" s="3">
        <v>1634.18</v>
      </c>
      <c r="I2890" s="3">
        <f>SUM(Tabla1[[#This Row],[Monto_Base]],H2890)</f>
        <v>14204.83</v>
      </c>
      <c r="J2890" t="s">
        <v>5042</v>
      </c>
      <c r="K2890" t="s">
        <v>5048</v>
      </c>
      <c r="L2890" t="s">
        <v>5053</v>
      </c>
      <c r="M2890" t="s">
        <v>5055</v>
      </c>
    </row>
    <row r="2891" spans="1:13" x14ac:dyDescent="0.3">
      <c r="A2891" s="1">
        <v>45376</v>
      </c>
      <c r="B2891" s="1" t="str">
        <f>TEXT(Tabla1[[#This Row],[Fecha]],"MMMM")</f>
        <v>marzo</v>
      </c>
      <c r="C2891" t="s">
        <v>2901</v>
      </c>
      <c r="D2891" t="s">
        <v>5030</v>
      </c>
      <c r="E2891" t="s">
        <v>5032</v>
      </c>
      <c r="F2891" t="s">
        <v>5037</v>
      </c>
      <c r="G2891" s="3">
        <v>10077.870000000001</v>
      </c>
      <c r="H2891" s="3">
        <v>0</v>
      </c>
      <c r="I2891" s="3">
        <f>SUM(Tabla1[[#This Row],[Monto_Base]],H2891)</f>
        <v>10077.870000000001</v>
      </c>
      <c r="J2891" t="s">
        <v>5045</v>
      </c>
      <c r="K2891" t="s">
        <v>5047</v>
      </c>
      <c r="L2891" t="s">
        <v>5051</v>
      </c>
      <c r="M2891" t="s">
        <v>5054</v>
      </c>
    </row>
    <row r="2892" spans="1:13" x14ac:dyDescent="0.3">
      <c r="A2892" s="1">
        <v>45341</v>
      </c>
      <c r="B2892" s="1" t="str">
        <f>TEXT(Tabla1[[#This Row],[Fecha]],"MMMM")</f>
        <v>febrero</v>
      </c>
      <c r="C2892" t="s">
        <v>2902</v>
      </c>
      <c r="D2892" t="s">
        <v>5017</v>
      </c>
      <c r="E2892" t="s">
        <v>5032</v>
      </c>
      <c r="F2892" t="s">
        <v>5038</v>
      </c>
      <c r="G2892" s="3">
        <v>14622.92</v>
      </c>
      <c r="H2892" s="3">
        <v>0</v>
      </c>
      <c r="I2892" s="3">
        <f>SUM(Tabla1[[#This Row],[Monto_Base]],H2892)</f>
        <v>14622.92</v>
      </c>
      <c r="J2892" t="s">
        <v>5045</v>
      </c>
      <c r="K2892" t="s">
        <v>5047</v>
      </c>
      <c r="L2892" t="s">
        <v>5050</v>
      </c>
      <c r="M2892" t="s">
        <v>5054</v>
      </c>
    </row>
    <row r="2893" spans="1:13" x14ac:dyDescent="0.3">
      <c r="A2893" s="1">
        <v>45538</v>
      </c>
      <c r="B2893" s="1" t="str">
        <f>TEXT(Tabla1[[#This Row],[Fecha]],"MMMM")</f>
        <v>septiembre</v>
      </c>
      <c r="C2893" t="s">
        <v>2903</v>
      </c>
      <c r="D2893" t="s">
        <v>5027</v>
      </c>
      <c r="E2893" t="s">
        <v>5033</v>
      </c>
      <c r="F2893" t="s">
        <v>5034</v>
      </c>
      <c r="G2893" s="3">
        <v>74.209999999999994</v>
      </c>
      <c r="H2893" s="3">
        <v>9.65</v>
      </c>
      <c r="I2893" s="3">
        <f>SUM(Tabla1[[#This Row],[Monto_Base]],H2893)</f>
        <v>83.86</v>
      </c>
      <c r="J2893" t="s">
        <v>5043</v>
      </c>
      <c r="K2893" t="s">
        <v>5048</v>
      </c>
      <c r="L2893" t="s">
        <v>5050</v>
      </c>
      <c r="M2893" t="s">
        <v>5055</v>
      </c>
    </row>
    <row r="2894" spans="1:13" x14ac:dyDescent="0.3">
      <c r="A2894" s="1">
        <v>45539</v>
      </c>
      <c r="B2894" s="1" t="str">
        <f>TEXT(Tabla1[[#This Row],[Fecha]],"MMMM")</f>
        <v>septiembre</v>
      </c>
      <c r="C2894" t="s">
        <v>2904</v>
      </c>
      <c r="D2894" t="s">
        <v>5031</v>
      </c>
      <c r="E2894" t="s">
        <v>5033</v>
      </c>
      <c r="F2894" t="s">
        <v>5037</v>
      </c>
      <c r="G2894" s="3">
        <v>9937.93</v>
      </c>
      <c r="H2894" s="3">
        <v>1291.93</v>
      </c>
      <c r="I2894" s="3">
        <f>SUM(Tabla1[[#This Row],[Monto_Base]],H2894)</f>
        <v>11229.86</v>
      </c>
      <c r="J2894" t="s">
        <v>5043</v>
      </c>
      <c r="K2894" t="s">
        <v>5047</v>
      </c>
      <c r="L2894" t="s">
        <v>5052</v>
      </c>
      <c r="M2894" t="s">
        <v>5055</v>
      </c>
    </row>
    <row r="2895" spans="1:13" x14ac:dyDescent="0.3">
      <c r="A2895" s="1">
        <v>45626</v>
      </c>
      <c r="B2895" s="1" t="str">
        <f>TEXT(Tabla1[[#This Row],[Fecha]],"MMMM")</f>
        <v>noviembre</v>
      </c>
      <c r="C2895" t="s">
        <v>2905</v>
      </c>
      <c r="D2895" t="s">
        <v>5028</v>
      </c>
      <c r="E2895" t="s">
        <v>5032</v>
      </c>
      <c r="F2895" t="s">
        <v>5035</v>
      </c>
      <c r="G2895" s="3">
        <v>7273.58</v>
      </c>
      <c r="H2895" s="3">
        <v>0</v>
      </c>
      <c r="I2895" s="3">
        <f>SUM(Tabla1[[#This Row],[Monto_Base]],H2895)</f>
        <v>7273.58</v>
      </c>
      <c r="J2895" t="s">
        <v>5043</v>
      </c>
      <c r="K2895" t="s">
        <v>5049</v>
      </c>
      <c r="L2895" t="s">
        <v>5053</v>
      </c>
      <c r="M2895" t="s">
        <v>5055</v>
      </c>
    </row>
    <row r="2896" spans="1:13" x14ac:dyDescent="0.3">
      <c r="A2896" s="1">
        <v>45571</v>
      </c>
      <c r="B2896" s="1" t="str">
        <f>TEXT(Tabla1[[#This Row],[Fecha]],"MMMM")</f>
        <v>octubre</v>
      </c>
      <c r="C2896" t="s">
        <v>2906</v>
      </c>
      <c r="D2896" t="s">
        <v>5013</v>
      </c>
      <c r="E2896" t="s">
        <v>5032</v>
      </c>
      <c r="F2896" t="s">
        <v>5039</v>
      </c>
      <c r="G2896" s="3">
        <v>674.86</v>
      </c>
      <c r="H2896" s="3">
        <v>0</v>
      </c>
      <c r="I2896" s="3">
        <f>SUM(Tabla1[[#This Row],[Monto_Base]],H2896)</f>
        <v>674.86</v>
      </c>
      <c r="J2896" t="s">
        <v>5042</v>
      </c>
      <c r="K2896" t="s">
        <v>5049</v>
      </c>
      <c r="L2896" t="s">
        <v>5050</v>
      </c>
      <c r="M2896" t="s">
        <v>5054</v>
      </c>
    </row>
    <row r="2897" spans="1:13" x14ac:dyDescent="0.3">
      <c r="A2897" s="1">
        <v>45635</v>
      </c>
      <c r="B2897" s="1" t="str">
        <f>TEXT(Tabla1[[#This Row],[Fecha]],"MMMM")</f>
        <v>diciembre</v>
      </c>
      <c r="C2897" t="s">
        <v>2907</v>
      </c>
      <c r="D2897" t="s">
        <v>5030</v>
      </c>
      <c r="E2897" t="s">
        <v>5032</v>
      </c>
      <c r="F2897" t="s">
        <v>5034</v>
      </c>
      <c r="G2897" s="3">
        <v>718.51</v>
      </c>
      <c r="H2897" s="3">
        <v>0</v>
      </c>
      <c r="I2897" s="3">
        <f>SUM(Tabla1[[#This Row],[Monto_Base]],H2897)</f>
        <v>718.51</v>
      </c>
      <c r="J2897" t="s">
        <v>5046</v>
      </c>
      <c r="K2897" t="s">
        <v>5048</v>
      </c>
      <c r="L2897" t="s">
        <v>5051</v>
      </c>
      <c r="M2897" t="s">
        <v>5055</v>
      </c>
    </row>
    <row r="2898" spans="1:13" x14ac:dyDescent="0.3">
      <c r="A2898" s="1">
        <v>45593</v>
      </c>
      <c r="B2898" s="1" t="str">
        <f>TEXT(Tabla1[[#This Row],[Fecha]],"MMMM")</f>
        <v>octubre</v>
      </c>
      <c r="C2898" t="s">
        <v>2908</v>
      </c>
      <c r="D2898" t="s">
        <v>5029</v>
      </c>
      <c r="E2898" t="s">
        <v>5032</v>
      </c>
      <c r="F2898" t="s">
        <v>5041</v>
      </c>
      <c r="G2898" s="3">
        <v>4512.7299999999996</v>
      </c>
      <c r="H2898" s="3">
        <v>0</v>
      </c>
      <c r="I2898" s="3">
        <f>SUM(Tabla1[[#This Row],[Monto_Base]],H2898)</f>
        <v>4512.7299999999996</v>
      </c>
      <c r="J2898" t="s">
        <v>5042</v>
      </c>
      <c r="K2898" t="s">
        <v>5047</v>
      </c>
      <c r="L2898" t="s">
        <v>5050</v>
      </c>
      <c r="M2898" t="s">
        <v>5054</v>
      </c>
    </row>
    <row r="2899" spans="1:13" x14ac:dyDescent="0.3">
      <c r="A2899" s="1">
        <v>45420</v>
      </c>
      <c r="B2899" s="1" t="str">
        <f>TEXT(Tabla1[[#This Row],[Fecha]],"MMMM")</f>
        <v>mayo</v>
      </c>
      <c r="C2899" t="s">
        <v>2909</v>
      </c>
      <c r="D2899" t="s">
        <v>5024</v>
      </c>
      <c r="E2899" t="s">
        <v>5033</v>
      </c>
      <c r="F2899" t="s">
        <v>5037</v>
      </c>
      <c r="G2899" s="3">
        <v>11780.18</v>
      </c>
      <c r="H2899" s="3">
        <v>1531.42</v>
      </c>
      <c r="I2899" s="3">
        <f>SUM(Tabla1[[#This Row],[Monto_Base]],H2899)</f>
        <v>13311.6</v>
      </c>
      <c r="J2899" t="s">
        <v>5042</v>
      </c>
      <c r="K2899" t="s">
        <v>5047</v>
      </c>
      <c r="L2899" t="s">
        <v>5050</v>
      </c>
      <c r="M2899" t="s">
        <v>5054</v>
      </c>
    </row>
    <row r="2900" spans="1:13" x14ac:dyDescent="0.3">
      <c r="A2900" s="1">
        <v>45350</v>
      </c>
      <c r="B2900" s="1" t="str">
        <f>TEXT(Tabla1[[#This Row],[Fecha]],"MMMM")</f>
        <v>febrero</v>
      </c>
      <c r="C2900" t="s">
        <v>2910</v>
      </c>
      <c r="D2900" t="s">
        <v>5021</v>
      </c>
      <c r="E2900" t="s">
        <v>5033</v>
      </c>
      <c r="F2900" t="s">
        <v>5040</v>
      </c>
      <c r="G2900" s="3">
        <v>12224.54</v>
      </c>
      <c r="H2900" s="3">
        <v>1589.19</v>
      </c>
      <c r="I2900" s="3">
        <f>SUM(Tabla1[[#This Row],[Monto_Base]],H2900)</f>
        <v>13813.730000000001</v>
      </c>
      <c r="J2900" t="s">
        <v>5042</v>
      </c>
      <c r="K2900" t="s">
        <v>5048</v>
      </c>
      <c r="L2900" t="s">
        <v>5053</v>
      </c>
      <c r="M2900" t="s">
        <v>5054</v>
      </c>
    </row>
    <row r="2901" spans="1:13" x14ac:dyDescent="0.3">
      <c r="A2901" s="1">
        <v>45570</v>
      </c>
      <c r="B2901" s="1" t="str">
        <f>TEXT(Tabla1[[#This Row],[Fecha]],"MMMM")</f>
        <v>octubre</v>
      </c>
      <c r="C2901" t="s">
        <v>2911</v>
      </c>
      <c r="D2901" t="s">
        <v>5015</v>
      </c>
      <c r="E2901" t="s">
        <v>5033</v>
      </c>
      <c r="F2901" t="s">
        <v>5034</v>
      </c>
      <c r="G2901" s="3">
        <v>5986.74</v>
      </c>
      <c r="H2901" s="3">
        <v>778.28</v>
      </c>
      <c r="I2901" s="3">
        <f>SUM(Tabla1[[#This Row],[Monto_Base]],H2901)</f>
        <v>6765.0199999999995</v>
      </c>
      <c r="J2901" t="s">
        <v>5046</v>
      </c>
      <c r="K2901" t="s">
        <v>5049</v>
      </c>
      <c r="L2901" t="s">
        <v>5050</v>
      </c>
      <c r="M2901" t="s">
        <v>5055</v>
      </c>
    </row>
    <row r="2902" spans="1:13" x14ac:dyDescent="0.3">
      <c r="A2902" s="1">
        <v>45462</v>
      </c>
      <c r="B2902" s="1" t="str">
        <f>TEXT(Tabla1[[#This Row],[Fecha]],"MMMM")</f>
        <v>junio</v>
      </c>
      <c r="C2902" t="s">
        <v>2912</v>
      </c>
      <c r="D2902" t="s">
        <v>5018</v>
      </c>
      <c r="E2902" t="s">
        <v>5032</v>
      </c>
      <c r="F2902" t="s">
        <v>5039</v>
      </c>
      <c r="G2902" s="3">
        <v>1812.09</v>
      </c>
      <c r="H2902" s="3">
        <v>0</v>
      </c>
      <c r="I2902" s="3">
        <f>SUM(Tabla1[[#This Row],[Monto_Base]],H2902)</f>
        <v>1812.09</v>
      </c>
      <c r="J2902" t="s">
        <v>5046</v>
      </c>
      <c r="K2902" t="s">
        <v>5047</v>
      </c>
      <c r="L2902" t="s">
        <v>5052</v>
      </c>
      <c r="M2902" t="s">
        <v>5055</v>
      </c>
    </row>
    <row r="2903" spans="1:13" x14ac:dyDescent="0.3">
      <c r="A2903" s="1">
        <v>45363</v>
      </c>
      <c r="B2903" s="1" t="str">
        <f>TEXT(Tabla1[[#This Row],[Fecha]],"MMMM")</f>
        <v>marzo</v>
      </c>
      <c r="C2903" t="s">
        <v>2913</v>
      </c>
      <c r="D2903" t="s">
        <v>5015</v>
      </c>
      <c r="E2903" t="s">
        <v>5033</v>
      </c>
      <c r="F2903" t="s">
        <v>5037</v>
      </c>
      <c r="G2903" s="3">
        <v>11948.56</v>
      </c>
      <c r="H2903" s="3">
        <v>1553.31</v>
      </c>
      <c r="I2903" s="3">
        <f>SUM(Tabla1[[#This Row],[Monto_Base]],H2903)</f>
        <v>13501.869999999999</v>
      </c>
      <c r="J2903" t="s">
        <v>5046</v>
      </c>
      <c r="K2903" t="s">
        <v>5047</v>
      </c>
      <c r="L2903" t="s">
        <v>5050</v>
      </c>
      <c r="M2903" t="s">
        <v>5054</v>
      </c>
    </row>
    <row r="2904" spans="1:13" x14ac:dyDescent="0.3">
      <c r="A2904" s="1">
        <v>45600</v>
      </c>
      <c r="B2904" s="1" t="str">
        <f>TEXT(Tabla1[[#This Row],[Fecha]],"MMMM")</f>
        <v>noviembre</v>
      </c>
      <c r="C2904" t="s">
        <v>2914</v>
      </c>
      <c r="D2904" t="s">
        <v>5020</v>
      </c>
      <c r="E2904" t="s">
        <v>5032</v>
      </c>
      <c r="F2904" t="s">
        <v>5035</v>
      </c>
      <c r="G2904" s="3">
        <v>2166.39</v>
      </c>
      <c r="H2904" s="3">
        <v>0</v>
      </c>
      <c r="I2904" s="3">
        <f>SUM(Tabla1[[#This Row],[Monto_Base]],H2904)</f>
        <v>2166.39</v>
      </c>
      <c r="J2904" t="s">
        <v>5046</v>
      </c>
      <c r="K2904" t="s">
        <v>5047</v>
      </c>
      <c r="L2904" t="s">
        <v>5051</v>
      </c>
      <c r="M2904" t="s">
        <v>5054</v>
      </c>
    </row>
    <row r="2905" spans="1:13" x14ac:dyDescent="0.3">
      <c r="A2905" s="1">
        <v>45521</v>
      </c>
      <c r="B2905" s="1" t="str">
        <f>TEXT(Tabla1[[#This Row],[Fecha]],"MMMM")</f>
        <v>agosto</v>
      </c>
      <c r="C2905" t="s">
        <v>2915</v>
      </c>
      <c r="D2905" t="s">
        <v>5024</v>
      </c>
      <c r="E2905" t="s">
        <v>5033</v>
      </c>
      <c r="F2905" t="s">
        <v>5035</v>
      </c>
      <c r="G2905" s="3">
        <v>6153.39</v>
      </c>
      <c r="H2905" s="3">
        <v>799.94</v>
      </c>
      <c r="I2905" s="3">
        <f>SUM(Tabla1[[#This Row],[Monto_Base]],H2905)</f>
        <v>6953.33</v>
      </c>
      <c r="J2905" t="s">
        <v>5046</v>
      </c>
      <c r="K2905" t="s">
        <v>5048</v>
      </c>
      <c r="L2905" t="s">
        <v>5053</v>
      </c>
      <c r="M2905" t="s">
        <v>5055</v>
      </c>
    </row>
    <row r="2906" spans="1:13" x14ac:dyDescent="0.3">
      <c r="A2906" s="1">
        <v>45645</v>
      </c>
      <c r="B2906" s="1" t="str">
        <f>TEXT(Tabla1[[#This Row],[Fecha]],"MMMM")</f>
        <v>diciembre</v>
      </c>
      <c r="C2906" t="s">
        <v>2916</v>
      </c>
      <c r="D2906" t="s">
        <v>5020</v>
      </c>
      <c r="E2906" t="s">
        <v>5032</v>
      </c>
      <c r="F2906" t="s">
        <v>5037</v>
      </c>
      <c r="G2906" s="3">
        <v>8629.9599999999991</v>
      </c>
      <c r="H2906" s="3">
        <v>0</v>
      </c>
      <c r="I2906" s="3">
        <f>SUM(Tabla1[[#This Row],[Monto_Base]],H2906)</f>
        <v>8629.9599999999991</v>
      </c>
      <c r="J2906" t="s">
        <v>5044</v>
      </c>
      <c r="K2906" t="s">
        <v>5047</v>
      </c>
      <c r="L2906" t="s">
        <v>5053</v>
      </c>
      <c r="M2906" t="s">
        <v>5054</v>
      </c>
    </row>
    <row r="2907" spans="1:13" x14ac:dyDescent="0.3">
      <c r="A2907" s="1">
        <v>45570</v>
      </c>
      <c r="B2907" s="1" t="str">
        <f>TEXT(Tabla1[[#This Row],[Fecha]],"MMMM")</f>
        <v>octubre</v>
      </c>
      <c r="C2907" t="s">
        <v>2917</v>
      </c>
      <c r="D2907" t="s">
        <v>5021</v>
      </c>
      <c r="E2907" t="s">
        <v>5033</v>
      </c>
      <c r="F2907" t="s">
        <v>5036</v>
      </c>
      <c r="G2907" s="3">
        <v>2300.6</v>
      </c>
      <c r="H2907" s="3">
        <v>299.08</v>
      </c>
      <c r="I2907" s="3">
        <f>SUM(Tabla1[[#This Row],[Monto_Base]],H2907)</f>
        <v>2599.6799999999998</v>
      </c>
      <c r="J2907" t="s">
        <v>5046</v>
      </c>
      <c r="K2907" t="s">
        <v>5047</v>
      </c>
      <c r="L2907" t="s">
        <v>5053</v>
      </c>
      <c r="M2907" t="s">
        <v>5055</v>
      </c>
    </row>
    <row r="2908" spans="1:13" x14ac:dyDescent="0.3">
      <c r="A2908" s="1">
        <v>45465</v>
      </c>
      <c r="B2908" s="1" t="str">
        <f>TEXT(Tabla1[[#This Row],[Fecha]],"MMMM")</f>
        <v>junio</v>
      </c>
      <c r="C2908" t="s">
        <v>2918</v>
      </c>
      <c r="D2908" t="s">
        <v>5016</v>
      </c>
      <c r="E2908" t="s">
        <v>5032</v>
      </c>
      <c r="F2908" t="s">
        <v>5035</v>
      </c>
      <c r="G2908" s="3">
        <v>13979.39</v>
      </c>
      <c r="H2908" s="3">
        <v>0</v>
      </c>
      <c r="I2908" s="3">
        <f>SUM(Tabla1[[#This Row],[Monto_Base]],H2908)</f>
        <v>13979.39</v>
      </c>
      <c r="J2908" t="s">
        <v>5042</v>
      </c>
      <c r="K2908" t="s">
        <v>5048</v>
      </c>
      <c r="L2908" t="s">
        <v>5053</v>
      </c>
      <c r="M2908" t="s">
        <v>5055</v>
      </c>
    </row>
    <row r="2909" spans="1:13" x14ac:dyDescent="0.3">
      <c r="A2909" s="1">
        <v>45468</v>
      </c>
      <c r="B2909" s="1" t="str">
        <f>TEXT(Tabla1[[#This Row],[Fecha]],"MMMM")</f>
        <v>junio</v>
      </c>
      <c r="C2909" t="s">
        <v>2919</v>
      </c>
      <c r="D2909" t="s">
        <v>5030</v>
      </c>
      <c r="E2909" t="s">
        <v>5032</v>
      </c>
      <c r="F2909" t="s">
        <v>5035</v>
      </c>
      <c r="G2909" s="3">
        <v>2924.07</v>
      </c>
      <c r="H2909" s="3">
        <v>0</v>
      </c>
      <c r="I2909" s="3">
        <f>SUM(Tabla1[[#This Row],[Monto_Base]],H2909)</f>
        <v>2924.07</v>
      </c>
      <c r="J2909" t="s">
        <v>5043</v>
      </c>
      <c r="K2909" t="s">
        <v>5049</v>
      </c>
      <c r="L2909" t="s">
        <v>5050</v>
      </c>
      <c r="M2909" t="s">
        <v>5054</v>
      </c>
    </row>
    <row r="2910" spans="1:13" x14ac:dyDescent="0.3">
      <c r="A2910" s="1">
        <v>45649</v>
      </c>
      <c r="B2910" s="1" t="str">
        <f>TEXT(Tabla1[[#This Row],[Fecha]],"MMMM")</f>
        <v>diciembre</v>
      </c>
      <c r="C2910" t="s">
        <v>2920</v>
      </c>
      <c r="D2910" t="s">
        <v>5030</v>
      </c>
      <c r="E2910" t="s">
        <v>5033</v>
      </c>
      <c r="F2910" t="s">
        <v>5038</v>
      </c>
      <c r="G2910" s="3">
        <v>13655.64</v>
      </c>
      <c r="H2910" s="3">
        <v>1775.23</v>
      </c>
      <c r="I2910" s="3">
        <f>SUM(Tabla1[[#This Row],[Monto_Base]],H2910)</f>
        <v>15430.869999999999</v>
      </c>
      <c r="J2910" t="s">
        <v>5043</v>
      </c>
      <c r="K2910" t="s">
        <v>5047</v>
      </c>
      <c r="L2910" t="s">
        <v>5051</v>
      </c>
      <c r="M2910" t="s">
        <v>5054</v>
      </c>
    </row>
    <row r="2911" spans="1:13" x14ac:dyDescent="0.3">
      <c r="A2911" s="1">
        <v>45521</v>
      </c>
      <c r="B2911" s="1" t="str">
        <f>TEXT(Tabla1[[#This Row],[Fecha]],"MMMM")</f>
        <v>agosto</v>
      </c>
      <c r="C2911" t="s">
        <v>2921</v>
      </c>
      <c r="D2911" t="s">
        <v>5029</v>
      </c>
      <c r="E2911" t="s">
        <v>5033</v>
      </c>
      <c r="F2911" t="s">
        <v>5040</v>
      </c>
      <c r="G2911" s="3">
        <v>3172.07</v>
      </c>
      <c r="H2911" s="3">
        <v>412.37</v>
      </c>
      <c r="I2911" s="3">
        <f>SUM(Tabla1[[#This Row],[Monto_Base]],H2911)</f>
        <v>3584.44</v>
      </c>
      <c r="J2911" t="s">
        <v>5043</v>
      </c>
      <c r="K2911" t="s">
        <v>5049</v>
      </c>
      <c r="L2911" t="s">
        <v>5051</v>
      </c>
      <c r="M2911" t="s">
        <v>5054</v>
      </c>
    </row>
    <row r="2912" spans="1:13" x14ac:dyDescent="0.3">
      <c r="A2912" s="1">
        <v>45515</v>
      </c>
      <c r="B2912" s="1" t="str">
        <f>TEXT(Tabla1[[#This Row],[Fecha]],"MMMM")</f>
        <v>agosto</v>
      </c>
      <c r="C2912" t="s">
        <v>2922</v>
      </c>
      <c r="D2912" t="s">
        <v>5019</v>
      </c>
      <c r="E2912" t="s">
        <v>5032</v>
      </c>
      <c r="F2912" t="s">
        <v>5041</v>
      </c>
      <c r="G2912" s="3">
        <v>12991.76</v>
      </c>
      <c r="H2912" s="3">
        <v>0</v>
      </c>
      <c r="I2912" s="3">
        <f>SUM(Tabla1[[#This Row],[Monto_Base]],H2912)</f>
        <v>12991.76</v>
      </c>
      <c r="J2912" t="s">
        <v>5045</v>
      </c>
      <c r="K2912" t="s">
        <v>5047</v>
      </c>
      <c r="L2912" t="s">
        <v>5050</v>
      </c>
      <c r="M2912" t="s">
        <v>5055</v>
      </c>
    </row>
    <row r="2913" spans="1:13" x14ac:dyDescent="0.3">
      <c r="A2913" s="1">
        <v>45634</v>
      </c>
      <c r="B2913" s="1" t="str">
        <f>TEXT(Tabla1[[#This Row],[Fecha]],"MMMM")</f>
        <v>diciembre</v>
      </c>
      <c r="C2913" t="s">
        <v>2923</v>
      </c>
      <c r="D2913" t="s">
        <v>5021</v>
      </c>
      <c r="E2913" t="s">
        <v>5032</v>
      </c>
      <c r="F2913" t="s">
        <v>5041</v>
      </c>
      <c r="G2913" s="3">
        <v>10161.02</v>
      </c>
      <c r="H2913" s="3">
        <v>0</v>
      </c>
      <c r="I2913" s="3">
        <f>SUM(Tabla1[[#This Row],[Monto_Base]],H2913)</f>
        <v>10161.02</v>
      </c>
      <c r="J2913" t="s">
        <v>5046</v>
      </c>
      <c r="K2913" t="s">
        <v>5047</v>
      </c>
      <c r="L2913" t="s">
        <v>5050</v>
      </c>
      <c r="M2913" t="s">
        <v>5054</v>
      </c>
    </row>
    <row r="2914" spans="1:13" x14ac:dyDescent="0.3">
      <c r="A2914" s="1">
        <v>45507</v>
      </c>
      <c r="B2914" s="1" t="str">
        <f>TEXT(Tabla1[[#This Row],[Fecha]],"MMMM")</f>
        <v>agosto</v>
      </c>
      <c r="C2914" t="s">
        <v>2924</v>
      </c>
      <c r="D2914" t="s">
        <v>5017</v>
      </c>
      <c r="E2914" t="s">
        <v>5033</v>
      </c>
      <c r="F2914" t="s">
        <v>5039</v>
      </c>
      <c r="G2914" s="3">
        <v>3999.74</v>
      </c>
      <c r="H2914" s="3">
        <v>519.97</v>
      </c>
      <c r="I2914" s="3">
        <f>SUM(Tabla1[[#This Row],[Monto_Base]],H2914)</f>
        <v>4519.71</v>
      </c>
      <c r="J2914" t="s">
        <v>5043</v>
      </c>
      <c r="K2914" t="s">
        <v>5048</v>
      </c>
      <c r="L2914" t="s">
        <v>5050</v>
      </c>
      <c r="M2914" t="s">
        <v>5055</v>
      </c>
    </row>
    <row r="2915" spans="1:13" x14ac:dyDescent="0.3">
      <c r="A2915" s="1">
        <v>45565</v>
      </c>
      <c r="B2915" s="1" t="str">
        <f>TEXT(Tabla1[[#This Row],[Fecha]],"MMMM")</f>
        <v>septiembre</v>
      </c>
      <c r="C2915" t="s">
        <v>2925</v>
      </c>
      <c r="D2915" t="s">
        <v>5030</v>
      </c>
      <c r="E2915" t="s">
        <v>5033</v>
      </c>
      <c r="F2915" t="s">
        <v>5038</v>
      </c>
      <c r="G2915" s="3">
        <v>8165.53</v>
      </c>
      <c r="H2915" s="3">
        <v>1061.52</v>
      </c>
      <c r="I2915" s="3">
        <f>SUM(Tabla1[[#This Row],[Monto_Base]],H2915)</f>
        <v>9227.0499999999993</v>
      </c>
      <c r="J2915" t="s">
        <v>5045</v>
      </c>
      <c r="K2915" t="s">
        <v>5049</v>
      </c>
      <c r="L2915" t="s">
        <v>5051</v>
      </c>
      <c r="M2915" t="s">
        <v>5055</v>
      </c>
    </row>
    <row r="2916" spans="1:13" x14ac:dyDescent="0.3">
      <c r="A2916" s="1">
        <v>45466</v>
      </c>
      <c r="B2916" s="1" t="str">
        <f>TEXT(Tabla1[[#This Row],[Fecha]],"MMMM")</f>
        <v>junio</v>
      </c>
      <c r="C2916" t="s">
        <v>2926</v>
      </c>
      <c r="D2916" t="s">
        <v>5013</v>
      </c>
      <c r="E2916" t="s">
        <v>5033</v>
      </c>
      <c r="F2916" t="s">
        <v>5040</v>
      </c>
      <c r="G2916" s="3">
        <v>5835.9</v>
      </c>
      <c r="H2916" s="3">
        <v>758.67</v>
      </c>
      <c r="I2916" s="3">
        <f>SUM(Tabla1[[#This Row],[Monto_Base]],H2916)</f>
        <v>6594.57</v>
      </c>
      <c r="J2916" t="s">
        <v>5044</v>
      </c>
      <c r="K2916" t="s">
        <v>5047</v>
      </c>
      <c r="L2916" t="s">
        <v>5050</v>
      </c>
      <c r="M2916" t="s">
        <v>5054</v>
      </c>
    </row>
    <row r="2917" spans="1:13" x14ac:dyDescent="0.3">
      <c r="A2917" s="1">
        <v>45503</v>
      </c>
      <c r="B2917" s="1" t="str">
        <f>TEXT(Tabla1[[#This Row],[Fecha]],"MMMM")</f>
        <v>julio</v>
      </c>
      <c r="C2917" t="s">
        <v>2927</v>
      </c>
      <c r="D2917" t="s">
        <v>5014</v>
      </c>
      <c r="E2917" t="s">
        <v>5032</v>
      </c>
      <c r="F2917" t="s">
        <v>5038</v>
      </c>
      <c r="G2917" s="3">
        <v>12051.06</v>
      </c>
      <c r="H2917" s="3">
        <v>0</v>
      </c>
      <c r="I2917" s="3">
        <f>SUM(Tabla1[[#This Row],[Monto_Base]],H2917)</f>
        <v>12051.06</v>
      </c>
      <c r="J2917" t="s">
        <v>5045</v>
      </c>
      <c r="K2917" t="s">
        <v>5047</v>
      </c>
      <c r="L2917" t="s">
        <v>5053</v>
      </c>
      <c r="M2917" t="s">
        <v>5054</v>
      </c>
    </row>
    <row r="2918" spans="1:13" x14ac:dyDescent="0.3">
      <c r="A2918" s="1">
        <v>45522</v>
      </c>
      <c r="B2918" s="1" t="str">
        <f>TEXT(Tabla1[[#This Row],[Fecha]],"MMMM")</f>
        <v>agosto</v>
      </c>
      <c r="C2918" t="s">
        <v>2928</v>
      </c>
      <c r="D2918" t="s">
        <v>5014</v>
      </c>
      <c r="E2918" t="s">
        <v>5032</v>
      </c>
      <c r="F2918" t="s">
        <v>5037</v>
      </c>
      <c r="G2918" s="3">
        <v>4634.7700000000004</v>
      </c>
      <c r="H2918" s="3">
        <v>0</v>
      </c>
      <c r="I2918" s="3">
        <f>SUM(Tabla1[[#This Row],[Monto_Base]],H2918)</f>
        <v>4634.7700000000004</v>
      </c>
      <c r="J2918" t="s">
        <v>5044</v>
      </c>
      <c r="K2918" t="s">
        <v>5048</v>
      </c>
      <c r="L2918" t="s">
        <v>5051</v>
      </c>
      <c r="M2918" t="s">
        <v>5055</v>
      </c>
    </row>
    <row r="2919" spans="1:13" x14ac:dyDescent="0.3">
      <c r="A2919" s="1">
        <v>45490</v>
      </c>
      <c r="B2919" s="1" t="str">
        <f>TEXT(Tabla1[[#This Row],[Fecha]],"MMMM")</f>
        <v>julio</v>
      </c>
      <c r="C2919" t="s">
        <v>2929</v>
      </c>
      <c r="D2919" t="s">
        <v>5025</v>
      </c>
      <c r="E2919" t="s">
        <v>5033</v>
      </c>
      <c r="F2919" t="s">
        <v>5041</v>
      </c>
      <c r="G2919" s="3">
        <v>2317.9299999999998</v>
      </c>
      <c r="H2919" s="3">
        <v>301.33</v>
      </c>
      <c r="I2919" s="3">
        <f>SUM(Tabla1[[#This Row],[Monto_Base]],H2919)</f>
        <v>2619.2599999999998</v>
      </c>
      <c r="J2919" t="s">
        <v>5042</v>
      </c>
      <c r="K2919" t="s">
        <v>5047</v>
      </c>
      <c r="L2919" t="s">
        <v>5051</v>
      </c>
      <c r="M2919" t="s">
        <v>5055</v>
      </c>
    </row>
    <row r="2920" spans="1:13" x14ac:dyDescent="0.3">
      <c r="A2920" s="1">
        <v>45424</v>
      </c>
      <c r="B2920" s="1" t="str">
        <f>TEXT(Tabla1[[#This Row],[Fecha]],"MMMM")</f>
        <v>mayo</v>
      </c>
      <c r="C2920" t="s">
        <v>2930</v>
      </c>
      <c r="D2920" t="s">
        <v>5022</v>
      </c>
      <c r="E2920" t="s">
        <v>5033</v>
      </c>
      <c r="F2920" t="s">
        <v>5035</v>
      </c>
      <c r="G2920" s="3">
        <v>9152.3799999999992</v>
      </c>
      <c r="H2920" s="3">
        <v>1189.81</v>
      </c>
      <c r="I2920" s="3">
        <f>SUM(Tabla1[[#This Row],[Monto_Base]],H2920)</f>
        <v>10342.189999999999</v>
      </c>
      <c r="J2920" t="s">
        <v>5043</v>
      </c>
      <c r="K2920" t="s">
        <v>5049</v>
      </c>
      <c r="L2920" t="s">
        <v>5051</v>
      </c>
      <c r="M2920" t="s">
        <v>5055</v>
      </c>
    </row>
    <row r="2921" spans="1:13" x14ac:dyDescent="0.3">
      <c r="A2921" s="1">
        <v>45624</v>
      </c>
      <c r="B2921" s="1" t="str">
        <f>TEXT(Tabla1[[#This Row],[Fecha]],"MMMM")</f>
        <v>noviembre</v>
      </c>
      <c r="C2921" t="s">
        <v>2931</v>
      </c>
      <c r="D2921" t="s">
        <v>5027</v>
      </c>
      <c r="E2921" t="s">
        <v>5032</v>
      </c>
      <c r="F2921" t="s">
        <v>5039</v>
      </c>
      <c r="G2921" s="3">
        <v>13836.43</v>
      </c>
      <c r="H2921" s="3">
        <v>0</v>
      </c>
      <c r="I2921" s="3">
        <f>SUM(Tabla1[[#This Row],[Monto_Base]],H2921)</f>
        <v>13836.43</v>
      </c>
      <c r="J2921" t="s">
        <v>5043</v>
      </c>
      <c r="K2921" t="s">
        <v>5047</v>
      </c>
      <c r="L2921" t="s">
        <v>5052</v>
      </c>
      <c r="M2921" t="s">
        <v>5054</v>
      </c>
    </row>
    <row r="2922" spans="1:13" x14ac:dyDescent="0.3">
      <c r="A2922" s="1">
        <v>45518</v>
      </c>
      <c r="B2922" s="1" t="str">
        <f>TEXT(Tabla1[[#This Row],[Fecha]],"MMMM")</f>
        <v>agosto</v>
      </c>
      <c r="C2922" t="s">
        <v>2932</v>
      </c>
      <c r="D2922" t="s">
        <v>5016</v>
      </c>
      <c r="E2922" t="s">
        <v>5032</v>
      </c>
      <c r="F2922" t="s">
        <v>5035</v>
      </c>
      <c r="G2922" s="3">
        <v>9390.7000000000007</v>
      </c>
      <c r="H2922" s="3">
        <v>0</v>
      </c>
      <c r="I2922" s="3">
        <f>SUM(Tabla1[[#This Row],[Monto_Base]],H2922)</f>
        <v>9390.7000000000007</v>
      </c>
      <c r="J2922" t="s">
        <v>5043</v>
      </c>
      <c r="K2922" t="s">
        <v>5048</v>
      </c>
      <c r="L2922" t="s">
        <v>5050</v>
      </c>
      <c r="M2922" t="s">
        <v>5055</v>
      </c>
    </row>
    <row r="2923" spans="1:13" x14ac:dyDescent="0.3">
      <c r="A2923" s="1">
        <v>45406</v>
      </c>
      <c r="B2923" s="1" t="str">
        <f>TEXT(Tabla1[[#This Row],[Fecha]],"MMMM")</f>
        <v>abril</v>
      </c>
      <c r="C2923" t="s">
        <v>2933</v>
      </c>
      <c r="D2923" t="s">
        <v>5022</v>
      </c>
      <c r="E2923" t="s">
        <v>5033</v>
      </c>
      <c r="F2923" t="s">
        <v>5037</v>
      </c>
      <c r="G2923" s="3">
        <v>2207.5100000000002</v>
      </c>
      <c r="H2923" s="3">
        <v>286.98</v>
      </c>
      <c r="I2923" s="3">
        <f>SUM(Tabla1[[#This Row],[Monto_Base]],H2923)</f>
        <v>2494.4900000000002</v>
      </c>
      <c r="J2923" t="s">
        <v>5043</v>
      </c>
      <c r="K2923" t="s">
        <v>5048</v>
      </c>
      <c r="L2923" t="s">
        <v>5052</v>
      </c>
      <c r="M2923" t="s">
        <v>5055</v>
      </c>
    </row>
    <row r="2924" spans="1:13" x14ac:dyDescent="0.3">
      <c r="A2924" s="1">
        <v>45475</v>
      </c>
      <c r="B2924" s="1" t="str">
        <f>TEXT(Tabla1[[#This Row],[Fecha]],"MMMM")</f>
        <v>julio</v>
      </c>
      <c r="C2924" t="s">
        <v>2934</v>
      </c>
      <c r="D2924" t="s">
        <v>5013</v>
      </c>
      <c r="E2924" t="s">
        <v>5033</v>
      </c>
      <c r="F2924" t="s">
        <v>5041</v>
      </c>
      <c r="G2924" s="3">
        <v>11401.38</v>
      </c>
      <c r="H2924" s="3">
        <v>1482.18</v>
      </c>
      <c r="I2924" s="3">
        <f>SUM(Tabla1[[#This Row],[Monto_Base]],H2924)</f>
        <v>12883.56</v>
      </c>
      <c r="J2924" t="s">
        <v>5045</v>
      </c>
      <c r="K2924" t="s">
        <v>5047</v>
      </c>
      <c r="L2924" t="s">
        <v>5050</v>
      </c>
      <c r="M2924" t="s">
        <v>5054</v>
      </c>
    </row>
    <row r="2925" spans="1:13" x14ac:dyDescent="0.3">
      <c r="A2925" s="1">
        <v>45375</v>
      </c>
      <c r="B2925" s="1" t="str">
        <f>TEXT(Tabla1[[#This Row],[Fecha]],"MMMM")</f>
        <v>marzo</v>
      </c>
      <c r="C2925" t="s">
        <v>2935</v>
      </c>
      <c r="D2925" t="s">
        <v>5012</v>
      </c>
      <c r="E2925" t="s">
        <v>5032</v>
      </c>
      <c r="F2925" t="s">
        <v>5039</v>
      </c>
      <c r="G2925" s="3">
        <v>4346.92</v>
      </c>
      <c r="H2925" s="3">
        <v>0</v>
      </c>
      <c r="I2925" s="3">
        <f>SUM(Tabla1[[#This Row],[Monto_Base]],H2925)</f>
        <v>4346.92</v>
      </c>
      <c r="J2925" t="s">
        <v>5046</v>
      </c>
      <c r="K2925" t="s">
        <v>5047</v>
      </c>
      <c r="L2925" t="s">
        <v>5052</v>
      </c>
      <c r="M2925" t="s">
        <v>5054</v>
      </c>
    </row>
    <row r="2926" spans="1:13" x14ac:dyDescent="0.3">
      <c r="A2926" s="1">
        <v>45303</v>
      </c>
      <c r="B2926" s="1" t="str">
        <f>TEXT(Tabla1[[#This Row],[Fecha]],"MMMM")</f>
        <v>enero</v>
      </c>
      <c r="C2926" t="s">
        <v>2936</v>
      </c>
      <c r="D2926" t="s">
        <v>5017</v>
      </c>
      <c r="E2926" t="s">
        <v>5033</v>
      </c>
      <c r="F2926" t="s">
        <v>5038</v>
      </c>
      <c r="G2926" s="3">
        <v>4234.8500000000004</v>
      </c>
      <c r="H2926" s="3">
        <v>550.53</v>
      </c>
      <c r="I2926" s="3">
        <f>SUM(Tabla1[[#This Row],[Monto_Base]],H2926)</f>
        <v>4785.38</v>
      </c>
      <c r="J2926" t="s">
        <v>5043</v>
      </c>
      <c r="K2926" t="s">
        <v>5049</v>
      </c>
      <c r="L2926" t="s">
        <v>5053</v>
      </c>
      <c r="M2926" t="s">
        <v>5055</v>
      </c>
    </row>
    <row r="2927" spans="1:13" x14ac:dyDescent="0.3">
      <c r="A2927" s="1">
        <v>45627</v>
      </c>
      <c r="B2927" s="1" t="str">
        <f>TEXT(Tabla1[[#This Row],[Fecha]],"MMMM")</f>
        <v>diciembre</v>
      </c>
      <c r="C2927" t="s">
        <v>2937</v>
      </c>
      <c r="D2927" t="s">
        <v>5024</v>
      </c>
      <c r="E2927" t="s">
        <v>5033</v>
      </c>
      <c r="F2927" t="s">
        <v>5037</v>
      </c>
      <c r="G2927" s="3">
        <v>9198.98</v>
      </c>
      <c r="H2927" s="3">
        <v>1195.8699999999999</v>
      </c>
      <c r="I2927" s="3">
        <f>SUM(Tabla1[[#This Row],[Monto_Base]],H2927)</f>
        <v>10394.849999999999</v>
      </c>
      <c r="J2927" t="s">
        <v>5046</v>
      </c>
      <c r="K2927" t="s">
        <v>5047</v>
      </c>
      <c r="L2927" t="s">
        <v>5051</v>
      </c>
      <c r="M2927" t="s">
        <v>5055</v>
      </c>
    </row>
    <row r="2928" spans="1:13" x14ac:dyDescent="0.3">
      <c r="A2928" s="1">
        <v>45550</v>
      </c>
      <c r="B2928" s="1" t="str">
        <f>TEXT(Tabla1[[#This Row],[Fecha]],"MMMM")</f>
        <v>septiembre</v>
      </c>
      <c r="C2928" t="s">
        <v>2938</v>
      </c>
      <c r="D2928" t="s">
        <v>5020</v>
      </c>
      <c r="E2928" t="s">
        <v>5033</v>
      </c>
      <c r="F2928" t="s">
        <v>5038</v>
      </c>
      <c r="G2928" s="3">
        <v>1400.64</v>
      </c>
      <c r="H2928" s="3">
        <v>182.08</v>
      </c>
      <c r="I2928" s="3">
        <f>SUM(Tabla1[[#This Row],[Monto_Base]],H2928)</f>
        <v>1582.72</v>
      </c>
      <c r="J2928" t="s">
        <v>5044</v>
      </c>
      <c r="K2928" t="s">
        <v>5047</v>
      </c>
      <c r="L2928" t="s">
        <v>5050</v>
      </c>
      <c r="M2928" t="s">
        <v>5054</v>
      </c>
    </row>
    <row r="2929" spans="1:13" x14ac:dyDescent="0.3">
      <c r="A2929" s="1">
        <v>45576</v>
      </c>
      <c r="B2929" s="1" t="str">
        <f>TEXT(Tabla1[[#This Row],[Fecha]],"MMMM")</f>
        <v>octubre</v>
      </c>
      <c r="C2929" t="s">
        <v>2939</v>
      </c>
      <c r="D2929" t="s">
        <v>5027</v>
      </c>
      <c r="E2929" t="s">
        <v>5032</v>
      </c>
      <c r="F2929" t="s">
        <v>5038</v>
      </c>
      <c r="G2929" s="3">
        <v>7989.38</v>
      </c>
      <c r="H2929" s="3">
        <v>0</v>
      </c>
      <c r="I2929" s="3">
        <f>SUM(Tabla1[[#This Row],[Monto_Base]],H2929)</f>
        <v>7989.38</v>
      </c>
      <c r="J2929" t="s">
        <v>5044</v>
      </c>
      <c r="K2929" t="s">
        <v>5048</v>
      </c>
      <c r="L2929" t="s">
        <v>5050</v>
      </c>
      <c r="M2929" t="s">
        <v>5055</v>
      </c>
    </row>
    <row r="2930" spans="1:13" x14ac:dyDescent="0.3">
      <c r="A2930" s="1">
        <v>45477</v>
      </c>
      <c r="B2930" s="1" t="str">
        <f>TEXT(Tabla1[[#This Row],[Fecha]],"MMMM")</f>
        <v>julio</v>
      </c>
      <c r="C2930" t="s">
        <v>2940</v>
      </c>
      <c r="D2930" t="s">
        <v>5013</v>
      </c>
      <c r="E2930" t="s">
        <v>5033</v>
      </c>
      <c r="F2930" t="s">
        <v>5035</v>
      </c>
      <c r="G2930" s="3">
        <v>3876.08</v>
      </c>
      <c r="H2930" s="3">
        <v>503.89</v>
      </c>
      <c r="I2930" s="3">
        <f>SUM(Tabla1[[#This Row],[Monto_Base]],H2930)</f>
        <v>4379.97</v>
      </c>
      <c r="J2930" t="s">
        <v>5044</v>
      </c>
      <c r="K2930" t="s">
        <v>5048</v>
      </c>
      <c r="L2930" t="s">
        <v>5052</v>
      </c>
      <c r="M2930" t="s">
        <v>5054</v>
      </c>
    </row>
    <row r="2931" spans="1:13" x14ac:dyDescent="0.3">
      <c r="A2931" s="1">
        <v>45446</v>
      </c>
      <c r="B2931" s="1" t="str">
        <f>TEXT(Tabla1[[#This Row],[Fecha]],"MMMM")</f>
        <v>junio</v>
      </c>
      <c r="C2931" t="s">
        <v>2941</v>
      </c>
      <c r="D2931" t="s">
        <v>5024</v>
      </c>
      <c r="E2931" t="s">
        <v>5032</v>
      </c>
      <c r="F2931" t="s">
        <v>5037</v>
      </c>
      <c r="G2931" s="3">
        <v>11413.98</v>
      </c>
      <c r="H2931" s="3">
        <v>0</v>
      </c>
      <c r="I2931" s="3">
        <f>SUM(Tabla1[[#This Row],[Monto_Base]],H2931)</f>
        <v>11413.98</v>
      </c>
      <c r="J2931" t="s">
        <v>5046</v>
      </c>
      <c r="K2931" t="s">
        <v>5048</v>
      </c>
      <c r="L2931" t="s">
        <v>5051</v>
      </c>
      <c r="M2931" t="s">
        <v>5054</v>
      </c>
    </row>
    <row r="2932" spans="1:13" x14ac:dyDescent="0.3">
      <c r="A2932" s="1">
        <v>45306</v>
      </c>
      <c r="B2932" s="1" t="str">
        <f>TEXT(Tabla1[[#This Row],[Fecha]],"MMMM")</f>
        <v>enero</v>
      </c>
      <c r="C2932" t="s">
        <v>2942</v>
      </c>
      <c r="D2932" t="s">
        <v>5016</v>
      </c>
      <c r="E2932" t="s">
        <v>5032</v>
      </c>
      <c r="F2932" t="s">
        <v>5041</v>
      </c>
      <c r="G2932" s="3">
        <v>8188.13</v>
      </c>
      <c r="H2932" s="3">
        <v>0</v>
      </c>
      <c r="I2932" s="3">
        <f>SUM(Tabla1[[#This Row],[Monto_Base]],H2932)</f>
        <v>8188.13</v>
      </c>
      <c r="J2932" t="s">
        <v>5046</v>
      </c>
      <c r="K2932" t="s">
        <v>5047</v>
      </c>
      <c r="L2932" t="s">
        <v>5052</v>
      </c>
      <c r="M2932" t="s">
        <v>5054</v>
      </c>
    </row>
    <row r="2933" spans="1:13" x14ac:dyDescent="0.3">
      <c r="A2933" s="1">
        <v>45309</v>
      </c>
      <c r="B2933" s="1" t="str">
        <f>TEXT(Tabla1[[#This Row],[Fecha]],"MMMM")</f>
        <v>enero</v>
      </c>
      <c r="C2933" t="s">
        <v>2943</v>
      </c>
      <c r="D2933" t="s">
        <v>5013</v>
      </c>
      <c r="E2933" t="s">
        <v>5033</v>
      </c>
      <c r="F2933" t="s">
        <v>5036</v>
      </c>
      <c r="G2933" s="3">
        <v>13759.94</v>
      </c>
      <c r="H2933" s="3">
        <v>1788.79</v>
      </c>
      <c r="I2933" s="3">
        <f>SUM(Tabla1[[#This Row],[Monto_Base]],H2933)</f>
        <v>15548.73</v>
      </c>
      <c r="J2933" t="s">
        <v>5045</v>
      </c>
      <c r="K2933" t="s">
        <v>5049</v>
      </c>
      <c r="L2933" t="s">
        <v>5051</v>
      </c>
      <c r="M2933" t="s">
        <v>5055</v>
      </c>
    </row>
    <row r="2934" spans="1:13" x14ac:dyDescent="0.3">
      <c r="A2934" s="1">
        <v>45539</v>
      </c>
      <c r="B2934" s="1" t="str">
        <f>TEXT(Tabla1[[#This Row],[Fecha]],"MMMM")</f>
        <v>septiembre</v>
      </c>
      <c r="C2934" t="s">
        <v>2944</v>
      </c>
      <c r="D2934" t="s">
        <v>5024</v>
      </c>
      <c r="E2934" t="s">
        <v>5033</v>
      </c>
      <c r="F2934" t="s">
        <v>5041</v>
      </c>
      <c r="G2934" s="3">
        <v>8509.61</v>
      </c>
      <c r="H2934" s="3">
        <v>1106.25</v>
      </c>
      <c r="I2934" s="3">
        <f>SUM(Tabla1[[#This Row],[Monto_Base]],H2934)</f>
        <v>9615.86</v>
      </c>
      <c r="J2934" t="s">
        <v>5046</v>
      </c>
      <c r="K2934" t="s">
        <v>5049</v>
      </c>
      <c r="L2934" t="s">
        <v>5050</v>
      </c>
      <c r="M2934" t="s">
        <v>5054</v>
      </c>
    </row>
    <row r="2935" spans="1:13" x14ac:dyDescent="0.3">
      <c r="A2935" s="1">
        <v>45501</v>
      </c>
      <c r="B2935" s="1" t="str">
        <f>TEXT(Tabla1[[#This Row],[Fecha]],"MMMM")</f>
        <v>julio</v>
      </c>
      <c r="C2935" t="s">
        <v>2945</v>
      </c>
      <c r="D2935" t="s">
        <v>5021</v>
      </c>
      <c r="E2935" t="s">
        <v>5033</v>
      </c>
      <c r="F2935" t="s">
        <v>5038</v>
      </c>
      <c r="G2935" s="3">
        <v>8532.39</v>
      </c>
      <c r="H2935" s="3">
        <v>1109.21</v>
      </c>
      <c r="I2935" s="3">
        <f>SUM(Tabla1[[#This Row],[Monto_Base]],H2935)</f>
        <v>9641.5999999999985</v>
      </c>
      <c r="J2935" t="s">
        <v>5046</v>
      </c>
      <c r="K2935" t="s">
        <v>5049</v>
      </c>
      <c r="L2935" t="s">
        <v>5053</v>
      </c>
      <c r="M2935" t="s">
        <v>5055</v>
      </c>
    </row>
    <row r="2936" spans="1:13" x14ac:dyDescent="0.3">
      <c r="A2936" s="1">
        <v>45412</v>
      </c>
      <c r="B2936" s="1" t="str">
        <f>TEXT(Tabla1[[#This Row],[Fecha]],"MMMM")</f>
        <v>abril</v>
      </c>
      <c r="C2936" t="s">
        <v>2946</v>
      </c>
      <c r="D2936" t="s">
        <v>5029</v>
      </c>
      <c r="E2936" t="s">
        <v>5032</v>
      </c>
      <c r="F2936" t="s">
        <v>5036</v>
      </c>
      <c r="G2936" s="3">
        <v>6435.3</v>
      </c>
      <c r="H2936" s="3">
        <v>0</v>
      </c>
      <c r="I2936" s="3">
        <f>SUM(Tabla1[[#This Row],[Monto_Base]],H2936)</f>
        <v>6435.3</v>
      </c>
      <c r="J2936" t="s">
        <v>5046</v>
      </c>
      <c r="K2936" t="s">
        <v>5047</v>
      </c>
      <c r="L2936" t="s">
        <v>5053</v>
      </c>
      <c r="M2936" t="s">
        <v>5055</v>
      </c>
    </row>
    <row r="2937" spans="1:13" x14ac:dyDescent="0.3">
      <c r="A2937" s="1">
        <v>45383</v>
      </c>
      <c r="B2937" s="1" t="str">
        <f>TEXT(Tabla1[[#This Row],[Fecha]],"MMMM")</f>
        <v>abril</v>
      </c>
      <c r="C2937" t="s">
        <v>2947</v>
      </c>
      <c r="D2937" t="s">
        <v>5012</v>
      </c>
      <c r="E2937" t="s">
        <v>5032</v>
      </c>
      <c r="F2937" t="s">
        <v>5036</v>
      </c>
      <c r="G2937" s="3">
        <v>10538.68</v>
      </c>
      <c r="H2937" s="3">
        <v>0</v>
      </c>
      <c r="I2937" s="3">
        <f>SUM(Tabla1[[#This Row],[Monto_Base]],H2937)</f>
        <v>10538.68</v>
      </c>
      <c r="J2937" t="s">
        <v>5042</v>
      </c>
      <c r="K2937" t="s">
        <v>5048</v>
      </c>
      <c r="L2937" t="s">
        <v>5051</v>
      </c>
      <c r="M2937" t="s">
        <v>5055</v>
      </c>
    </row>
    <row r="2938" spans="1:13" x14ac:dyDescent="0.3">
      <c r="A2938" s="1">
        <v>45652</v>
      </c>
      <c r="B2938" s="1" t="str">
        <f>TEXT(Tabla1[[#This Row],[Fecha]],"MMMM")</f>
        <v>diciembre</v>
      </c>
      <c r="C2938" t="s">
        <v>2948</v>
      </c>
      <c r="D2938" t="s">
        <v>5026</v>
      </c>
      <c r="E2938" t="s">
        <v>5033</v>
      </c>
      <c r="F2938" t="s">
        <v>5039</v>
      </c>
      <c r="G2938" s="3">
        <v>10232.530000000001</v>
      </c>
      <c r="H2938" s="3">
        <v>1330.23</v>
      </c>
      <c r="I2938" s="3">
        <f>SUM(Tabla1[[#This Row],[Monto_Base]],H2938)</f>
        <v>11562.76</v>
      </c>
      <c r="J2938" t="s">
        <v>5045</v>
      </c>
      <c r="K2938" t="s">
        <v>5047</v>
      </c>
      <c r="L2938" t="s">
        <v>5050</v>
      </c>
      <c r="M2938" t="s">
        <v>5055</v>
      </c>
    </row>
    <row r="2939" spans="1:13" x14ac:dyDescent="0.3">
      <c r="A2939" s="1">
        <v>45563</v>
      </c>
      <c r="B2939" s="1" t="str">
        <f>TEXT(Tabla1[[#This Row],[Fecha]],"MMMM")</f>
        <v>septiembre</v>
      </c>
      <c r="C2939" t="s">
        <v>2949</v>
      </c>
      <c r="D2939" t="s">
        <v>5020</v>
      </c>
      <c r="E2939" t="s">
        <v>5032</v>
      </c>
      <c r="F2939" t="s">
        <v>5036</v>
      </c>
      <c r="G2939" s="3">
        <v>6005.32</v>
      </c>
      <c r="H2939" s="3">
        <v>0</v>
      </c>
      <c r="I2939" s="3">
        <f>SUM(Tabla1[[#This Row],[Monto_Base]],H2939)</f>
        <v>6005.32</v>
      </c>
      <c r="J2939" t="s">
        <v>5043</v>
      </c>
      <c r="K2939" t="s">
        <v>5049</v>
      </c>
      <c r="L2939" t="s">
        <v>5052</v>
      </c>
      <c r="M2939" t="s">
        <v>5054</v>
      </c>
    </row>
    <row r="2940" spans="1:13" x14ac:dyDescent="0.3">
      <c r="A2940" s="1">
        <v>45530</v>
      </c>
      <c r="B2940" s="1" t="str">
        <f>TEXT(Tabla1[[#This Row],[Fecha]],"MMMM")</f>
        <v>agosto</v>
      </c>
      <c r="C2940" t="s">
        <v>2950</v>
      </c>
      <c r="D2940" t="s">
        <v>5021</v>
      </c>
      <c r="E2940" t="s">
        <v>5032</v>
      </c>
      <c r="F2940" t="s">
        <v>5037</v>
      </c>
      <c r="G2940" s="3">
        <v>2017.54</v>
      </c>
      <c r="H2940" s="3">
        <v>0</v>
      </c>
      <c r="I2940" s="3">
        <f>SUM(Tabla1[[#This Row],[Monto_Base]],H2940)</f>
        <v>2017.54</v>
      </c>
      <c r="J2940" t="s">
        <v>5044</v>
      </c>
      <c r="K2940" t="s">
        <v>5049</v>
      </c>
      <c r="L2940" t="s">
        <v>5053</v>
      </c>
      <c r="M2940" t="s">
        <v>5054</v>
      </c>
    </row>
    <row r="2941" spans="1:13" x14ac:dyDescent="0.3">
      <c r="A2941" s="1">
        <v>45379</v>
      </c>
      <c r="B2941" s="1" t="str">
        <f>TEXT(Tabla1[[#This Row],[Fecha]],"MMMM")</f>
        <v>marzo</v>
      </c>
      <c r="C2941" t="s">
        <v>2951</v>
      </c>
      <c r="D2941" t="s">
        <v>5028</v>
      </c>
      <c r="E2941" t="s">
        <v>5032</v>
      </c>
      <c r="F2941" t="s">
        <v>5041</v>
      </c>
      <c r="G2941" s="3">
        <v>3830.29</v>
      </c>
      <c r="H2941" s="3">
        <v>0</v>
      </c>
      <c r="I2941" s="3">
        <f>SUM(Tabla1[[#This Row],[Monto_Base]],H2941)</f>
        <v>3830.29</v>
      </c>
      <c r="J2941" t="s">
        <v>5045</v>
      </c>
      <c r="K2941" t="s">
        <v>5047</v>
      </c>
      <c r="L2941" t="s">
        <v>5050</v>
      </c>
      <c r="M2941" t="s">
        <v>5054</v>
      </c>
    </row>
    <row r="2942" spans="1:13" x14ac:dyDescent="0.3">
      <c r="A2942" s="1">
        <v>45388</v>
      </c>
      <c r="B2942" s="1" t="str">
        <f>TEXT(Tabla1[[#This Row],[Fecha]],"MMMM")</f>
        <v>abril</v>
      </c>
      <c r="C2942" t="s">
        <v>2952</v>
      </c>
      <c r="D2942" t="s">
        <v>5016</v>
      </c>
      <c r="E2942" t="s">
        <v>5032</v>
      </c>
      <c r="F2942" t="s">
        <v>5038</v>
      </c>
      <c r="G2942" s="3">
        <v>11037.42</v>
      </c>
      <c r="H2942" s="3">
        <v>0</v>
      </c>
      <c r="I2942" s="3">
        <f>SUM(Tabla1[[#This Row],[Monto_Base]],H2942)</f>
        <v>11037.42</v>
      </c>
      <c r="J2942" t="s">
        <v>5046</v>
      </c>
      <c r="K2942" t="s">
        <v>5047</v>
      </c>
      <c r="L2942" t="s">
        <v>5051</v>
      </c>
      <c r="M2942" t="s">
        <v>5055</v>
      </c>
    </row>
    <row r="2943" spans="1:13" x14ac:dyDescent="0.3">
      <c r="A2943" s="1">
        <v>45621</v>
      </c>
      <c r="B2943" s="1" t="str">
        <f>TEXT(Tabla1[[#This Row],[Fecha]],"MMMM")</f>
        <v>noviembre</v>
      </c>
      <c r="C2943" t="s">
        <v>2953</v>
      </c>
      <c r="D2943" t="s">
        <v>5017</v>
      </c>
      <c r="E2943" t="s">
        <v>5033</v>
      </c>
      <c r="F2943" t="s">
        <v>5037</v>
      </c>
      <c r="G2943" s="3">
        <v>8046.89</v>
      </c>
      <c r="H2943" s="3">
        <v>1046.0999999999999</v>
      </c>
      <c r="I2943" s="3">
        <f>SUM(Tabla1[[#This Row],[Monto_Base]],H2943)</f>
        <v>9092.99</v>
      </c>
      <c r="J2943" t="s">
        <v>5045</v>
      </c>
      <c r="K2943" t="s">
        <v>5048</v>
      </c>
      <c r="L2943" t="s">
        <v>5053</v>
      </c>
      <c r="M2943" t="s">
        <v>5054</v>
      </c>
    </row>
    <row r="2944" spans="1:13" x14ac:dyDescent="0.3">
      <c r="A2944" s="1">
        <v>45497</v>
      </c>
      <c r="B2944" s="1" t="str">
        <f>TEXT(Tabla1[[#This Row],[Fecha]],"MMMM")</f>
        <v>julio</v>
      </c>
      <c r="C2944" t="s">
        <v>2954</v>
      </c>
      <c r="D2944" t="s">
        <v>5020</v>
      </c>
      <c r="E2944" t="s">
        <v>5032</v>
      </c>
      <c r="F2944" t="s">
        <v>5039</v>
      </c>
      <c r="G2944" s="3">
        <v>3475.34</v>
      </c>
      <c r="H2944" s="3">
        <v>0</v>
      </c>
      <c r="I2944" s="3">
        <f>SUM(Tabla1[[#This Row],[Monto_Base]],H2944)</f>
        <v>3475.34</v>
      </c>
      <c r="J2944" t="s">
        <v>5043</v>
      </c>
      <c r="K2944" t="s">
        <v>5047</v>
      </c>
      <c r="L2944" t="s">
        <v>5051</v>
      </c>
      <c r="M2944" t="s">
        <v>5055</v>
      </c>
    </row>
    <row r="2945" spans="1:13" x14ac:dyDescent="0.3">
      <c r="A2945" s="1">
        <v>45314</v>
      </c>
      <c r="B2945" s="1" t="str">
        <f>TEXT(Tabla1[[#This Row],[Fecha]],"MMMM")</f>
        <v>enero</v>
      </c>
      <c r="C2945" t="s">
        <v>2955</v>
      </c>
      <c r="D2945" t="s">
        <v>5031</v>
      </c>
      <c r="E2945" t="s">
        <v>5032</v>
      </c>
      <c r="F2945" t="s">
        <v>5035</v>
      </c>
      <c r="G2945" s="3">
        <v>1480.02</v>
      </c>
      <c r="H2945" s="3">
        <v>0</v>
      </c>
      <c r="I2945" s="3">
        <f>SUM(Tabla1[[#This Row],[Monto_Base]],H2945)</f>
        <v>1480.02</v>
      </c>
      <c r="J2945" t="s">
        <v>5045</v>
      </c>
      <c r="K2945" t="s">
        <v>5049</v>
      </c>
      <c r="L2945" t="s">
        <v>5050</v>
      </c>
      <c r="M2945" t="s">
        <v>5055</v>
      </c>
    </row>
    <row r="2946" spans="1:13" x14ac:dyDescent="0.3">
      <c r="A2946" s="1">
        <v>45584</v>
      </c>
      <c r="B2946" s="1" t="str">
        <f>TEXT(Tabla1[[#This Row],[Fecha]],"MMMM")</f>
        <v>octubre</v>
      </c>
      <c r="C2946" t="s">
        <v>2956</v>
      </c>
      <c r="D2946" t="s">
        <v>5028</v>
      </c>
      <c r="E2946" t="s">
        <v>5033</v>
      </c>
      <c r="F2946" t="s">
        <v>5039</v>
      </c>
      <c r="G2946" s="3">
        <v>5288.44</v>
      </c>
      <c r="H2946" s="3">
        <v>687.5</v>
      </c>
      <c r="I2946" s="3">
        <f>SUM(Tabla1[[#This Row],[Monto_Base]],H2946)</f>
        <v>5975.94</v>
      </c>
      <c r="J2946" t="s">
        <v>5046</v>
      </c>
      <c r="K2946" t="s">
        <v>5047</v>
      </c>
      <c r="L2946" t="s">
        <v>5053</v>
      </c>
      <c r="M2946" t="s">
        <v>5054</v>
      </c>
    </row>
    <row r="2947" spans="1:13" x14ac:dyDescent="0.3">
      <c r="A2947" s="1">
        <v>45581</v>
      </c>
      <c r="B2947" s="1" t="str">
        <f>TEXT(Tabla1[[#This Row],[Fecha]],"MMMM")</f>
        <v>octubre</v>
      </c>
      <c r="C2947" t="s">
        <v>2957</v>
      </c>
      <c r="D2947" t="s">
        <v>5028</v>
      </c>
      <c r="E2947" t="s">
        <v>5033</v>
      </c>
      <c r="F2947" t="s">
        <v>5034</v>
      </c>
      <c r="G2947" s="3">
        <v>10590.23</v>
      </c>
      <c r="H2947" s="3">
        <v>1376.73</v>
      </c>
      <c r="I2947" s="3">
        <f>SUM(Tabla1[[#This Row],[Monto_Base]],H2947)</f>
        <v>11966.96</v>
      </c>
      <c r="J2947" t="s">
        <v>5043</v>
      </c>
      <c r="K2947" t="s">
        <v>5047</v>
      </c>
      <c r="L2947" t="s">
        <v>5051</v>
      </c>
      <c r="M2947" t="s">
        <v>5054</v>
      </c>
    </row>
    <row r="2948" spans="1:13" x14ac:dyDescent="0.3">
      <c r="A2948" s="1">
        <v>45344</v>
      </c>
      <c r="B2948" s="1" t="str">
        <f>TEXT(Tabla1[[#This Row],[Fecha]],"MMMM")</f>
        <v>febrero</v>
      </c>
      <c r="C2948" t="s">
        <v>2958</v>
      </c>
      <c r="D2948" t="s">
        <v>5014</v>
      </c>
      <c r="E2948" t="s">
        <v>5032</v>
      </c>
      <c r="F2948" t="s">
        <v>5039</v>
      </c>
      <c r="G2948" s="3">
        <v>8921.18</v>
      </c>
      <c r="H2948" s="3">
        <v>0</v>
      </c>
      <c r="I2948" s="3">
        <f>SUM(Tabla1[[#This Row],[Monto_Base]],H2948)</f>
        <v>8921.18</v>
      </c>
      <c r="J2948" t="s">
        <v>5044</v>
      </c>
      <c r="K2948" t="s">
        <v>5049</v>
      </c>
      <c r="L2948" t="s">
        <v>5051</v>
      </c>
      <c r="M2948" t="s">
        <v>5055</v>
      </c>
    </row>
    <row r="2949" spans="1:13" x14ac:dyDescent="0.3">
      <c r="A2949" s="1">
        <v>45622</v>
      </c>
      <c r="B2949" s="1" t="str">
        <f>TEXT(Tabla1[[#This Row],[Fecha]],"MMMM")</f>
        <v>noviembre</v>
      </c>
      <c r="C2949" t="s">
        <v>2959</v>
      </c>
      <c r="D2949" t="s">
        <v>5013</v>
      </c>
      <c r="E2949" t="s">
        <v>5032</v>
      </c>
      <c r="F2949" t="s">
        <v>5034</v>
      </c>
      <c r="G2949" s="3">
        <v>12040.98</v>
      </c>
      <c r="H2949" s="3">
        <v>0</v>
      </c>
      <c r="I2949" s="3">
        <f>SUM(Tabla1[[#This Row],[Monto_Base]],H2949)</f>
        <v>12040.98</v>
      </c>
      <c r="J2949" t="s">
        <v>5043</v>
      </c>
      <c r="K2949" t="s">
        <v>5047</v>
      </c>
      <c r="L2949" t="s">
        <v>5051</v>
      </c>
      <c r="M2949" t="s">
        <v>5054</v>
      </c>
    </row>
    <row r="2950" spans="1:13" x14ac:dyDescent="0.3">
      <c r="A2950" s="1">
        <v>45348</v>
      </c>
      <c r="B2950" s="1" t="str">
        <f>TEXT(Tabla1[[#This Row],[Fecha]],"MMMM")</f>
        <v>febrero</v>
      </c>
      <c r="C2950" t="s">
        <v>2960</v>
      </c>
      <c r="D2950" t="s">
        <v>5018</v>
      </c>
      <c r="E2950" t="s">
        <v>5032</v>
      </c>
      <c r="F2950" t="s">
        <v>5041</v>
      </c>
      <c r="G2950" s="3">
        <v>4575.42</v>
      </c>
      <c r="H2950" s="3">
        <v>0</v>
      </c>
      <c r="I2950" s="3">
        <f>SUM(Tabla1[[#This Row],[Monto_Base]],H2950)</f>
        <v>4575.42</v>
      </c>
      <c r="J2950" t="s">
        <v>5044</v>
      </c>
      <c r="K2950" t="s">
        <v>5047</v>
      </c>
      <c r="L2950" t="s">
        <v>5051</v>
      </c>
      <c r="M2950" t="s">
        <v>5055</v>
      </c>
    </row>
    <row r="2951" spans="1:13" x14ac:dyDescent="0.3">
      <c r="A2951" s="1">
        <v>45469</v>
      </c>
      <c r="B2951" s="1" t="str">
        <f>TEXT(Tabla1[[#This Row],[Fecha]],"MMMM")</f>
        <v>junio</v>
      </c>
      <c r="C2951" t="s">
        <v>2961</v>
      </c>
      <c r="D2951" t="s">
        <v>5031</v>
      </c>
      <c r="E2951" t="s">
        <v>5032</v>
      </c>
      <c r="F2951" t="s">
        <v>5039</v>
      </c>
      <c r="G2951" s="3">
        <v>5812.91</v>
      </c>
      <c r="H2951" s="3">
        <v>0</v>
      </c>
      <c r="I2951" s="3">
        <f>SUM(Tabla1[[#This Row],[Monto_Base]],H2951)</f>
        <v>5812.91</v>
      </c>
      <c r="J2951" t="s">
        <v>5042</v>
      </c>
      <c r="K2951" t="s">
        <v>5047</v>
      </c>
      <c r="L2951" t="s">
        <v>5052</v>
      </c>
      <c r="M2951" t="s">
        <v>5054</v>
      </c>
    </row>
    <row r="2952" spans="1:13" x14ac:dyDescent="0.3">
      <c r="A2952" s="1">
        <v>45622</v>
      </c>
      <c r="B2952" s="1" t="str">
        <f>TEXT(Tabla1[[#This Row],[Fecha]],"MMMM")</f>
        <v>noviembre</v>
      </c>
      <c r="C2952" t="s">
        <v>2962</v>
      </c>
      <c r="D2952" t="s">
        <v>5021</v>
      </c>
      <c r="E2952" t="s">
        <v>5032</v>
      </c>
      <c r="F2952" t="s">
        <v>5041</v>
      </c>
      <c r="G2952" s="3">
        <v>3572.73</v>
      </c>
      <c r="H2952" s="3">
        <v>0</v>
      </c>
      <c r="I2952" s="3">
        <f>SUM(Tabla1[[#This Row],[Monto_Base]],H2952)</f>
        <v>3572.73</v>
      </c>
      <c r="J2952" t="s">
        <v>5043</v>
      </c>
      <c r="K2952" t="s">
        <v>5049</v>
      </c>
      <c r="L2952" t="s">
        <v>5050</v>
      </c>
      <c r="M2952" t="s">
        <v>5055</v>
      </c>
    </row>
    <row r="2953" spans="1:13" x14ac:dyDescent="0.3">
      <c r="A2953" s="1">
        <v>45393</v>
      </c>
      <c r="B2953" s="1" t="str">
        <f>TEXT(Tabla1[[#This Row],[Fecha]],"MMMM")</f>
        <v>abril</v>
      </c>
      <c r="C2953" t="s">
        <v>2963</v>
      </c>
      <c r="D2953" t="s">
        <v>5021</v>
      </c>
      <c r="E2953" t="s">
        <v>5032</v>
      </c>
      <c r="F2953" t="s">
        <v>5034</v>
      </c>
      <c r="G2953" s="3">
        <v>9548.58</v>
      </c>
      <c r="H2953" s="3">
        <v>0</v>
      </c>
      <c r="I2953" s="3">
        <f>SUM(Tabla1[[#This Row],[Monto_Base]],H2953)</f>
        <v>9548.58</v>
      </c>
      <c r="J2953" t="s">
        <v>5044</v>
      </c>
      <c r="K2953" t="s">
        <v>5048</v>
      </c>
      <c r="L2953" t="s">
        <v>5050</v>
      </c>
      <c r="M2953" t="s">
        <v>5055</v>
      </c>
    </row>
    <row r="2954" spans="1:13" x14ac:dyDescent="0.3">
      <c r="A2954" s="1">
        <v>45464</v>
      </c>
      <c r="B2954" s="1" t="str">
        <f>TEXT(Tabla1[[#This Row],[Fecha]],"MMMM")</f>
        <v>junio</v>
      </c>
      <c r="C2954" t="s">
        <v>2964</v>
      </c>
      <c r="D2954" t="s">
        <v>5031</v>
      </c>
      <c r="E2954" t="s">
        <v>5032</v>
      </c>
      <c r="F2954" t="s">
        <v>5040</v>
      </c>
      <c r="G2954" s="3">
        <v>7174.47</v>
      </c>
      <c r="H2954" s="3">
        <v>0</v>
      </c>
      <c r="I2954" s="3">
        <f>SUM(Tabla1[[#This Row],[Monto_Base]],H2954)</f>
        <v>7174.47</v>
      </c>
      <c r="J2954" t="s">
        <v>5043</v>
      </c>
      <c r="K2954" t="s">
        <v>5049</v>
      </c>
      <c r="L2954" t="s">
        <v>5051</v>
      </c>
      <c r="M2954" t="s">
        <v>5054</v>
      </c>
    </row>
    <row r="2955" spans="1:13" x14ac:dyDescent="0.3">
      <c r="A2955" s="1">
        <v>45565</v>
      </c>
      <c r="B2955" s="1" t="str">
        <f>TEXT(Tabla1[[#This Row],[Fecha]],"MMMM")</f>
        <v>septiembre</v>
      </c>
      <c r="C2955" t="s">
        <v>2965</v>
      </c>
      <c r="D2955" t="s">
        <v>5026</v>
      </c>
      <c r="E2955" t="s">
        <v>5033</v>
      </c>
      <c r="F2955" t="s">
        <v>5034</v>
      </c>
      <c r="G2955" s="3">
        <v>4089.65</v>
      </c>
      <c r="H2955" s="3">
        <v>531.65</v>
      </c>
      <c r="I2955" s="3">
        <f>SUM(Tabla1[[#This Row],[Monto_Base]],H2955)</f>
        <v>4621.3</v>
      </c>
      <c r="J2955" t="s">
        <v>5045</v>
      </c>
      <c r="K2955" t="s">
        <v>5049</v>
      </c>
      <c r="L2955" t="s">
        <v>5051</v>
      </c>
      <c r="M2955" t="s">
        <v>5054</v>
      </c>
    </row>
    <row r="2956" spans="1:13" x14ac:dyDescent="0.3">
      <c r="A2956" s="1">
        <v>45317</v>
      </c>
      <c r="B2956" s="1" t="str">
        <f>TEXT(Tabla1[[#This Row],[Fecha]],"MMMM")</f>
        <v>enero</v>
      </c>
      <c r="C2956" t="s">
        <v>2966</v>
      </c>
      <c r="D2956" t="s">
        <v>5025</v>
      </c>
      <c r="E2956" t="s">
        <v>5032</v>
      </c>
      <c r="F2956" t="s">
        <v>5035</v>
      </c>
      <c r="G2956" s="3">
        <v>9415.94</v>
      </c>
      <c r="H2956" s="3">
        <v>0</v>
      </c>
      <c r="I2956" s="3">
        <f>SUM(Tabla1[[#This Row],[Monto_Base]],H2956)</f>
        <v>9415.94</v>
      </c>
      <c r="J2956" t="s">
        <v>5042</v>
      </c>
      <c r="K2956" t="s">
        <v>5048</v>
      </c>
      <c r="L2956" t="s">
        <v>5053</v>
      </c>
      <c r="M2956" t="s">
        <v>5054</v>
      </c>
    </row>
    <row r="2957" spans="1:13" x14ac:dyDescent="0.3">
      <c r="A2957" s="1">
        <v>45357</v>
      </c>
      <c r="B2957" s="1" t="str">
        <f>TEXT(Tabla1[[#This Row],[Fecha]],"MMMM")</f>
        <v>marzo</v>
      </c>
      <c r="C2957" t="s">
        <v>2967</v>
      </c>
      <c r="D2957" t="s">
        <v>5020</v>
      </c>
      <c r="E2957" t="s">
        <v>5032</v>
      </c>
      <c r="F2957" t="s">
        <v>5034</v>
      </c>
      <c r="G2957" s="3">
        <v>7194.34</v>
      </c>
      <c r="H2957" s="3">
        <v>0</v>
      </c>
      <c r="I2957" s="3">
        <f>SUM(Tabla1[[#This Row],[Monto_Base]],H2957)</f>
        <v>7194.34</v>
      </c>
      <c r="J2957" t="s">
        <v>5044</v>
      </c>
      <c r="K2957" t="s">
        <v>5047</v>
      </c>
      <c r="L2957" t="s">
        <v>5050</v>
      </c>
      <c r="M2957" t="s">
        <v>5055</v>
      </c>
    </row>
    <row r="2958" spans="1:13" x14ac:dyDescent="0.3">
      <c r="A2958" s="1">
        <v>45308</v>
      </c>
      <c r="B2958" s="1" t="str">
        <f>TEXT(Tabla1[[#This Row],[Fecha]],"MMMM")</f>
        <v>enero</v>
      </c>
      <c r="C2958" t="s">
        <v>2968</v>
      </c>
      <c r="D2958" t="s">
        <v>5026</v>
      </c>
      <c r="E2958" t="s">
        <v>5032</v>
      </c>
      <c r="F2958" t="s">
        <v>5038</v>
      </c>
      <c r="G2958" s="3">
        <v>8928.7999999999993</v>
      </c>
      <c r="H2958" s="3">
        <v>0</v>
      </c>
      <c r="I2958" s="3">
        <f>SUM(Tabla1[[#This Row],[Monto_Base]],H2958)</f>
        <v>8928.7999999999993</v>
      </c>
      <c r="J2958" t="s">
        <v>5046</v>
      </c>
      <c r="K2958" t="s">
        <v>5048</v>
      </c>
      <c r="L2958" t="s">
        <v>5052</v>
      </c>
      <c r="M2958" t="s">
        <v>5054</v>
      </c>
    </row>
    <row r="2959" spans="1:13" x14ac:dyDescent="0.3">
      <c r="A2959" s="1">
        <v>45367</v>
      </c>
      <c r="B2959" s="1" t="str">
        <f>TEXT(Tabla1[[#This Row],[Fecha]],"MMMM")</f>
        <v>marzo</v>
      </c>
      <c r="C2959" t="s">
        <v>2969</v>
      </c>
      <c r="D2959" t="s">
        <v>5021</v>
      </c>
      <c r="E2959" t="s">
        <v>5033</v>
      </c>
      <c r="F2959" t="s">
        <v>5036</v>
      </c>
      <c r="G2959" s="3">
        <v>10197.61</v>
      </c>
      <c r="H2959" s="3">
        <v>1325.69</v>
      </c>
      <c r="I2959" s="3">
        <f>SUM(Tabla1[[#This Row],[Monto_Base]],H2959)</f>
        <v>11523.300000000001</v>
      </c>
      <c r="J2959" t="s">
        <v>5043</v>
      </c>
      <c r="K2959" t="s">
        <v>5047</v>
      </c>
      <c r="L2959" t="s">
        <v>5053</v>
      </c>
      <c r="M2959" t="s">
        <v>5054</v>
      </c>
    </row>
    <row r="2960" spans="1:13" x14ac:dyDescent="0.3">
      <c r="A2960" s="1">
        <v>45325</v>
      </c>
      <c r="B2960" s="1" t="str">
        <f>TEXT(Tabla1[[#This Row],[Fecha]],"MMMM")</f>
        <v>febrero</v>
      </c>
      <c r="C2960" t="s">
        <v>2970</v>
      </c>
      <c r="D2960" t="s">
        <v>5028</v>
      </c>
      <c r="E2960" t="s">
        <v>5033</v>
      </c>
      <c r="F2960" t="s">
        <v>5037</v>
      </c>
      <c r="G2960" s="3">
        <v>4695.55</v>
      </c>
      <c r="H2960" s="3">
        <v>610.41999999999996</v>
      </c>
      <c r="I2960" s="3">
        <f>SUM(Tabla1[[#This Row],[Monto_Base]],H2960)</f>
        <v>5305.97</v>
      </c>
      <c r="J2960" t="s">
        <v>5044</v>
      </c>
      <c r="K2960" t="s">
        <v>5048</v>
      </c>
      <c r="L2960" t="s">
        <v>5051</v>
      </c>
      <c r="M2960" t="s">
        <v>5055</v>
      </c>
    </row>
    <row r="2961" spans="1:13" x14ac:dyDescent="0.3">
      <c r="A2961" s="1">
        <v>45604</v>
      </c>
      <c r="B2961" s="1" t="str">
        <f>TEXT(Tabla1[[#This Row],[Fecha]],"MMMM")</f>
        <v>noviembre</v>
      </c>
      <c r="C2961" t="s">
        <v>2971</v>
      </c>
      <c r="D2961" t="s">
        <v>5012</v>
      </c>
      <c r="E2961" t="s">
        <v>5033</v>
      </c>
      <c r="F2961" t="s">
        <v>5038</v>
      </c>
      <c r="G2961" s="3">
        <v>1931.81</v>
      </c>
      <c r="H2961" s="3">
        <v>251.14</v>
      </c>
      <c r="I2961" s="3">
        <f>SUM(Tabla1[[#This Row],[Monto_Base]],H2961)</f>
        <v>2182.9499999999998</v>
      </c>
      <c r="J2961" t="s">
        <v>5046</v>
      </c>
      <c r="K2961" t="s">
        <v>5047</v>
      </c>
      <c r="L2961" t="s">
        <v>5051</v>
      </c>
      <c r="M2961" t="s">
        <v>5055</v>
      </c>
    </row>
    <row r="2962" spans="1:13" x14ac:dyDescent="0.3">
      <c r="A2962" s="1">
        <v>45618</v>
      </c>
      <c r="B2962" s="1" t="str">
        <f>TEXT(Tabla1[[#This Row],[Fecha]],"MMMM")</f>
        <v>noviembre</v>
      </c>
      <c r="C2962" t="s">
        <v>2972</v>
      </c>
      <c r="D2962" t="s">
        <v>5029</v>
      </c>
      <c r="E2962" t="s">
        <v>5033</v>
      </c>
      <c r="F2962" t="s">
        <v>5039</v>
      </c>
      <c r="G2962" s="3">
        <v>8649.3700000000008</v>
      </c>
      <c r="H2962" s="3">
        <v>1124.42</v>
      </c>
      <c r="I2962" s="3">
        <f>SUM(Tabla1[[#This Row],[Monto_Base]],H2962)</f>
        <v>9773.7900000000009</v>
      </c>
      <c r="J2962" t="s">
        <v>5046</v>
      </c>
      <c r="K2962" t="s">
        <v>5049</v>
      </c>
      <c r="L2962" t="s">
        <v>5051</v>
      </c>
      <c r="M2962" t="s">
        <v>5055</v>
      </c>
    </row>
    <row r="2963" spans="1:13" x14ac:dyDescent="0.3">
      <c r="A2963" s="1">
        <v>45419</v>
      </c>
      <c r="B2963" s="1" t="str">
        <f>TEXT(Tabla1[[#This Row],[Fecha]],"MMMM")</f>
        <v>mayo</v>
      </c>
      <c r="C2963" t="s">
        <v>2973</v>
      </c>
      <c r="D2963" t="s">
        <v>5025</v>
      </c>
      <c r="E2963" t="s">
        <v>5032</v>
      </c>
      <c r="F2963" t="s">
        <v>5036</v>
      </c>
      <c r="G2963" s="3">
        <v>14744.92</v>
      </c>
      <c r="H2963" s="3">
        <v>0</v>
      </c>
      <c r="I2963" s="3">
        <f>SUM(Tabla1[[#This Row],[Monto_Base]],H2963)</f>
        <v>14744.92</v>
      </c>
      <c r="J2963" t="s">
        <v>5042</v>
      </c>
      <c r="K2963" t="s">
        <v>5047</v>
      </c>
      <c r="L2963" t="s">
        <v>5052</v>
      </c>
      <c r="M2963" t="s">
        <v>5054</v>
      </c>
    </row>
    <row r="2964" spans="1:13" x14ac:dyDescent="0.3">
      <c r="A2964" s="1">
        <v>45412</v>
      </c>
      <c r="B2964" s="1" t="str">
        <f>TEXT(Tabla1[[#This Row],[Fecha]],"MMMM")</f>
        <v>abril</v>
      </c>
      <c r="C2964" t="s">
        <v>2974</v>
      </c>
      <c r="D2964" t="s">
        <v>5028</v>
      </c>
      <c r="E2964" t="s">
        <v>5032</v>
      </c>
      <c r="F2964" t="s">
        <v>5041</v>
      </c>
      <c r="G2964" s="3">
        <v>10942.48</v>
      </c>
      <c r="H2964" s="3">
        <v>0</v>
      </c>
      <c r="I2964" s="3">
        <f>SUM(Tabla1[[#This Row],[Monto_Base]],H2964)</f>
        <v>10942.48</v>
      </c>
      <c r="J2964" t="s">
        <v>5043</v>
      </c>
      <c r="K2964" t="s">
        <v>5048</v>
      </c>
      <c r="L2964" t="s">
        <v>5053</v>
      </c>
      <c r="M2964" t="s">
        <v>5054</v>
      </c>
    </row>
    <row r="2965" spans="1:13" x14ac:dyDescent="0.3">
      <c r="A2965" s="1">
        <v>45617</v>
      </c>
      <c r="B2965" s="1" t="str">
        <f>TEXT(Tabla1[[#This Row],[Fecha]],"MMMM")</f>
        <v>noviembre</v>
      </c>
      <c r="C2965" t="s">
        <v>2975</v>
      </c>
      <c r="D2965" t="s">
        <v>5026</v>
      </c>
      <c r="E2965" t="s">
        <v>5033</v>
      </c>
      <c r="F2965" t="s">
        <v>5035</v>
      </c>
      <c r="G2965" s="3">
        <v>10562.41</v>
      </c>
      <c r="H2965" s="3">
        <v>1373.11</v>
      </c>
      <c r="I2965" s="3">
        <f>SUM(Tabla1[[#This Row],[Monto_Base]],H2965)</f>
        <v>11935.52</v>
      </c>
      <c r="J2965" t="s">
        <v>5045</v>
      </c>
      <c r="K2965" t="s">
        <v>5048</v>
      </c>
      <c r="L2965" t="s">
        <v>5051</v>
      </c>
      <c r="M2965" t="s">
        <v>5055</v>
      </c>
    </row>
    <row r="2966" spans="1:13" x14ac:dyDescent="0.3">
      <c r="A2966" s="1">
        <v>45549</v>
      </c>
      <c r="B2966" s="1" t="str">
        <f>TEXT(Tabla1[[#This Row],[Fecha]],"MMMM")</f>
        <v>septiembre</v>
      </c>
      <c r="C2966" t="s">
        <v>2976</v>
      </c>
      <c r="D2966" t="s">
        <v>5030</v>
      </c>
      <c r="E2966" t="s">
        <v>5032</v>
      </c>
      <c r="F2966" t="s">
        <v>5038</v>
      </c>
      <c r="G2966" s="3">
        <v>2227.4499999999998</v>
      </c>
      <c r="H2966" s="3">
        <v>0</v>
      </c>
      <c r="I2966" s="3">
        <f>SUM(Tabla1[[#This Row],[Monto_Base]],H2966)</f>
        <v>2227.4499999999998</v>
      </c>
      <c r="J2966" t="s">
        <v>5043</v>
      </c>
      <c r="K2966" t="s">
        <v>5047</v>
      </c>
      <c r="L2966" t="s">
        <v>5051</v>
      </c>
      <c r="M2966" t="s">
        <v>5055</v>
      </c>
    </row>
    <row r="2967" spans="1:13" x14ac:dyDescent="0.3">
      <c r="A2967" s="1">
        <v>45355</v>
      </c>
      <c r="B2967" s="1" t="str">
        <f>TEXT(Tabla1[[#This Row],[Fecha]],"MMMM")</f>
        <v>marzo</v>
      </c>
      <c r="C2967" t="s">
        <v>2977</v>
      </c>
      <c r="D2967" t="s">
        <v>5022</v>
      </c>
      <c r="E2967" t="s">
        <v>5032</v>
      </c>
      <c r="F2967" t="s">
        <v>5039</v>
      </c>
      <c r="G2967" s="3">
        <v>9637.4</v>
      </c>
      <c r="H2967" s="3">
        <v>0</v>
      </c>
      <c r="I2967" s="3">
        <f>SUM(Tabla1[[#This Row],[Monto_Base]],H2967)</f>
        <v>9637.4</v>
      </c>
      <c r="J2967" t="s">
        <v>5043</v>
      </c>
      <c r="K2967" t="s">
        <v>5049</v>
      </c>
      <c r="L2967" t="s">
        <v>5050</v>
      </c>
      <c r="M2967" t="s">
        <v>5054</v>
      </c>
    </row>
    <row r="2968" spans="1:13" x14ac:dyDescent="0.3">
      <c r="A2968" s="1">
        <v>45429</v>
      </c>
      <c r="B2968" s="1" t="str">
        <f>TEXT(Tabla1[[#This Row],[Fecha]],"MMMM")</f>
        <v>mayo</v>
      </c>
      <c r="C2968" t="s">
        <v>2978</v>
      </c>
      <c r="D2968" t="s">
        <v>5027</v>
      </c>
      <c r="E2968" t="s">
        <v>5032</v>
      </c>
      <c r="F2968" t="s">
        <v>5040</v>
      </c>
      <c r="G2968" s="3">
        <v>12180.8</v>
      </c>
      <c r="H2968" s="3">
        <v>0</v>
      </c>
      <c r="I2968" s="3">
        <f>SUM(Tabla1[[#This Row],[Monto_Base]],H2968)</f>
        <v>12180.8</v>
      </c>
      <c r="J2968" t="s">
        <v>5042</v>
      </c>
      <c r="K2968" t="s">
        <v>5047</v>
      </c>
      <c r="L2968" t="s">
        <v>5052</v>
      </c>
      <c r="M2968" t="s">
        <v>5055</v>
      </c>
    </row>
    <row r="2969" spans="1:13" x14ac:dyDescent="0.3">
      <c r="A2969" s="1">
        <v>45400</v>
      </c>
      <c r="B2969" s="1" t="str">
        <f>TEXT(Tabla1[[#This Row],[Fecha]],"MMMM")</f>
        <v>abril</v>
      </c>
      <c r="C2969" t="s">
        <v>2979</v>
      </c>
      <c r="D2969" t="s">
        <v>5031</v>
      </c>
      <c r="E2969" t="s">
        <v>5032</v>
      </c>
      <c r="F2969" t="s">
        <v>5035</v>
      </c>
      <c r="G2969" s="3">
        <v>4193.79</v>
      </c>
      <c r="H2969" s="3">
        <v>0</v>
      </c>
      <c r="I2969" s="3">
        <f>SUM(Tabla1[[#This Row],[Monto_Base]],H2969)</f>
        <v>4193.79</v>
      </c>
      <c r="J2969" t="s">
        <v>5042</v>
      </c>
      <c r="K2969" t="s">
        <v>5047</v>
      </c>
      <c r="L2969" t="s">
        <v>5051</v>
      </c>
      <c r="M2969" t="s">
        <v>5054</v>
      </c>
    </row>
    <row r="2970" spans="1:13" x14ac:dyDescent="0.3">
      <c r="A2970" s="1">
        <v>45419</v>
      </c>
      <c r="B2970" s="1" t="str">
        <f>TEXT(Tabla1[[#This Row],[Fecha]],"MMMM")</f>
        <v>mayo</v>
      </c>
      <c r="C2970" t="s">
        <v>2980</v>
      </c>
      <c r="D2970" t="s">
        <v>5016</v>
      </c>
      <c r="E2970" t="s">
        <v>5033</v>
      </c>
      <c r="F2970" t="s">
        <v>5040</v>
      </c>
      <c r="G2970" s="3">
        <v>6877.27</v>
      </c>
      <c r="H2970" s="3">
        <v>894.05</v>
      </c>
      <c r="I2970" s="3">
        <f>SUM(Tabla1[[#This Row],[Monto_Base]],H2970)</f>
        <v>7771.3200000000006</v>
      </c>
      <c r="J2970" t="s">
        <v>5042</v>
      </c>
      <c r="K2970" t="s">
        <v>5047</v>
      </c>
      <c r="L2970" t="s">
        <v>5052</v>
      </c>
      <c r="M2970" t="s">
        <v>5054</v>
      </c>
    </row>
    <row r="2971" spans="1:13" x14ac:dyDescent="0.3">
      <c r="A2971" s="1">
        <v>45614</v>
      </c>
      <c r="B2971" s="1" t="str">
        <f>TEXT(Tabla1[[#This Row],[Fecha]],"MMMM")</f>
        <v>noviembre</v>
      </c>
      <c r="C2971" t="s">
        <v>2981</v>
      </c>
      <c r="D2971" t="s">
        <v>5018</v>
      </c>
      <c r="E2971" t="s">
        <v>5033</v>
      </c>
      <c r="F2971" t="s">
        <v>5038</v>
      </c>
      <c r="G2971" s="3">
        <v>5138.78</v>
      </c>
      <c r="H2971" s="3">
        <v>668.04</v>
      </c>
      <c r="I2971" s="3">
        <f>SUM(Tabla1[[#This Row],[Monto_Base]],H2971)</f>
        <v>5806.82</v>
      </c>
      <c r="J2971" t="s">
        <v>5046</v>
      </c>
      <c r="K2971" t="s">
        <v>5047</v>
      </c>
      <c r="L2971" t="s">
        <v>5052</v>
      </c>
      <c r="M2971" t="s">
        <v>5054</v>
      </c>
    </row>
    <row r="2972" spans="1:13" x14ac:dyDescent="0.3">
      <c r="A2972" s="1">
        <v>45535</v>
      </c>
      <c r="B2972" s="1" t="str">
        <f>TEXT(Tabla1[[#This Row],[Fecha]],"MMMM")</f>
        <v>agosto</v>
      </c>
      <c r="C2972" t="s">
        <v>2982</v>
      </c>
      <c r="D2972" t="s">
        <v>5029</v>
      </c>
      <c r="E2972" t="s">
        <v>5033</v>
      </c>
      <c r="F2972" t="s">
        <v>5039</v>
      </c>
      <c r="G2972" s="3">
        <v>2330.2800000000002</v>
      </c>
      <c r="H2972" s="3">
        <v>302.94</v>
      </c>
      <c r="I2972" s="3">
        <f>SUM(Tabla1[[#This Row],[Monto_Base]],H2972)</f>
        <v>2633.2200000000003</v>
      </c>
      <c r="J2972" t="s">
        <v>5044</v>
      </c>
      <c r="K2972" t="s">
        <v>5047</v>
      </c>
      <c r="L2972" t="s">
        <v>5051</v>
      </c>
      <c r="M2972" t="s">
        <v>5054</v>
      </c>
    </row>
    <row r="2973" spans="1:13" x14ac:dyDescent="0.3">
      <c r="A2973" s="1">
        <v>45314</v>
      </c>
      <c r="B2973" s="1" t="str">
        <f>TEXT(Tabla1[[#This Row],[Fecha]],"MMMM")</f>
        <v>enero</v>
      </c>
      <c r="C2973" t="s">
        <v>2983</v>
      </c>
      <c r="D2973" t="s">
        <v>5028</v>
      </c>
      <c r="E2973" t="s">
        <v>5033</v>
      </c>
      <c r="F2973" t="s">
        <v>5034</v>
      </c>
      <c r="G2973" s="3">
        <v>3490.76</v>
      </c>
      <c r="H2973" s="3">
        <v>453.8</v>
      </c>
      <c r="I2973" s="3">
        <f>SUM(Tabla1[[#This Row],[Monto_Base]],H2973)</f>
        <v>3944.5600000000004</v>
      </c>
      <c r="J2973" t="s">
        <v>5044</v>
      </c>
      <c r="K2973" t="s">
        <v>5047</v>
      </c>
      <c r="L2973" t="s">
        <v>5050</v>
      </c>
      <c r="M2973" t="s">
        <v>5054</v>
      </c>
    </row>
    <row r="2974" spans="1:13" x14ac:dyDescent="0.3">
      <c r="A2974" s="1">
        <v>45306</v>
      </c>
      <c r="B2974" s="1" t="str">
        <f>TEXT(Tabla1[[#This Row],[Fecha]],"MMMM")</f>
        <v>enero</v>
      </c>
      <c r="C2974" t="s">
        <v>2984</v>
      </c>
      <c r="D2974" t="s">
        <v>5017</v>
      </c>
      <c r="E2974" t="s">
        <v>5033</v>
      </c>
      <c r="F2974" t="s">
        <v>5040</v>
      </c>
      <c r="G2974" s="3">
        <v>1482.77</v>
      </c>
      <c r="H2974" s="3">
        <v>192.76</v>
      </c>
      <c r="I2974" s="3">
        <f>SUM(Tabla1[[#This Row],[Monto_Base]],H2974)</f>
        <v>1675.53</v>
      </c>
      <c r="J2974" t="s">
        <v>5043</v>
      </c>
      <c r="K2974" t="s">
        <v>5049</v>
      </c>
      <c r="L2974" t="s">
        <v>5053</v>
      </c>
      <c r="M2974" t="s">
        <v>5055</v>
      </c>
    </row>
    <row r="2975" spans="1:13" x14ac:dyDescent="0.3">
      <c r="A2975" s="1">
        <v>45428</v>
      </c>
      <c r="B2975" s="1" t="str">
        <f>TEXT(Tabla1[[#This Row],[Fecha]],"MMMM")</f>
        <v>mayo</v>
      </c>
      <c r="C2975" t="s">
        <v>2985</v>
      </c>
      <c r="D2975" t="s">
        <v>5020</v>
      </c>
      <c r="E2975" t="s">
        <v>5032</v>
      </c>
      <c r="F2975" t="s">
        <v>5035</v>
      </c>
      <c r="G2975" s="3">
        <v>12069.38</v>
      </c>
      <c r="H2975" s="3">
        <v>0</v>
      </c>
      <c r="I2975" s="3">
        <f>SUM(Tabla1[[#This Row],[Monto_Base]],H2975)</f>
        <v>12069.38</v>
      </c>
      <c r="J2975" t="s">
        <v>5045</v>
      </c>
      <c r="K2975" t="s">
        <v>5048</v>
      </c>
      <c r="L2975" t="s">
        <v>5052</v>
      </c>
      <c r="M2975" t="s">
        <v>5054</v>
      </c>
    </row>
    <row r="2976" spans="1:13" x14ac:dyDescent="0.3">
      <c r="A2976" s="1">
        <v>45595</v>
      </c>
      <c r="B2976" s="1" t="str">
        <f>TEXT(Tabla1[[#This Row],[Fecha]],"MMMM")</f>
        <v>octubre</v>
      </c>
      <c r="C2976" t="s">
        <v>2986</v>
      </c>
      <c r="D2976" t="s">
        <v>5020</v>
      </c>
      <c r="E2976" t="s">
        <v>5032</v>
      </c>
      <c r="F2976" t="s">
        <v>5038</v>
      </c>
      <c r="G2976" s="3">
        <v>1114.54</v>
      </c>
      <c r="H2976" s="3">
        <v>0</v>
      </c>
      <c r="I2976" s="3">
        <f>SUM(Tabla1[[#This Row],[Monto_Base]],H2976)</f>
        <v>1114.54</v>
      </c>
      <c r="J2976" t="s">
        <v>5042</v>
      </c>
      <c r="K2976" t="s">
        <v>5047</v>
      </c>
      <c r="L2976" t="s">
        <v>5051</v>
      </c>
      <c r="M2976" t="s">
        <v>5055</v>
      </c>
    </row>
    <row r="2977" spans="1:13" x14ac:dyDescent="0.3">
      <c r="A2977" s="1">
        <v>45310</v>
      </c>
      <c r="B2977" s="1" t="str">
        <f>TEXT(Tabla1[[#This Row],[Fecha]],"MMMM")</f>
        <v>enero</v>
      </c>
      <c r="C2977" t="s">
        <v>2987</v>
      </c>
      <c r="D2977" t="s">
        <v>5026</v>
      </c>
      <c r="E2977" t="s">
        <v>5032</v>
      </c>
      <c r="F2977" t="s">
        <v>5034</v>
      </c>
      <c r="G2977" s="3">
        <v>7684.84</v>
      </c>
      <c r="H2977" s="3">
        <v>0</v>
      </c>
      <c r="I2977" s="3">
        <f>SUM(Tabla1[[#This Row],[Monto_Base]],H2977)</f>
        <v>7684.84</v>
      </c>
      <c r="J2977" t="s">
        <v>5043</v>
      </c>
      <c r="K2977" t="s">
        <v>5049</v>
      </c>
      <c r="L2977" t="s">
        <v>5053</v>
      </c>
      <c r="M2977" t="s">
        <v>5054</v>
      </c>
    </row>
    <row r="2978" spans="1:13" x14ac:dyDescent="0.3">
      <c r="A2978" s="1">
        <v>45406</v>
      </c>
      <c r="B2978" s="1" t="str">
        <f>TEXT(Tabla1[[#This Row],[Fecha]],"MMMM")</f>
        <v>abril</v>
      </c>
      <c r="C2978" t="s">
        <v>2988</v>
      </c>
      <c r="D2978" t="s">
        <v>5015</v>
      </c>
      <c r="E2978" t="s">
        <v>5033</v>
      </c>
      <c r="F2978" t="s">
        <v>5040</v>
      </c>
      <c r="G2978" s="3">
        <v>10746.68</v>
      </c>
      <c r="H2978" s="3">
        <v>1397.07</v>
      </c>
      <c r="I2978" s="3">
        <f>SUM(Tabla1[[#This Row],[Monto_Base]],H2978)</f>
        <v>12143.75</v>
      </c>
      <c r="J2978" t="s">
        <v>5044</v>
      </c>
      <c r="K2978" t="s">
        <v>5049</v>
      </c>
      <c r="L2978" t="s">
        <v>5051</v>
      </c>
      <c r="M2978" t="s">
        <v>5054</v>
      </c>
    </row>
    <row r="2979" spans="1:13" x14ac:dyDescent="0.3">
      <c r="A2979" s="1">
        <v>45452</v>
      </c>
      <c r="B2979" s="1" t="str">
        <f>TEXT(Tabla1[[#This Row],[Fecha]],"MMMM")</f>
        <v>junio</v>
      </c>
      <c r="C2979" t="s">
        <v>2989</v>
      </c>
      <c r="D2979" t="s">
        <v>5030</v>
      </c>
      <c r="E2979" t="s">
        <v>5032</v>
      </c>
      <c r="F2979" t="s">
        <v>5041</v>
      </c>
      <c r="G2979" s="3">
        <v>12881.91</v>
      </c>
      <c r="H2979" s="3">
        <v>0</v>
      </c>
      <c r="I2979" s="3">
        <f>SUM(Tabla1[[#This Row],[Monto_Base]],H2979)</f>
        <v>12881.91</v>
      </c>
      <c r="J2979" t="s">
        <v>5044</v>
      </c>
      <c r="K2979" t="s">
        <v>5048</v>
      </c>
      <c r="L2979" t="s">
        <v>5053</v>
      </c>
      <c r="M2979" t="s">
        <v>5055</v>
      </c>
    </row>
    <row r="2980" spans="1:13" x14ac:dyDescent="0.3">
      <c r="A2980" s="1">
        <v>45501</v>
      </c>
      <c r="B2980" s="1" t="str">
        <f>TEXT(Tabla1[[#This Row],[Fecha]],"MMMM")</f>
        <v>julio</v>
      </c>
      <c r="C2980" t="s">
        <v>2990</v>
      </c>
      <c r="D2980" t="s">
        <v>5024</v>
      </c>
      <c r="E2980" t="s">
        <v>5033</v>
      </c>
      <c r="F2980" t="s">
        <v>5039</v>
      </c>
      <c r="G2980" s="3">
        <v>14710.89</v>
      </c>
      <c r="H2980" s="3">
        <v>1912.42</v>
      </c>
      <c r="I2980" s="3">
        <f>SUM(Tabla1[[#This Row],[Monto_Base]],H2980)</f>
        <v>16623.309999999998</v>
      </c>
      <c r="J2980" t="s">
        <v>5046</v>
      </c>
      <c r="K2980" t="s">
        <v>5047</v>
      </c>
      <c r="L2980" t="s">
        <v>5050</v>
      </c>
      <c r="M2980" t="s">
        <v>5054</v>
      </c>
    </row>
    <row r="2981" spans="1:13" x14ac:dyDescent="0.3">
      <c r="A2981" s="1">
        <v>45513</v>
      </c>
      <c r="B2981" s="1" t="str">
        <f>TEXT(Tabla1[[#This Row],[Fecha]],"MMMM")</f>
        <v>agosto</v>
      </c>
      <c r="C2981" t="s">
        <v>2991</v>
      </c>
      <c r="D2981" t="s">
        <v>5028</v>
      </c>
      <c r="E2981" t="s">
        <v>5033</v>
      </c>
      <c r="F2981" t="s">
        <v>5040</v>
      </c>
      <c r="G2981" s="3">
        <v>13382.07</v>
      </c>
      <c r="H2981" s="3">
        <v>1739.67</v>
      </c>
      <c r="I2981" s="3">
        <f>SUM(Tabla1[[#This Row],[Monto_Base]],H2981)</f>
        <v>15121.74</v>
      </c>
      <c r="J2981" t="s">
        <v>5046</v>
      </c>
      <c r="K2981" t="s">
        <v>5048</v>
      </c>
      <c r="L2981" t="s">
        <v>5052</v>
      </c>
      <c r="M2981" t="s">
        <v>5054</v>
      </c>
    </row>
    <row r="2982" spans="1:13" x14ac:dyDescent="0.3">
      <c r="A2982" s="1">
        <v>45440</v>
      </c>
      <c r="B2982" s="1" t="str">
        <f>TEXT(Tabla1[[#This Row],[Fecha]],"MMMM")</f>
        <v>mayo</v>
      </c>
      <c r="C2982" t="s">
        <v>2992</v>
      </c>
      <c r="D2982" t="s">
        <v>5018</v>
      </c>
      <c r="E2982" t="s">
        <v>5032</v>
      </c>
      <c r="F2982" t="s">
        <v>5036</v>
      </c>
      <c r="G2982" s="3">
        <v>4724.28</v>
      </c>
      <c r="H2982" s="3">
        <v>0</v>
      </c>
      <c r="I2982" s="3">
        <f>SUM(Tabla1[[#This Row],[Monto_Base]],H2982)</f>
        <v>4724.28</v>
      </c>
      <c r="J2982" t="s">
        <v>5046</v>
      </c>
      <c r="K2982" t="s">
        <v>5047</v>
      </c>
      <c r="L2982" t="s">
        <v>5051</v>
      </c>
      <c r="M2982" t="s">
        <v>5055</v>
      </c>
    </row>
    <row r="2983" spans="1:13" x14ac:dyDescent="0.3">
      <c r="A2983" s="1">
        <v>45448</v>
      </c>
      <c r="B2983" s="1" t="str">
        <f>TEXT(Tabla1[[#This Row],[Fecha]],"MMMM")</f>
        <v>junio</v>
      </c>
      <c r="C2983" t="s">
        <v>2993</v>
      </c>
      <c r="D2983" t="s">
        <v>5019</v>
      </c>
      <c r="E2983" t="s">
        <v>5032</v>
      </c>
      <c r="F2983" t="s">
        <v>5041</v>
      </c>
      <c r="G2983" s="3">
        <v>13165.1</v>
      </c>
      <c r="H2983" s="3">
        <v>0</v>
      </c>
      <c r="I2983" s="3">
        <f>SUM(Tabla1[[#This Row],[Monto_Base]],H2983)</f>
        <v>13165.1</v>
      </c>
      <c r="J2983" t="s">
        <v>5046</v>
      </c>
      <c r="K2983" t="s">
        <v>5049</v>
      </c>
      <c r="L2983" t="s">
        <v>5052</v>
      </c>
      <c r="M2983" t="s">
        <v>5055</v>
      </c>
    </row>
    <row r="2984" spans="1:13" x14ac:dyDescent="0.3">
      <c r="A2984" s="1">
        <v>45332</v>
      </c>
      <c r="B2984" s="1" t="str">
        <f>TEXT(Tabla1[[#This Row],[Fecha]],"MMMM")</f>
        <v>febrero</v>
      </c>
      <c r="C2984" t="s">
        <v>2994</v>
      </c>
      <c r="D2984" t="s">
        <v>5023</v>
      </c>
      <c r="E2984" t="s">
        <v>5033</v>
      </c>
      <c r="F2984" t="s">
        <v>5035</v>
      </c>
      <c r="G2984" s="3">
        <v>1684.1</v>
      </c>
      <c r="H2984" s="3">
        <v>218.93</v>
      </c>
      <c r="I2984" s="3">
        <f>SUM(Tabla1[[#This Row],[Monto_Base]],H2984)</f>
        <v>1903.03</v>
      </c>
      <c r="J2984" t="s">
        <v>5044</v>
      </c>
      <c r="K2984" t="s">
        <v>5048</v>
      </c>
      <c r="L2984" t="s">
        <v>5053</v>
      </c>
      <c r="M2984" t="s">
        <v>5054</v>
      </c>
    </row>
    <row r="2985" spans="1:13" x14ac:dyDescent="0.3">
      <c r="A2985" s="1">
        <v>45560</v>
      </c>
      <c r="B2985" s="1" t="str">
        <f>TEXT(Tabla1[[#This Row],[Fecha]],"MMMM")</f>
        <v>septiembre</v>
      </c>
      <c r="C2985" t="s">
        <v>2995</v>
      </c>
      <c r="D2985" t="s">
        <v>5031</v>
      </c>
      <c r="E2985" t="s">
        <v>5033</v>
      </c>
      <c r="F2985" t="s">
        <v>5041</v>
      </c>
      <c r="G2985" s="3">
        <v>12474.32</v>
      </c>
      <c r="H2985" s="3">
        <v>1621.66</v>
      </c>
      <c r="I2985" s="3">
        <f>SUM(Tabla1[[#This Row],[Monto_Base]],H2985)</f>
        <v>14095.98</v>
      </c>
      <c r="J2985" t="s">
        <v>5042</v>
      </c>
      <c r="K2985" t="s">
        <v>5049</v>
      </c>
      <c r="L2985" t="s">
        <v>5053</v>
      </c>
      <c r="M2985" t="s">
        <v>5054</v>
      </c>
    </row>
    <row r="2986" spans="1:13" x14ac:dyDescent="0.3">
      <c r="A2986" s="1">
        <v>45416</v>
      </c>
      <c r="B2986" s="1" t="str">
        <f>TEXT(Tabla1[[#This Row],[Fecha]],"MMMM")</f>
        <v>mayo</v>
      </c>
      <c r="C2986" t="s">
        <v>2996</v>
      </c>
      <c r="D2986" t="s">
        <v>5021</v>
      </c>
      <c r="E2986" t="s">
        <v>5032</v>
      </c>
      <c r="F2986" t="s">
        <v>5036</v>
      </c>
      <c r="G2986" s="3">
        <v>5818.81</v>
      </c>
      <c r="H2986" s="3">
        <v>0</v>
      </c>
      <c r="I2986" s="3">
        <f>SUM(Tabla1[[#This Row],[Monto_Base]],H2986)</f>
        <v>5818.81</v>
      </c>
      <c r="J2986" t="s">
        <v>5042</v>
      </c>
      <c r="K2986" t="s">
        <v>5049</v>
      </c>
      <c r="L2986" t="s">
        <v>5053</v>
      </c>
      <c r="M2986" t="s">
        <v>5055</v>
      </c>
    </row>
    <row r="2987" spans="1:13" x14ac:dyDescent="0.3">
      <c r="A2987" s="1">
        <v>45642</v>
      </c>
      <c r="B2987" s="1" t="str">
        <f>TEXT(Tabla1[[#This Row],[Fecha]],"MMMM")</f>
        <v>diciembre</v>
      </c>
      <c r="C2987" t="s">
        <v>2997</v>
      </c>
      <c r="D2987" t="s">
        <v>5016</v>
      </c>
      <c r="E2987" t="s">
        <v>5032</v>
      </c>
      <c r="F2987" t="s">
        <v>5036</v>
      </c>
      <c r="G2987" s="3">
        <v>7935.26</v>
      </c>
      <c r="H2987" s="3">
        <v>0</v>
      </c>
      <c r="I2987" s="3">
        <f>SUM(Tabla1[[#This Row],[Monto_Base]],H2987)</f>
        <v>7935.26</v>
      </c>
      <c r="J2987" t="s">
        <v>5044</v>
      </c>
      <c r="K2987" t="s">
        <v>5048</v>
      </c>
      <c r="L2987" t="s">
        <v>5053</v>
      </c>
      <c r="M2987" t="s">
        <v>5055</v>
      </c>
    </row>
    <row r="2988" spans="1:13" x14ac:dyDescent="0.3">
      <c r="A2988" s="1">
        <v>45577</v>
      </c>
      <c r="B2988" s="1" t="str">
        <f>TEXT(Tabla1[[#This Row],[Fecha]],"MMMM")</f>
        <v>octubre</v>
      </c>
      <c r="C2988" t="s">
        <v>2998</v>
      </c>
      <c r="D2988" t="s">
        <v>5031</v>
      </c>
      <c r="E2988" t="s">
        <v>5032</v>
      </c>
      <c r="F2988" t="s">
        <v>5040</v>
      </c>
      <c r="G2988" s="3">
        <v>14899.25</v>
      </c>
      <c r="H2988" s="3">
        <v>0</v>
      </c>
      <c r="I2988" s="3">
        <f>SUM(Tabla1[[#This Row],[Monto_Base]],H2988)</f>
        <v>14899.25</v>
      </c>
      <c r="J2988" t="s">
        <v>5042</v>
      </c>
      <c r="K2988" t="s">
        <v>5047</v>
      </c>
      <c r="L2988" t="s">
        <v>5050</v>
      </c>
      <c r="M2988" t="s">
        <v>5055</v>
      </c>
    </row>
    <row r="2989" spans="1:13" x14ac:dyDescent="0.3">
      <c r="A2989" s="1">
        <v>45371</v>
      </c>
      <c r="B2989" s="1" t="str">
        <f>TEXT(Tabla1[[#This Row],[Fecha]],"MMMM")</f>
        <v>marzo</v>
      </c>
      <c r="C2989" t="s">
        <v>2999</v>
      </c>
      <c r="D2989" t="s">
        <v>5023</v>
      </c>
      <c r="E2989" t="s">
        <v>5033</v>
      </c>
      <c r="F2989" t="s">
        <v>5035</v>
      </c>
      <c r="G2989" s="3">
        <v>7213.55</v>
      </c>
      <c r="H2989" s="3">
        <v>937.76</v>
      </c>
      <c r="I2989" s="3">
        <f>SUM(Tabla1[[#This Row],[Monto_Base]],H2989)</f>
        <v>8151.31</v>
      </c>
      <c r="J2989" t="s">
        <v>5043</v>
      </c>
      <c r="K2989" t="s">
        <v>5047</v>
      </c>
      <c r="L2989" t="s">
        <v>5053</v>
      </c>
      <c r="M2989" t="s">
        <v>5054</v>
      </c>
    </row>
    <row r="2990" spans="1:13" x14ac:dyDescent="0.3">
      <c r="A2990" s="1">
        <v>45472</v>
      </c>
      <c r="B2990" s="1" t="str">
        <f>TEXT(Tabla1[[#This Row],[Fecha]],"MMMM")</f>
        <v>junio</v>
      </c>
      <c r="C2990" t="s">
        <v>3000</v>
      </c>
      <c r="D2990" t="s">
        <v>5025</v>
      </c>
      <c r="E2990" t="s">
        <v>5033</v>
      </c>
      <c r="F2990" t="s">
        <v>5034</v>
      </c>
      <c r="G2990" s="3">
        <v>6898.62</v>
      </c>
      <c r="H2990" s="3">
        <v>896.82</v>
      </c>
      <c r="I2990" s="3">
        <f>SUM(Tabla1[[#This Row],[Monto_Base]],H2990)</f>
        <v>7795.44</v>
      </c>
      <c r="J2990" t="s">
        <v>5043</v>
      </c>
      <c r="K2990" t="s">
        <v>5048</v>
      </c>
      <c r="L2990" t="s">
        <v>5053</v>
      </c>
      <c r="M2990" t="s">
        <v>5055</v>
      </c>
    </row>
    <row r="2991" spans="1:13" x14ac:dyDescent="0.3">
      <c r="A2991" s="1">
        <v>45601</v>
      </c>
      <c r="B2991" s="1" t="str">
        <f>TEXT(Tabla1[[#This Row],[Fecha]],"MMMM")</f>
        <v>noviembre</v>
      </c>
      <c r="C2991" t="s">
        <v>3001</v>
      </c>
      <c r="D2991" t="s">
        <v>5012</v>
      </c>
      <c r="E2991" t="s">
        <v>5033</v>
      </c>
      <c r="F2991" t="s">
        <v>5035</v>
      </c>
      <c r="G2991" s="3">
        <v>11541.27</v>
      </c>
      <c r="H2991" s="3">
        <v>1500.37</v>
      </c>
      <c r="I2991" s="3">
        <f>SUM(Tabla1[[#This Row],[Monto_Base]],H2991)</f>
        <v>13041.64</v>
      </c>
      <c r="J2991" t="s">
        <v>5043</v>
      </c>
      <c r="K2991" t="s">
        <v>5049</v>
      </c>
      <c r="L2991" t="s">
        <v>5051</v>
      </c>
      <c r="M2991" t="s">
        <v>5054</v>
      </c>
    </row>
    <row r="2992" spans="1:13" x14ac:dyDescent="0.3">
      <c r="A2992" s="1">
        <v>45332</v>
      </c>
      <c r="B2992" s="1" t="str">
        <f>TEXT(Tabla1[[#This Row],[Fecha]],"MMMM")</f>
        <v>febrero</v>
      </c>
      <c r="C2992" t="s">
        <v>3002</v>
      </c>
      <c r="D2992" t="s">
        <v>5020</v>
      </c>
      <c r="E2992" t="s">
        <v>5032</v>
      </c>
      <c r="F2992" t="s">
        <v>5034</v>
      </c>
      <c r="G2992" s="3">
        <v>6204.26</v>
      </c>
      <c r="H2992" s="3">
        <v>0</v>
      </c>
      <c r="I2992" s="3">
        <f>SUM(Tabla1[[#This Row],[Monto_Base]],H2992)</f>
        <v>6204.26</v>
      </c>
      <c r="J2992" t="s">
        <v>5044</v>
      </c>
      <c r="K2992" t="s">
        <v>5048</v>
      </c>
      <c r="L2992" t="s">
        <v>5050</v>
      </c>
      <c r="M2992" t="s">
        <v>5055</v>
      </c>
    </row>
    <row r="2993" spans="1:13" x14ac:dyDescent="0.3">
      <c r="A2993" s="1">
        <v>45327</v>
      </c>
      <c r="B2993" s="1" t="str">
        <f>TEXT(Tabla1[[#This Row],[Fecha]],"MMMM")</f>
        <v>febrero</v>
      </c>
      <c r="C2993" t="s">
        <v>3003</v>
      </c>
      <c r="D2993" t="s">
        <v>5027</v>
      </c>
      <c r="E2993" t="s">
        <v>5032</v>
      </c>
      <c r="F2993" t="s">
        <v>5037</v>
      </c>
      <c r="G2993" s="3">
        <v>6769.13</v>
      </c>
      <c r="H2993" s="3">
        <v>0</v>
      </c>
      <c r="I2993" s="3">
        <f>SUM(Tabla1[[#This Row],[Monto_Base]],H2993)</f>
        <v>6769.13</v>
      </c>
      <c r="J2993" t="s">
        <v>5042</v>
      </c>
      <c r="K2993" t="s">
        <v>5048</v>
      </c>
      <c r="L2993" t="s">
        <v>5050</v>
      </c>
      <c r="M2993" t="s">
        <v>5054</v>
      </c>
    </row>
    <row r="2994" spans="1:13" x14ac:dyDescent="0.3">
      <c r="A2994" s="1">
        <v>45471</v>
      </c>
      <c r="B2994" s="1" t="str">
        <f>TEXT(Tabla1[[#This Row],[Fecha]],"MMMM")</f>
        <v>junio</v>
      </c>
      <c r="C2994" t="s">
        <v>3004</v>
      </c>
      <c r="D2994" t="s">
        <v>5027</v>
      </c>
      <c r="E2994" t="s">
        <v>5032</v>
      </c>
      <c r="F2994" t="s">
        <v>5040</v>
      </c>
      <c r="G2994" s="3">
        <v>6495.05</v>
      </c>
      <c r="H2994" s="3">
        <v>0</v>
      </c>
      <c r="I2994" s="3">
        <f>SUM(Tabla1[[#This Row],[Monto_Base]],H2994)</f>
        <v>6495.05</v>
      </c>
      <c r="J2994" t="s">
        <v>5042</v>
      </c>
      <c r="K2994" t="s">
        <v>5048</v>
      </c>
      <c r="L2994" t="s">
        <v>5050</v>
      </c>
      <c r="M2994" t="s">
        <v>5054</v>
      </c>
    </row>
    <row r="2995" spans="1:13" x14ac:dyDescent="0.3">
      <c r="A2995" s="1">
        <v>45627</v>
      </c>
      <c r="B2995" s="1" t="str">
        <f>TEXT(Tabla1[[#This Row],[Fecha]],"MMMM")</f>
        <v>diciembre</v>
      </c>
      <c r="C2995" t="s">
        <v>3005</v>
      </c>
      <c r="D2995" t="s">
        <v>5024</v>
      </c>
      <c r="E2995" t="s">
        <v>5033</v>
      </c>
      <c r="F2995" t="s">
        <v>5035</v>
      </c>
      <c r="G2995" s="3">
        <v>13745.77</v>
      </c>
      <c r="H2995" s="3">
        <v>1786.95</v>
      </c>
      <c r="I2995" s="3">
        <f>SUM(Tabla1[[#This Row],[Monto_Base]],H2995)</f>
        <v>15532.720000000001</v>
      </c>
      <c r="J2995" t="s">
        <v>5043</v>
      </c>
      <c r="K2995" t="s">
        <v>5047</v>
      </c>
      <c r="L2995" t="s">
        <v>5052</v>
      </c>
      <c r="M2995" t="s">
        <v>5054</v>
      </c>
    </row>
    <row r="2996" spans="1:13" x14ac:dyDescent="0.3">
      <c r="A2996" s="1">
        <v>45401</v>
      </c>
      <c r="B2996" s="1" t="str">
        <f>TEXT(Tabla1[[#This Row],[Fecha]],"MMMM")</f>
        <v>abril</v>
      </c>
      <c r="C2996" t="s">
        <v>3006</v>
      </c>
      <c r="D2996" t="s">
        <v>5026</v>
      </c>
      <c r="E2996" t="s">
        <v>5032</v>
      </c>
      <c r="F2996" t="s">
        <v>5040</v>
      </c>
      <c r="G2996" s="3">
        <v>6456.41</v>
      </c>
      <c r="H2996" s="3">
        <v>0</v>
      </c>
      <c r="I2996" s="3">
        <f>SUM(Tabla1[[#This Row],[Monto_Base]],H2996)</f>
        <v>6456.41</v>
      </c>
      <c r="J2996" t="s">
        <v>5046</v>
      </c>
      <c r="K2996" t="s">
        <v>5048</v>
      </c>
      <c r="L2996" t="s">
        <v>5050</v>
      </c>
      <c r="M2996" t="s">
        <v>5055</v>
      </c>
    </row>
    <row r="2997" spans="1:13" x14ac:dyDescent="0.3">
      <c r="A2997" s="1">
        <v>45644</v>
      </c>
      <c r="B2997" s="1" t="str">
        <f>TEXT(Tabla1[[#This Row],[Fecha]],"MMMM")</f>
        <v>diciembre</v>
      </c>
      <c r="C2997" t="s">
        <v>3007</v>
      </c>
      <c r="D2997" t="s">
        <v>5012</v>
      </c>
      <c r="E2997" t="s">
        <v>5033</v>
      </c>
      <c r="F2997" t="s">
        <v>5036</v>
      </c>
      <c r="G2997" s="3">
        <v>5709</v>
      </c>
      <c r="H2997" s="3">
        <v>742.17</v>
      </c>
      <c r="I2997" s="3">
        <f>SUM(Tabla1[[#This Row],[Monto_Base]],H2997)</f>
        <v>6451.17</v>
      </c>
      <c r="J2997" t="s">
        <v>5042</v>
      </c>
      <c r="K2997" t="s">
        <v>5048</v>
      </c>
      <c r="L2997" t="s">
        <v>5053</v>
      </c>
      <c r="M2997" t="s">
        <v>5054</v>
      </c>
    </row>
    <row r="2998" spans="1:13" x14ac:dyDescent="0.3">
      <c r="A2998" s="1">
        <v>45636</v>
      </c>
      <c r="B2998" s="1" t="str">
        <f>TEXT(Tabla1[[#This Row],[Fecha]],"MMMM")</f>
        <v>diciembre</v>
      </c>
      <c r="C2998" t="s">
        <v>3008</v>
      </c>
      <c r="D2998" t="s">
        <v>5030</v>
      </c>
      <c r="E2998" t="s">
        <v>5032</v>
      </c>
      <c r="F2998" t="s">
        <v>5038</v>
      </c>
      <c r="G2998" s="3">
        <v>8235.2099999999991</v>
      </c>
      <c r="H2998" s="3">
        <v>0</v>
      </c>
      <c r="I2998" s="3">
        <f>SUM(Tabla1[[#This Row],[Monto_Base]],H2998)</f>
        <v>8235.2099999999991</v>
      </c>
      <c r="J2998" t="s">
        <v>5046</v>
      </c>
      <c r="K2998" t="s">
        <v>5047</v>
      </c>
      <c r="L2998" t="s">
        <v>5053</v>
      </c>
      <c r="M2998" t="s">
        <v>5054</v>
      </c>
    </row>
    <row r="2999" spans="1:13" x14ac:dyDescent="0.3">
      <c r="A2999" s="1">
        <v>45440</v>
      </c>
      <c r="B2999" s="1" t="str">
        <f>TEXT(Tabla1[[#This Row],[Fecha]],"MMMM")</f>
        <v>mayo</v>
      </c>
      <c r="C2999" t="s">
        <v>3009</v>
      </c>
      <c r="D2999" t="s">
        <v>5022</v>
      </c>
      <c r="E2999" t="s">
        <v>5033</v>
      </c>
      <c r="F2999" t="s">
        <v>5040</v>
      </c>
      <c r="G2999" s="3">
        <v>14331.81</v>
      </c>
      <c r="H2999" s="3">
        <v>1863.14</v>
      </c>
      <c r="I2999" s="3">
        <f>SUM(Tabla1[[#This Row],[Monto_Base]],H2999)</f>
        <v>16194.949999999999</v>
      </c>
      <c r="J2999" t="s">
        <v>5044</v>
      </c>
      <c r="K2999" t="s">
        <v>5048</v>
      </c>
      <c r="L2999" t="s">
        <v>5053</v>
      </c>
      <c r="M2999" t="s">
        <v>5054</v>
      </c>
    </row>
    <row r="3000" spans="1:13" x14ac:dyDescent="0.3">
      <c r="A3000" s="1">
        <v>45592</v>
      </c>
      <c r="B3000" s="1" t="str">
        <f>TEXT(Tabla1[[#This Row],[Fecha]],"MMMM")</f>
        <v>octubre</v>
      </c>
      <c r="C3000" t="s">
        <v>3010</v>
      </c>
      <c r="D3000" t="s">
        <v>5029</v>
      </c>
      <c r="E3000" t="s">
        <v>5033</v>
      </c>
      <c r="F3000" t="s">
        <v>5035</v>
      </c>
      <c r="G3000" s="3">
        <v>10003.83</v>
      </c>
      <c r="H3000" s="3">
        <v>1300.5</v>
      </c>
      <c r="I3000" s="3">
        <f>SUM(Tabla1[[#This Row],[Monto_Base]],H3000)</f>
        <v>11304.33</v>
      </c>
      <c r="J3000" t="s">
        <v>5042</v>
      </c>
      <c r="K3000" t="s">
        <v>5047</v>
      </c>
      <c r="L3000" t="s">
        <v>5050</v>
      </c>
      <c r="M3000" t="s">
        <v>5055</v>
      </c>
    </row>
    <row r="3001" spans="1:13" x14ac:dyDescent="0.3">
      <c r="A3001" s="1">
        <v>45341</v>
      </c>
      <c r="B3001" s="1" t="str">
        <f>TEXT(Tabla1[[#This Row],[Fecha]],"MMMM")</f>
        <v>febrero</v>
      </c>
      <c r="C3001" t="s">
        <v>3011</v>
      </c>
      <c r="D3001" t="s">
        <v>5024</v>
      </c>
      <c r="E3001" t="s">
        <v>5032</v>
      </c>
      <c r="F3001" t="s">
        <v>5039</v>
      </c>
      <c r="G3001" s="3">
        <v>4682.3500000000004</v>
      </c>
      <c r="H3001" s="3">
        <v>0</v>
      </c>
      <c r="I3001" s="3">
        <f>SUM(Tabla1[[#This Row],[Monto_Base]],H3001)</f>
        <v>4682.3500000000004</v>
      </c>
      <c r="J3001" t="s">
        <v>5043</v>
      </c>
      <c r="K3001" t="s">
        <v>5047</v>
      </c>
      <c r="L3001" t="s">
        <v>5053</v>
      </c>
      <c r="M3001" t="s">
        <v>5054</v>
      </c>
    </row>
    <row r="3002" spans="1:13" x14ac:dyDescent="0.3">
      <c r="A3002" s="1">
        <v>45589</v>
      </c>
      <c r="B3002" s="1" t="str">
        <f>TEXT(Tabla1[[#This Row],[Fecha]],"MMMM")</f>
        <v>octubre</v>
      </c>
      <c r="C3002" t="s">
        <v>3012</v>
      </c>
      <c r="D3002" t="s">
        <v>5024</v>
      </c>
      <c r="E3002" t="s">
        <v>5033</v>
      </c>
      <c r="F3002" t="s">
        <v>5035</v>
      </c>
      <c r="G3002" s="3">
        <v>461.08</v>
      </c>
      <c r="H3002" s="3">
        <v>59.94</v>
      </c>
      <c r="I3002" s="3">
        <f>SUM(Tabla1[[#This Row],[Monto_Base]],H3002)</f>
        <v>521.02</v>
      </c>
      <c r="J3002" t="s">
        <v>5045</v>
      </c>
      <c r="K3002" t="s">
        <v>5048</v>
      </c>
      <c r="L3002" t="s">
        <v>5052</v>
      </c>
      <c r="M3002" t="s">
        <v>5055</v>
      </c>
    </row>
    <row r="3003" spans="1:13" x14ac:dyDescent="0.3">
      <c r="A3003" s="1">
        <v>45543</v>
      </c>
      <c r="B3003" s="1" t="str">
        <f>TEXT(Tabla1[[#This Row],[Fecha]],"MMMM")</f>
        <v>septiembre</v>
      </c>
      <c r="C3003" t="s">
        <v>3013</v>
      </c>
      <c r="D3003" t="s">
        <v>5031</v>
      </c>
      <c r="E3003" t="s">
        <v>5032</v>
      </c>
      <c r="F3003" t="s">
        <v>5034</v>
      </c>
      <c r="G3003" s="3">
        <v>14789.44</v>
      </c>
      <c r="H3003" s="3">
        <v>0</v>
      </c>
      <c r="I3003" s="3">
        <f>SUM(Tabla1[[#This Row],[Monto_Base]],H3003)</f>
        <v>14789.44</v>
      </c>
      <c r="J3003" t="s">
        <v>5044</v>
      </c>
      <c r="K3003" t="s">
        <v>5047</v>
      </c>
      <c r="L3003" t="s">
        <v>5050</v>
      </c>
      <c r="M3003" t="s">
        <v>5055</v>
      </c>
    </row>
    <row r="3004" spans="1:13" x14ac:dyDescent="0.3">
      <c r="A3004" s="1">
        <v>45609</v>
      </c>
      <c r="B3004" s="1" t="str">
        <f>TEXT(Tabla1[[#This Row],[Fecha]],"MMMM")</f>
        <v>noviembre</v>
      </c>
      <c r="C3004" t="s">
        <v>3014</v>
      </c>
      <c r="D3004" t="s">
        <v>5029</v>
      </c>
      <c r="E3004" t="s">
        <v>5032</v>
      </c>
      <c r="F3004" t="s">
        <v>5037</v>
      </c>
      <c r="G3004" s="3">
        <v>2331.4299999999998</v>
      </c>
      <c r="H3004" s="3">
        <v>0</v>
      </c>
      <c r="I3004" s="3">
        <f>SUM(Tabla1[[#This Row],[Monto_Base]],H3004)</f>
        <v>2331.4299999999998</v>
      </c>
      <c r="J3004" t="s">
        <v>5043</v>
      </c>
      <c r="K3004" t="s">
        <v>5049</v>
      </c>
      <c r="L3004" t="s">
        <v>5052</v>
      </c>
      <c r="M3004" t="s">
        <v>5055</v>
      </c>
    </row>
    <row r="3005" spans="1:13" x14ac:dyDescent="0.3">
      <c r="A3005" s="1">
        <v>45371</v>
      </c>
      <c r="B3005" s="1" t="str">
        <f>TEXT(Tabla1[[#This Row],[Fecha]],"MMMM")</f>
        <v>marzo</v>
      </c>
      <c r="C3005" t="s">
        <v>3015</v>
      </c>
      <c r="D3005" t="s">
        <v>5023</v>
      </c>
      <c r="E3005" t="s">
        <v>5032</v>
      </c>
      <c r="F3005" t="s">
        <v>5039</v>
      </c>
      <c r="G3005" s="3">
        <v>2221.8200000000002</v>
      </c>
      <c r="H3005" s="3">
        <v>0</v>
      </c>
      <c r="I3005" s="3">
        <f>SUM(Tabla1[[#This Row],[Monto_Base]],H3005)</f>
        <v>2221.8200000000002</v>
      </c>
      <c r="J3005" t="s">
        <v>5043</v>
      </c>
      <c r="K3005" t="s">
        <v>5048</v>
      </c>
      <c r="L3005" t="s">
        <v>5050</v>
      </c>
      <c r="M3005" t="s">
        <v>5054</v>
      </c>
    </row>
    <row r="3006" spans="1:13" x14ac:dyDescent="0.3">
      <c r="A3006" s="1">
        <v>45406</v>
      </c>
      <c r="B3006" s="1" t="str">
        <f>TEXT(Tabla1[[#This Row],[Fecha]],"MMMM")</f>
        <v>abril</v>
      </c>
      <c r="C3006" t="s">
        <v>3016</v>
      </c>
      <c r="D3006" t="s">
        <v>5026</v>
      </c>
      <c r="E3006" t="s">
        <v>5033</v>
      </c>
      <c r="F3006" t="s">
        <v>5034</v>
      </c>
      <c r="G3006" s="3">
        <v>608.46</v>
      </c>
      <c r="H3006" s="3">
        <v>79.099999999999994</v>
      </c>
      <c r="I3006" s="3">
        <f>SUM(Tabla1[[#This Row],[Monto_Base]],H3006)</f>
        <v>687.56000000000006</v>
      </c>
      <c r="J3006" t="s">
        <v>5044</v>
      </c>
      <c r="K3006" t="s">
        <v>5047</v>
      </c>
      <c r="L3006" t="s">
        <v>5051</v>
      </c>
      <c r="M3006" t="s">
        <v>5055</v>
      </c>
    </row>
    <row r="3007" spans="1:13" x14ac:dyDescent="0.3">
      <c r="A3007" s="1">
        <v>45629</v>
      </c>
      <c r="B3007" s="1" t="str">
        <f>TEXT(Tabla1[[#This Row],[Fecha]],"MMMM")</f>
        <v>diciembre</v>
      </c>
      <c r="C3007" t="s">
        <v>3017</v>
      </c>
      <c r="D3007" t="s">
        <v>5025</v>
      </c>
      <c r="E3007" t="s">
        <v>5033</v>
      </c>
      <c r="F3007" t="s">
        <v>5039</v>
      </c>
      <c r="G3007" s="3">
        <v>5423.41</v>
      </c>
      <c r="H3007" s="3">
        <v>705.04</v>
      </c>
      <c r="I3007" s="3">
        <f>SUM(Tabla1[[#This Row],[Monto_Base]],H3007)</f>
        <v>6128.45</v>
      </c>
      <c r="J3007" t="s">
        <v>5044</v>
      </c>
      <c r="K3007" t="s">
        <v>5049</v>
      </c>
      <c r="L3007" t="s">
        <v>5053</v>
      </c>
      <c r="M3007" t="s">
        <v>5055</v>
      </c>
    </row>
    <row r="3008" spans="1:13" x14ac:dyDescent="0.3">
      <c r="A3008" s="1">
        <v>45503</v>
      </c>
      <c r="B3008" s="1" t="str">
        <f>TEXT(Tabla1[[#This Row],[Fecha]],"MMMM")</f>
        <v>julio</v>
      </c>
      <c r="C3008" t="s">
        <v>3018</v>
      </c>
      <c r="D3008" t="s">
        <v>5023</v>
      </c>
      <c r="E3008" t="s">
        <v>5033</v>
      </c>
      <c r="F3008" t="s">
        <v>5035</v>
      </c>
      <c r="G3008" s="3">
        <v>5085.37</v>
      </c>
      <c r="H3008" s="3">
        <v>661.1</v>
      </c>
      <c r="I3008" s="3">
        <f>SUM(Tabla1[[#This Row],[Monto_Base]],H3008)</f>
        <v>5746.47</v>
      </c>
      <c r="J3008" t="s">
        <v>5043</v>
      </c>
      <c r="K3008" t="s">
        <v>5048</v>
      </c>
      <c r="L3008" t="s">
        <v>5053</v>
      </c>
      <c r="M3008" t="s">
        <v>5054</v>
      </c>
    </row>
    <row r="3009" spans="1:13" x14ac:dyDescent="0.3">
      <c r="A3009" s="1">
        <v>45442</v>
      </c>
      <c r="B3009" s="1" t="str">
        <f>TEXT(Tabla1[[#This Row],[Fecha]],"MMMM")</f>
        <v>mayo</v>
      </c>
      <c r="C3009" t="s">
        <v>3019</v>
      </c>
      <c r="D3009" t="s">
        <v>5017</v>
      </c>
      <c r="E3009" t="s">
        <v>5033</v>
      </c>
      <c r="F3009" t="s">
        <v>5041</v>
      </c>
      <c r="G3009" s="3">
        <v>7931.71</v>
      </c>
      <c r="H3009" s="3">
        <v>1031.1199999999999</v>
      </c>
      <c r="I3009" s="3">
        <f>SUM(Tabla1[[#This Row],[Monto_Base]],H3009)</f>
        <v>8962.83</v>
      </c>
      <c r="J3009" t="s">
        <v>5044</v>
      </c>
      <c r="K3009" t="s">
        <v>5048</v>
      </c>
      <c r="L3009" t="s">
        <v>5053</v>
      </c>
      <c r="M3009" t="s">
        <v>5055</v>
      </c>
    </row>
    <row r="3010" spans="1:13" x14ac:dyDescent="0.3">
      <c r="A3010" s="1">
        <v>45492</v>
      </c>
      <c r="B3010" s="1" t="str">
        <f>TEXT(Tabla1[[#This Row],[Fecha]],"MMMM")</f>
        <v>julio</v>
      </c>
      <c r="C3010" t="s">
        <v>3020</v>
      </c>
      <c r="D3010" t="s">
        <v>5027</v>
      </c>
      <c r="E3010" t="s">
        <v>5033</v>
      </c>
      <c r="F3010" t="s">
        <v>5040</v>
      </c>
      <c r="G3010" s="3">
        <v>2151</v>
      </c>
      <c r="H3010" s="3">
        <v>279.63</v>
      </c>
      <c r="I3010" s="3">
        <f>SUM(Tabla1[[#This Row],[Monto_Base]],H3010)</f>
        <v>2430.63</v>
      </c>
      <c r="J3010" t="s">
        <v>5042</v>
      </c>
      <c r="K3010" t="s">
        <v>5048</v>
      </c>
      <c r="L3010" t="s">
        <v>5051</v>
      </c>
      <c r="M3010" t="s">
        <v>5055</v>
      </c>
    </row>
    <row r="3011" spans="1:13" x14ac:dyDescent="0.3">
      <c r="A3011" s="1">
        <v>45424</v>
      </c>
      <c r="B3011" s="1" t="str">
        <f>TEXT(Tabla1[[#This Row],[Fecha]],"MMMM")</f>
        <v>mayo</v>
      </c>
      <c r="C3011" t="s">
        <v>3021</v>
      </c>
      <c r="D3011" t="s">
        <v>5028</v>
      </c>
      <c r="E3011" t="s">
        <v>5033</v>
      </c>
      <c r="F3011" t="s">
        <v>5039</v>
      </c>
      <c r="G3011" s="3">
        <v>2443.06</v>
      </c>
      <c r="H3011" s="3">
        <v>317.60000000000002</v>
      </c>
      <c r="I3011" s="3">
        <f>SUM(Tabla1[[#This Row],[Monto_Base]],H3011)</f>
        <v>2760.66</v>
      </c>
      <c r="J3011" t="s">
        <v>5042</v>
      </c>
      <c r="K3011" t="s">
        <v>5047</v>
      </c>
      <c r="L3011" t="s">
        <v>5051</v>
      </c>
      <c r="M3011" t="s">
        <v>5055</v>
      </c>
    </row>
    <row r="3012" spans="1:13" x14ac:dyDescent="0.3">
      <c r="A3012" s="1">
        <v>45331</v>
      </c>
      <c r="B3012" s="1" t="str">
        <f>TEXT(Tabla1[[#This Row],[Fecha]],"MMMM")</f>
        <v>febrero</v>
      </c>
      <c r="C3012" t="s">
        <v>3022</v>
      </c>
      <c r="D3012" t="s">
        <v>5013</v>
      </c>
      <c r="E3012" t="s">
        <v>5033</v>
      </c>
      <c r="F3012" t="s">
        <v>5041</v>
      </c>
      <c r="G3012" s="3">
        <v>3558.85</v>
      </c>
      <c r="H3012" s="3">
        <v>462.65</v>
      </c>
      <c r="I3012" s="3">
        <f>SUM(Tabla1[[#This Row],[Monto_Base]],H3012)</f>
        <v>4021.5</v>
      </c>
      <c r="J3012" t="s">
        <v>5044</v>
      </c>
      <c r="K3012" t="s">
        <v>5048</v>
      </c>
      <c r="L3012" t="s">
        <v>5053</v>
      </c>
      <c r="M3012" t="s">
        <v>5054</v>
      </c>
    </row>
    <row r="3013" spans="1:13" x14ac:dyDescent="0.3">
      <c r="A3013" s="1">
        <v>45486</v>
      </c>
      <c r="B3013" s="1" t="str">
        <f>TEXT(Tabla1[[#This Row],[Fecha]],"MMMM")</f>
        <v>julio</v>
      </c>
      <c r="C3013" t="s">
        <v>3023</v>
      </c>
      <c r="D3013" t="s">
        <v>5013</v>
      </c>
      <c r="E3013" t="s">
        <v>5033</v>
      </c>
      <c r="F3013" t="s">
        <v>5039</v>
      </c>
      <c r="G3013" s="3">
        <v>5734.87</v>
      </c>
      <c r="H3013" s="3">
        <v>745.53</v>
      </c>
      <c r="I3013" s="3">
        <f>SUM(Tabla1[[#This Row],[Monto_Base]],H3013)</f>
        <v>6480.4</v>
      </c>
      <c r="J3013" t="s">
        <v>5042</v>
      </c>
      <c r="K3013" t="s">
        <v>5047</v>
      </c>
      <c r="L3013" t="s">
        <v>5051</v>
      </c>
      <c r="M3013" t="s">
        <v>5054</v>
      </c>
    </row>
    <row r="3014" spans="1:13" x14ac:dyDescent="0.3">
      <c r="A3014" s="1">
        <v>45304</v>
      </c>
      <c r="B3014" s="1" t="str">
        <f>TEXT(Tabla1[[#This Row],[Fecha]],"MMMM")</f>
        <v>enero</v>
      </c>
      <c r="C3014" t="s">
        <v>3024</v>
      </c>
      <c r="D3014" t="s">
        <v>5031</v>
      </c>
      <c r="E3014" t="s">
        <v>5032</v>
      </c>
      <c r="F3014" t="s">
        <v>5035</v>
      </c>
      <c r="G3014" s="3">
        <v>5779.36</v>
      </c>
      <c r="H3014" s="3">
        <v>0</v>
      </c>
      <c r="I3014" s="3">
        <f>SUM(Tabla1[[#This Row],[Monto_Base]],H3014)</f>
        <v>5779.36</v>
      </c>
      <c r="J3014" t="s">
        <v>5044</v>
      </c>
      <c r="K3014" t="s">
        <v>5048</v>
      </c>
      <c r="L3014" t="s">
        <v>5053</v>
      </c>
      <c r="M3014" t="s">
        <v>5054</v>
      </c>
    </row>
    <row r="3015" spans="1:13" x14ac:dyDescent="0.3">
      <c r="A3015" s="1">
        <v>45485</v>
      </c>
      <c r="B3015" s="1" t="str">
        <f>TEXT(Tabla1[[#This Row],[Fecha]],"MMMM")</f>
        <v>julio</v>
      </c>
      <c r="C3015" t="s">
        <v>3025</v>
      </c>
      <c r="D3015" t="s">
        <v>5031</v>
      </c>
      <c r="E3015" t="s">
        <v>5033</v>
      </c>
      <c r="F3015" t="s">
        <v>5040</v>
      </c>
      <c r="G3015" s="3">
        <v>12712.63</v>
      </c>
      <c r="H3015" s="3">
        <v>1652.64</v>
      </c>
      <c r="I3015" s="3">
        <f>SUM(Tabla1[[#This Row],[Monto_Base]],H3015)</f>
        <v>14365.269999999999</v>
      </c>
      <c r="J3015" t="s">
        <v>5042</v>
      </c>
      <c r="K3015" t="s">
        <v>5047</v>
      </c>
      <c r="L3015" t="s">
        <v>5051</v>
      </c>
      <c r="M3015" t="s">
        <v>5055</v>
      </c>
    </row>
    <row r="3016" spans="1:13" x14ac:dyDescent="0.3">
      <c r="A3016" s="1">
        <v>45315</v>
      </c>
      <c r="B3016" s="1" t="str">
        <f>TEXT(Tabla1[[#This Row],[Fecha]],"MMMM")</f>
        <v>enero</v>
      </c>
      <c r="C3016" t="s">
        <v>3026</v>
      </c>
      <c r="D3016" t="s">
        <v>5016</v>
      </c>
      <c r="E3016" t="s">
        <v>5033</v>
      </c>
      <c r="F3016" t="s">
        <v>5038</v>
      </c>
      <c r="G3016" s="3">
        <v>997.69</v>
      </c>
      <c r="H3016" s="3">
        <v>129.69999999999999</v>
      </c>
      <c r="I3016" s="3">
        <f>SUM(Tabla1[[#This Row],[Monto_Base]],H3016)</f>
        <v>1127.3900000000001</v>
      </c>
      <c r="J3016" t="s">
        <v>5046</v>
      </c>
      <c r="K3016" t="s">
        <v>5048</v>
      </c>
      <c r="L3016" t="s">
        <v>5053</v>
      </c>
      <c r="M3016" t="s">
        <v>5055</v>
      </c>
    </row>
    <row r="3017" spans="1:13" x14ac:dyDescent="0.3">
      <c r="A3017" s="1">
        <v>45579</v>
      </c>
      <c r="B3017" s="1" t="str">
        <f>TEXT(Tabla1[[#This Row],[Fecha]],"MMMM")</f>
        <v>octubre</v>
      </c>
      <c r="C3017" t="s">
        <v>3027</v>
      </c>
      <c r="D3017" t="s">
        <v>5017</v>
      </c>
      <c r="E3017" t="s">
        <v>5033</v>
      </c>
      <c r="F3017" t="s">
        <v>5036</v>
      </c>
      <c r="G3017" s="3">
        <v>1707.42</v>
      </c>
      <c r="H3017" s="3">
        <v>221.96</v>
      </c>
      <c r="I3017" s="3">
        <f>SUM(Tabla1[[#This Row],[Monto_Base]],H3017)</f>
        <v>1929.38</v>
      </c>
      <c r="J3017" t="s">
        <v>5045</v>
      </c>
      <c r="K3017" t="s">
        <v>5048</v>
      </c>
      <c r="L3017" t="s">
        <v>5053</v>
      </c>
      <c r="M3017" t="s">
        <v>5055</v>
      </c>
    </row>
    <row r="3018" spans="1:13" x14ac:dyDescent="0.3">
      <c r="A3018" s="1">
        <v>45519</v>
      </c>
      <c r="B3018" s="1" t="str">
        <f>TEXT(Tabla1[[#This Row],[Fecha]],"MMMM")</f>
        <v>agosto</v>
      </c>
      <c r="C3018" t="s">
        <v>3028</v>
      </c>
      <c r="D3018" t="s">
        <v>5017</v>
      </c>
      <c r="E3018" t="s">
        <v>5033</v>
      </c>
      <c r="F3018" t="s">
        <v>5040</v>
      </c>
      <c r="G3018" s="3">
        <v>9560.9</v>
      </c>
      <c r="H3018" s="3">
        <v>1242.92</v>
      </c>
      <c r="I3018" s="3">
        <f>SUM(Tabla1[[#This Row],[Monto_Base]],H3018)</f>
        <v>10803.82</v>
      </c>
      <c r="J3018" t="s">
        <v>5042</v>
      </c>
      <c r="K3018" t="s">
        <v>5049</v>
      </c>
      <c r="L3018" t="s">
        <v>5053</v>
      </c>
      <c r="M3018" t="s">
        <v>5055</v>
      </c>
    </row>
    <row r="3019" spans="1:13" x14ac:dyDescent="0.3">
      <c r="A3019" s="1">
        <v>45585</v>
      </c>
      <c r="B3019" s="1" t="str">
        <f>TEXT(Tabla1[[#This Row],[Fecha]],"MMMM")</f>
        <v>octubre</v>
      </c>
      <c r="C3019" t="s">
        <v>3029</v>
      </c>
      <c r="D3019" t="s">
        <v>5025</v>
      </c>
      <c r="E3019" t="s">
        <v>5033</v>
      </c>
      <c r="F3019" t="s">
        <v>5040</v>
      </c>
      <c r="G3019" s="3">
        <v>6240.35</v>
      </c>
      <c r="H3019" s="3">
        <v>811.25</v>
      </c>
      <c r="I3019" s="3">
        <f>SUM(Tabla1[[#This Row],[Monto_Base]],H3019)</f>
        <v>7051.6</v>
      </c>
      <c r="J3019" t="s">
        <v>5044</v>
      </c>
      <c r="K3019" t="s">
        <v>5047</v>
      </c>
      <c r="L3019" t="s">
        <v>5050</v>
      </c>
      <c r="M3019" t="s">
        <v>5055</v>
      </c>
    </row>
    <row r="3020" spans="1:13" x14ac:dyDescent="0.3">
      <c r="A3020" s="1">
        <v>45393</v>
      </c>
      <c r="B3020" s="1" t="str">
        <f>TEXT(Tabla1[[#This Row],[Fecha]],"MMMM")</f>
        <v>abril</v>
      </c>
      <c r="C3020" t="s">
        <v>3030</v>
      </c>
      <c r="D3020" t="s">
        <v>5021</v>
      </c>
      <c r="E3020" t="s">
        <v>5032</v>
      </c>
      <c r="F3020" t="s">
        <v>5034</v>
      </c>
      <c r="G3020" s="3">
        <v>1084.67</v>
      </c>
      <c r="H3020" s="3">
        <v>0</v>
      </c>
      <c r="I3020" s="3">
        <f>SUM(Tabla1[[#This Row],[Monto_Base]],H3020)</f>
        <v>1084.67</v>
      </c>
      <c r="J3020" t="s">
        <v>5045</v>
      </c>
      <c r="K3020" t="s">
        <v>5048</v>
      </c>
      <c r="L3020" t="s">
        <v>5051</v>
      </c>
      <c r="M3020" t="s">
        <v>5055</v>
      </c>
    </row>
    <row r="3021" spans="1:13" x14ac:dyDescent="0.3">
      <c r="A3021" s="1">
        <v>45370</v>
      </c>
      <c r="B3021" s="1" t="str">
        <f>TEXT(Tabla1[[#This Row],[Fecha]],"MMMM")</f>
        <v>marzo</v>
      </c>
      <c r="C3021" t="s">
        <v>3031</v>
      </c>
      <c r="D3021" t="s">
        <v>5020</v>
      </c>
      <c r="E3021" t="s">
        <v>5032</v>
      </c>
      <c r="F3021" t="s">
        <v>5039</v>
      </c>
      <c r="G3021" s="3">
        <v>14198.17</v>
      </c>
      <c r="H3021" s="3">
        <v>0</v>
      </c>
      <c r="I3021" s="3">
        <f>SUM(Tabla1[[#This Row],[Monto_Base]],H3021)</f>
        <v>14198.17</v>
      </c>
      <c r="J3021" t="s">
        <v>5043</v>
      </c>
      <c r="K3021" t="s">
        <v>5048</v>
      </c>
      <c r="L3021" t="s">
        <v>5050</v>
      </c>
      <c r="M3021" t="s">
        <v>5055</v>
      </c>
    </row>
    <row r="3022" spans="1:13" x14ac:dyDescent="0.3">
      <c r="A3022" s="1">
        <v>45522</v>
      </c>
      <c r="B3022" s="1" t="str">
        <f>TEXT(Tabla1[[#This Row],[Fecha]],"MMMM")</f>
        <v>agosto</v>
      </c>
      <c r="C3022" t="s">
        <v>3032</v>
      </c>
      <c r="D3022" t="s">
        <v>5018</v>
      </c>
      <c r="E3022" t="s">
        <v>5032</v>
      </c>
      <c r="F3022" t="s">
        <v>5035</v>
      </c>
      <c r="G3022" s="3">
        <v>3376.14</v>
      </c>
      <c r="H3022" s="3">
        <v>0</v>
      </c>
      <c r="I3022" s="3">
        <f>SUM(Tabla1[[#This Row],[Monto_Base]],H3022)</f>
        <v>3376.14</v>
      </c>
      <c r="J3022" t="s">
        <v>5044</v>
      </c>
      <c r="K3022" t="s">
        <v>5048</v>
      </c>
      <c r="L3022" t="s">
        <v>5050</v>
      </c>
      <c r="M3022" t="s">
        <v>5054</v>
      </c>
    </row>
    <row r="3023" spans="1:13" x14ac:dyDescent="0.3">
      <c r="A3023" s="1">
        <v>45606</v>
      </c>
      <c r="B3023" s="1" t="str">
        <f>TEXT(Tabla1[[#This Row],[Fecha]],"MMMM")</f>
        <v>noviembre</v>
      </c>
      <c r="C3023" t="s">
        <v>3033</v>
      </c>
      <c r="D3023" t="s">
        <v>5017</v>
      </c>
      <c r="E3023" t="s">
        <v>5033</v>
      </c>
      <c r="F3023" t="s">
        <v>5034</v>
      </c>
      <c r="G3023" s="3">
        <v>5928.11</v>
      </c>
      <c r="H3023" s="3">
        <v>770.65</v>
      </c>
      <c r="I3023" s="3">
        <f>SUM(Tabla1[[#This Row],[Monto_Base]],H3023)</f>
        <v>6698.7599999999993</v>
      </c>
      <c r="J3023" t="s">
        <v>5044</v>
      </c>
      <c r="K3023" t="s">
        <v>5047</v>
      </c>
      <c r="L3023" t="s">
        <v>5052</v>
      </c>
      <c r="M3023" t="s">
        <v>5055</v>
      </c>
    </row>
    <row r="3024" spans="1:13" x14ac:dyDescent="0.3">
      <c r="A3024" s="1">
        <v>45377</v>
      </c>
      <c r="B3024" s="1" t="str">
        <f>TEXT(Tabla1[[#This Row],[Fecha]],"MMMM")</f>
        <v>marzo</v>
      </c>
      <c r="C3024" t="s">
        <v>3034</v>
      </c>
      <c r="D3024" t="s">
        <v>5030</v>
      </c>
      <c r="E3024" t="s">
        <v>5033</v>
      </c>
      <c r="F3024" t="s">
        <v>5037</v>
      </c>
      <c r="G3024" s="3">
        <v>302.97000000000003</v>
      </c>
      <c r="H3024" s="3">
        <v>39.39</v>
      </c>
      <c r="I3024" s="3">
        <f>SUM(Tabla1[[#This Row],[Monto_Base]],H3024)</f>
        <v>342.36</v>
      </c>
      <c r="J3024" t="s">
        <v>5043</v>
      </c>
      <c r="K3024" t="s">
        <v>5048</v>
      </c>
      <c r="L3024" t="s">
        <v>5051</v>
      </c>
      <c r="M3024" t="s">
        <v>5054</v>
      </c>
    </row>
    <row r="3025" spans="1:13" x14ac:dyDescent="0.3">
      <c r="A3025" s="1">
        <v>45495</v>
      </c>
      <c r="B3025" s="1" t="str">
        <f>TEXT(Tabla1[[#This Row],[Fecha]],"MMMM")</f>
        <v>julio</v>
      </c>
      <c r="C3025" t="s">
        <v>3035</v>
      </c>
      <c r="D3025" t="s">
        <v>5023</v>
      </c>
      <c r="E3025" t="s">
        <v>5033</v>
      </c>
      <c r="F3025" t="s">
        <v>5040</v>
      </c>
      <c r="G3025" s="3">
        <v>7359.21</v>
      </c>
      <c r="H3025" s="3">
        <v>956.7</v>
      </c>
      <c r="I3025" s="3">
        <f>SUM(Tabla1[[#This Row],[Monto_Base]],H3025)</f>
        <v>8315.91</v>
      </c>
      <c r="J3025" t="s">
        <v>5046</v>
      </c>
      <c r="K3025" t="s">
        <v>5047</v>
      </c>
      <c r="L3025" t="s">
        <v>5053</v>
      </c>
      <c r="M3025" t="s">
        <v>5054</v>
      </c>
    </row>
    <row r="3026" spans="1:13" x14ac:dyDescent="0.3">
      <c r="A3026" s="1">
        <v>45340</v>
      </c>
      <c r="B3026" s="1" t="str">
        <f>TEXT(Tabla1[[#This Row],[Fecha]],"MMMM")</f>
        <v>febrero</v>
      </c>
      <c r="C3026" t="s">
        <v>3036</v>
      </c>
      <c r="D3026" t="s">
        <v>5023</v>
      </c>
      <c r="E3026" t="s">
        <v>5032</v>
      </c>
      <c r="F3026" t="s">
        <v>5040</v>
      </c>
      <c r="G3026" s="3">
        <v>4465.07</v>
      </c>
      <c r="H3026" s="3">
        <v>0</v>
      </c>
      <c r="I3026" s="3">
        <f>SUM(Tabla1[[#This Row],[Monto_Base]],H3026)</f>
        <v>4465.07</v>
      </c>
      <c r="J3026" t="s">
        <v>5046</v>
      </c>
      <c r="K3026" t="s">
        <v>5048</v>
      </c>
      <c r="L3026" t="s">
        <v>5052</v>
      </c>
      <c r="M3026" t="s">
        <v>5055</v>
      </c>
    </row>
    <row r="3027" spans="1:13" x14ac:dyDescent="0.3">
      <c r="A3027" s="1">
        <v>45517</v>
      </c>
      <c r="B3027" s="1" t="str">
        <f>TEXT(Tabla1[[#This Row],[Fecha]],"MMMM")</f>
        <v>agosto</v>
      </c>
      <c r="C3027" t="s">
        <v>3037</v>
      </c>
      <c r="D3027" t="s">
        <v>5027</v>
      </c>
      <c r="E3027" t="s">
        <v>5032</v>
      </c>
      <c r="F3027" t="s">
        <v>5035</v>
      </c>
      <c r="G3027" s="3">
        <v>968.42</v>
      </c>
      <c r="H3027" s="3">
        <v>0</v>
      </c>
      <c r="I3027" s="3">
        <f>SUM(Tabla1[[#This Row],[Monto_Base]],H3027)</f>
        <v>968.42</v>
      </c>
      <c r="J3027" t="s">
        <v>5044</v>
      </c>
      <c r="K3027" t="s">
        <v>5049</v>
      </c>
      <c r="L3027" t="s">
        <v>5050</v>
      </c>
      <c r="M3027" t="s">
        <v>5055</v>
      </c>
    </row>
    <row r="3028" spans="1:13" x14ac:dyDescent="0.3">
      <c r="A3028" s="1">
        <v>45556</v>
      </c>
      <c r="B3028" s="1" t="str">
        <f>TEXT(Tabla1[[#This Row],[Fecha]],"MMMM")</f>
        <v>septiembre</v>
      </c>
      <c r="C3028" t="s">
        <v>3038</v>
      </c>
      <c r="D3028" t="s">
        <v>5016</v>
      </c>
      <c r="E3028" t="s">
        <v>5032</v>
      </c>
      <c r="F3028" t="s">
        <v>5038</v>
      </c>
      <c r="G3028" s="3">
        <v>7656.05</v>
      </c>
      <c r="H3028" s="3">
        <v>0</v>
      </c>
      <c r="I3028" s="3">
        <f>SUM(Tabla1[[#This Row],[Monto_Base]],H3028)</f>
        <v>7656.05</v>
      </c>
      <c r="J3028" t="s">
        <v>5045</v>
      </c>
      <c r="K3028" t="s">
        <v>5048</v>
      </c>
      <c r="L3028" t="s">
        <v>5053</v>
      </c>
      <c r="M3028" t="s">
        <v>5054</v>
      </c>
    </row>
    <row r="3029" spans="1:13" x14ac:dyDescent="0.3">
      <c r="A3029" s="1">
        <v>45525</v>
      </c>
      <c r="B3029" s="1" t="str">
        <f>TEXT(Tabla1[[#This Row],[Fecha]],"MMMM")</f>
        <v>agosto</v>
      </c>
      <c r="C3029" t="s">
        <v>3039</v>
      </c>
      <c r="D3029" t="s">
        <v>5030</v>
      </c>
      <c r="E3029" t="s">
        <v>5033</v>
      </c>
      <c r="F3029" t="s">
        <v>5035</v>
      </c>
      <c r="G3029" s="3">
        <v>13824.23</v>
      </c>
      <c r="H3029" s="3">
        <v>1797.15</v>
      </c>
      <c r="I3029" s="3">
        <f>SUM(Tabla1[[#This Row],[Monto_Base]],H3029)</f>
        <v>15621.38</v>
      </c>
      <c r="J3029" t="s">
        <v>5043</v>
      </c>
      <c r="K3029" t="s">
        <v>5047</v>
      </c>
      <c r="L3029" t="s">
        <v>5053</v>
      </c>
      <c r="M3029" t="s">
        <v>5055</v>
      </c>
    </row>
    <row r="3030" spans="1:13" x14ac:dyDescent="0.3">
      <c r="A3030" s="1">
        <v>45450</v>
      </c>
      <c r="B3030" s="1" t="str">
        <f>TEXT(Tabla1[[#This Row],[Fecha]],"MMMM")</f>
        <v>junio</v>
      </c>
      <c r="C3030" t="s">
        <v>3040</v>
      </c>
      <c r="D3030" t="s">
        <v>5024</v>
      </c>
      <c r="E3030" t="s">
        <v>5032</v>
      </c>
      <c r="F3030" t="s">
        <v>5040</v>
      </c>
      <c r="G3030" s="3">
        <v>8633.1200000000008</v>
      </c>
      <c r="H3030" s="3">
        <v>0</v>
      </c>
      <c r="I3030" s="3">
        <f>SUM(Tabla1[[#This Row],[Monto_Base]],H3030)</f>
        <v>8633.1200000000008</v>
      </c>
      <c r="J3030" t="s">
        <v>5042</v>
      </c>
      <c r="K3030" t="s">
        <v>5047</v>
      </c>
      <c r="L3030" t="s">
        <v>5052</v>
      </c>
      <c r="M3030" t="s">
        <v>5054</v>
      </c>
    </row>
    <row r="3031" spans="1:13" x14ac:dyDescent="0.3">
      <c r="A3031" s="1">
        <v>45329</v>
      </c>
      <c r="B3031" s="1" t="str">
        <f>TEXT(Tabla1[[#This Row],[Fecha]],"MMMM")</f>
        <v>febrero</v>
      </c>
      <c r="C3031" t="s">
        <v>3041</v>
      </c>
      <c r="D3031" t="s">
        <v>5016</v>
      </c>
      <c r="E3031" t="s">
        <v>5033</v>
      </c>
      <c r="F3031" t="s">
        <v>5036</v>
      </c>
      <c r="G3031" s="3">
        <v>13977.08</v>
      </c>
      <c r="H3031" s="3">
        <v>1817.02</v>
      </c>
      <c r="I3031" s="3">
        <f>SUM(Tabla1[[#This Row],[Monto_Base]],H3031)</f>
        <v>15794.1</v>
      </c>
      <c r="J3031" t="s">
        <v>5043</v>
      </c>
      <c r="K3031" t="s">
        <v>5047</v>
      </c>
      <c r="L3031" t="s">
        <v>5050</v>
      </c>
      <c r="M3031" t="s">
        <v>5054</v>
      </c>
    </row>
    <row r="3032" spans="1:13" x14ac:dyDescent="0.3">
      <c r="A3032" s="1">
        <v>45429</v>
      </c>
      <c r="B3032" s="1" t="str">
        <f>TEXT(Tabla1[[#This Row],[Fecha]],"MMMM")</f>
        <v>mayo</v>
      </c>
      <c r="C3032" t="s">
        <v>3042</v>
      </c>
      <c r="D3032" t="s">
        <v>5021</v>
      </c>
      <c r="E3032" t="s">
        <v>5033</v>
      </c>
      <c r="F3032" t="s">
        <v>5039</v>
      </c>
      <c r="G3032" s="3">
        <v>13832.61</v>
      </c>
      <c r="H3032" s="3">
        <v>1798.24</v>
      </c>
      <c r="I3032" s="3">
        <f>SUM(Tabla1[[#This Row],[Monto_Base]],H3032)</f>
        <v>15630.85</v>
      </c>
      <c r="J3032" t="s">
        <v>5044</v>
      </c>
      <c r="K3032" t="s">
        <v>5048</v>
      </c>
      <c r="L3032" t="s">
        <v>5053</v>
      </c>
      <c r="M3032" t="s">
        <v>5055</v>
      </c>
    </row>
    <row r="3033" spans="1:13" x14ac:dyDescent="0.3">
      <c r="A3033" s="1">
        <v>45410</v>
      </c>
      <c r="B3033" s="1" t="str">
        <f>TEXT(Tabla1[[#This Row],[Fecha]],"MMMM")</f>
        <v>abril</v>
      </c>
      <c r="C3033" t="s">
        <v>3043</v>
      </c>
      <c r="D3033" t="s">
        <v>5014</v>
      </c>
      <c r="E3033" t="s">
        <v>5032</v>
      </c>
      <c r="F3033" t="s">
        <v>5041</v>
      </c>
      <c r="G3033" s="3">
        <v>4225.78</v>
      </c>
      <c r="H3033" s="3">
        <v>0</v>
      </c>
      <c r="I3033" s="3">
        <f>SUM(Tabla1[[#This Row],[Monto_Base]],H3033)</f>
        <v>4225.78</v>
      </c>
      <c r="J3033" t="s">
        <v>5046</v>
      </c>
      <c r="K3033" t="s">
        <v>5049</v>
      </c>
      <c r="L3033" t="s">
        <v>5051</v>
      </c>
      <c r="M3033" t="s">
        <v>5055</v>
      </c>
    </row>
    <row r="3034" spans="1:13" x14ac:dyDescent="0.3">
      <c r="A3034" s="1">
        <v>45347</v>
      </c>
      <c r="B3034" s="1" t="str">
        <f>TEXT(Tabla1[[#This Row],[Fecha]],"MMMM")</f>
        <v>febrero</v>
      </c>
      <c r="C3034" t="s">
        <v>3044</v>
      </c>
      <c r="D3034" t="s">
        <v>5020</v>
      </c>
      <c r="E3034" t="s">
        <v>5033</v>
      </c>
      <c r="F3034" t="s">
        <v>5034</v>
      </c>
      <c r="G3034" s="3">
        <v>8534.83</v>
      </c>
      <c r="H3034" s="3">
        <v>1109.53</v>
      </c>
      <c r="I3034" s="3">
        <f>SUM(Tabla1[[#This Row],[Monto_Base]],H3034)</f>
        <v>9644.36</v>
      </c>
      <c r="J3034" t="s">
        <v>5043</v>
      </c>
      <c r="K3034" t="s">
        <v>5049</v>
      </c>
      <c r="L3034" t="s">
        <v>5053</v>
      </c>
      <c r="M3034" t="s">
        <v>5054</v>
      </c>
    </row>
    <row r="3035" spans="1:13" x14ac:dyDescent="0.3">
      <c r="A3035" s="1">
        <v>45320</v>
      </c>
      <c r="B3035" s="1" t="str">
        <f>TEXT(Tabla1[[#This Row],[Fecha]],"MMMM")</f>
        <v>enero</v>
      </c>
      <c r="C3035" t="s">
        <v>3045</v>
      </c>
      <c r="D3035" t="s">
        <v>5015</v>
      </c>
      <c r="E3035" t="s">
        <v>5033</v>
      </c>
      <c r="F3035" t="s">
        <v>5035</v>
      </c>
      <c r="G3035" s="3">
        <v>13152.69</v>
      </c>
      <c r="H3035" s="3">
        <v>1709.85</v>
      </c>
      <c r="I3035" s="3">
        <f>SUM(Tabla1[[#This Row],[Monto_Base]],H3035)</f>
        <v>14862.54</v>
      </c>
      <c r="J3035" t="s">
        <v>5044</v>
      </c>
      <c r="K3035" t="s">
        <v>5049</v>
      </c>
      <c r="L3035" t="s">
        <v>5052</v>
      </c>
      <c r="M3035" t="s">
        <v>5055</v>
      </c>
    </row>
    <row r="3036" spans="1:13" x14ac:dyDescent="0.3">
      <c r="A3036" s="1">
        <v>45606</v>
      </c>
      <c r="B3036" s="1" t="str">
        <f>TEXT(Tabla1[[#This Row],[Fecha]],"MMMM")</f>
        <v>noviembre</v>
      </c>
      <c r="C3036" t="s">
        <v>3046</v>
      </c>
      <c r="D3036" t="s">
        <v>5020</v>
      </c>
      <c r="E3036" t="s">
        <v>5033</v>
      </c>
      <c r="F3036" t="s">
        <v>5037</v>
      </c>
      <c r="G3036" s="3">
        <v>10778.61</v>
      </c>
      <c r="H3036" s="3">
        <v>1401.22</v>
      </c>
      <c r="I3036" s="3">
        <f>SUM(Tabla1[[#This Row],[Monto_Base]],H3036)</f>
        <v>12179.83</v>
      </c>
      <c r="J3036" t="s">
        <v>5043</v>
      </c>
      <c r="K3036" t="s">
        <v>5049</v>
      </c>
      <c r="L3036" t="s">
        <v>5050</v>
      </c>
      <c r="M3036" t="s">
        <v>5054</v>
      </c>
    </row>
    <row r="3037" spans="1:13" x14ac:dyDescent="0.3">
      <c r="A3037" s="1">
        <v>45647</v>
      </c>
      <c r="B3037" s="1" t="str">
        <f>TEXT(Tabla1[[#This Row],[Fecha]],"MMMM")</f>
        <v>diciembre</v>
      </c>
      <c r="C3037" t="s">
        <v>3047</v>
      </c>
      <c r="D3037" t="s">
        <v>5018</v>
      </c>
      <c r="E3037" t="s">
        <v>5033</v>
      </c>
      <c r="F3037" t="s">
        <v>5038</v>
      </c>
      <c r="G3037" s="3">
        <v>11462.06</v>
      </c>
      <c r="H3037" s="3">
        <v>1490.07</v>
      </c>
      <c r="I3037" s="3">
        <f>SUM(Tabla1[[#This Row],[Monto_Base]],H3037)</f>
        <v>12952.13</v>
      </c>
      <c r="J3037" t="s">
        <v>5046</v>
      </c>
      <c r="K3037" t="s">
        <v>5048</v>
      </c>
      <c r="L3037" t="s">
        <v>5050</v>
      </c>
      <c r="M3037" t="s">
        <v>5054</v>
      </c>
    </row>
    <row r="3038" spans="1:13" x14ac:dyDescent="0.3">
      <c r="A3038" s="1">
        <v>45630</v>
      </c>
      <c r="B3038" s="1" t="str">
        <f>TEXT(Tabla1[[#This Row],[Fecha]],"MMMM")</f>
        <v>diciembre</v>
      </c>
      <c r="C3038" t="s">
        <v>3048</v>
      </c>
      <c r="D3038" t="s">
        <v>5023</v>
      </c>
      <c r="E3038" t="s">
        <v>5032</v>
      </c>
      <c r="F3038" t="s">
        <v>5037</v>
      </c>
      <c r="G3038" s="3">
        <v>12874.45</v>
      </c>
      <c r="H3038" s="3">
        <v>0</v>
      </c>
      <c r="I3038" s="3">
        <f>SUM(Tabla1[[#This Row],[Monto_Base]],H3038)</f>
        <v>12874.45</v>
      </c>
      <c r="J3038" t="s">
        <v>5046</v>
      </c>
      <c r="K3038" t="s">
        <v>5049</v>
      </c>
      <c r="L3038" t="s">
        <v>5052</v>
      </c>
      <c r="M3038" t="s">
        <v>5055</v>
      </c>
    </row>
    <row r="3039" spans="1:13" x14ac:dyDescent="0.3">
      <c r="A3039" s="1">
        <v>45332</v>
      </c>
      <c r="B3039" s="1" t="str">
        <f>TEXT(Tabla1[[#This Row],[Fecha]],"MMMM")</f>
        <v>febrero</v>
      </c>
      <c r="C3039" t="s">
        <v>3049</v>
      </c>
      <c r="D3039" t="s">
        <v>5016</v>
      </c>
      <c r="E3039" t="s">
        <v>5032</v>
      </c>
      <c r="F3039" t="s">
        <v>5036</v>
      </c>
      <c r="G3039" s="3">
        <v>3948.58</v>
      </c>
      <c r="H3039" s="3">
        <v>0</v>
      </c>
      <c r="I3039" s="3">
        <f>SUM(Tabla1[[#This Row],[Monto_Base]],H3039)</f>
        <v>3948.58</v>
      </c>
      <c r="J3039" t="s">
        <v>5046</v>
      </c>
      <c r="K3039" t="s">
        <v>5048</v>
      </c>
      <c r="L3039" t="s">
        <v>5052</v>
      </c>
      <c r="M3039" t="s">
        <v>5054</v>
      </c>
    </row>
    <row r="3040" spans="1:13" x14ac:dyDescent="0.3">
      <c r="A3040" s="1">
        <v>45512</v>
      </c>
      <c r="B3040" s="1" t="str">
        <f>TEXT(Tabla1[[#This Row],[Fecha]],"MMMM")</f>
        <v>agosto</v>
      </c>
      <c r="C3040" t="s">
        <v>3050</v>
      </c>
      <c r="D3040" t="s">
        <v>5014</v>
      </c>
      <c r="E3040" t="s">
        <v>5032</v>
      </c>
      <c r="F3040" t="s">
        <v>5041</v>
      </c>
      <c r="G3040" s="3">
        <v>14061.52</v>
      </c>
      <c r="H3040" s="3">
        <v>0</v>
      </c>
      <c r="I3040" s="3">
        <f>SUM(Tabla1[[#This Row],[Monto_Base]],H3040)</f>
        <v>14061.52</v>
      </c>
      <c r="J3040" t="s">
        <v>5045</v>
      </c>
      <c r="K3040" t="s">
        <v>5048</v>
      </c>
      <c r="L3040" t="s">
        <v>5051</v>
      </c>
      <c r="M3040" t="s">
        <v>5054</v>
      </c>
    </row>
    <row r="3041" spans="1:13" x14ac:dyDescent="0.3">
      <c r="A3041" s="1">
        <v>45352</v>
      </c>
      <c r="B3041" s="1" t="str">
        <f>TEXT(Tabla1[[#This Row],[Fecha]],"MMMM")</f>
        <v>marzo</v>
      </c>
      <c r="C3041" t="s">
        <v>3051</v>
      </c>
      <c r="D3041" t="s">
        <v>5024</v>
      </c>
      <c r="E3041" t="s">
        <v>5032</v>
      </c>
      <c r="F3041" t="s">
        <v>5041</v>
      </c>
      <c r="G3041" s="3">
        <v>9132.5</v>
      </c>
      <c r="H3041" s="3">
        <v>0</v>
      </c>
      <c r="I3041" s="3">
        <f>SUM(Tabla1[[#This Row],[Monto_Base]],H3041)</f>
        <v>9132.5</v>
      </c>
      <c r="J3041" t="s">
        <v>5045</v>
      </c>
      <c r="K3041" t="s">
        <v>5048</v>
      </c>
      <c r="L3041" t="s">
        <v>5052</v>
      </c>
      <c r="M3041" t="s">
        <v>5055</v>
      </c>
    </row>
    <row r="3042" spans="1:13" x14ac:dyDescent="0.3">
      <c r="A3042" s="1">
        <v>45493</v>
      </c>
      <c r="B3042" s="1" t="str">
        <f>TEXT(Tabla1[[#This Row],[Fecha]],"MMMM")</f>
        <v>julio</v>
      </c>
      <c r="C3042" t="s">
        <v>3052</v>
      </c>
      <c r="D3042" t="s">
        <v>5027</v>
      </c>
      <c r="E3042" t="s">
        <v>5033</v>
      </c>
      <c r="F3042" t="s">
        <v>5040</v>
      </c>
      <c r="G3042" s="3">
        <v>11264.22</v>
      </c>
      <c r="H3042" s="3">
        <v>1464.35</v>
      </c>
      <c r="I3042" s="3">
        <f>SUM(Tabla1[[#This Row],[Monto_Base]],H3042)</f>
        <v>12728.57</v>
      </c>
      <c r="J3042" t="s">
        <v>5044</v>
      </c>
      <c r="K3042" t="s">
        <v>5048</v>
      </c>
      <c r="L3042" t="s">
        <v>5052</v>
      </c>
      <c r="M3042" t="s">
        <v>5055</v>
      </c>
    </row>
    <row r="3043" spans="1:13" x14ac:dyDescent="0.3">
      <c r="A3043" s="1">
        <v>45294</v>
      </c>
      <c r="B3043" s="1" t="str">
        <f>TEXT(Tabla1[[#This Row],[Fecha]],"MMMM")</f>
        <v>enero</v>
      </c>
      <c r="C3043" t="s">
        <v>3053</v>
      </c>
      <c r="D3043" t="s">
        <v>5013</v>
      </c>
      <c r="E3043" t="s">
        <v>5032</v>
      </c>
      <c r="F3043" t="s">
        <v>5040</v>
      </c>
      <c r="G3043" s="3">
        <v>5441.26</v>
      </c>
      <c r="H3043" s="3">
        <v>0</v>
      </c>
      <c r="I3043" s="3">
        <f>SUM(Tabla1[[#This Row],[Monto_Base]],H3043)</f>
        <v>5441.26</v>
      </c>
      <c r="J3043" t="s">
        <v>5046</v>
      </c>
      <c r="K3043" t="s">
        <v>5049</v>
      </c>
      <c r="L3043" t="s">
        <v>5052</v>
      </c>
      <c r="M3043" t="s">
        <v>5055</v>
      </c>
    </row>
    <row r="3044" spans="1:13" x14ac:dyDescent="0.3">
      <c r="A3044" s="1">
        <v>45590</v>
      </c>
      <c r="B3044" s="1" t="str">
        <f>TEXT(Tabla1[[#This Row],[Fecha]],"MMMM")</f>
        <v>octubre</v>
      </c>
      <c r="C3044" t="s">
        <v>3054</v>
      </c>
      <c r="D3044" t="s">
        <v>5018</v>
      </c>
      <c r="E3044" t="s">
        <v>5033</v>
      </c>
      <c r="F3044" t="s">
        <v>5037</v>
      </c>
      <c r="G3044" s="3">
        <v>5993.11</v>
      </c>
      <c r="H3044" s="3">
        <v>779.1</v>
      </c>
      <c r="I3044" s="3">
        <f>SUM(Tabla1[[#This Row],[Monto_Base]],H3044)</f>
        <v>6772.21</v>
      </c>
      <c r="J3044" t="s">
        <v>5046</v>
      </c>
      <c r="K3044" t="s">
        <v>5048</v>
      </c>
      <c r="L3044" t="s">
        <v>5051</v>
      </c>
      <c r="M3044" t="s">
        <v>5054</v>
      </c>
    </row>
    <row r="3045" spans="1:13" x14ac:dyDescent="0.3">
      <c r="A3045" s="1">
        <v>45319</v>
      </c>
      <c r="B3045" s="1" t="str">
        <f>TEXT(Tabla1[[#This Row],[Fecha]],"MMMM")</f>
        <v>enero</v>
      </c>
      <c r="C3045" t="s">
        <v>3055</v>
      </c>
      <c r="D3045" t="s">
        <v>5015</v>
      </c>
      <c r="E3045" t="s">
        <v>5033</v>
      </c>
      <c r="F3045" t="s">
        <v>5039</v>
      </c>
      <c r="G3045" s="3">
        <v>5871.98</v>
      </c>
      <c r="H3045" s="3">
        <v>763.36</v>
      </c>
      <c r="I3045" s="3">
        <f>SUM(Tabla1[[#This Row],[Monto_Base]],H3045)</f>
        <v>6635.3399999999992</v>
      </c>
      <c r="J3045" t="s">
        <v>5045</v>
      </c>
      <c r="K3045" t="s">
        <v>5047</v>
      </c>
      <c r="L3045" t="s">
        <v>5053</v>
      </c>
      <c r="M3045" t="s">
        <v>5054</v>
      </c>
    </row>
    <row r="3046" spans="1:13" x14ac:dyDescent="0.3">
      <c r="A3046" s="1">
        <v>45328</v>
      </c>
      <c r="B3046" s="1" t="str">
        <f>TEXT(Tabla1[[#This Row],[Fecha]],"MMMM")</f>
        <v>febrero</v>
      </c>
      <c r="C3046" t="s">
        <v>3056</v>
      </c>
      <c r="D3046" t="s">
        <v>5013</v>
      </c>
      <c r="E3046" t="s">
        <v>5032</v>
      </c>
      <c r="F3046" t="s">
        <v>5037</v>
      </c>
      <c r="G3046" s="3">
        <v>1153.3</v>
      </c>
      <c r="H3046" s="3">
        <v>0</v>
      </c>
      <c r="I3046" s="3">
        <f>SUM(Tabla1[[#This Row],[Monto_Base]],H3046)</f>
        <v>1153.3</v>
      </c>
      <c r="J3046" t="s">
        <v>5042</v>
      </c>
      <c r="K3046" t="s">
        <v>5048</v>
      </c>
      <c r="L3046" t="s">
        <v>5052</v>
      </c>
      <c r="M3046" t="s">
        <v>5055</v>
      </c>
    </row>
    <row r="3047" spans="1:13" x14ac:dyDescent="0.3">
      <c r="A3047" s="1">
        <v>45410</v>
      </c>
      <c r="B3047" s="1" t="str">
        <f>TEXT(Tabla1[[#This Row],[Fecha]],"MMMM")</f>
        <v>abril</v>
      </c>
      <c r="C3047" t="s">
        <v>3057</v>
      </c>
      <c r="D3047" t="s">
        <v>5014</v>
      </c>
      <c r="E3047" t="s">
        <v>5033</v>
      </c>
      <c r="F3047" t="s">
        <v>5039</v>
      </c>
      <c r="G3047" s="3">
        <v>14216</v>
      </c>
      <c r="H3047" s="3">
        <v>1848.08</v>
      </c>
      <c r="I3047" s="3">
        <f>SUM(Tabla1[[#This Row],[Monto_Base]],H3047)</f>
        <v>16064.08</v>
      </c>
      <c r="J3047" t="s">
        <v>5045</v>
      </c>
      <c r="K3047" t="s">
        <v>5047</v>
      </c>
      <c r="L3047" t="s">
        <v>5052</v>
      </c>
      <c r="M3047" t="s">
        <v>5054</v>
      </c>
    </row>
    <row r="3048" spans="1:13" x14ac:dyDescent="0.3">
      <c r="A3048" s="1">
        <v>45392</v>
      </c>
      <c r="B3048" s="1" t="str">
        <f>TEXT(Tabla1[[#This Row],[Fecha]],"MMMM")</f>
        <v>abril</v>
      </c>
      <c r="C3048" t="s">
        <v>3058</v>
      </c>
      <c r="D3048" t="s">
        <v>5019</v>
      </c>
      <c r="E3048" t="s">
        <v>5033</v>
      </c>
      <c r="F3048" t="s">
        <v>5037</v>
      </c>
      <c r="G3048" s="3">
        <v>7197.17</v>
      </c>
      <c r="H3048" s="3">
        <v>935.63</v>
      </c>
      <c r="I3048" s="3">
        <f>SUM(Tabla1[[#This Row],[Monto_Base]],H3048)</f>
        <v>8132.8</v>
      </c>
      <c r="J3048" t="s">
        <v>5046</v>
      </c>
      <c r="K3048" t="s">
        <v>5047</v>
      </c>
      <c r="L3048" t="s">
        <v>5053</v>
      </c>
      <c r="M3048" t="s">
        <v>5055</v>
      </c>
    </row>
    <row r="3049" spans="1:13" x14ac:dyDescent="0.3">
      <c r="A3049" s="1">
        <v>45530</v>
      </c>
      <c r="B3049" s="1" t="str">
        <f>TEXT(Tabla1[[#This Row],[Fecha]],"MMMM")</f>
        <v>agosto</v>
      </c>
      <c r="C3049" t="s">
        <v>3059</v>
      </c>
      <c r="D3049" t="s">
        <v>5016</v>
      </c>
      <c r="E3049" t="s">
        <v>5033</v>
      </c>
      <c r="F3049" t="s">
        <v>5041</v>
      </c>
      <c r="G3049" s="3">
        <v>10160.219999999999</v>
      </c>
      <c r="H3049" s="3">
        <v>1320.83</v>
      </c>
      <c r="I3049" s="3">
        <f>SUM(Tabla1[[#This Row],[Monto_Base]],H3049)</f>
        <v>11481.05</v>
      </c>
      <c r="J3049" t="s">
        <v>5046</v>
      </c>
      <c r="K3049" t="s">
        <v>5049</v>
      </c>
      <c r="L3049" t="s">
        <v>5050</v>
      </c>
      <c r="M3049" t="s">
        <v>5055</v>
      </c>
    </row>
    <row r="3050" spans="1:13" x14ac:dyDescent="0.3">
      <c r="A3050" s="1">
        <v>45328</v>
      </c>
      <c r="B3050" s="1" t="str">
        <f>TEXT(Tabla1[[#This Row],[Fecha]],"MMMM")</f>
        <v>febrero</v>
      </c>
      <c r="C3050" t="s">
        <v>3060</v>
      </c>
      <c r="D3050" t="s">
        <v>5019</v>
      </c>
      <c r="E3050" t="s">
        <v>5033</v>
      </c>
      <c r="F3050" t="s">
        <v>5039</v>
      </c>
      <c r="G3050" s="3">
        <v>1940.36</v>
      </c>
      <c r="H3050" s="3">
        <v>252.25</v>
      </c>
      <c r="I3050" s="3">
        <f>SUM(Tabla1[[#This Row],[Monto_Base]],H3050)</f>
        <v>2192.6099999999997</v>
      </c>
      <c r="J3050" t="s">
        <v>5042</v>
      </c>
      <c r="K3050" t="s">
        <v>5049</v>
      </c>
      <c r="L3050" t="s">
        <v>5052</v>
      </c>
      <c r="M3050" t="s">
        <v>5054</v>
      </c>
    </row>
    <row r="3051" spans="1:13" x14ac:dyDescent="0.3">
      <c r="A3051" s="1">
        <v>45495</v>
      </c>
      <c r="B3051" s="1" t="str">
        <f>TEXT(Tabla1[[#This Row],[Fecha]],"MMMM")</f>
        <v>julio</v>
      </c>
      <c r="C3051" t="s">
        <v>3061</v>
      </c>
      <c r="D3051" t="s">
        <v>5027</v>
      </c>
      <c r="E3051" t="s">
        <v>5033</v>
      </c>
      <c r="F3051" t="s">
        <v>5036</v>
      </c>
      <c r="G3051" s="3">
        <v>7917.73</v>
      </c>
      <c r="H3051" s="3">
        <v>1029.3</v>
      </c>
      <c r="I3051" s="3">
        <f>SUM(Tabla1[[#This Row],[Monto_Base]],H3051)</f>
        <v>8947.0299999999988</v>
      </c>
      <c r="J3051" t="s">
        <v>5044</v>
      </c>
      <c r="K3051" t="s">
        <v>5047</v>
      </c>
      <c r="L3051" t="s">
        <v>5050</v>
      </c>
      <c r="M3051" t="s">
        <v>5055</v>
      </c>
    </row>
    <row r="3052" spans="1:13" x14ac:dyDescent="0.3">
      <c r="A3052" s="1">
        <v>45426</v>
      </c>
      <c r="B3052" s="1" t="str">
        <f>TEXT(Tabla1[[#This Row],[Fecha]],"MMMM")</f>
        <v>mayo</v>
      </c>
      <c r="C3052" t="s">
        <v>3062</v>
      </c>
      <c r="D3052" t="s">
        <v>5017</v>
      </c>
      <c r="E3052" t="s">
        <v>5033</v>
      </c>
      <c r="F3052" t="s">
        <v>5039</v>
      </c>
      <c r="G3052" s="3">
        <v>2884.27</v>
      </c>
      <c r="H3052" s="3">
        <v>374.96</v>
      </c>
      <c r="I3052" s="3">
        <f>SUM(Tabla1[[#This Row],[Monto_Base]],H3052)</f>
        <v>3259.23</v>
      </c>
      <c r="J3052" t="s">
        <v>5045</v>
      </c>
      <c r="K3052" t="s">
        <v>5049</v>
      </c>
      <c r="L3052" t="s">
        <v>5050</v>
      </c>
      <c r="M3052" t="s">
        <v>5054</v>
      </c>
    </row>
    <row r="3053" spans="1:13" x14ac:dyDescent="0.3">
      <c r="A3053" s="1">
        <v>45604</v>
      </c>
      <c r="B3053" s="1" t="str">
        <f>TEXT(Tabla1[[#This Row],[Fecha]],"MMMM")</f>
        <v>noviembre</v>
      </c>
      <c r="C3053" t="s">
        <v>3063</v>
      </c>
      <c r="D3053" t="s">
        <v>5016</v>
      </c>
      <c r="E3053" t="s">
        <v>5033</v>
      </c>
      <c r="F3053" t="s">
        <v>5040</v>
      </c>
      <c r="G3053" s="3">
        <v>13700.26</v>
      </c>
      <c r="H3053" s="3">
        <v>1781.03</v>
      </c>
      <c r="I3053" s="3">
        <f>SUM(Tabla1[[#This Row],[Monto_Base]],H3053)</f>
        <v>15481.29</v>
      </c>
      <c r="J3053" t="s">
        <v>5042</v>
      </c>
      <c r="K3053" t="s">
        <v>5047</v>
      </c>
      <c r="L3053" t="s">
        <v>5050</v>
      </c>
      <c r="M3053" t="s">
        <v>5055</v>
      </c>
    </row>
    <row r="3054" spans="1:13" x14ac:dyDescent="0.3">
      <c r="A3054" s="1">
        <v>45587</v>
      </c>
      <c r="B3054" s="1" t="str">
        <f>TEXT(Tabla1[[#This Row],[Fecha]],"MMMM")</f>
        <v>octubre</v>
      </c>
      <c r="C3054" t="s">
        <v>3064</v>
      </c>
      <c r="D3054" t="s">
        <v>5029</v>
      </c>
      <c r="E3054" t="s">
        <v>5033</v>
      </c>
      <c r="F3054" t="s">
        <v>5034</v>
      </c>
      <c r="G3054" s="3">
        <v>2252.7600000000002</v>
      </c>
      <c r="H3054" s="3">
        <v>292.86</v>
      </c>
      <c r="I3054" s="3">
        <f>SUM(Tabla1[[#This Row],[Monto_Base]],H3054)</f>
        <v>2545.6200000000003</v>
      </c>
      <c r="J3054" t="s">
        <v>5045</v>
      </c>
      <c r="K3054" t="s">
        <v>5049</v>
      </c>
      <c r="L3054" t="s">
        <v>5052</v>
      </c>
      <c r="M3054" t="s">
        <v>5054</v>
      </c>
    </row>
    <row r="3055" spans="1:13" x14ac:dyDescent="0.3">
      <c r="A3055" s="1">
        <v>45344</v>
      </c>
      <c r="B3055" s="1" t="str">
        <f>TEXT(Tabla1[[#This Row],[Fecha]],"MMMM")</f>
        <v>febrero</v>
      </c>
      <c r="C3055" t="s">
        <v>3065</v>
      </c>
      <c r="D3055" t="s">
        <v>5028</v>
      </c>
      <c r="E3055" t="s">
        <v>5033</v>
      </c>
      <c r="F3055" t="s">
        <v>5037</v>
      </c>
      <c r="G3055" s="3">
        <v>12085.4</v>
      </c>
      <c r="H3055" s="3">
        <v>1571.1</v>
      </c>
      <c r="I3055" s="3">
        <f>SUM(Tabla1[[#This Row],[Monto_Base]],H3055)</f>
        <v>13656.5</v>
      </c>
      <c r="J3055" t="s">
        <v>5046</v>
      </c>
      <c r="K3055" t="s">
        <v>5048</v>
      </c>
      <c r="L3055" t="s">
        <v>5052</v>
      </c>
      <c r="M3055" t="s">
        <v>5055</v>
      </c>
    </row>
    <row r="3056" spans="1:13" x14ac:dyDescent="0.3">
      <c r="A3056" s="1">
        <v>45452</v>
      </c>
      <c r="B3056" s="1" t="str">
        <f>TEXT(Tabla1[[#This Row],[Fecha]],"MMMM")</f>
        <v>junio</v>
      </c>
      <c r="C3056" t="s">
        <v>3066</v>
      </c>
      <c r="D3056" t="s">
        <v>5014</v>
      </c>
      <c r="E3056" t="s">
        <v>5032</v>
      </c>
      <c r="F3056" t="s">
        <v>5039</v>
      </c>
      <c r="G3056" s="3">
        <v>14047.42</v>
      </c>
      <c r="H3056" s="3">
        <v>0</v>
      </c>
      <c r="I3056" s="3">
        <f>SUM(Tabla1[[#This Row],[Monto_Base]],H3056)</f>
        <v>14047.42</v>
      </c>
      <c r="J3056" t="s">
        <v>5046</v>
      </c>
      <c r="K3056" t="s">
        <v>5049</v>
      </c>
      <c r="L3056" t="s">
        <v>5050</v>
      </c>
      <c r="M3056" t="s">
        <v>5055</v>
      </c>
    </row>
    <row r="3057" spans="1:13" x14ac:dyDescent="0.3">
      <c r="A3057" s="1">
        <v>45614</v>
      </c>
      <c r="B3057" s="1" t="str">
        <f>TEXT(Tabla1[[#This Row],[Fecha]],"MMMM")</f>
        <v>noviembre</v>
      </c>
      <c r="C3057" t="s">
        <v>3067</v>
      </c>
      <c r="D3057" t="s">
        <v>5029</v>
      </c>
      <c r="E3057" t="s">
        <v>5032</v>
      </c>
      <c r="F3057" t="s">
        <v>5034</v>
      </c>
      <c r="G3057" s="3">
        <v>12031.45</v>
      </c>
      <c r="H3057" s="3">
        <v>0</v>
      </c>
      <c r="I3057" s="3">
        <f>SUM(Tabla1[[#This Row],[Monto_Base]],H3057)</f>
        <v>12031.45</v>
      </c>
      <c r="J3057" t="s">
        <v>5043</v>
      </c>
      <c r="K3057" t="s">
        <v>5049</v>
      </c>
      <c r="L3057" t="s">
        <v>5050</v>
      </c>
      <c r="M3057" t="s">
        <v>5054</v>
      </c>
    </row>
    <row r="3058" spans="1:13" x14ac:dyDescent="0.3">
      <c r="A3058" s="1">
        <v>45510</v>
      </c>
      <c r="B3058" s="1" t="str">
        <f>TEXT(Tabla1[[#This Row],[Fecha]],"MMMM")</f>
        <v>agosto</v>
      </c>
      <c r="C3058" t="s">
        <v>3068</v>
      </c>
      <c r="D3058" t="s">
        <v>5013</v>
      </c>
      <c r="E3058" t="s">
        <v>5032</v>
      </c>
      <c r="F3058" t="s">
        <v>5034</v>
      </c>
      <c r="G3058" s="3">
        <v>3350.76</v>
      </c>
      <c r="H3058" s="3">
        <v>0</v>
      </c>
      <c r="I3058" s="3">
        <f>SUM(Tabla1[[#This Row],[Monto_Base]],H3058)</f>
        <v>3350.76</v>
      </c>
      <c r="J3058" t="s">
        <v>5044</v>
      </c>
      <c r="K3058" t="s">
        <v>5047</v>
      </c>
      <c r="L3058" t="s">
        <v>5053</v>
      </c>
      <c r="M3058" t="s">
        <v>5055</v>
      </c>
    </row>
    <row r="3059" spans="1:13" x14ac:dyDescent="0.3">
      <c r="A3059" s="1">
        <v>45470</v>
      </c>
      <c r="B3059" s="1" t="str">
        <f>TEXT(Tabla1[[#This Row],[Fecha]],"MMMM")</f>
        <v>junio</v>
      </c>
      <c r="C3059" t="s">
        <v>3069</v>
      </c>
      <c r="D3059" t="s">
        <v>5025</v>
      </c>
      <c r="E3059" t="s">
        <v>5033</v>
      </c>
      <c r="F3059" t="s">
        <v>5040</v>
      </c>
      <c r="G3059" s="3">
        <v>4793.1000000000004</v>
      </c>
      <c r="H3059" s="3">
        <v>623.1</v>
      </c>
      <c r="I3059" s="3">
        <f>SUM(Tabla1[[#This Row],[Monto_Base]],H3059)</f>
        <v>5416.2000000000007</v>
      </c>
      <c r="J3059" t="s">
        <v>5042</v>
      </c>
      <c r="K3059" t="s">
        <v>5049</v>
      </c>
      <c r="L3059" t="s">
        <v>5053</v>
      </c>
      <c r="M3059" t="s">
        <v>5055</v>
      </c>
    </row>
    <row r="3060" spans="1:13" x14ac:dyDescent="0.3">
      <c r="A3060" s="1">
        <v>45474</v>
      </c>
      <c r="B3060" s="1" t="str">
        <f>TEXT(Tabla1[[#This Row],[Fecha]],"MMMM")</f>
        <v>julio</v>
      </c>
      <c r="C3060" t="s">
        <v>3070</v>
      </c>
      <c r="D3060" t="s">
        <v>5018</v>
      </c>
      <c r="E3060" t="s">
        <v>5032</v>
      </c>
      <c r="F3060" t="s">
        <v>5035</v>
      </c>
      <c r="G3060" s="3">
        <v>2617.37</v>
      </c>
      <c r="H3060" s="3">
        <v>0</v>
      </c>
      <c r="I3060" s="3">
        <f>SUM(Tabla1[[#This Row],[Monto_Base]],H3060)</f>
        <v>2617.37</v>
      </c>
      <c r="J3060" t="s">
        <v>5042</v>
      </c>
      <c r="K3060" t="s">
        <v>5047</v>
      </c>
      <c r="L3060" t="s">
        <v>5052</v>
      </c>
      <c r="M3060" t="s">
        <v>5054</v>
      </c>
    </row>
    <row r="3061" spans="1:13" x14ac:dyDescent="0.3">
      <c r="A3061" s="1">
        <v>45503</v>
      </c>
      <c r="B3061" s="1" t="str">
        <f>TEXT(Tabla1[[#This Row],[Fecha]],"MMMM")</f>
        <v>julio</v>
      </c>
      <c r="C3061" t="s">
        <v>3071</v>
      </c>
      <c r="D3061" t="s">
        <v>5019</v>
      </c>
      <c r="E3061" t="s">
        <v>5033</v>
      </c>
      <c r="F3061" t="s">
        <v>5041</v>
      </c>
      <c r="G3061" s="3">
        <v>2566.0700000000002</v>
      </c>
      <c r="H3061" s="3">
        <v>333.59</v>
      </c>
      <c r="I3061" s="3">
        <f>SUM(Tabla1[[#This Row],[Monto_Base]],H3061)</f>
        <v>2899.6600000000003</v>
      </c>
      <c r="J3061" t="s">
        <v>5046</v>
      </c>
      <c r="K3061" t="s">
        <v>5049</v>
      </c>
      <c r="L3061" t="s">
        <v>5050</v>
      </c>
      <c r="M3061" t="s">
        <v>5055</v>
      </c>
    </row>
    <row r="3062" spans="1:13" x14ac:dyDescent="0.3">
      <c r="A3062" s="1">
        <v>45444</v>
      </c>
      <c r="B3062" s="1" t="str">
        <f>TEXT(Tabla1[[#This Row],[Fecha]],"MMMM")</f>
        <v>junio</v>
      </c>
      <c r="C3062" t="s">
        <v>3072</v>
      </c>
      <c r="D3062" t="s">
        <v>5017</v>
      </c>
      <c r="E3062" t="s">
        <v>5033</v>
      </c>
      <c r="F3062" t="s">
        <v>5034</v>
      </c>
      <c r="G3062" s="3">
        <v>4893.8100000000004</v>
      </c>
      <c r="H3062" s="3">
        <v>636.20000000000005</v>
      </c>
      <c r="I3062" s="3">
        <f>SUM(Tabla1[[#This Row],[Monto_Base]],H3062)</f>
        <v>5530.01</v>
      </c>
      <c r="J3062" t="s">
        <v>5045</v>
      </c>
      <c r="K3062" t="s">
        <v>5049</v>
      </c>
      <c r="L3062" t="s">
        <v>5053</v>
      </c>
      <c r="M3062" t="s">
        <v>5054</v>
      </c>
    </row>
    <row r="3063" spans="1:13" x14ac:dyDescent="0.3">
      <c r="A3063" s="1">
        <v>45525</v>
      </c>
      <c r="B3063" s="1" t="str">
        <f>TEXT(Tabla1[[#This Row],[Fecha]],"MMMM")</f>
        <v>agosto</v>
      </c>
      <c r="C3063" t="s">
        <v>3073</v>
      </c>
      <c r="D3063" t="s">
        <v>5020</v>
      </c>
      <c r="E3063" t="s">
        <v>5032</v>
      </c>
      <c r="F3063" t="s">
        <v>5041</v>
      </c>
      <c r="G3063" s="3">
        <v>11554.95</v>
      </c>
      <c r="H3063" s="3">
        <v>0</v>
      </c>
      <c r="I3063" s="3">
        <f>SUM(Tabla1[[#This Row],[Monto_Base]],H3063)</f>
        <v>11554.95</v>
      </c>
      <c r="J3063" t="s">
        <v>5042</v>
      </c>
      <c r="K3063" t="s">
        <v>5047</v>
      </c>
      <c r="L3063" t="s">
        <v>5051</v>
      </c>
      <c r="M3063" t="s">
        <v>5055</v>
      </c>
    </row>
    <row r="3064" spans="1:13" x14ac:dyDescent="0.3">
      <c r="A3064" s="1">
        <v>45523</v>
      </c>
      <c r="B3064" s="1" t="str">
        <f>TEXT(Tabla1[[#This Row],[Fecha]],"MMMM")</f>
        <v>agosto</v>
      </c>
      <c r="C3064" t="s">
        <v>3074</v>
      </c>
      <c r="D3064" t="s">
        <v>5020</v>
      </c>
      <c r="E3064" t="s">
        <v>5033</v>
      </c>
      <c r="F3064" t="s">
        <v>5039</v>
      </c>
      <c r="G3064" s="3">
        <v>3860.1</v>
      </c>
      <c r="H3064" s="3">
        <v>501.81</v>
      </c>
      <c r="I3064" s="3">
        <f>SUM(Tabla1[[#This Row],[Monto_Base]],H3064)</f>
        <v>4361.91</v>
      </c>
      <c r="J3064" t="s">
        <v>5044</v>
      </c>
      <c r="K3064" t="s">
        <v>5049</v>
      </c>
      <c r="L3064" t="s">
        <v>5053</v>
      </c>
      <c r="M3064" t="s">
        <v>5054</v>
      </c>
    </row>
    <row r="3065" spans="1:13" x14ac:dyDescent="0.3">
      <c r="A3065" s="1">
        <v>45525</v>
      </c>
      <c r="B3065" s="1" t="str">
        <f>TEXT(Tabla1[[#This Row],[Fecha]],"MMMM")</f>
        <v>agosto</v>
      </c>
      <c r="C3065" t="s">
        <v>3075</v>
      </c>
      <c r="D3065" t="s">
        <v>5018</v>
      </c>
      <c r="E3065" t="s">
        <v>5033</v>
      </c>
      <c r="F3065" t="s">
        <v>5037</v>
      </c>
      <c r="G3065" s="3">
        <v>14449.47</v>
      </c>
      <c r="H3065" s="3">
        <v>1878.43</v>
      </c>
      <c r="I3065" s="3">
        <f>SUM(Tabla1[[#This Row],[Monto_Base]],H3065)</f>
        <v>16327.9</v>
      </c>
      <c r="J3065" t="s">
        <v>5045</v>
      </c>
      <c r="K3065" t="s">
        <v>5047</v>
      </c>
      <c r="L3065" t="s">
        <v>5050</v>
      </c>
      <c r="M3065" t="s">
        <v>5054</v>
      </c>
    </row>
    <row r="3066" spans="1:13" x14ac:dyDescent="0.3">
      <c r="A3066" s="1">
        <v>45374</v>
      </c>
      <c r="B3066" s="1" t="str">
        <f>TEXT(Tabla1[[#This Row],[Fecha]],"MMMM")</f>
        <v>marzo</v>
      </c>
      <c r="C3066" t="s">
        <v>3076</v>
      </c>
      <c r="D3066" t="s">
        <v>5019</v>
      </c>
      <c r="E3066" t="s">
        <v>5032</v>
      </c>
      <c r="F3066" t="s">
        <v>5037</v>
      </c>
      <c r="G3066" s="3">
        <v>1605.89</v>
      </c>
      <c r="H3066" s="3">
        <v>0</v>
      </c>
      <c r="I3066" s="3">
        <f>SUM(Tabla1[[#This Row],[Monto_Base]],H3066)</f>
        <v>1605.89</v>
      </c>
      <c r="J3066" t="s">
        <v>5044</v>
      </c>
      <c r="K3066" t="s">
        <v>5049</v>
      </c>
      <c r="L3066" t="s">
        <v>5051</v>
      </c>
      <c r="M3066" t="s">
        <v>5054</v>
      </c>
    </row>
    <row r="3067" spans="1:13" x14ac:dyDescent="0.3">
      <c r="A3067" s="1">
        <v>45477</v>
      </c>
      <c r="B3067" s="1" t="str">
        <f>TEXT(Tabla1[[#This Row],[Fecha]],"MMMM")</f>
        <v>julio</v>
      </c>
      <c r="C3067" t="s">
        <v>3077</v>
      </c>
      <c r="D3067" t="s">
        <v>5017</v>
      </c>
      <c r="E3067" t="s">
        <v>5033</v>
      </c>
      <c r="F3067" t="s">
        <v>5035</v>
      </c>
      <c r="G3067" s="3">
        <v>8168.45</v>
      </c>
      <c r="H3067" s="3">
        <v>1061.9000000000001</v>
      </c>
      <c r="I3067" s="3">
        <f>SUM(Tabla1[[#This Row],[Monto_Base]],H3067)</f>
        <v>9230.35</v>
      </c>
      <c r="J3067" t="s">
        <v>5043</v>
      </c>
      <c r="K3067" t="s">
        <v>5047</v>
      </c>
      <c r="L3067" t="s">
        <v>5053</v>
      </c>
      <c r="M3067" t="s">
        <v>5054</v>
      </c>
    </row>
    <row r="3068" spans="1:13" x14ac:dyDescent="0.3">
      <c r="A3068" s="1">
        <v>45379</v>
      </c>
      <c r="B3068" s="1" t="str">
        <f>TEXT(Tabla1[[#This Row],[Fecha]],"MMMM")</f>
        <v>marzo</v>
      </c>
      <c r="C3068" t="s">
        <v>3078</v>
      </c>
      <c r="D3068" t="s">
        <v>5021</v>
      </c>
      <c r="E3068" t="s">
        <v>5033</v>
      </c>
      <c r="F3068" t="s">
        <v>5041</v>
      </c>
      <c r="G3068" s="3">
        <v>3386.42</v>
      </c>
      <c r="H3068" s="3">
        <v>440.23</v>
      </c>
      <c r="I3068" s="3">
        <f>SUM(Tabla1[[#This Row],[Monto_Base]],H3068)</f>
        <v>3826.65</v>
      </c>
      <c r="J3068" t="s">
        <v>5045</v>
      </c>
      <c r="K3068" t="s">
        <v>5047</v>
      </c>
      <c r="L3068" t="s">
        <v>5050</v>
      </c>
      <c r="M3068" t="s">
        <v>5054</v>
      </c>
    </row>
    <row r="3069" spans="1:13" x14ac:dyDescent="0.3">
      <c r="A3069" s="1">
        <v>45472</v>
      </c>
      <c r="B3069" s="1" t="str">
        <f>TEXT(Tabla1[[#This Row],[Fecha]],"MMMM")</f>
        <v>junio</v>
      </c>
      <c r="C3069" t="s">
        <v>3079</v>
      </c>
      <c r="D3069" t="s">
        <v>5026</v>
      </c>
      <c r="E3069" t="s">
        <v>5032</v>
      </c>
      <c r="F3069" t="s">
        <v>5034</v>
      </c>
      <c r="G3069" s="3">
        <v>10758.22</v>
      </c>
      <c r="H3069" s="3">
        <v>0</v>
      </c>
      <c r="I3069" s="3">
        <f>SUM(Tabla1[[#This Row],[Monto_Base]],H3069)</f>
        <v>10758.22</v>
      </c>
      <c r="J3069" t="s">
        <v>5044</v>
      </c>
      <c r="K3069" t="s">
        <v>5049</v>
      </c>
      <c r="L3069" t="s">
        <v>5051</v>
      </c>
      <c r="M3069" t="s">
        <v>5054</v>
      </c>
    </row>
    <row r="3070" spans="1:13" x14ac:dyDescent="0.3">
      <c r="A3070" s="1">
        <v>45607</v>
      </c>
      <c r="B3070" s="1" t="str">
        <f>TEXT(Tabla1[[#This Row],[Fecha]],"MMMM")</f>
        <v>noviembre</v>
      </c>
      <c r="C3070" t="s">
        <v>3080</v>
      </c>
      <c r="D3070" t="s">
        <v>5012</v>
      </c>
      <c r="E3070" t="s">
        <v>5032</v>
      </c>
      <c r="F3070" t="s">
        <v>5039</v>
      </c>
      <c r="G3070" s="3">
        <v>148.41999999999999</v>
      </c>
      <c r="H3070" s="3">
        <v>0</v>
      </c>
      <c r="I3070" s="3">
        <f>SUM(Tabla1[[#This Row],[Monto_Base]],H3070)</f>
        <v>148.41999999999999</v>
      </c>
      <c r="J3070" t="s">
        <v>5043</v>
      </c>
      <c r="K3070" t="s">
        <v>5047</v>
      </c>
      <c r="L3070" t="s">
        <v>5051</v>
      </c>
      <c r="M3070" t="s">
        <v>5054</v>
      </c>
    </row>
    <row r="3071" spans="1:13" x14ac:dyDescent="0.3">
      <c r="A3071" s="1">
        <v>45374</v>
      </c>
      <c r="B3071" s="1" t="str">
        <f>TEXT(Tabla1[[#This Row],[Fecha]],"MMMM")</f>
        <v>marzo</v>
      </c>
      <c r="C3071" t="s">
        <v>3081</v>
      </c>
      <c r="D3071" t="s">
        <v>5029</v>
      </c>
      <c r="E3071" t="s">
        <v>5033</v>
      </c>
      <c r="F3071" t="s">
        <v>5037</v>
      </c>
      <c r="G3071" s="3">
        <v>10244.08</v>
      </c>
      <c r="H3071" s="3">
        <v>1331.73</v>
      </c>
      <c r="I3071" s="3">
        <f>SUM(Tabla1[[#This Row],[Monto_Base]],H3071)</f>
        <v>11575.81</v>
      </c>
      <c r="J3071" t="s">
        <v>5043</v>
      </c>
      <c r="K3071" t="s">
        <v>5049</v>
      </c>
      <c r="L3071" t="s">
        <v>5050</v>
      </c>
      <c r="M3071" t="s">
        <v>5054</v>
      </c>
    </row>
    <row r="3072" spans="1:13" x14ac:dyDescent="0.3">
      <c r="A3072" s="1">
        <v>45459</v>
      </c>
      <c r="B3072" s="1" t="str">
        <f>TEXT(Tabla1[[#This Row],[Fecha]],"MMMM")</f>
        <v>junio</v>
      </c>
      <c r="C3072" t="s">
        <v>3082</v>
      </c>
      <c r="D3072" t="s">
        <v>5020</v>
      </c>
      <c r="E3072" t="s">
        <v>5033</v>
      </c>
      <c r="F3072" t="s">
        <v>5039</v>
      </c>
      <c r="G3072" s="3">
        <v>9389.35</v>
      </c>
      <c r="H3072" s="3">
        <v>1220.6199999999999</v>
      </c>
      <c r="I3072" s="3">
        <f>SUM(Tabla1[[#This Row],[Monto_Base]],H3072)</f>
        <v>10609.970000000001</v>
      </c>
      <c r="J3072" t="s">
        <v>5044</v>
      </c>
      <c r="K3072" t="s">
        <v>5048</v>
      </c>
      <c r="L3072" t="s">
        <v>5053</v>
      </c>
      <c r="M3072" t="s">
        <v>5054</v>
      </c>
    </row>
    <row r="3073" spans="1:13" x14ac:dyDescent="0.3">
      <c r="A3073" s="1">
        <v>45608</v>
      </c>
      <c r="B3073" s="1" t="str">
        <f>TEXT(Tabla1[[#This Row],[Fecha]],"MMMM")</f>
        <v>noviembre</v>
      </c>
      <c r="C3073" t="s">
        <v>3083</v>
      </c>
      <c r="D3073" t="s">
        <v>5015</v>
      </c>
      <c r="E3073" t="s">
        <v>5033</v>
      </c>
      <c r="F3073" t="s">
        <v>5035</v>
      </c>
      <c r="G3073" s="3">
        <v>7723.35</v>
      </c>
      <c r="H3073" s="3">
        <v>1004.04</v>
      </c>
      <c r="I3073" s="3">
        <f>SUM(Tabla1[[#This Row],[Monto_Base]],H3073)</f>
        <v>8727.39</v>
      </c>
      <c r="J3073" t="s">
        <v>5044</v>
      </c>
      <c r="K3073" t="s">
        <v>5049</v>
      </c>
      <c r="L3073" t="s">
        <v>5051</v>
      </c>
      <c r="M3073" t="s">
        <v>5054</v>
      </c>
    </row>
    <row r="3074" spans="1:13" x14ac:dyDescent="0.3">
      <c r="A3074" s="1">
        <v>45298</v>
      </c>
      <c r="B3074" s="1" t="str">
        <f>TEXT(Tabla1[[#This Row],[Fecha]],"MMMM")</f>
        <v>enero</v>
      </c>
      <c r="C3074" t="s">
        <v>3084</v>
      </c>
      <c r="D3074" t="s">
        <v>5027</v>
      </c>
      <c r="E3074" t="s">
        <v>5033</v>
      </c>
      <c r="F3074" t="s">
        <v>5034</v>
      </c>
      <c r="G3074" s="3">
        <v>10366.719999999999</v>
      </c>
      <c r="H3074" s="3">
        <v>1347.67</v>
      </c>
      <c r="I3074" s="3">
        <f>SUM(Tabla1[[#This Row],[Monto_Base]],H3074)</f>
        <v>11714.39</v>
      </c>
      <c r="J3074" t="s">
        <v>5046</v>
      </c>
      <c r="K3074" t="s">
        <v>5048</v>
      </c>
      <c r="L3074" t="s">
        <v>5053</v>
      </c>
      <c r="M3074" t="s">
        <v>5055</v>
      </c>
    </row>
    <row r="3075" spans="1:13" x14ac:dyDescent="0.3">
      <c r="A3075" s="1">
        <v>45626</v>
      </c>
      <c r="B3075" s="1" t="str">
        <f>TEXT(Tabla1[[#This Row],[Fecha]],"MMMM")</f>
        <v>noviembre</v>
      </c>
      <c r="C3075" t="s">
        <v>3085</v>
      </c>
      <c r="D3075" t="s">
        <v>5026</v>
      </c>
      <c r="E3075" t="s">
        <v>5033</v>
      </c>
      <c r="F3075" t="s">
        <v>5040</v>
      </c>
      <c r="G3075" s="3">
        <v>622.38</v>
      </c>
      <c r="H3075" s="3">
        <v>80.91</v>
      </c>
      <c r="I3075" s="3">
        <f>SUM(Tabla1[[#This Row],[Monto_Base]],H3075)</f>
        <v>703.29</v>
      </c>
      <c r="J3075" t="s">
        <v>5042</v>
      </c>
      <c r="K3075" t="s">
        <v>5047</v>
      </c>
      <c r="L3075" t="s">
        <v>5053</v>
      </c>
      <c r="M3075" t="s">
        <v>5054</v>
      </c>
    </row>
    <row r="3076" spans="1:13" x14ac:dyDescent="0.3">
      <c r="A3076" s="1">
        <v>45461</v>
      </c>
      <c r="B3076" s="1" t="str">
        <f>TEXT(Tabla1[[#This Row],[Fecha]],"MMMM")</f>
        <v>junio</v>
      </c>
      <c r="C3076" t="s">
        <v>3086</v>
      </c>
      <c r="D3076" t="s">
        <v>5028</v>
      </c>
      <c r="E3076" t="s">
        <v>5032</v>
      </c>
      <c r="F3076" t="s">
        <v>5034</v>
      </c>
      <c r="G3076" s="3">
        <v>14936.68</v>
      </c>
      <c r="H3076" s="3">
        <v>0</v>
      </c>
      <c r="I3076" s="3">
        <f>SUM(Tabla1[[#This Row],[Monto_Base]],H3076)</f>
        <v>14936.68</v>
      </c>
      <c r="J3076" t="s">
        <v>5046</v>
      </c>
      <c r="K3076" t="s">
        <v>5049</v>
      </c>
      <c r="L3076" t="s">
        <v>5053</v>
      </c>
      <c r="M3076" t="s">
        <v>5055</v>
      </c>
    </row>
    <row r="3077" spans="1:13" x14ac:dyDescent="0.3">
      <c r="A3077" s="1">
        <v>45655</v>
      </c>
      <c r="B3077" s="1" t="str">
        <f>TEXT(Tabla1[[#This Row],[Fecha]],"MMMM")</f>
        <v>diciembre</v>
      </c>
      <c r="C3077" t="s">
        <v>3087</v>
      </c>
      <c r="D3077" t="s">
        <v>5023</v>
      </c>
      <c r="E3077" t="s">
        <v>5033</v>
      </c>
      <c r="F3077" t="s">
        <v>5036</v>
      </c>
      <c r="G3077" s="3">
        <v>13074.44</v>
      </c>
      <c r="H3077" s="3">
        <v>1699.68</v>
      </c>
      <c r="I3077" s="3">
        <f>SUM(Tabla1[[#This Row],[Monto_Base]],H3077)</f>
        <v>14774.12</v>
      </c>
      <c r="J3077" t="s">
        <v>5043</v>
      </c>
      <c r="K3077" t="s">
        <v>5047</v>
      </c>
      <c r="L3077" t="s">
        <v>5053</v>
      </c>
      <c r="M3077" t="s">
        <v>5055</v>
      </c>
    </row>
    <row r="3078" spans="1:13" x14ac:dyDescent="0.3">
      <c r="A3078" s="1">
        <v>45448</v>
      </c>
      <c r="B3078" s="1" t="str">
        <f>TEXT(Tabla1[[#This Row],[Fecha]],"MMMM")</f>
        <v>junio</v>
      </c>
      <c r="C3078" t="s">
        <v>3088</v>
      </c>
      <c r="D3078" t="s">
        <v>5014</v>
      </c>
      <c r="E3078" t="s">
        <v>5032</v>
      </c>
      <c r="F3078" t="s">
        <v>5041</v>
      </c>
      <c r="G3078" s="3">
        <v>10916.9</v>
      </c>
      <c r="H3078" s="3">
        <v>0</v>
      </c>
      <c r="I3078" s="3">
        <f>SUM(Tabla1[[#This Row],[Monto_Base]],H3078)</f>
        <v>10916.9</v>
      </c>
      <c r="J3078" t="s">
        <v>5045</v>
      </c>
      <c r="K3078" t="s">
        <v>5047</v>
      </c>
      <c r="L3078" t="s">
        <v>5052</v>
      </c>
      <c r="M3078" t="s">
        <v>5054</v>
      </c>
    </row>
    <row r="3079" spans="1:13" x14ac:dyDescent="0.3">
      <c r="A3079" s="1">
        <v>45301</v>
      </c>
      <c r="B3079" s="1" t="str">
        <f>TEXT(Tabla1[[#This Row],[Fecha]],"MMMM")</f>
        <v>enero</v>
      </c>
      <c r="C3079" t="s">
        <v>3089</v>
      </c>
      <c r="D3079" t="s">
        <v>5020</v>
      </c>
      <c r="E3079" t="s">
        <v>5032</v>
      </c>
      <c r="F3079" t="s">
        <v>5038</v>
      </c>
      <c r="G3079" s="3">
        <v>1010.95</v>
      </c>
      <c r="H3079" s="3">
        <v>0</v>
      </c>
      <c r="I3079" s="3">
        <f>SUM(Tabla1[[#This Row],[Monto_Base]],H3079)</f>
        <v>1010.95</v>
      </c>
      <c r="J3079" t="s">
        <v>5043</v>
      </c>
      <c r="K3079" t="s">
        <v>5047</v>
      </c>
      <c r="L3079" t="s">
        <v>5050</v>
      </c>
      <c r="M3079" t="s">
        <v>5055</v>
      </c>
    </row>
    <row r="3080" spans="1:13" x14ac:dyDescent="0.3">
      <c r="A3080" s="1">
        <v>45571</v>
      </c>
      <c r="B3080" s="1" t="str">
        <f>TEXT(Tabla1[[#This Row],[Fecha]],"MMMM")</f>
        <v>octubre</v>
      </c>
      <c r="C3080" t="s">
        <v>3090</v>
      </c>
      <c r="D3080" t="s">
        <v>5014</v>
      </c>
      <c r="E3080" t="s">
        <v>5032</v>
      </c>
      <c r="F3080" t="s">
        <v>5035</v>
      </c>
      <c r="G3080" s="3">
        <v>507.88</v>
      </c>
      <c r="H3080" s="3">
        <v>0</v>
      </c>
      <c r="I3080" s="3">
        <f>SUM(Tabla1[[#This Row],[Monto_Base]],H3080)</f>
        <v>507.88</v>
      </c>
      <c r="J3080" t="s">
        <v>5044</v>
      </c>
      <c r="K3080" t="s">
        <v>5048</v>
      </c>
      <c r="L3080" t="s">
        <v>5051</v>
      </c>
      <c r="M3080" t="s">
        <v>5054</v>
      </c>
    </row>
    <row r="3081" spans="1:13" x14ac:dyDescent="0.3">
      <c r="A3081" s="1">
        <v>45365</v>
      </c>
      <c r="B3081" s="1" t="str">
        <f>TEXT(Tabla1[[#This Row],[Fecha]],"MMMM")</f>
        <v>marzo</v>
      </c>
      <c r="C3081" t="s">
        <v>3091</v>
      </c>
      <c r="D3081" t="s">
        <v>5015</v>
      </c>
      <c r="E3081" t="s">
        <v>5033</v>
      </c>
      <c r="F3081" t="s">
        <v>5041</v>
      </c>
      <c r="G3081" s="3">
        <v>6137.89</v>
      </c>
      <c r="H3081" s="3">
        <v>797.93</v>
      </c>
      <c r="I3081" s="3">
        <f>SUM(Tabla1[[#This Row],[Monto_Base]],H3081)</f>
        <v>6935.8200000000006</v>
      </c>
      <c r="J3081" t="s">
        <v>5042</v>
      </c>
      <c r="K3081" t="s">
        <v>5048</v>
      </c>
      <c r="L3081" t="s">
        <v>5052</v>
      </c>
      <c r="M3081" t="s">
        <v>5054</v>
      </c>
    </row>
    <row r="3082" spans="1:13" x14ac:dyDescent="0.3">
      <c r="A3082" s="1">
        <v>45454</v>
      </c>
      <c r="B3082" s="1" t="str">
        <f>TEXT(Tabla1[[#This Row],[Fecha]],"MMMM")</f>
        <v>junio</v>
      </c>
      <c r="C3082" t="s">
        <v>3092</v>
      </c>
      <c r="D3082" t="s">
        <v>5021</v>
      </c>
      <c r="E3082" t="s">
        <v>5033</v>
      </c>
      <c r="F3082" t="s">
        <v>5036</v>
      </c>
      <c r="G3082" s="3">
        <v>5412.04</v>
      </c>
      <c r="H3082" s="3">
        <v>703.57</v>
      </c>
      <c r="I3082" s="3">
        <f>SUM(Tabla1[[#This Row],[Monto_Base]],H3082)</f>
        <v>6115.61</v>
      </c>
      <c r="J3082" t="s">
        <v>5045</v>
      </c>
      <c r="K3082" t="s">
        <v>5049</v>
      </c>
      <c r="L3082" t="s">
        <v>5050</v>
      </c>
      <c r="M3082" t="s">
        <v>5055</v>
      </c>
    </row>
    <row r="3083" spans="1:13" x14ac:dyDescent="0.3">
      <c r="A3083" s="1">
        <v>45654</v>
      </c>
      <c r="B3083" s="1" t="str">
        <f>TEXT(Tabla1[[#This Row],[Fecha]],"MMMM")</f>
        <v>diciembre</v>
      </c>
      <c r="C3083" t="s">
        <v>3093</v>
      </c>
      <c r="D3083" t="s">
        <v>5017</v>
      </c>
      <c r="E3083" t="s">
        <v>5033</v>
      </c>
      <c r="F3083" t="s">
        <v>5040</v>
      </c>
      <c r="G3083" s="3">
        <v>12555.04</v>
      </c>
      <c r="H3083" s="3">
        <v>1632.16</v>
      </c>
      <c r="I3083" s="3">
        <f>SUM(Tabla1[[#This Row],[Monto_Base]],H3083)</f>
        <v>14187.2</v>
      </c>
      <c r="J3083" t="s">
        <v>5044</v>
      </c>
      <c r="K3083" t="s">
        <v>5048</v>
      </c>
      <c r="L3083" t="s">
        <v>5052</v>
      </c>
      <c r="M3083" t="s">
        <v>5054</v>
      </c>
    </row>
    <row r="3084" spans="1:13" x14ac:dyDescent="0.3">
      <c r="A3084" s="1">
        <v>45572</v>
      </c>
      <c r="B3084" s="1" t="str">
        <f>TEXT(Tabla1[[#This Row],[Fecha]],"MMMM")</f>
        <v>octubre</v>
      </c>
      <c r="C3084" t="s">
        <v>3094</v>
      </c>
      <c r="D3084" t="s">
        <v>5026</v>
      </c>
      <c r="E3084" t="s">
        <v>5033</v>
      </c>
      <c r="F3084" t="s">
        <v>5040</v>
      </c>
      <c r="G3084" s="3">
        <v>7573.05</v>
      </c>
      <c r="H3084" s="3">
        <v>984.5</v>
      </c>
      <c r="I3084" s="3">
        <f>SUM(Tabla1[[#This Row],[Monto_Base]],H3084)</f>
        <v>8557.5499999999993</v>
      </c>
      <c r="J3084" t="s">
        <v>5046</v>
      </c>
      <c r="K3084" t="s">
        <v>5048</v>
      </c>
      <c r="L3084" t="s">
        <v>5050</v>
      </c>
      <c r="M3084" t="s">
        <v>5055</v>
      </c>
    </row>
    <row r="3085" spans="1:13" x14ac:dyDescent="0.3">
      <c r="A3085" s="1">
        <v>45657</v>
      </c>
      <c r="B3085" s="1" t="str">
        <f>TEXT(Tabla1[[#This Row],[Fecha]],"MMMM")</f>
        <v>diciembre</v>
      </c>
      <c r="C3085" t="s">
        <v>3095</v>
      </c>
      <c r="D3085" t="s">
        <v>5015</v>
      </c>
      <c r="E3085" t="s">
        <v>5032</v>
      </c>
      <c r="F3085" t="s">
        <v>5035</v>
      </c>
      <c r="G3085" s="3">
        <v>14321.97</v>
      </c>
      <c r="H3085" s="3">
        <v>0</v>
      </c>
      <c r="I3085" s="3">
        <f>SUM(Tabla1[[#This Row],[Monto_Base]],H3085)</f>
        <v>14321.97</v>
      </c>
      <c r="J3085" t="s">
        <v>5044</v>
      </c>
      <c r="K3085" t="s">
        <v>5048</v>
      </c>
      <c r="L3085" t="s">
        <v>5050</v>
      </c>
      <c r="M3085" t="s">
        <v>5054</v>
      </c>
    </row>
    <row r="3086" spans="1:13" x14ac:dyDescent="0.3">
      <c r="A3086" s="1">
        <v>45336</v>
      </c>
      <c r="B3086" s="1" t="str">
        <f>TEXT(Tabla1[[#This Row],[Fecha]],"MMMM")</f>
        <v>febrero</v>
      </c>
      <c r="C3086" t="s">
        <v>3096</v>
      </c>
      <c r="D3086" t="s">
        <v>5024</v>
      </c>
      <c r="E3086" t="s">
        <v>5032</v>
      </c>
      <c r="F3086" t="s">
        <v>5035</v>
      </c>
      <c r="G3086" s="3">
        <v>11585.25</v>
      </c>
      <c r="H3086" s="3">
        <v>0</v>
      </c>
      <c r="I3086" s="3">
        <f>SUM(Tabla1[[#This Row],[Monto_Base]],H3086)</f>
        <v>11585.25</v>
      </c>
      <c r="J3086" t="s">
        <v>5045</v>
      </c>
      <c r="K3086" t="s">
        <v>5048</v>
      </c>
      <c r="L3086" t="s">
        <v>5052</v>
      </c>
      <c r="M3086" t="s">
        <v>5055</v>
      </c>
    </row>
    <row r="3087" spans="1:13" x14ac:dyDescent="0.3">
      <c r="A3087" s="1">
        <v>45652</v>
      </c>
      <c r="B3087" s="1" t="str">
        <f>TEXT(Tabla1[[#This Row],[Fecha]],"MMMM")</f>
        <v>diciembre</v>
      </c>
      <c r="C3087" t="s">
        <v>3097</v>
      </c>
      <c r="D3087" t="s">
        <v>5016</v>
      </c>
      <c r="E3087" t="s">
        <v>5032</v>
      </c>
      <c r="F3087" t="s">
        <v>5039</v>
      </c>
      <c r="G3087" s="3">
        <v>6971.95</v>
      </c>
      <c r="H3087" s="3">
        <v>0</v>
      </c>
      <c r="I3087" s="3">
        <f>SUM(Tabla1[[#This Row],[Monto_Base]],H3087)</f>
        <v>6971.95</v>
      </c>
      <c r="J3087" t="s">
        <v>5042</v>
      </c>
      <c r="K3087" t="s">
        <v>5049</v>
      </c>
      <c r="L3087" t="s">
        <v>5052</v>
      </c>
      <c r="M3087" t="s">
        <v>5055</v>
      </c>
    </row>
    <row r="3088" spans="1:13" x14ac:dyDescent="0.3">
      <c r="A3088" s="1">
        <v>45592</v>
      </c>
      <c r="B3088" s="1" t="str">
        <f>TEXT(Tabla1[[#This Row],[Fecha]],"MMMM")</f>
        <v>octubre</v>
      </c>
      <c r="C3088" t="s">
        <v>3098</v>
      </c>
      <c r="D3088" t="s">
        <v>5017</v>
      </c>
      <c r="E3088" t="s">
        <v>5033</v>
      </c>
      <c r="F3088" t="s">
        <v>5041</v>
      </c>
      <c r="G3088" s="3">
        <v>4181.59</v>
      </c>
      <c r="H3088" s="3">
        <v>543.61</v>
      </c>
      <c r="I3088" s="3">
        <f>SUM(Tabla1[[#This Row],[Monto_Base]],H3088)</f>
        <v>4725.2</v>
      </c>
      <c r="J3088" t="s">
        <v>5045</v>
      </c>
      <c r="K3088" t="s">
        <v>5047</v>
      </c>
      <c r="L3088" t="s">
        <v>5053</v>
      </c>
      <c r="M3088" t="s">
        <v>5055</v>
      </c>
    </row>
    <row r="3089" spans="1:13" x14ac:dyDescent="0.3">
      <c r="A3089" s="1">
        <v>45570</v>
      </c>
      <c r="B3089" s="1" t="str">
        <f>TEXT(Tabla1[[#This Row],[Fecha]],"MMMM")</f>
        <v>octubre</v>
      </c>
      <c r="C3089" t="s">
        <v>3099</v>
      </c>
      <c r="D3089" t="s">
        <v>5016</v>
      </c>
      <c r="E3089" t="s">
        <v>5033</v>
      </c>
      <c r="F3089" t="s">
        <v>5041</v>
      </c>
      <c r="G3089" s="3">
        <v>1810.11</v>
      </c>
      <c r="H3089" s="3">
        <v>235.31</v>
      </c>
      <c r="I3089" s="3">
        <f>SUM(Tabla1[[#This Row],[Monto_Base]],H3089)</f>
        <v>2045.4199999999998</v>
      </c>
      <c r="J3089" t="s">
        <v>5043</v>
      </c>
      <c r="K3089" t="s">
        <v>5047</v>
      </c>
      <c r="L3089" t="s">
        <v>5051</v>
      </c>
      <c r="M3089" t="s">
        <v>5054</v>
      </c>
    </row>
    <row r="3090" spans="1:13" x14ac:dyDescent="0.3">
      <c r="A3090" s="1">
        <v>45460</v>
      </c>
      <c r="B3090" s="1" t="str">
        <f>TEXT(Tabla1[[#This Row],[Fecha]],"MMMM")</f>
        <v>junio</v>
      </c>
      <c r="C3090" t="s">
        <v>3100</v>
      </c>
      <c r="D3090" t="s">
        <v>5031</v>
      </c>
      <c r="E3090" t="s">
        <v>5033</v>
      </c>
      <c r="F3090" t="s">
        <v>5040</v>
      </c>
      <c r="G3090" s="3">
        <v>14361.31</v>
      </c>
      <c r="H3090" s="3">
        <v>1866.97</v>
      </c>
      <c r="I3090" s="3">
        <f>SUM(Tabla1[[#This Row],[Monto_Base]],H3090)</f>
        <v>16228.279999999999</v>
      </c>
      <c r="J3090" t="s">
        <v>5044</v>
      </c>
      <c r="K3090" t="s">
        <v>5049</v>
      </c>
      <c r="L3090" t="s">
        <v>5051</v>
      </c>
      <c r="M3090" t="s">
        <v>5054</v>
      </c>
    </row>
    <row r="3091" spans="1:13" x14ac:dyDescent="0.3">
      <c r="A3091" s="1">
        <v>45519</v>
      </c>
      <c r="B3091" s="1" t="str">
        <f>TEXT(Tabla1[[#This Row],[Fecha]],"MMMM")</f>
        <v>agosto</v>
      </c>
      <c r="C3091" t="s">
        <v>3101</v>
      </c>
      <c r="D3091" t="s">
        <v>5015</v>
      </c>
      <c r="E3091" t="s">
        <v>5032</v>
      </c>
      <c r="F3091" t="s">
        <v>5037</v>
      </c>
      <c r="G3091" s="3">
        <v>6672.17</v>
      </c>
      <c r="H3091" s="3">
        <v>0</v>
      </c>
      <c r="I3091" s="3">
        <f>SUM(Tabla1[[#This Row],[Monto_Base]],H3091)</f>
        <v>6672.17</v>
      </c>
      <c r="J3091" t="s">
        <v>5043</v>
      </c>
      <c r="K3091" t="s">
        <v>5049</v>
      </c>
      <c r="L3091" t="s">
        <v>5053</v>
      </c>
      <c r="M3091" t="s">
        <v>5054</v>
      </c>
    </row>
    <row r="3092" spans="1:13" x14ac:dyDescent="0.3">
      <c r="A3092" s="1">
        <v>45461</v>
      </c>
      <c r="B3092" s="1" t="str">
        <f>TEXT(Tabla1[[#This Row],[Fecha]],"MMMM")</f>
        <v>junio</v>
      </c>
      <c r="C3092" t="s">
        <v>3102</v>
      </c>
      <c r="D3092" t="s">
        <v>5018</v>
      </c>
      <c r="E3092" t="s">
        <v>5033</v>
      </c>
      <c r="F3092" t="s">
        <v>5035</v>
      </c>
      <c r="G3092" s="3">
        <v>10644.19</v>
      </c>
      <c r="H3092" s="3">
        <v>1383.74</v>
      </c>
      <c r="I3092" s="3">
        <f>SUM(Tabla1[[#This Row],[Monto_Base]],H3092)</f>
        <v>12027.93</v>
      </c>
      <c r="J3092" t="s">
        <v>5043</v>
      </c>
      <c r="K3092" t="s">
        <v>5048</v>
      </c>
      <c r="L3092" t="s">
        <v>5052</v>
      </c>
      <c r="M3092" t="s">
        <v>5055</v>
      </c>
    </row>
    <row r="3093" spans="1:13" x14ac:dyDescent="0.3">
      <c r="A3093" s="1">
        <v>45292</v>
      </c>
      <c r="B3093" s="1" t="str">
        <f>TEXT(Tabla1[[#This Row],[Fecha]],"MMMM")</f>
        <v>enero</v>
      </c>
      <c r="C3093" t="s">
        <v>3103</v>
      </c>
      <c r="D3093" t="s">
        <v>5020</v>
      </c>
      <c r="E3093" t="s">
        <v>5033</v>
      </c>
      <c r="F3093" t="s">
        <v>5036</v>
      </c>
      <c r="G3093" s="3">
        <v>14959.94</v>
      </c>
      <c r="H3093" s="3">
        <v>1944.79</v>
      </c>
      <c r="I3093" s="3">
        <f>SUM(Tabla1[[#This Row],[Monto_Base]],H3093)</f>
        <v>16904.73</v>
      </c>
      <c r="J3093" t="s">
        <v>5042</v>
      </c>
      <c r="K3093" t="s">
        <v>5049</v>
      </c>
      <c r="L3093" t="s">
        <v>5051</v>
      </c>
      <c r="M3093" t="s">
        <v>5055</v>
      </c>
    </row>
    <row r="3094" spans="1:13" x14ac:dyDescent="0.3">
      <c r="A3094" s="1">
        <v>45397</v>
      </c>
      <c r="B3094" s="1" t="str">
        <f>TEXT(Tabla1[[#This Row],[Fecha]],"MMMM")</f>
        <v>abril</v>
      </c>
      <c r="C3094" t="s">
        <v>3104</v>
      </c>
      <c r="D3094" t="s">
        <v>5013</v>
      </c>
      <c r="E3094" t="s">
        <v>5032</v>
      </c>
      <c r="F3094" t="s">
        <v>5039</v>
      </c>
      <c r="G3094" s="3">
        <v>2763.93</v>
      </c>
      <c r="H3094" s="3">
        <v>0</v>
      </c>
      <c r="I3094" s="3">
        <f>SUM(Tabla1[[#This Row],[Monto_Base]],H3094)</f>
        <v>2763.93</v>
      </c>
      <c r="J3094" t="s">
        <v>5046</v>
      </c>
      <c r="K3094" t="s">
        <v>5048</v>
      </c>
      <c r="L3094" t="s">
        <v>5050</v>
      </c>
      <c r="M3094" t="s">
        <v>5054</v>
      </c>
    </row>
    <row r="3095" spans="1:13" x14ac:dyDescent="0.3">
      <c r="A3095" s="1">
        <v>45640</v>
      </c>
      <c r="B3095" s="1" t="str">
        <f>TEXT(Tabla1[[#This Row],[Fecha]],"MMMM")</f>
        <v>diciembre</v>
      </c>
      <c r="C3095" t="s">
        <v>3105</v>
      </c>
      <c r="D3095" t="s">
        <v>5023</v>
      </c>
      <c r="E3095" t="s">
        <v>5033</v>
      </c>
      <c r="F3095" t="s">
        <v>5038</v>
      </c>
      <c r="G3095" s="3">
        <v>6904.67</v>
      </c>
      <c r="H3095" s="3">
        <v>897.61</v>
      </c>
      <c r="I3095" s="3">
        <f>SUM(Tabla1[[#This Row],[Monto_Base]],H3095)</f>
        <v>7802.28</v>
      </c>
      <c r="J3095" t="s">
        <v>5045</v>
      </c>
      <c r="K3095" t="s">
        <v>5047</v>
      </c>
      <c r="L3095" t="s">
        <v>5052</v>
      </c>
      <c r="M3095" t="s">
        <v>5054</v>
      </c>
    </row>
    <row r="3096" spans="1:13" x14ac:dyDescent="0.3">
      <c r="A3096" s="1">
        <v>45418</v>
      </c>
      <c r="B3096" s="1" t="str">
        <f>TEXT(Tabla1[[#This Row],[Fecha]],"MMMM")</f>
        <v>mayo</v>
      </c>
      <c r="C3096" t="s">
        <v>3106</v>
      </c>
      <c r="D3096" t="s">
        <v>5029</v>
      </c>
      <c r="E3096" t="s">
        <v>5032</v>
      </c>
      <c r="F3096" t="s">
        <v>5036</v>
      </c>
      <c r="G3096" s="3">
        <v>11120.08</v>
      </c>
      <c r="H3096" s="3">
        <v>0</v>
      </c>
      <c r="I3096" s="3">
        <f>SUM(Tabla1[[#This Row],[Monto_Base]],H3096)</f>
        <v>11120.08</v>
      </c>
      <c r="J3096" t="s">
        <v>5042</v>
      </c>
      <c r="K3096" t="s">
        <v>5049</v>
      </c>
      <c r="L3096" t="s">
        <v>5050</v>
      </c>
      <c r="M3096" t="s">
        <v>5054</v>
      </c>
    </row>
    <row r="3097" spans="1:13" x14ac:dyDescent="0.3">
      <c r="A3097" s="1">
        <v>45404</v>
      </c>
      <c r="B3097" s="1" t="str">
        <f>TEXT(Tabla1[[#This Row],[Fecha]],"MMMM")</f>
        <v>abril</v>
      </c>
      <c r="C3097" t="s">
        <v>3107</v>
      </c>
      <c r="D3097" t="s">
        <v>5030</v>
      </c>
      <c r="E3097" t="s">
        <v>5032</v>
      </c>
      <c r="F3097" t="s">
        <v>5037</v>
      </c>
      <c r="G3097" s="3">
        <v>14028.87</v>
      </c>
      <c r="H3097" s="3">
        <v>0</v>
      </c>
      <c r="I3097" s="3">
        <f>SUM(Tabla1[[#This Row],[Monto_Base]],H3097)</f>
        <v>14028.87</v>
      </c>
      <c r="J3097" t="s">
        <v>5046</v>
      </c>
      <c r="K3097" t="s">
        <v>5049</v>
      </c>
      <c r="L3097" t="s">
        <v>5050</v>
      </c>
      <c r="M3097" t="s">
        <v>5055</v>
      </c>
    </row>
    <row r="3098" spans="1:13" x14ac:dyDescent="0.3">
      <c r="A3098" s="1">
        <v>45345</v>
      </c>
      <c r="B3098" s="1" t="str">
        <f>TEXT(Tabla1[[#This Row],[Fecha]],"MMMM")</f>
        <v>febrero</v>
      </c>
      <c r="C3098" t="s">
        <v>3108</v>
      </c>
      <c r="D3098" t="s">
        <v>5023</v>
      </c>
      <c r="E3098" t="s">
        <v>5032</v>
      </c>
      <c r="F3098" t="s">
        <v>5037</v>
      </c>
      <c r="G3098" s="3">
        <v>7712.32</v>
      </c>
      <c r="H3098" s="3">
        <v>0</v>
      </c>
      <c r="I3098" s="3">
        <f>SUM(Tabla1[[#This Row],[Monto_Base]],H3098)</f>
        <v>7712.32</v>
      </c>
      <c r="J3098" t="s">
        <v>5042</v>
      </c>
      <c r="K3098" t="s">
        <v>5048</v>
      </c>
      <c r="L3098" t="s">
        <v>5052</v>
      </c>
      <c r="M3098" t="s">
        <v>5055</v>
      </c>
    </row>
    <row r="3099" spans="1:13" x14ac:dyDescent="0.3">
      <c r="A3099" s="1">
        <v>45532</v>
      </c>
      <c r="B3099" s="1" t="str">
        <f>TEXT(Tabla1[[#This Row],[Fecha]],"MMMM")</f>
        <v>agosto</v>
      </c>
      <c r="C3099" t="s">
        <v>3109</v>
      </c>
      <c r="D3099" t="s">
        <v>5024</v>
      </c>
      <c r="E3099" t="s">
        <v>5033</v>
      </c>
      <c r="F3099" t="s">
        <v>5035</v>
      </c>
      <c r="G3099" s="3">
        <v>9693.5</v>
      </c>
      <c r="H3099" s="3">
        <v>1260.1500000000001</v>
      </c>
      <c r="I3099" s="3">
        <f>SUM(Tabla1[[#This Row],[Monto_Base]],H3099)</f>
        <v>10953.65</v>
      </c>
      <c r="J3099" t="s">
        <v>5046</v>
      </c>
      <c r="K3099" t="s">
        <v>5048</v>
      </c>
      <c r="L3099" t="s">
        <v>5051</v>
      </c>
      <c r="M3099" t="s">
        <v>5055</v>
      </c>
    </row>
    <row r="3100" spans="1:13" x14ac:dyDescent="0.3">
      <c r="A3100" s="1">
        <v>45450</v>
      </c>
      <c r="B3100" s="1" t="str">
        <f>TEXT(Tabla1[[#This Row],[Fecha]],"MMMM")</f>
        <v>junio</v>
      </c>
      <c r="C3100" t="s">
        <v>3110</v>
      </c>
      <c r="D3100" t="s">
        <v>5020</v>
      </c>
      <c r="E3100" t="s">
        <v>5032</v>
      </c>
      <c r="F3100" t="s">
        <v>5038</v>
      </c>
      <c r="G3100" s="3">
        <v>13049.75</v>
      </c>
      <c r="H3100" s="3">
        <v>0</v>
      </c>
      <c r="I3100" s="3">
        <f>SUM(Tabla1[[#This Row],[Monto_Base]],H3100)</f>
        <v>13049.75</v>
      </c>
      <c r="J3100" t="s">
        <v>5044</v>
      </c>
      <c r="K3100" t="s">
        <v>5047</v>
      </c>
      <c r="L3100" t="s">
        <v>5053</v>
      </c>
      <c r="M3100" t="s">
        <v>5055</v>
      </c>
    </row>
    <row r="3101" spans="1:13" x14ac:dyDescent="0.3">
      <c r="A3101" s="1">
        <v>45619</v>
      </c>
      <c r="B3101" s="1" t="str">
        <f>TEXT(Tabla1[[#This Row],[Fecha]],"MMMM")</f>
        <v>noviembre</v>
      </c>
      <c r="C3101" t="s">
        <v>3111</v>
      </c>
      <c r="D3101" t="s">
        <v>5014</v>
      </c>
      <c r="E3101" t="s">
        <v>5033</v>
      </c>
      <c r="F3101" t="s">
        <v>5037</v>
      </c>
      <c r="G3101" s="3">
        <v>2074.79</v>
      </c>
      <c r="H3101" s="3">
        <v>269.72000000000003</v>
      </c>
      <c r="I3101" s="3">
        <f>SUM(Tabla1[[#This Row],[Monto_Base]],H3101)</f>
        <v>2344.5100000000002</v>
      </c>
      <c r="J3101" t="s">
        <v>5044</v>
      </c>
      <c r="K3101" t="s">
        <v>5048</v>
      </c>
      <c r="L3101" t="s">
        <v>5052</v>
      </c>
      <c r="M3101" t="s">
        <v>5055</v>
      </c>
    </row>
    <row r="3102" spans="1:13" x14ac:dyDescent="0.3">
      <c r="A3102" s="1">
        <v>45424</v>
      </c>
      <c r="B3102" s="1" t="str">
        <f>TEXT(Tabla1[[#This Row],[Fecha]],"MMMM")</f>
        <v>mayo</v>
      </c>
      <c r="C3102" t="s">
        <v>3112</v>
      </c>
      <c r="D3102" t="s">
        <v>5020</v>
      </c>
      <c r="E3102" t="s">
        <v>5033</v>
      </c>
      <c r="F3102" t="s">
        <v>5037</v>
      </c>
      <c r="G3102" s="3">
        <v>513.34</v>
      </c>
      <c r="H3102" s="3">
        <v>66.73</v>
      </c>
      <c r="I3102" s="3">
        <f>SUM(Tabla1[[#This Row],[Monto_Base]],H3102)</f>
        <v>580.07000000000005</v>
      </c>
      <c r="J3102" t="s">
        <v>5046</v>
      </c>
      <c r="K3102" t="s">
        <v>5048</v>
      </c>
      <c r="L3102" t="s">
        <v>5052</v>
      </c>
      <c r="M3102" t="s">
        <v>5055</v>
      </c>
    </row>
    <row r="3103" spans="1:13" x14ac:dyDescent="0.3">
      <c r="A3103" s="1">
        <v>45452</v>
      </c>
      <c r="B3103" s="1" t="str">
        <f>TEXT(Tabla1[[#This Row],[Fecha]],"MMMM")</f>
        <v>junio</v>
      </c>
      <c r="C3103" t="s">
        <v>3113</v>
      </c>
      <c r="D3103" t="s">
        <v>5018</v>
      </c>
      <c r="E3103" t="s">
        <v>5032</v>
      </c>
      <c r="F3103" t="s">
        <v>5040</v>
      </c>
      <c r="G3103" s="3">
        <v>7618.91</v>
      </c>
      <c r="H3103" s="3">
        <v>0</v>
      </c>
      <c r="I3103" s="3">
        <f>SUM(Tabla1[[#This Row],[Monto_Base]],H3103)</f>
        <v>7618.91</v>
      </c>
      <c r="J3103" t="s">
        <v>5043</v>
      </c>
      <c r="K3103" t="s">
        <v>5049</v>
      </c>
      <c r="L3103" t="s">
        <v>5052</v>
      </c>
      <c r="M3103" t="s">
        <v>5055</v>
      </c>
    </row>
    <row r="3104" spans="1:13" x14ac:dyDescent="0.3">
      <c r="A3104" s="1">
        <v>45450</v>
      </c>
      <c r="B3104" s="1" t="str">
        <f>TEXT(Tabla1[[#This Row],[Fecha]],"MMMM")</f>
        <v>junio</v>
      </c>
      <c r="C3104" t="s">
        <v>3114</v>
      </c>
      <c r="D3104" t="s">
        <v>5019</v>
      </c>
      <c r="E3104" t="s">
        <v>5033</v>
      </c>
      <c r="F3104" t="s">
        <v>5037</v>
      </c>
      <c r="G3104" s="3">
        <v>7180.42</v>
      </c>
      <c r="H3104" s="3">
        <v>933.45</v>
      </c>
      <c r="I3104" s="3">
        <f>SUM(Tabla1[[#This Row],[Monto_Base]],H3104)</f>
        <v>8113.87</v>
      </c>
      <c r="J3104" t="s">
        <v>5046</v>
      </c>
      <c r="K3104" t="s">
        <v>5048</v>
      </c>
      <c r="L3104" t="s">
        <v>5053</v>
      </c>
      <c r="M3104" t="s">
        <v>5055</v>
      </c>
    </row>
    <row r="3105" spans="1:13" x14ac:dyDescent="0.3">
      <c r="A3105" s="1">
        <v>45530</v>
      </c>
      <c r="B3105" s="1" t="str">
        <f>TEXT(Tabla1[[#This Row],[Fecha]],"MMMM")</f>
        <v>agosto</v>
      </c>
      <c r="C3105" t="s">
        <v>3115</v>
      </c>
      <c r="D3105" t="s">
        <v>5012</v>
      </c>
      <c r="E3105" t="s">
        <v>5032</v>
      </c>
      <c r="F3105" t="s">
        <v>5036</v>
      </c>
      <c r="G3105" s="3">
        <v>12105.24</v>
      </c>
      <c r="H3105" s="3">
        <v>0</v>
      </c>
      <c r="I3105" s="3">
        <f>SUM(Tabla1[[#This Row],[Monto_Base]],H3105)</f>
        <v>12105.24</v>
      </c>
      <c r="J3105" t="s">
        <v>5043</v>
      </c>
      <c r="K3105" t="s">
        <v>5048</v>
      </c>
      <c r="L3105" t="s">
        <v>5053</v>
      </c>
      <c r="M3105" t="s">
        <v>5054</v>
      </c>
    </row>
    <row r="3106" spans="1:13" x14ac:dyDescent="0.3">
      <c r="A3106" s="1">
        <v>45403</v>
      </c>
      <c r="B3106" s="1" t="str">
        <f>TEXT(Tabla1[[#This Row],[Fecha]],"MMMM")</f>
        <v>abril</v>
      </c>
      <c r="C3106" t="s">
        <v>3116</v>
      </c>
      <c r="D3106" t="s">
        <v>5022</v>
      </c>
      <c r="E3106" t="s">
        <v>5033</v>
      </c>
      <c r="F3106" t="s">
        <v>5041</v>
      </c>
      <c r="G3106" s="3">
        <v>7642.52</v>
      </c>
      <c r="H3106" s="3">
        <v>993.53</v>
      </c>
      <c r="I3106" s="3">
        <f>SUM(Tabla1[[#This Row],[Monto_Base]],H3106)</f>
        <v>8636.0500000000011</v>
      </c>
      <c r="J3106" t="s">
        <v>5043</v>
      </c>
      <c r="K3106" t="s">
        <v>5049</v>
      </c>
      <c r="L3106" t="s">
        <v>5052</v>
      </c>
      <c r="M3106" t="s">
        <v>5054</v>
      </c>
    </row>
    <row r="3107" spans="1:13" x14ac:dyDescent="0.3">
      <c r="A3107" s="1">
        <v>45388</v>
      </c>
      <c r="B3107" s="1" t="str">
        <f>TEXT(Tabla1[[#This Row],[Fecha]],"MMMM")</f>
        <v>abril</v>
      </c>
      <c r="C3107" t="s">
        <v>3117</v>
      </c>
      <c r="D3107" t="s">
        <v>5017</v>
      </c>
      <c r="E3107" t="s">
        <v>5032</v>
      </c>
      <c r="F3107" t="s">
        <v>5038</v>
      </c>
      <c r="G3107" s="3">
        <v>254.13</v>
      </c>
      <c r="H3107" s="3">
        <v>0</v>
      </c>
      <c r="I3107" s="3">
        <f>SUM(Tabla1[[#This Row],[Monto_Base]],H3107)</f>
        <v>254.13</v>
      </c>
      <c r="J3107" t="s">
        <v>5043</v>
      </c>
      <c r="K3107" t="s">
        <v>5049</v>
      </c>
      <c r="L3107" t="s">
        <v>5051</v>
      </c>
      <c r="M3107" t="s">
        <v>5054</v>
      </c>
    </row>
    <row r="3108" spans="1:13" x14ac:dyDescent="0.3">
      <c r="A3108" s="1">
        <v>45362</v>
      </c>
      <c r="B3108" s="1" t="str">
        <f>TEXT(Tabla1[[#This Row],[Fecha]],"MMMM")</f>
        <v>marzo</v>
      </c>
      <c r="C3108" t="s">
        <v>3118</v>
      </c>
      <c r="D3108" t="s">
        <v>5022</v>
      </c>
      <c r="E3108" t="s">
        <v>5033</v>
      </c>
      <c r="F3108" t="s">
        <v>5034</v>
      </c>
      <c r="G3108" s="3">
        <v>1350.63</v>
      </c>
      <c r="H3108" s="3">
        <v>175.58</v>
      </c>
      <c r="I3108" s="3">
        <f>SUM(Tabla1[[#This Row],[Monto_Base]],H3108)</f>
        <v>1526.21</v>
      </c>
      <c r="J3108" t="s">
        <v>5043</v>
      </c>
      <c r="K3108" t="s">
        <v>5048</v>
      </c>
      <c r="L3108" t="s">
        <v>5052</v>
      </c>
      <c r="M3108" t="s">
        <v>5054</v>
      </c>
    </row>
    <row r="3109" spans="1:13" x14ac:dyDescent="0.3">
      <c r="A3109" s="1">
        <v>45437</v>
      </c>
      <c r="B3109" s="1" t="str">
        <f>TEXT(Tabla1[[#This Row],[Fecha]],"MMMM")</f>
        <v>mayo</v>
      </c>
      <c r="C3109" t="s">
        <v>3119</v>
      </c>
      <c r="D3109" t="s">
        <v>5024</v>
      </c>
      <c r="E3109" t="s">
        <v>5032</v>
      </c>
      <c r="F3109" t="s">
        <v>5040</v>
      </c>
      <c r="G3109" s="3">
        <v>12142.49</v>
      </c>
      <c r="H3109" s="3">
        <v>0</v>
      </c>
      <c r="I3109" s="3">
        <f>SUM(Tabla1[[#This Row],[Monto_Base]],H3109)</f>
        <v>12142.49</v>
      </c>
      <c r="J3109" t="s">
        <v>5042</v>
      </c>
      <c r="K3109" t="s">
        <v>5048</v>
      </c>
      <c r="L3109" t="s">
        <v>5052</v>
      </c>
      <c r="M3109" t="s">
        <v>5055</v>
      </c>
    </row>
    <row r="3110" spans="1:13" x14ac:dyDescent="0.3">
      <c r="A3110" s="1">
        <v>45538</v>
      </c>
      <c r="B3110" s="1" t="str">
        <f>TEXT(Tabla1[[#This Row],[Fecha]],"MMMM")</f>
        <v>septiembre</v>
      </c>
      <c r="C3110" t="s">
        <v>3120</v>
      </c>
      <c r="D3110" t="s">
        <v>5017</v>
      </c>
      <c r="E3110" t="s">
        <v>5033</v>
      </c>
      <c r="F3110" t="s">
        <v>5039</v>
      </c>
      <c r="G3110" s="3">
        <v>3722.72</v>
      </c>
      <c r="H3110" s="3">
        <v>483.95</v>
      </c>
      <c r="I3110" s="3">
        <f>SUM(Tabla1[[#This Row],[Monto_Base]],H3110)</f>
        <v>4206.67</v>
      </c>
      <c r="J3110" t="s">
        <v>5043</v>
      </c>
      <c r="K3110" t="s">
        <v>5047</v>
      </c>
      <c r="L3110" t="s">
        <v>5051</v>
      </c>
      <c r="M3110" t="s">
        <v>5055</v>
      </c>
    </row>
    <row r="3111" spans="1:13" x14ac:dyDescent="0.3">
      <c r="A3111" s="1">
        <v>45468</v>
      </c>
      <c r="B3111" s="1" t="str">
        <f>TEXT(Tabla1[[#This Row],[Fecha]],"MMMM")</f>
        <v>junio</v>
      </c>
      <c r="C3111" t="s">
        <v>3121</v>
      </c>
      <c r="D3111" t="s">
        <v>5022</v>
      </c>
      <c r="E3111" t="s">
        <v>5033</v>
      </c>
      <c r="F3111" t="s">
        <v>5040</v>
      </c>
      <c r="G3111" s="3">
        <v>4743.75</v>
      </c>
      <c r="H3111" s="3">
        <v>616.69000000000005</v>
      </c>
      <c r="I3111" s="3">
        <f>SUM(Tabla1[[#This Row],[Monto_Base]],H3111)</f>
        <v>5360.4400000000005</v>
      </c>
      <c r="J3111" t="s">
        <v>5043</v>
      </c>
      <c r="K3111" t="s">
        <v>5047</v>
      </c>
      <c r="L3111" t="s">
        <v>5052</v>
      </c>
      <c r="M3111" t="s">
        <v>5054</v>
      </c>
    </row>
    <row r="3112" spans="1:13" x14ac:dyDescent="0.3">
      <c r="A3112" s="1">
        <v>45391</v>
      </c>
      <c r="B3112" s="1" t="str">
        <f>TEXT(Tabla1[[#This Row],[Fecha]],"MMMM")</f>
        <v>abril</v>
      </c>
      <c r="C3112" t="s">
        <v>3122</v>
      </c>
      <c r="D3112" t="s">
        <v>5027</v>
      </c>
      <c r="E3112" t="s">
        <v>5033</v>
      </c>
      <c r="F3112" t="s">
        <v>5041</v>
      </c>
      <c r="G3112" s="3">
        <v>3809.57</v>
      </c>
      <c r="H3112" s="3">
        <v>495.24</v>
      </c>
      <c r="I3112" s="3">
        <f>SUM(Tabla1[[#This Row],[Monto_Base]],H3112)</f>
        <v>4304.8100000000004</v>
      </c>
      <c r="J3112" t="s">
        <v>5043</v>
      </c>
      <c r="K3112" t="s">
        <v>5048</v>
      </c>
      <c r="L3112" t="s">
        <v>5051</v>
      </c>
      <c r="M3112" t="s">
        <v>5055</v>
      </c>
    </row>
    <row r="3113" spans="1:13" x14ac:dyDescent="0.3">
      <c r="A3113" s="1">
        <v>45347</v>
      </c>
      <c r="B3113" s="1" t="str">
        <f>TEXT(Tabla1[[#This Row],[Fecha]],"MMMM")</f>
        <v>febrero</v>
      </c>
      <c r="C3113" t="s">
        <v>3123</v>
      </c>
      <c r="D3113" t="s">
        <v>5025</v>
      </c>
      <c r="E3113" t="s">
        <v>5032</v>
      </c>
      <c r="F3113" t="s">
        <v>5036</v>
      </c>
      <c r="G3113" s="3">
        <v>11501.27</v>
      </c>
      <c r="H3113" s="3">
        <v>0</v>
      </c>
      <c r="I3113" s="3">
        <f>SUM(Tabla1[[#This Row],[Monto_Base]],H3113)</f>
        <v>11501.27</v>
      </c>
      <c r="J3113" t="s">
        <v>5042</v>
      </c>
      <c r="K3113" t="s">
        <v>5049</v>
      </c>
      <c r="L3113" t="s">
        <v>5052</v>
      </c>
      <c r="M3113" t="s">
        <v>5054</v>
      </c>
    </row>
    <row r="3114" spans="1:13" x14ac:dyDescent="0.3">
      <c r="A3114" s="1">
        <v>45516</v>
      </c>
      <c r="B3114" s="1" t="str">
        <f>TEXT(Tabla1[[#This Row],[Fecha]],"MMMM")</f>
        <v>agosto</v>
      </c>
      <c r="C3114" t="s">
        <v>3124</v>
      </c>
      <c r="D3114" t="s">
        <v>5018</v>
      </c>
      <c r="E3114" t="s">
        <v>5033</v>
      </c>
      <c r="F3114" t="s">
        <v>5037</v>
      </c>
      <c r="G3114" s="3">
        <v>4907.67</v>
      </c>
      <c r="H3114" s="3">
        <v>638</v>
      </c>
      <c r="I3114" s="3">
        <f>SUM(Tabla1[[#This Row],[Monto_Base]],H3114)</f>
        <v>5545.67</v>
      </c>
      <c r="J3114" t="s">
        <v>5043</v>
      </c>
      <c r="K3114" t="s">
        <v>5047</v>
      </c>
      <c r="L3114" t="s">
        <v>5052</v>
      </c>
      <c r="M3114" t="s">
        <v>5054</v>
      </c>
    </row>
    <row r="3115" spans="1:13" x14ac:dyDescent="0.3">
      <c r="A3115" s="1">
        <v>45443</v>
      </c>
      <c r="B3115" s="1" t="str">
        <f>TEXT(Tabla1[[#This Row],[Fecha]],"MMMM")</f>
        <v>mayo</v>
      </c>
      <c r="C3115" t="s">
        <v>3125</v>
      </c>
      <c r="D3115" t="s">
        <v>5023</v>
      </c>
      <c r="E3115" t="s">
        <v>5033</v>
      </c>
      <c r="F3115" t="s">
        <v>5035</v>
      </c>
      <c r="G3115" s="3">
        <v>5501.93</v>
      </c>
      <c r="H3115" s="3">
        <v>715.25</v>
      </c>
      <c r="I3115" s="3">
        <f>SUM(Tabla1[[#This Row],[Monto_Base]],H3115)</f>
        <v>6217.18</v>
      </c>
      <c r="J3115" t="s">
        <v>5044</v>
      </c>
      <c r="K3115" t="s">
        <v>5048</v>
      </c>
      <c r="L3115" t="s">
        <v>5051</v>
      </c>
      <c r="M3115" t="s">
        <v>5054</v>
      </c>
    </row>
    <row r="3116" spans="1:13" x14ac:dyDescent="0.3">
      <c r="A3116" s="1">
        <v>45466</v>
      </c>
      <c r="B3116" s="1" t="str">
        <f>TEXT(Tabla1[[#This Row],[Fecha]],"MMMM")</f>
        <v>junio</v>
      </c>
      <c r="C3116" t="s">
        <v>3126</v>
      </c>
      <c r="D3116" t="s">
        <v>5021</v>
      </c>
      <c r="E3116" t="s">
        <v>5032</v>
      </c>
      <c r="F3116" t="s">
        <v>5040</v>
      </c>
      <c r="G3116" s="3">
        <v>4891.4399999999996</v>
      </c>
      <c r="H3116" s="3">
        <v>0</v>
      </c>
      <c r="I3116" s="3">
        <f>SUM(Tabla1[[#This Row],[Monto_Base]],H3116)</f>
        <v>4891.4399999999996</v>
      </c>
      <c r="J3116" t="s">
        <v>5042</v>
      </c>
      <c r="K3116" t="s">
        <v>5048</v>
      </c>
      <c r="L3116" t="s">
        <v>5053</v>
      </c>
      <c r="M3116" t="s">
        <v>5054</v>
      </c>
    </row>
    <row r="3117" spans="1:13" x14ac:dyDescent="0.3">
      <c r="A3117" s="1">
        <v>45547</v>
      </c>
      <c r="B3117" s="1" t="str">
        <f>TEXT(Tabla1[[#This Row],[Fecha]],"MMMM")</f>
        <v>septiembre</v>
      </c>
      <c r="C3117" t="s">
        <v>3127</v>
      </c>
      <c r="D3117" t="s">
        <v>5024</v>
      </c>
      <c r="E3117" t="s">
        <v>5032</v>
      </c>
      <c r="F3117" t="s">
        <v>5037</v>
      </c>
      <c r="G3117" s="3">
        <v>148.91999999999999</v>
      </c>
      <c r="H3117" s="3">
        <v>0</v>
      </c>
      <c r="I3117" s="3">
        <f>SUM(Tabla1[[#This Row],[Monto_Base]],H3117)</f>
        <v>148.91999999999999</v>
      </c>
      <c r="J3117" t="s">
        <v>5043</v>
      </c>
      <c r="K3117" t="s">
        <v>5049</v>
      </c>
      <c r="L3117" t="s">
        <v>5051</v>
      </c>
      <c r="M3117" t="s">
        <v>5054</v>
      </c>
    </row>
    <row r="3118" spans="1:13" x14ac:dyDescent="0.3">
      <c r="A3118" s="1">
        <v>45390</v>
      </c>
      <c r="B3118" s="1" t="str">
        <f>TEXT(Tabla1[[#This Row],[Fecha]],"MMMM")</f>
        <v>abril</v>
      </c>
      <c r="C3118" t="s">
        <v>3128</v>
      </c>
      <c r="D3118" t="s">
        <v>5026</v>
      </c>
      <c r="E3118" t="s">
        <v>5032</v>
      </c>
      <c r="F3118" t="s">
        <v>5037</v>
      </c>
      <c r="G3118" s="3">
        <v>12874.49</v>
      </c>
      <c r="H3118" s="3">
        <v>0</v>
      </c>
      <c r="I3118" s="3">
        <f>SUM(Tabla1[[#This Row],[Monto_Base]],H3118)</f>
        <v>12874.49</v>
      </c>
      <c r="J3118" t="s">
        <v>5042</v>
      </c>
      <c r="K3118" t="s">
        <v>5049</v>
      </c>
      <c r="L3118" t="s">
        <v>5053</v>
      </c>
      <c r="M3118" t="s">
        <v>5055</v>
      </c>
    </row>
    <row r="3119" spans="1:13" x14ac:dyDescent="0.3">
      <c r="A3119" s="1">
        <v>45417</v>
      </c>
      <c r="B3119" s="1" t="str">
        <f>TEXT(Tabla1[[#This Row],[Fecha]],"MMMM")</f>
        <v>mayo</v>
      </c>
      <c r="C3119" t="s">
        <v>3129</v>
      </c>
      <c r="D3119" t="s">
        <v>5022</v>
      </c>
      <c r="E3119" t="s">
        <v>5033</v>
      </c>
      <c r="F3119" t="s">
        <v>5039</v>
      </c>
      <c r="G3119" s="3">
        <v>10429.5</v>
      </c>
      <c r="H3119" s="3">
        <v>1355.84</v>
      </c>
      <c r="I3119" s="3">
        <f>SUM(Tabla1[[#This Row],[Monto_Base]],H3119)</f>
        <v>11785.34</v>
      </c>
      <c r="J3119" t="s">
        <v>5043</v>
      </c>
      <c r="K3119" t="s">
        <v>5049</v>
      </c>
      <c r="L3119" t="s">
        <v>5050</v>
      </c>
      <c r="M3119" t="s">
        <v>5054</v>
      </c>
    </row>
    <row r="3120" spans="1:13" x14ac:dyDescent="0.3">
      <c r="A3120" s="1">
        <v>45386</v>
      </c>
      <c r="B3120" s="1" t="str">
        <f>TEXT(Tabla1[[#This Row],[Fecha]],"MMMM")</f>
        <v>abril</v>
      </c>
      <c r="C3120" t="s">
        <v>3130</v>
      </c>
      <c r="D3120" t="s">
        <v>5014</v>
      </c>
      <c r="E3120" t="s">
        <v>5033</v>
      </c>
      <c r="F3120" t="s">
        <v>5039</v>
      </c>
      <c r="G3120" s="3">
        <v>14206.84</v>
      </c>
      <c r="H3120" s="3">
        <v>1846.89</v>
      </c>
      <c r="I3120" s="3">
        <f>SUM(Tabla1[[#This Row],[Monto_Base]],H3120)</f>
        <v>16053.73</v>
      </c>
      <c r="J3120" t="s">
        <v>5046</v>
      </c>
      <c r="K3120" t="s">
        <v>5047</v>
      </c>
      <c r="L3120" t="s">
        <v>5050</v>
      </c>
      <c r="M3120" t="s">
        <v>5055</v>
      </c>
    </row>
    <row r="3121" spans="1:13" x14ac:dyDescent="0.3">
      <c r="A3121" s="1">
        <v>45602</v>
      </c>
      <c r="B3121" s="1" t="str">
        <f>TEXT(Tabla1[[#This Row],[Fecha]],"MMMM")</f>
        <v>noviembre</v>
      </c>
      <c r="C3121" t="s">
        <v>3131</v>
      </c>
      <c r="D3121" t="s">
        <v>5022</v>
      </c>
      <c r="E3121" t="s">
        <v>5032</v>
      </c>
      <c r="F3121" t="s">
        <v>5036</v>
      </c>
      <c r="G3121" s="3">
        <v>6895.78</v>
      </c>
      <c r="H3121" s="3">
        <v>0</v>
      </c>
      <c r="I3121" s="3">
        <f>SUM(Tabla1[[#This Row],[Monto_Base]],H3121)</f>
        <v>6895.78</v>
      </c>
      <c r="J3121" t="s">
        <v>5045</v>
      </c>
      <c r="K3121" t="s">
        <v>5048</v>
      </c>
      <c r="L3121" t="s">
        <v>5050</v>
      </c>
      <c r="M3121" t="s">
        <v>5054</v>
      </c>
    </row>
    <row r="3122" spans="1:13" x14ac:dyDescent="0.3">
      <c r="A3122" s="1">
        <v>45398</v>
      </c>
      <c r="B3122" s="1" t="str">
        <f>TEXT(Tabla1[[#This Row],[Fecha]],"MMMM")</f>
        <v>abril</v>
      </c>
      <c r="C3122" t="s">
        <v>3132</v>
      </c>
      <c r="D3122" t="s">
        <v>5015</v>
      </c>
      <c r="E3122" t="s">
        <v>5033</v>
      </c>
      <c r="F3122" t="s">
        <v>5039</v>
      </c>
      <c r="G3122" s="3">
        <v>628.16</v>
      </c>
      <c r="H3122" s="3">
        <v>81.66</v>
      </c>
      <c r="I3122" s="3">
        <f>SUM(Tabla1[[#This Row],[Monto_Base]],H3122)</f>
        <v>709.81999999999994</v>
      </c>
      <c r="J3122" t="s">
        <v>5042</v>
      </c>
      <c r="K3122" t="s">
        <v>5047</v>
      </c>
      <c r="L3122" t="s">
        <v>5051</v>
      </c>
      <c r="M3122" t="s">
        <v>5055</v>
      </c>
    </row>
    <row r="3123" spans="1:13" x14ac:dyDescent="0.3">
      <c r="A3123" s="1">
        <v>45350</v>
      </c>
      <c r="B3123" s="1" t="str">
        <f>TEXT(Tabla1[[#This Row],[Fecha]],"MMMM")</f>
        <v>febrero</v>
      </c>
      <c r="C3123" t="s">
        <v>3133</v>
      </c>
      <c r="D3123" t="s">
        <v>5018</v>
      </c>
      <c r="E3123" t="s">
        <v>5032</v>
      </c>
      <c r="F3123" t="s">
        <v>5041</v>
      </c>
      <c r="G3123" s="3">
        <v>13416</v>
      </c>
      <c r="H3123" s="3">
        <v>0</v>
      </c>
      <c r="I3123" s="3">
        <f>SUM(Tabla1[[#This Row],[Monto_Base]],H3123)</f>
        <v>13416</v>
      </c>
      <c r="J3123" t="s">
        <v>5043</v>
      </c>
      <c r="K3123" t="s">
        <v>5047</v>
      </c>
      <c r="L3123" t="s">
        <v>5053</v>
      </c>
      <c r="M3123" t="s">
        <v>5054</v>
      </c>
    </row>
    <row r="3124" spans="1:13" x14ac:dyDescent="0.3">
      <c r="A3124" s="1">
        <v>45485</v>
      </c>
      <c r="B3124" s="1" t="str">
        <f>TEXT(Tabla1[[#This Row],[Fecha]],"MMMM")</f>
        <v>julio</v>
      </c>
      <c r="C3124" t="s">
        <v>3134</v>
      </c>
      <c r="D3124" t="s">
        <v>5017</v>
      </c>
      <c r="E3124" t="s">
        <v>5033</v>
      </c>
      <c r="F3124" t="s">
        <v>5039</v>
      </c>
      <c r="G3124" s="3">
        <v>8690.9699999999993</v>
      </c>
      <c r="H3124" s="3">
        <v>1129.83</v>
      </c>
      <c r="I3124" s="3">
        <f>SUM(Tabla1[[#This Row],[Monto_Base]],H3124)</f>
        <v>9820.7999999999993</v>
      </c>
      <c r="J3124" t="s">
        <v>5042</v>
      </c>
      <c r="K3124" t="s">
        <v>5047</v>
      </c>
      <c r="L3124" t="s">
        <v>5053</v>
      </c>
      <c r="M3124" t="s">
        <v>5054</v>
      </c>
    </row>
    <row r="3125" spans="1:13" x14ac:dyDescent="0.3">
      <c r="A3125" s="1">
        <v>45380</v>
      </c>
      <c r="B3125" s="1" t="str">
        <f>TEXT(Tabla1[[#This Row],[Fecha]],"MMMM")</f>
        <v>marzo</v>
      </c>
      <c r="C3125" t="s">
        <v>3135</v>
      </c>
      <c r="D3125" t="s">
        <v>5024</v>
      </c>
      <c r="E3125" t="s">
        <v>5033</v>
      </c>
      <c r="F3125" t="s">
        <v>5041</v>
      </c>
      <c r="G3125" s="3">
        <v>1321.34</v>
      </c>
      <c r="H3125" s="3">
        <v>171.77</v>
      </c>
      <c r="I3125" s="3">
        <f>SUM(Tabla1[[#This Row],[Monto_Base]],H3125)</f>
        <v>1493.11</v>
      </c>
      <c r="J3125" t="s">
        <v>5043</v>
      </c>
      <c r="K3125" t="s">
        <v>5047</v>
      </c>
      <c r="L3125" t="s">
        <v>5053</v>
      </c>
      <c r="M3125" t="s">
        <v>5054</v>
      </c>
    </row>
    <row r="3126" spans="1:13" x14ac:dyDescent="0.3">
      <c r="A3126" s="1">
        <v>45435</v>
      </c>
      <c r="B3126" s="1" t="str">
        <f>TEXT(Tabla1[[#This Row],[Fecha]],"MMMM")</f>
        <v>mayo</v>
      </c>
      <c r="C3126" t="s">
        <v>3136</v>
      </c>
      <c r="D3126" t="s">
        <v>5023</v>
      </c>
      <c r="E3126" t="s">
        <v>5033</v>
      </c>
      <c r="F3126" t="s">
        <v>5041</v>
      </c>
      <c r="G3126" s="3">
        <v>6694.85</v>
      </c>
      <c r="H3126" s="3">
        <v>870.33</v>
      </c>
      <c r="I3126" s="3">
        <f>SUM(Tabla1[[#This Row],[Monto_Base]],H3126)</f>
        <v>7565.18</v>
      </c>
      <c r="J3126" t="s">
        <v>5046</v>
      </c>
      <c r="K3126" t="s">
        <v>5048</v>
      </c>
      <c r="L3126" t="s">
        <v>5053</v>
      </c>
      <c r="M3126" t="s">
        <v>5055</v>
      </c>
    </row>
    <row r="3127" spans="1:13" x14ac:dyDescent="0.3">
      <c r="A3127" s="1">
        <v>45566</v>
      </c>
      <c r="B3127" s="1" t="str">
        <f>TEXT(Tabla1[[#This Row],[Fecha]],"MMMM")</f>
        <v>octubre</v>
      </c>
      <c r="C3127" t="s">
        <v>3137</v>
      </c>
      <c r="D3127" t="s">
        <v>5014</v>
      </c>
      <c r="E3127" t="s">
        <v>5032</v>
      </c>
      <c r="F3127" t="s">
        <v>5041</v>
      </c>
      <c r="G3127" s="3">
        <v>11043.31</v>
      </c>
      <c r="H3127" s="3">
        <v>0</v>
      </c>
      <c r="I3127" s="3">
        <f>SUM(Tabla1[[#This Row],[Monto_Base]],H3127)</f>
        <v>11043.31</v>
      </c>
      <c r="J3127" t="s">
        <v>5043</v>
      </c>
      <c r="K3127" t="s">
        <v>5047</v>
      </c>
      <c r="L3127" t="s">
        <v>5052</v>
      </c>
      <c r="M3127" t="s">
        <v>5054</v>
      </c>
    </row>
    <row r="3128" spans="1:13" x14ac:dyDescent="0.3">
      <c r="A3128" s="1">
        <v>45557</v>
      </c>
      <c r="B3128" s="1" t="str">
        <f>TEXT(Tabla1[[#This Row],[Fecha]],"MMMM")</f>
        <v>septiembre</v>
      </c>
      <c r="C3128" t="s">
        <v>3138</v>
      </c>
      <c r="D3128" t="s">
        <v>5024</v>
      </c>
      <c r="E3128" t="s">
        <v>5033</v>
      </c>
      <c r="F3128" t="s">
        <v>5039</v>
      </c>
      <c r="G3128" s="3">
        <v>10409.89</v>
      </c>
      <c r="H3128" s="3">
        <v>1353.29</v>
      </c>
      <c r="I3128" s="3">
        <f>SUM(Tabla1[[#This Row],[Monto_Base]],H3128)</f>
        <v>11763.18</v>
      </c>
      <c r="J3128" t="s">
        <v>5045</v>
      </c>
      <c r="K3128" t="s">
        <v>5047</v>
      </c>
      <c r="L3128" t="s">
        <v>5052</v>
      </c>
      <c r="M3128" t="s">
        <v>5055</v>
      </c>
    </row>
    <row r="3129" spans="1:13" x14ac:dyDescent="0.3">
      <c r="A3129" s="1">
        <v>45479</v>
      </c>
      <c r="B3129" s="1" t="str">
        <f>TEXT(Tabla1[[#This Row],[Fecha]],"MMMM")</f>
        <v>julio</v>
      </c>
      <c r="C3129" t="s">
        <v>3139</v>
      </c>
      <c r="D3129" t="s">
        <v>5021</v>
      </c>
      <c r="E3129" t="s">
        <v>5032</v>
      </c>
      <c r="F3129" t="s">
        <v>5037</v>
      </c>
      <c r="G3129" s="3">
        <v>10570.14</v>
      </c>
      <c r="H3129" s="3">
        <v>0</v>
      </c>
      <c r="I3129" s="3">
        <f>SUM(Tabla1[[#This Row],[Monto_Base]],H3129)</f>
        <v>10570.14</v>
      </c>
      <c r="J3129" t="s">
        <v>5042</v>
      </c>
      <c r="K3129" t="s">
        <v>5049</v>
      </c>
      <c r="L3129" t="s">
        <v>5051</v>
      </c>
      <c r="M3129" t="s">
        <v>5054</v>
      </c>
    </row>
    <row r="3130" spans="1:13" x14ac:dyDescent="0.3">
      <c r="A3130" s="1">
        <v>45505</v>
      </c>
      <c r="B3130" s="1" t="str">
        <f>TEXT(Tabla1[[#This Row],[Fecha]],"MMMM")</f>
        <v>agosto</v>
      </c>
      <c r="C3130" t="s">
        <v>3140</v>
      </c>
      <c r="D3130" t="s">
        <v>5025</v>
      </c>
      <c r="E3130" t="s">
        <v>5032</v>
      </c>
      <c r="F3130" t="s">
        <v>5035</v>
      </c>
      <c r="G3130" s="3">
        <v>12677.41</v>
      </c>
      <c r="H3130" s="3">
        <v>0</v>
      </c>
      <c r="I3130" s="3">
        <f>SUM(Tabla1[[#This Row],[Monto_Base]],H3130)</f>
        <v>12677.41</v>
      </c>
      <c r="J3130" t="s">
        <v>5045</v>
      </c>
      <c r="K3130" t="s">
        <v>5049</v>
      </c>
      <c r="L3130" t="s">
        <v>5050</v>
      </c>
      <c r="M3130" t="s">
        <v>5055</v>
      </c>
    </row>
    <row r="3131" spans="1:13" x14ac:dyDescent="0.3">
      <c r="A3131" s="1">
        <v>45528</v>
      </c>
      <c r="B3131" s="1" t="str">
        <f>TEXT(Tabla1[[#This Row],[Fecha]],"MMMM")</f>
        <v>agosto</v>
      </c>
      <c r="C3131" t="s">
        <v>3141</v>
      </c>
      <c r="D3131" t="s">
        <v>5028</v>
      </c>
      <c r="E3131" t="s">
        <v>5032</v>
      </c>
      <c r="F3131" t="s">
        <v>5040</v>
      </c>
      <c r="G3131" s="3">
        <v>2694.42</v>
      </c>
      <c r="H3131" s="3">
        <v>0</v>
      </c>
      <c r="I3131" s="3">
        <f>SUM(Tabla1[[#This Row],[Monto_Base]],H3131)</f>
        <v>2694.42</v>
      </c>
      <c r="J3131" t="s">
        <v>5046</v>
      </c>
      <c r="K3131" t="s">
        <v>5048</v>
      </c>
      <c r="L3131" t="s">
        <v>5050</v>
      </c>
      <c r="M3131" t="s">
        <v>5055</v>
      </c>
    </row>
    <row r="3132" spans="1:13" x14ac:dyDescent="0.3">
      <c r="A3132" s="1">
        <v>45648</v>
      </c>
      <c r="B3132" s="1" t="str">
        <f>TEXT(Tabla1[[#This Row],[Fecha]],"MMMM")</f>
        <v>diciembre</v>
      </c>
      <c r="C3132" t="s">
        <v>3142</v>
      </c>
      <c r="D3132" t="s">
        <v>5025</v>
      </c>
      <c r="E3132" t="s">
        <v>5032</v>
      </c>
      <c r="F3132" t="s">
        <v>5035</v>
      </c>
      <c r="G3132" s="3">
        <v>6650.71</v>
      </c>
      <c r="H3132" s="3">
        <v>0</v>
      </c>
      <c r="I3132" s="3">
        <f>SUM(Tabla1[[#This Row],[Monto_Base]],H3132)</f>
        <v>6650.71</v>
      </c>
      <c r="J3132" t="s">
        <v>5042</v>
      </c>
      <c r="K3132" t="s">
        <v>5048</v>
      </c>
      <c r="L3132" t="s">
        <v>5050</v>
      </c>
      <c r="M3132" t="s">
        <v>5055</v>
      </c>
    </row>
    <row r="3133" spans="1:13" x14ac:dyDescent="0.3">
      <c r="A3133" s="1">
        <v>45336</v>
      </c>
      <c r="B3133" s="1" t="str">
        <f>TEXT(Tabla1[[#This Row],[Fecha]],"MMMM")</f>
        <v>febrero</v>
      </c>
      <c r="C3133" t="s">
        <v>3143</v>
      </c>
      <c r="D3133" t="s">
        <v>5025</v>
      </c>
      <c r="E3133" t="s">
        <v>5032</v>
      </c>
      <c r="F3133" t="s">
        <v>5035</v>
      </c>
      <c r="G3133" s="3">
        <v>14910.41</v>
      </c>
      <c r="H3133" s="3">
        <v>0</v>
      </c>
      <c r="I3133" s="3">
        <f>SUM(Tabla1[[#This Row],[Monto_Base]],H3133)</f>
        <v>14910.41</v>
      </c>
      <c r="J3133" t="s">
        <v>5046</v>
      </c>
      <c r="K3133" t="s">
        <v>5049</v>
      </c>
      <c r="L3133" t="s">
        <v>5050</v>
      </c>
      <c r="M3133" t="s">
        <v>5054</v>
      </c>
    </row>
    <row r="3134" spans="1:13" x14ac:dyDescent="0.3">
      <c r="A3134" s="1">
        <v>45361</v>
      </c>
      <c r="B3134" s="1" t="str">
        <f>TEXT(Tabla1[[#This Row],[Fecha]],"MMMM")</f>
        <v>marzo</v>
      </c>
      <c r="C3134" t="s">
        <v>3144</v>
      </c>
      <c r="D3134" t="s">
        <v>5028</v>
      </c>
      <c r="E3134" t="s">
        <v>5032</v>
      </c>
      <c r="F3134" t="s">
        <v>5035</v>
      </c>
      <c r="G3134" s="3">
        <v>11943.7</v>
      </c>
      <c r="H3134" s="3">
        <v>0</v>
      </c>
      <c r="I3134" s="3">
        <f>SUM(Tabla1[[#This Row],[Monto_Base]],H3134)</f>
        <v>11943.7</v>
      </c>
      <c r="J3134" t="s">
        <v>5042</v>
      </c>
      <c r="K3134" t="s">
        <v>5047</v>
      </c>
      <c r="L3134" t="s">
        <v>5050</v>
      </c>
      <c r="M3134" t="s">
        <v>5054</v>
      </c>
    </row>
    <row r="3135" spans="1:13" x14ac:dyDescent="0.3">
      <c r="A3135" s="1">
        <v>45466</v>
      </c>
      <c r="B3135" s="1" t="str">
        <f>TEXT(Tabla1[[#This Row],[Fecha]],"MMMM")</f>
        <v>junio</v>
      </c>
      <c r="C3135" t="s">
        <v>3145</v>
      </c>
      <c r="D3135" t="s">
        <v>5029</v>
      </c>
      <c r="E3135" t="s">
        <v>5033</v>
      </c>
      <c r="F3135" t="s">
        <v>5041</v>
      </c>
      <c r="G3135" s="3">
        <v>451.34</v>
      </c>
      <c r="H3135" s="3">
        <v>58.67</v>
      </c>
      <c r="I3135" s="3">
        <f>SUM(Tabla1[[#This Row],[Monto_Base]],H3135)</f>
        <v>510.01</v>
      </c>
      <c r="J3135" t="s">
        <v>5046</v>
      </c>
      <c r="K3135" t="s">
        <v>5048</v>
      </c>
      <c r="L3135" t="s">
        <v>5053</v>
      </c>
      <c r="M3135" t="s">
        <v>5055</v>
      </c>
    </row>
    <row r="3136" spans="1:13" x14ac:dyDescent="0.3">
      <c r="A3136" s="1">
        <v>45297</v>
      </c>
      <c r="B3136" s="1" t="str">
        <f>TEXT(Tabla1[[#This Row],[Fecha]],"MMMM")</f>
        <v>enero</v>
      </c>
      <c r="C3136" t="s">
        <v>3146</v>
      </c>
      <c r="D3136" t="s">
        <v>5015</v>
      </c>
      <c r="E3136" t="s">
        <v>5032</v>
      </c>
      <c r="F3136" t="s">
        <v>5037</v>
      </c>
      <c r="G3136" s="3">
        <v>8164.09</v>
      </c>
      <c r="H3136" s="3">
        <v>0</v>
      </c>
      <c r="I3136" s="3">
        <f>SUM(Tabla1[[#This Row],[Monto_Base]],H3136)</f>
        <v>8164.09</v>
      </c>
      <c r="J3136" t="s">
        <v>5046</v>
      </c>
      <c r="K3136" t="s">
        <v>5047</v>
      </c>
      <c r="L3136" t="s">
        <v>5050</v>
      </c>
      <c r="M3136" t="s">
        <v>5055</v>
      </c>
    </row>
    <row r="3137" spans="1:13" x14ac:dyDescent="0.3">
      <c r="A3137" s="1">
        <v>45590</v>
      </c>
      <c r="B3137" s="1" t="str">
        <f>TEXT(Tabla1[[#This Row],[Fecha]],"MMMM")</f>
        <v>octubre</v>
      </c>
      <c r="C3137" t="s">
        <v>3147</v>
      </c>
      <c r="D3137" t="s">
        <v>5025</v>
      </c>
      <c r="E3137" t="s">
        <v>5032</v>
      </c>
      <c r="F3137" t="s">
        <v>5036</v>
      </c>
      <c r="G3137" s="3">
        <v>2207.96</v>
      </c>
      <c r="H3137" s="3">
        <v>0</v>
      </c>
      <c r="I3137" s="3">
        <f>SUM(Tabla1[[#This Row],[Monto_Base]],H3137)</f>
        <v>2207.96</v>
      </c>
      <c r="J3137" t="s">
        <v>5042</v>
      </c>
      <c r="K3137" t="s">
        <v>5047</v>
      </c>
      <c r="L3137" t="s">
        <v>5053</v>
      </c>
      <c r="M3137" t="s">
        <v>5054</v>
      </c>
    </row>
    <row r="3138" spans="1:13" x14ac:dyDescent="0.3">
      <c r="A3138" s="1">
        <v>45636</v>
      </c>
      <c r="B3138" s="1" t="str">
        <f>TEXT(Tabla1[[#This Row],[Fecha]],"MMMM")</f>
        <v>diciembre</v>
      </c>
      <c r="C3138" t="s">
        <v>3148</v>
      </c>
      <c r="D3138" t="s">
        <v>5028</v>
      </c>
      <c r="E3138" t="s">
        <v>5032</v>
      </c>
      <c r="F3138" t="s">
        <v>5034</v>
      </c>
      <c r="G3138" s="3">
        <v>14745.58</v>
      </c>
      <c r="H3138" s="3">
        <v>0</v>
      </c>
      <c r="I3138" s="3">
        <f>SUM(Tabla1[[#This Row],[Monto_Base]],H3138)</f>
        <v>14745.58</v>
      </c>
      <c r="J3138" t="s">
        <v>5044</v>
      </c>
      <c r="K3138" t="s">
        <v>5047</v>
      </c>
      <c r="L3138" t="s">
        <v>5050</v>
      </c>
      <c r="M3138" t="s">
        <v>5054</v>
      </c>
    </row>
    <row r="3139" spans="1:13" x14ac:dyDescent="0.3">
      <c r="A3139" s="1">
        <v>45559</v>
      </c>
      <c r="B3139" s="1" t="str">
        <f>TEXT(Tabla1[[#This Row],[Fecha]],"MMMM")</f>
        <v>septiembre</v>
      </c>
      <c r="C3139" t="s">
        <v>3149</v>
      </c>
      <c r="D3139" t="s">
        <v>5031</v>
      </c>
      <c r="E3139" t="s">
        <v>5033</v>
      </c>
      <c r="F3139" t="s">
        <v>5038</v>
      </c>
      <c r="G3139" s="3">
        <v>8364.66</v>
      </c>
      <c r="H3139" s="3">
        <v>1087.4100000000001</v>
      </c>
      <c r="I3139" s="3">
        <f>SUM(Tabla1[[#This Row],[Monto_Base]],H3139)</f>
        <v>9452.07</v>
      </c>
      <c r="J3139" t="s">
        <v>5043</v>
      </c>
      <c r="K3139" t="s">
        <v>5047</v>
      </c>
      <c r="L3139" t="s">
        <v>5053</v>
      </c>
      <c r="M3139" t="s">
        <v>5055</v>
      </c>
    </row>
    <row r="3140" spans="1:13" x14ac:dyDescent="0.3">
      <c r="A3140" s="1">
        <v>45344</v>
      </c>
      <c r="B3140" s="1" t="str">
        <f>TEXT(Tabla1[[#This Row],[Fecha]],"MMMM")</f>
        <v>febrero</v>
      </c>
      <c r="C3140" t="s">
        <v>3150</v>
      </c>
      <c r="D3140" t="s">
        <v>5023</v>
      </c>
      <c r="E3140" t="s">
        <v>5032</v>
      </c>
      <c r="F3140" t="s">
        <v>5041</v>
      </c>
      <c r="G3140" s="3">
        <v>13089.73</v>
      </c>
      <c r="H3140" s="3">
        <v>0</v>
      </c>
      <c r="I3140" s="3">
        <f>SUM(Tabla1[[#This Row],[Monto_Base]],H3140)</f>
        <v>13089.73</v>
      </c>
      <c r="J3140" t="s">
        <v>5044</v>
      </c>
      <c r="K3140" t="s">
        <v>5047</v>
      </c>
      <c r="L3140" t="s">
        <v>5053</v>
      </c>
      <c r="M3140" t="s">
        <v>5055</v>
      </c>
    </row>
    <row r="3141" spans="1:13" x14ac:dyDescent="0.3">
      <c r="A3141" s="1">
        <v>45321</v>
      </c>
      <c r="B3141" s="1" t="str">
        <f>TEXT(Tabla1[[#This Row],[Fecha]],"MMMM")</f>
        <v>enero</v>
      </c>
      <c r="C3141" t="s">
        <v>3151</v>
      </c>
      <c r="D3141" t="s">
        <v>5030</v>
      </c>
      <c r="E3141" t="s">
        <v>5033</v>
      </c>
      <c r="F3141" t="s">
        <v>5041</v>
      </c>
      <c r="G3141" s="3">
        <v>12413.8</v>
      </c>
      <c r="H3141" s="3">
        <v>1613.79</v>
      </c>
      <c r="I3141" s="3">
        <f>SUM(Tabla1[[#This Row],[Monto_Base]],H3141)</f>
        <v>14027.59</v>
      </c>
      <c r="J3141" t="s">
        <v>5044</v>
      </c>
      <c r="K3141" t="s">
        <v>5047</v>
      </c>
      <c r="L3141" t="s">
        <v>5052</v>
      </c>
      <c r="M3141" t="s">
        <v>5055</v>
      </c>
    </row>
    <row r="3142" spans="1:13" x14ac:dyDescent="0.3">
      <c r="A3142" s="1">
        <v>45623</v>
      </c>
      <c r="B3142" s="1" t="str">
        <f>TEXT(Tabla1[[#This Row],[Fecha]],"MMMM")</f>
        <v>noviembre</v>
      </c>
      <c r="C3142" t="s">
        <v>3152</v>
      </c>
      <c r="D3142" t="s">
        <v>5025</v>
      </c>
      <c r="E3142" t="s">
        <v>5032</v>
      </c>
      <c r="F3142" t="s">
        <v>5041</v>
      </c>
      <c r="G3142" s="3">
        <v>10505.85</v>
      </c>
      <c r="H3142" s="3">
        <v>0</v>
      </c>
      <c r="I3142" s="3">
        <f>SUM(Tabla1[[#This Row],[Monto_Base]],H3142)</f>
        <v>10505.85</v>
      </c>
      <c r="J3142" t="s">
        <v>5044</v>
      </c>
      <c r="K3142" t="s">
        <v>5048</v>
      </c>
      <c r="L3142" t="s">
        <v>5053</v>
      </c>
      <c r="M3142" t="s">
        <v>5054</v>
      </c>
    </row>
    <row r="3143" spans="1:13" x14ac:dyDescent="0.3">
      <c r="A3143" s="1">
        <v>45584</v>
      </c>
      <c r="B3143" s="1" t="str">
        <f>TEXT(Tabla1[[#This Row],[Fecha]],"MMMM")</f>
        <v>octubre</v>
      </c>
      <c r="C3143" t="s">
        <v>3153</v>
      </c>
      <c r="D3143" t="s">
        <v>5030</v>
      </c>
      <c r="E3143" t="s">
        <v>5033</v>
      </c>
      <c r="F3143" t="s">
        <v>5035</v>
      </c>
      <c r="G3143" s="3">
        <v>13899.27</v>
      </c>
      <c r="H3143" s="3">
        <v>1806.91</v>
      </c>
      <c r="I3143" s="3">
        <f>SUM(Tabla1[[#This Row],[Monto_Base]],H3143)</f>
        <v>15706.18</v>
      </c>
      <c r="J3143" t="s">
        <v>5045</v>
      </c>
      <c r="K3143" t="s">
        <v>5047</v>
      </c>
      <c r="L3143" t="s">
        <v>5050</v>
      </c>
      <c r="M3143" t="s">
        <v>5054</v>
      </c>
    </row>
    <row r="3144" spans="1:13" x14ac:dyDescent="0.3">
      <c r="A3144" s="1">
        <v>45298</v>
      </c>
      <c r="B3144" s="1" t="str">
        <f>TEXT(Tabla1[[#This Row],[Fecha]],"MMMM")</f>
        <v>enero</v>
      </c>
      <c r="C3144" t="s">
        <v>3154</v>
      </c>
      <c r="D3144" t="s">
        <v>5018</v>
      </c>
      <c r="E3144" t="s">
        <v>5032</v>
      </c>
      <c r="F3144" t="s">
        <v>5035</v>
      </c>
      <c r="G3144" s="3">
        <v>10911.37</v>
      </c>
      <c r="H3144" s="3">
        <v>0</v>
      </c>
      <c r="I3144" s="3">
        <f>SUM(Tabla1[[#This Row],[Monto_Base]],H3144)</f>
        <v>10911.37</v>
      </c>
      <c r="J3144" t="s">
        <v>5044</v>
      </c>
      <c r="K3144" t="s">
        <v>5047</v>
      </c>
      <c r="L3144" t="s">
        <v>5052</v>
      </c>
      <c r="M3144" t="s">
        <v>5055</v>
      </c>
    </row>
    <row r="3145" spans="1:13" x14ac:dyDescent="0.3">
      <c r="A3145" s="1">
        <v>45612</v>
      </c>
      <c r="B3145" s="1" t="str">
        <f>TEXT(Tabla1[[#This Row],[Fecha]],"MMMM")</f>
        <v>noviembre</v>
      </c>
      <c r="C3145" t="s">
        <v>3155</v>
      </c>
      <c r="D3145" t="s">
        <v>5014</v>
      </c>
      <c r="E3145" t="s">
        <v>5032</v>
      </c>
      <c r="F3145" t="s">
        <v>5039</v>
      </c>
      <c r="G3145" s="3">
        <v>10306.86</v>
      </c>
      <c r="H3145" s="3">
        <v>0</v>
      </c>
      <c r="I3145" s="3">
        <f>SUM(Tabla1[[#This Row],[Monto_Base]],H3145)</f>
        <v>10306.86</v>
      </c>
      <c r="J3145" t="s">
        <v>5046</v>
      </c>
      <c r="K3145" t="s">
        <v>5049</v>
      </c>
      <c r="L3145" t="s">
        <v>5052</v>
      </c>
      <c r="M3145" t="s">
        <v>5054</v>
      </c>
    </row>
    <row r="3146" spans="1:13" x14ac:dyDescent="0.3">
      <c r="A3146" s="1">
        <v>45611</v>
      </c>
      <c r="B3146" s="1" t="str">
        <f>TEXT(Tabla1[[#This Row],[Fecha]],"MMMM")</f>
        <v>noviembre</v>
      </c>
      <c r="C3146" t="s">
        <v>3156</v>
      </c>
      <c r="D3146" t="s">
        <v>5012</v>
      </c>
      <c r="E3146" t="s">
        <v>5033</v>
      </c>
      <c r="F3146" t="s">
        <v>5041</v>
      </c>
      <c r="G3146" s="3">
        <v>5498.89</v>
      </c>
      <c r="H3146" s="3">
        <v>714.86</v>
      </c>
      <c r="I3146" s="3">
        <f>SUM(Tabla1[[#This Row],[Monto_Base]],H3146)</f>
        <v>6213.75</v>
      </c>
      <c r="J3146" t="s">
        <v>5042</v>
      </c>
      <c r="K3146" t="s">
        <v>5048</v>
      </c>
      <c r="L3146" t="s">
        <v>5051</v>
      </c>
      <c r="M3146" t="s">
        <v>5055</v>
      </c>
    </row>
    <row r="3147" spans="1:13" x14ac:dyDescent="0.3">
      <c r="A3147" s="1">
        <v>45523</v>
      </c>
      <c r="B3147" s="1" t="str">
        <f>TEXT(Tabla1[[#This Row],[Fecha]],"MMMM")</f>
        <v>agosto</v>
      </c>
      <c r="C3147" t="s">
        <v>3157</v>
      </c>
      <c r="D3147" t="s">
        <v>5024</v>
      </c>
      <c r="E3147" t="s">
        <v>5032</v>
      </c>
      <c r="F3147" t="s">
        <v>5040</v>
      </c>
      <c r="G3147" s="3">
        <v>8945.2999999999993</v>
      </c>
      <c r="H3147" s="3">
        <v>0</v>
      </c>
      <c r="I3147" s="3">
        <f>SUM(Tabla1[[#This Row],[Monto_Base]],H3147)</f>
        <v>8945.2999999999993</v>
      </c>
      <c r="J3147" t="s">
        <v>5044</v>
      </c>
      <c r="K3147" t="s">
        <v>5048</v>
      </c>
      <c r="L3147" t="s">
        <v>5052</v>
      </c>
      <c r="M3147" t="s">
        <v>5055</v>
      </c>
    </row>
    <row r="3148" spans="1:13" x14ac:dyDescent="0.3">
      <c r="A3148" s="1">
        <v>45334</v>
      </c>
      <c r="B3148" s="1" t="str">
        <f>TEXT(Tabla1[[#This Row],[Fecha]],"MMMM")</f>
        <v>febrero</v>
      </c>
      <c r="C3148" t="s">
        <v>3158</v>
      </c>
      <c r="D3148" t="s">
        <v>5027</v>
      </c>
      <c r="E3148" t="s">
        <v>5032</v>
      </c>
      <c r="F3148" t="s">
        <v>5039</v>
      </c>
      <c r="G3148" s="3">
        <v>889.54</v>
      </c>
      <c r="H3148" s="3">
        <v>0</v>
      </c>
      <c r="I3148" s="3">
        <f>SUM(Tabla1[[#This Row],[Monto_Base]],H3148)</f>
        <v>889.54</v>
      </c>
      <c r="J3148" t="s">
        <v>5043</v>
      </c>
      <c r="K3148" t="s">
        <v>5048</v>
      </c>
      <c r="L3148" t="s">
        <v>5053</v>
      </c>
      <c r="M3148" t="s">
        <v>5055</v>
      </c>
    </row>
    <row r="3149" spans="1:13" x14ac:dyDescent="0.3">
      <c r="A3149" s="1">
        <v>45640</v>
      </c>
      <c r="B3149" s="1" t="str">
        <f>TEXT(Tabla1[[#This Row],[Fecha]],"MMMM")</f>
        <v>diciembre</v>
      </c>
      <c r="C3149" t="s">
        <v>3159</v>
      </c>
      <c r="D3149" t="s">
        <v>5018</v>
      </c>
      <c r="E3149" t="s">
        <v>5032</v>
      </c>
      <c r="F3149" t="s">
        <v>5035</v>
      </c>
      <c r="G3149" s="3">
        <v>14120.31</v>
      </c>
      <c r="H3149" s="3">
        <v>0</v>
      </c>
      <c r="I3149" s="3">
        <f>SUM(Tabla1[[#This Row],[Monto_Base]],H3149)</f>
        <v>14120.31</v>
      </c>
      <c r="J3149" t="s">
        <v>5044</v>
      </c>
      <c r="K3149" t="s">
        <v>5047</v>
      </c>
      <c r="L3149" t="s">
        <v>5052</v>
      </c>
      <c r="M3149" t="s">
        <v>5054</v>
      </c>
    </row>
    <row r="3150" spans="1:13" x14ac:dyDescent="0.3">
      <c r="A3150" s="1">
        <v>45494</v>
      </c>
      <c r="B3150" s="1" t="str">
        <f>TEXT(Tabla1[[#This Row],[Fecha]],"MMMM")</f>
        <v>julio</v>
      </c>
      <c r="C3150" t="s">
        <v>3160</v>
      </c>
      <c r="D3150" t="s">
        <v>5014</v>
      </c>
      <c r="E3150" t="s">
        <v>5033</v>
      </c>
      <c r="F3150" t="s">
        <v>5041</v>
      </c>
      <c r="G3150" s="3">
        <v>11851.75</v>
      </c>
      <c r="H3150" s="3">
        <v>1540.73</v>
      </c>
      <c r="I3150" s="3">
        <f>SUM(Tabla1[[#This Row],[Monto_Base]],H3150)</f>
        <v>13392.48</v>
      </c>
      <c r="J3150" t="s">
        <v>5042</v>
      </c>
      <c r="K3150" t="s">
        <v>5049</v>
      </c>
      <c r="L3150" t="s">
        <v>5050</v>
      </c>
      <c r="M3150" t="s">
        <v>5055</v>
      </c>
    </row>
    <row r="3151" spans="1:13" x14ac:dyDescent="0.3">
      <c r="A3151" s="1">
        <v>45337</v>
      </c>
      <c r="B3151" s="1" t="str">
        <f>TEXT(Tabla1[[#This Row],[Fecha]],"MMMM")</f>
        <v>febrero</v>
      </c>
      <c r="C3151" t="s">
        <v>3161</v>
      </c>
      <c r="D3151" t="s">
        <v>5027</v>
      </c>
      <c r="E3151" t="s">
        <v>5033</v>
      </c>
      <c r="F3151" t="s">
        <v>5040</v>
      </c>
      <c r="G3151" s="3">
        <v>5185.3999999999996</v>
      </c>
      <c r="H3151" s="3">
        <v>674.1</v>
      </c>
      <c r="I3151" s="3">
        <f>SUM(Tabla1[[#This Row],[Monto_Base]],H3151)</f>
        <v>5859.5</v>
      </c>
      <c r="J3151" t="s">
        <v>5043</v>
      </c>
      <c r="K3151" t="s">
        <v>5048</v>
      </c>
      <c r="L3151" t="s">
        <v>5053</v>
      </c>
      <c r="M3151" t="s">
        <v>5055</v>
      </c>
    </row>
    <row r="3152" spans="1:13" x14ac:dyDescent="0.3">
      <c r="A3152" s="1">
        <v>45593</v>
      </c>
      <c r="B3152" s="1" t="str">
        <f>TEXT(Tabla1[[#This Row],[Fecha]],"MMMM")</f>
        <v>octubre</v>
      </c>
      <c r="C3152" t="s">
        <v>3162</v>
      </c>
      <c r="D3152" t="s">
        <v>5014</v>
      </c>
      <c r="E3152" t="s">
        <v>5032</v>
      </c>
      <c r="F3152" t="s">
        <v>5036</v>
      </c>
      <c r="G3152" s="3">
        <v>4161.74</v>
      </c>
      <c r="H3152" s="3">
        <v>0</v>
      </c>
      <c r="I3152" s="3">
        <f>SUM(Tabla1[[#This Row],[Monto_Base]],H3152)</f>
        <v>4161.74</v>
      </c>
      <c r="J3152" t="s">
        <v>5042</v>
      </c>
      <c r="K3152" t="s">
        <v>5047</v>
      </c>
      <c r="L3152" t="s">
        <v>5053</v>
      </c>
      <c r="M3152" t="s">
        <v>5054</v>
      </c>
    </row>
    <row r="3153" spans="1:13" x14ac:dyDescent="0.3">
      <c r="A3153" s="1">
        <v>45315</v>
      </c>
      <c r="B3153" s="1" t="str">
        <f>TEXT(Tabla1[[#This Row],[Fecha]],"MMMM")</f>
        <v>enero</v>
      </c>
      <c r="C3153" t="s">
        <v>3163</v>
      </c>
      <c r="D3153" t="s">
        <v>5016</v>
      </c>
      <c r="E3153" t="s">
        <v>5032</v>
      </c>
      <c r="F3153" t="s">
        <v>5039</v>
      </c>
      <c r="G3153" s="3">
        <v>4284.46</v>
      </c>
      <c r="H3153" s="3">
        <v>0</v>
      </c>
      <c r="I3153" s="3">
        <f>SUM(Tabla1[[#This Row],[Monto_Base]],H3153)</f>
        <v>4284.46</v>
      </c>
      <c r="J3153" t="s">
        <v>5044</v>
      </c>
      <c r="K3153" t="s">
        <v>5048</v>
      </c>
      <c r="L3153" t="s">
        <v>5051</v>
      </c>
      <c r="M3153" t="s">
        <v>5055</v>
      </c>
    </row>
    <row r="3154" spans="1:13" x14ac:dyDescent="0.3">
      <c r="A3154" s="1">
        <v>45483</v>
      </c>
      <c r="B3154" s="1" t="str">
        <f>TEXT(Tabla1[[#This Row],[Fecha]],"MMMM")</f>
        <v>julio</v>
      </c>
      <c r="C3154" t="s">
        <v>3164</v>
      </c>
      <c r="D3154" t="s">
        <v>5022</v>
      </c>
      <c r="E3154" t="s">
        <v>5032</v>
      </c>
      <c r="F3154" t="s">
        <v>5034</v>
      </c>
      <c r="G3154" s="3">
        <v>2780.73</v>
      </c>
      <c r="H3154" s="3">
        <v>0</v>
      </c>
      <c r="I3154" s="3">
        <f>SUM(Tabla1[[#This Row],[Monto_Base]],H3154)</f>
        <v>2780.73</v>
      </c>
      <c r="J3154" t="s">
        <v>5046</v>
      </c>
      <c r="K3154" t="s">
        <v>5048</v>
      </c>
      <c r="L3154" t="s">
        <v>5052</v>
      </c>
      <c r="M3154" t="s">
        <v>5055</v>
      </c>
    </row>
    <row r="3155" spans="1:13" x14ac:dyDescent="0.3">
      <c r="A3155" s="1">
        <v>45321</v>
      </c>
      <c r="B3155" s="1" t="str">
        <f>TEXT(Tabla1[[#This Row],[Fecha]],"MMMM")</f>
        <v>enero</v>
      </c>
      <c r="C3155" t="s">
        <v>3165</v>
      </c>
      <c r="D3155" t="s">
        <v>5013</v>
      </c>
      <c r="E3155" t="s">
        <v>5033</v>
      </c>
      <c r="F3155" t="s">
        <v>5036</v>
      </c>
      <c r="G3155" s="3">
        <v>10387.540000000001</v>
      </c>
      <c r="H3155" s="3">
        <v>1350.38</v>
      </c>
      <c r="I3155" s="3">
        <f>SUM(Tabla1[[#This Row],[Monto_Base]],H3155)</f>
        <v>11737.920000000002</v>
      </c>
      <c r="J3155" t="s">
        <v>5042</v>
      </c>
      <c r="K3155" t="s">
        <v>5048</v>
      </c>
      <c r="L3155" t="s">
        <v>5053</v>
      </c>
      <c r="M3155" t="s">
        <v>5055</v>
      </c>
    </row>
    <row r="3156" spans="1:13" x14ac:dyDescent="0.3">
      <c r="A3156" s="1">
        <v>45331</v>
      </c>
      <c r="B3156" s="1" t="str">
        <f>TEXT(Tabla1[[#This Row],[Fecha]],"MMMM")</f>
        <v>febrero</v>
      </c>
      <c r="C3156" t="s">
        <v>3166</v>
      </c>
      <c r="D3156" t="s">
        <v>5019</v>
      </c>
      <c r="E3156" t="s">
        <v>5032</v>
      </c>
      <c r="F3156" t="s">
        <v>5034</v>
      </c>
      <c r="G3156" s="3">
        <v>12286.67</v>
      </c>
      <c r="H3156" s="3">
        <v>0</v>
      </c>
      <c r="I3156" s="3">
        <f>SUM(Tabla1[[#This Row],[Monto_Base]],H3156)</f>
        <v>12286.67</v>
      </c>
      <c r="J3156" t="s">
        <v>5046</v>
      </c>
      <c r="K3156" t="s">
        <v>5048</v>
      </c>
      <c r="L3156" t="s">
        <v>5050</v>
      </c>
      <c r="M3156" t="s">
        <v>5054</v>
      </c>
    </row>
    <row r="3157" spans="1:13" x14ac:dyDescent="0.3">
      <c r="A3157" s="1">
        <v>45646</v>
      </c>
      <c r="B3157" s="1" t="str">
        <f>TEXT(Tabla1[[#This Row],[Fecha]],"MMMM")</f>
        <v>diciembre</v>
      </c>
      <c r="C3157" t="s">
        <v>3167</v>
      </c>
      <c r="D3157" t="s">
        <v>5012</v>
      </c>
      <c r="E3157" t="s">
        <v>5032</v>
      </c>
      <c r="F3157" t="s">
        <v>5034</v>
      </c>
      <c r="G3157" s="3">
        <v>9779.9699999999993</v>
      </c>
      <c r="H3157" s="3">
        <v>0</v>
      </c>
      <c r="I3157" s="3">
        <f>SUM(Tabla1[[#This Row],[Monto_Base]],H3157)</f>
        <v>9779.9699999999993</v>
      </c>
      <c r="J3157" t="s">
        <v>5042</v>
      </c>
      <c r="K3157" t="s">
        <v>5047</v>
      </c>
      <c r="L3157" t="s">
        <v>5053</v>
      </c>
      <c r="M3157" t="s">
        <v>5054</v>
      </c>
    </row>
    <row r="3158" spans="1:13" x14ac:dyDescent="0.3">
      <c r="A3158" s="1">
        <v>45545</v>
      </c>
      <c r="B3158" s="1" t="str">
        <f>TEXT(Tabla1[[#This Row],[Fecha]],"MMMM")</f>
        <v>septiembre</v>
      </c>
      <c r="C3158" t="s">
        <v>3168</v>
      </c>
      <c r="D3158" t="s">
        <v>5027</v>
      </c>
      <c r="E3158" t="s">
        <v>5032</v>
      </c>
      <c r="F3158" t="s">
        <v>5039</v>
      </c>
      <c r="G3158" s="3">
        <v>5225.17</v>
      </c>
      <c r="H3158" s="3">
        <v>0</v>
      </c>
      <c r="I3158" s="3">
        <f>SUM(Tabla1[[#This Row],[Monto_Base]],H3158)</f>
        <v>5225.17</v>
      </c>
      <c r="J3158" t="s">
        <v>5046</v>
      </c>
      <c r="K3158" t="s">
        <v>5047</v>
      </c>
      <c r="L3158" t="s">
        <v>5051</v>
      </c>
      <c r="M3158" t="s">
        <v>5055</v>
      </c>
    </row>
    <row r="3159" spans="1:13" x14ac:dyDescent="0.3">
      <c r="A3159" s="1">
        <v>45572</v>
      </c>
      <c r="B3159" s="1" t="str">
        <f>TEXT(Tabla1[[#This Row],[Fecha]],"MMMM")</f>
        <v>octubre</v>
      </c>
      <c r="C3159" t="s">
        <v>3169</v>
      </c>
      <c r="D3159" t="s">
        <v>5016</v>
      </c>
      <c r="E3159" t="s">
        <v>5033</v>
      </c>
      <c r="F3159" t="s">
        <v>5041</v>
      </c>
      <c r="G3159" s="3">
        <v>13824.76</v>
      </c>
      <c r="H3159" s="3">
        <v>1797.22</v>
      </c>
      <c r="I3159" s="3">
        <f>SUM(Tabla1[[#This Row],[Monto_Base]],H3159)</f>
        <v>15621.98</v>
      </c>
      <c r="J3159" t="s">
        <v>5045</v>
      </c>
      <c r="K3159" t="s">
        <v>5049</v>
      </c>
      <c r="L3159" t="s">
        <v>5052</v>
      </c>
      <c r="M3159" t="s">
        <v>5054</v>
      </c>
    </row>
    <row r="3160" spans="1:13" x14ac:dyDescent="0.3">
      <c r="A3160" s="1">
        <v>45489</v>
      </c>
      <c r="B3160" s="1" t="str">
        <f>TEXT(Tabla1[[#This Row],[Fecha]],"MMMM")</f>
        <v>julio</v>
      </c>
      <c r="C3160" t="s">
        <v>3170</v>
      </c>
      <c r="D3160" t="s">
        <v>5025</v>
      </c>
      <c r="E3160" t="s">
        <v>5032</v>
      </c>
      <c r="F3160" t="s">
        <v>5038</v>
      </c>
      <c r="G3160" s="3">
        <v>6730.5</v>
      </c>
      <c r="H3160" s="3">
        <v>0</v>
      </c>
      <c r="I3160" s="3">
        <f>SUM(Tabla1[[#This Row],[Monto_Base]],H3160)</f>
        <v>6730.5</v>
      </c>
      <c r="J3160" t="s">
        <v>5045</v>
      </c>
      <c r="K3160" t="s">
        <v>5048</v>
      </c>
      <c r="L3160" t="s">
        <v>5052</v>
      </c>
      <c r="M3160" t="s">
        <v>5054</v>
      </c>
    </row>
    <row r="3161" spans="1:13" x14ac:dyDescent="0.3">
      <c r="A3161" s="1">
        <v>45384</v>
      </c>
      <c r="B3161" s="1" t="str">
        <f>TEXT(Tabla1[[#This Row],[Fecha]],"MMMM")</f>
        <v>abril</v>
      </c>
      <c r="C3161" t="s">
        <v>3171</v>
      </c>
      <c r="D3161" t="s">
        <v>5030</v>
      </c>
      <c r="E3161" t="s">
        <v>5032</v>
      </c>
      <c r="F3161" t="s">
        <v>5038</v>
      </c>
      <c r="G3161" s="3">
        <v>10248.780000000001</v>
      </c>
      <c r="H3161" s="3">
        <v>0</v>
      </c>
      <c r="I3161" s="3">
        <f>SUM(Tabla1[[#This Row],[Monto_Base]],H3161)</f>
        <v>10248.780000000001</v>
      </c>
      <c r="J3161" t="s">
        <v>5045</v>
      </c>
      <c r="K3161" t="s">
        <v>5048</v>
      </c>
      <c r="L3161" t="s">
        <v>5050</v>
      </c>
      <c r="M3161" t="s">
        <v>5054</v>
      </c>
    </row>
    <row r="3162" spans="1:13" x14ac:dyDescent="0.3">
      <c r="A3162" s="1">
        <v>45430</v>
      </c>
      <c r="B3162" s="1" t="str">
        <f>TEXT(Tabla1[[#This Row],[Fecha]],"MMMM")</f>
        <v>mayo</v>
      </c>
      <c r="C3162" t="s">
        <v>3172</v>
      </c>
      <c r="D3162" t="s">
        <v>5028</v>
      </c>
      <c r="E3162" t="s">
        <v>5032</v>
      </c>
      <c r="F3162" t="s">
        <v>5040</v>
      </c>
      <c r="G3162" s="3">
        <v>8053.26</v>
      </c>
      <c r="H3162" s="3">
        <v>0</v>
      </c>
      <c r="I3162" s="3">
        <f>SUM(Tabla1[[#This Row],[Monto_Base]],H3162)</f>
        <v>8053.26</v>
      </c>
      <c r="J3162" t="s">
        <v>5044</v>
      </c>
      <c r="K3162" t="s">
        <v>5047</v>
      </c>
      <c r="L3162" t="s">
        <v>5052</v>
      </c>
      <c r="M3162" t="s">
        <v>5055</v>
      </c>
    </row>
    <row r="3163" spans="1:13" x14ac:dyDescent="0.3">
      <c r="A3163" s="1">
        <v>45461</v>
      </c>
      <c r="B3163" s="1" t="str">
        <f>TEXT(Tabla1[[#This Row],[Fecha]],"MMMM")</f>
        <v>junio</v>
      </c>
      <c r="C3163" t="s">
        <v>3173</v>
      </c>
      <c r="D3163" t="s">
        <v>5019</v>
      </c>
      <c r="E3163" t="s">
        <v>5032</v>
      </c>
      <c r="F3163" t="s">
        <v>5041</v>
      </c>
      <c r="G3163" s="3">
        <v>14113.59</v>
      </c>
      <c r="H3163" s="3">
        <v>0</v>
      </c>
      <c r="I3163" s="3">
        <f>SUM(Tabla1[[#This Row],[Monto_Base]],H3163)</f>
        <v>14113.59</v>
      </c>
      <c r="J3163" t="s">
        <v>5044</v>
      </c>
      <c r="K3163" t="s">
        <v>5048</v>
      </c>
      <c r="L3163" t="s">
        <v>5051</v>
      </c>
      <c r="M3163" t="s">
        <v>5055</v>
      </c>
    </row>
    <row r="3164" spans="1:13" x14ac:dyDescent="0.3">
      <c r="A3164" s="1">
        <v>45351</v>
      </c>
      <c r="B3164" s="1" t="str">
        <f>TEXT(Tabla1[[#This Row],[Fecha]],"MMMM")</f>
        <v>febrero</v>
      </c>
      <c r="C3164" t="s">
        <v>3174</v>
      </c>
      <c r="D3164" t="s">
        <v>5029</v>
      </c>
      <c r="E3164" t="s">
        <v>5033</v>
      </c>
      <c r="F3164" t="s">
        <v>5034</v>
      </c>
      <c r="G3164" s="3">
        <v>4200.6400000000003</v>
      </c>
      <c r="H3164" s="3">
        <v>546.08000000000004</v>
      </c>
      <c r="I3164" s="3">
        <f>SUM(Tabla1[[#This Row],[Monto_Base]],H3164)</f>
        <v>4746.72</v>
      </c>
      <c r="J3164" t="s">
        <v>5042</v>
      </c>
      <c r="K3164" t="s">
        <v>5047</v>
      </c>
      <c r="L3164" t="s">
        <v>5052</v>
      </c>
      <c r="M3164" t="s">
        <v>5055</v>
      </c>
    </row>
    <row r="3165" spans="1:13" x14ac:dyDescent="0.3">
      <c r="A3165" s="1">
        <v>45462</v>
      </c>
      <c r="B3165" s="1" t="str">
        <f>TEXT(Tabla1[[#This Row],[Fecha]],"MMMM")</f>
        <v>junio</v>
      </c>
      <c r="C3165" t="s">
        <v>3175</v>
      </c>
      <c r="D3165" t="s">
        <v>5015</v>
      </c>
      <c r="E3165" t="s">
        <v>5032</v>
      </c>
      <c r="F3165" t="s">
        <v>5039</v>
      </c>
      <c r="G3165" s="3">
        <v>10445.92</v>
      </c>
      <c r="H3165" s="3">
        <v>0</v>
      </c>
      <c r="I3165" s="3">
        <f>SUM(Tabla1[[#This Row],[Monto_Base]],H3165)</f>
        <v>10445.92</v>
      </c>
      <c r="J3165" t="s">
        <v>5045</v>
      </c>
      <c r="K3165" t="s">
        <v>5049</v>
      </c>
      <c r="L3165" t="s">
        <v>5052</v>
      </c>
      <c r="M3165" t="s">
        <v>5055</v>
      </c>
    </row>
    <row r="3166" spans="1:13" x14ac:dyDescent="0.3">
      <c r="A3166" s="1">
        <v>45434</v>
      </c>
      <c r="B3166" s="1" t="str">
        <f>TEXT(Tabla1[[#This Row],[Fecha]],"MMMM")</f>
        <v>mayo</v>
      </c>
      <c r="C3166" t="s">
        <v>3176</v>
      </c>
      <c r="D3166" t="s">
        <v>5024</v>
      </c>
      <c r="E3166" t="s">
        <v>5033</v>
      </c>
      <c r="F3166" t="s">
        <v>5036</v>
      </c>
      <c r="G3166" s="3">
        <v>2340.21</v>
      </c>
      <c r="H3166" s="3">
        <v>304.23</v>
      </c>
      <c r="I3166" s="3">
        <f>SUM(Tabla1[[#This Row],[Monto_Base]],H3166)</f>
        <v>2644.44</v>
      </c>
      <c r="J3166" t="s">
        <v>5042</v>
      </c>
      <c r="K3166" t="s">
        <v>5048</v>
      </c>
      <c r="L3166" t="s">
        <v>5051</v>
      </c>
      <c r="M3166" t="s">
        <v>5055</v>
      </c>
    </row>
    <row r="3167" spans="1:13" x14ac:dyDescent="0.3">
      <c r="A3167" s="1">
        <v>45327</v>
      </c>
      <c r="B3167" s="1" t="str">
        <f>TEXT(Tabla1[[#This Row],[Fecha]],"MMMM")</f>
        <v>febrero</v>
      </c>
      <c r="C3167" t="s">
        <v>3177</v>
      </c>
      <c r="D3167" t="s">
        <v>5027</v>
      </c>
      <c r="E3167" t="s">
        <v>5032</v>
      </c>
      <c r="F3167" t="s">
        <v>5037</v>
      </c>
      <c r="G3167" s="3">
        <v>1826.49</v>
      </c>
      <c r="H3167" s="3">
        <v>0</v>
      </c>
      <c r="I3167" s="3">
        <f>SUM(Tabla1[[#This Row],[Monto_Base]],H3167)</f>
        <v>1826.49</v>
      </c>
      <c r="J3167" t="s">
        <v>5044</v>
      </c>
      <c r="K3167" t="s">
        <v>5048</v>
      </c>
      <c r="L3167" t="s">
        <v>5050</v>
      </c>
      <c r="M3167" t="s">
        <v>5054</v>
      </c>
    </row>
    <row r="3168" spans="1:13" x14ac:dyDescent="0.3">
      <c r="A3168" s="1">
        <v>45506</v>
      </c>
      <c r="B3168" s="1" t="str">
        <f>TEXT(Tabla1[[#This Row],[Fecha]],"MMMM")</f>
        <v>agosto</v>
      </c>
      <c r="C3168" t="s">
        <v>3178</v>
      </c>
      <c r="D3168" t="s">
        <v>5017</v>
      </c>
      <c r="E3168" t="s">
        <v>5033</v>
      </c>
      <c r="F3168" t="s">
        <v>5041</v>
      </c>
      <c r="G3168" s="3">
        <v>471.93</v>
      </c>
      <c r="H3168" s="3">
        <v>61.35</v>
      </c>
      <c r="I3168" s="3">
        <f>SUM(Tabla1[[#This Row],[Monto_Base]],H3168)</f>
        <v>533.28</v>
      </c>
      <c r="J3168" t="s">
        <v>5044</v>
      </c>
      <c r="K3168" t="s">
        <v>5049</v>
      </c>
      <c r="L3168" t="s">
        <v>5051</v>
      </c>
      <c r="M3168" t="s">
        <v>5054</v>
      </c>
    </row>
    <row r="3169" spans="1:13" x14ac:dyDescent="0.3">
      <c r="A3169" s="1">
        <v>45653</v>
      </c>
      <c r="B3169" s="1" t="str">
        <f>TEXT(Tabla1[[#This Row],[Fecha]],"MMMM")</f>
        <v>diciembre</v>
      </c>
      <c r="C3169" t="s">
        <v>3179</v>
      </c>
      <c r="D3169" t="s">
        <v>5024</v>
      </c>
      <c r="E3169" t="s">
        <v>5033</v>
      </c>
      <c r="F3169" t="s">
        <v>5037</v>
      </c>
      <c r="G3169" s="3">
        <v>575.09</v>
      </c>
      <c r="H3169" s="3">
        <v>74.760000000000005</v>
      </c>
      <c r="I3169" s="3">
        <f>SUM(Tabla1[[#This Row],[Monto_Base]],H3169)</f>
        <v>649.85</v>
      </c>
      <c r="J3169" t="s">
        <v>5046</v>
      </c>
      <c r="K3169" t="s">
        <v>5048</v>
      </c>
      <c r="L3169" t="s">
        <v>5051</v>
      </c>
      <c r="M3169" t="s">
        <v>5054</v>
      </c>
    </row>
    <row r="3170" spans="1:13" x14ac:dyDescent="0.3">
      <c r="A3170" s="1">
        <v>45382</v>
      </c>
      <c r="B3170" s="1" t="str">
        <f>TEXT(Tabla1[[#This Row],[Fecha]],"MMMM")</f>
        <v>marzo</v>
      </c>
      <c r="C3170" t="s">
        <v>3180</v>
      </c>
      <c r="D3170" t="s">
        <v>5012</v>
      </c>
      <c r="E3170" t="s">
        <v>5033</v>
      </c>
      <c r="F3170" t="s">
        <v>5041</v>
      </c>
      <c r="G3170" s="3">
        <v>14405.32</v>
      </c>
      <c r="H3170" s="3">
        <v>1872.69</v>
      </c>
      <c r="I3170" s="3">
        <f>SUM(Tabla1[[#This Row],[Monto_Base]],H3170)</f>
        <v>16278.01</v>
      </c>
      <c r="J3170" t="s">
        <v>5043</v>
      </c>
      <c r="K3170" t="s">
        <v>5047</v>
      </c>
      <c r="L3170" t="s">
        <v>5050</v>
      </c>
      <c r="M3170" t="s">
        <v>5054</v>
      </c>
    </row>
    <row r="3171" spans="1:13" x14ac:dyDescent="0.3">
      <c r="A3171" s="1">
        <v>45324</v>
      </c>
      <c r="B3171" s="1" t="str">
        <f>TEXT(Tabla1[[#This Row],[Fecha]],"MMMM")</f>
        <v>febrero</v>
      </c>
      <c r="C3171" t="s">
        <v>3181</v>
      </c>
      <c r="D3171" t="s">
        <v>5029</v>
      </c>
      <c r="E3171" t="s">
        <v>5032</v>
      </c>
      <c r="F3171" t="s">
        <v>5040</v>
      </c>
      <c r="G3171" s="3">
        <v>6304.63</v>
      </c>
      <c r="H3171" s="3">
        <v>0</v>
      </c>
      <c r="I3171" s="3">
        <f>SUM(Tabla1[[#This Row],[Monto_Base]],H3171)</f>
        <v>6304.63</v>
      </c>
      <c r="J3171" t="s">
        <v>5045</v>
      </c>
      <c r="K3171" t="s">
        <v>5047</v>
      </c>
      <c r="L3171" t="s">
        <v>5053</v>
      </c>
      <c r="M3171" t="s">
        <v>5054</v>
      </c>
    </row>
    <row r="3172" spans="1:13" x14ac:dyDescent="0.3">
      <c r="A3172" s="1">
        <v>45316</v>
      </c>
      <c r="B3172" s="1" t="str">
        <f>TEXT(Tabla1[[#This Row],[Fecha]],"MMMM")</f>
        <v>enero</v>
      </c>
      <c r="C3172" t="s">
        <v>3182</v>
      </c>
      <c r="D3172" t="s">
        <v>5018</v>
      </c>
      <c r="E3172" t="s">
        <v>5033</v>
      </c>
      <c r="F3172" t="s">
        <v>5041</v>
      </c>
      <c r="G3172" s="3">
        <v>8116.81</v>
      </c>
      <c r="H3172" s="3">
        <v>1055.19</v>
      </c>
      <c r="I3172" s="3">
        <f>SUM(Tabla1[[#This Row],[Monto_Base]],H3172)</f>
        <v>9172</v>
      </c>
      <c r="J3172" t="s">
        <v>5043</v>
      </c>
      <c r="K3172" t="s">
        <v>5048</v>
      </c>
      <c r="L3172" t="s">
        <v>5053</v>
      </c>
      <c r="M3172" t="s">
        <v>5055</v>
      </c>
    </row>
    <row r="3173" spans="1:13" x14ac:dyDescent="0.3">
      <c r="A3173" s="1">
        <v>45473</v>
      </c>
      <c r="B3173" s="1" t="str">
        <f>TEXT(Tabla1[[#This Row],[Fecha]],"MMMM")</f>
        <v>junio</v>
      </c>
      <c r="C3173" t="s">
        <v>3183</v>
      </c>
      <c r="D3173" t="s">
        <v>5020</v>
      </c>
      <c r="E3173" t="s">
        <v>5032</v>
      </c>
      <c r="F3173" t="s">
        <v>5037</v>
      </c>
      <c r="G3173" s="3">
        <v>5681.8</v>
      </c>
      <c r="H3173" s="3">
        <v>0</v>
      </c>
      <c r="I3173" s="3">
        <f>SUM(Tabla1[[#This Row],[Monto_Base]],H3173)</f>
        <v>5681.8</v>
      </c>
      <c r="J3173" t="s">
        <v>5043</v>
      </c>
      <c r="K3173" t="s">
        <v>5048</v>
      </c>
      <c r="L3173" t="s">
        <v>5051</v>
      </c>
      <c r="M3173" t="s">
        <v>5054</v>
      </c>
    </row>
    <row r="3174" spans="1:13" x14ac:dyDescent="0.3">
      <c r="A3174" s="1">
        <v>45379</v>
      </c>
      <c r="B3174" s="1" t="str">
        <f>TEXT(Tabla1[[#This Row],[Fecha]],"MMMM")</f>
        <v>marzo</v>
      </c>
      <c r="C3174" t="s">
        <v>3184</v>
      </c>
      <c r="D3174" t="s">
        <v>5026</v>
      </c>
      <c r="E3174" t="s">
        <v>5033</v>
      </c>
      <c r="F3174" t="s">
        <v>5040</v>
      </c>
      <c r="G3174" s="3">
        <v>2135.67</v>
      </c>
      <c r="H3174" s="3">
        <v>277.64</v>
      </c>
      <c r="I3174" s="3">
        <f>SUM(Tabla1[[#This Row],[Monto_Base]],H3174)</f>
        <v>2413.31</v>
      </c>
      <c r="J3174" t="s">
        <v>5042</v>
      </c>
      <c r="K3174" t="s">
        <v>5049</v>
      </c>
      <c r="L3174" t="s">
        <v>5050</v>
      </c>
      <c r="M3174" t="s">
        <v>5055</v>
      </c>
    </row>
    <row r="3175" spans="1:13" x14ac:dyDescent="0.3">
      <c r="A3175" s="1">
        <v>45657</v>
      </c>
      <c r="B3175" s="1" t="str">
        <f>TEXT(Tabla1[[#This Row],[Fecha]],"MMMM")</f>
        <v>diciembre</v>
      </c>
      <c r="C3175" t="s">
        <v>3185</v>
      </c>
      <c r="D3175" t="s">
        <v>5015</v>
      </c>
      <c r="E3175" t="s">
        <v>5032</v>
      </c>
      <c r="F3175" t="s">
        <v>5037</v>
      </c>
      <c r="G3175" s="3">
        <v>8860.51</v>
      </c>
      <c r="H3175" s="3">
        <v>0</v>
      </c>
      <c r="I3175" s="3">
        <f>SUM(Tabla1[[#This Row],[Monto_Base]],H3175)</f>
        <v>8860.51</v>
      </c>
      <c r="J3175" t="s">
        <v>5042</v>
      </c>
      <c r="K3175" t="s">
        <v>5049</v>
      </c>
      <c r="L3175" t="s">
        <v>5051</v>
      </c>
      <c r="M3175" t="s">
        <v>5054</v>
      </c>
    </row>
    <row r="3176" spans="1:13" x14ac:dyDescent="0.3">
      <c r="A3176" s="1">
        <v>45460</v>
      </c>
      <c r="B3176" s="1" t="str">
        <f>TEXT(Tabla1[[#This Row],[Fecha]],"MMMM")</f>
        <v>junio</v>
      </c>
      <c r="C3176" t="s">
        <v>3186</v>
      </c>
      <c r="D3176" t="s">
        <v>5023</v>
      </c>
      <c r="E3176" t="s">
        <v>5032</v>
      </c>
      <c r="F3176" t="s">
        <v>5041</v>
      </c>
      <c r="G3176" s="3">
        <v>13257.25</v>
      </c>
      <c r="H3176" s="3">
        <v>0</v>
      </c>
      <c r="I3176" s="3">
        <f>SUM(Tabla1[[#This Row],[Monto_Base]],H3176)</f>
        <v>13257.25</v>
      </c>
      <c r="J3176" t="s">
        <v>5046</v>
      </c>
      <c r="K3176" t="s">
        <v>5047</v>
      </c>
      <c r="L3176" t="s">
        <v>5052</v>
      </c>
      <c r="M3176" t="s">
        <v>5054</v>
      </c>
    </row>
    <row r="3177" spans="1:13" x14ac:dyDescent="0.3">
      <c r="A3177" s="1">
        <v>45377</v>
      </c>
      <c r="B3177" s="1" t="str">
        <f>TEXT(Tabla1[[#This Row],[Fecha]],"MMMM")</f>
        <v>marzo</v>
      </c>
      <c r="C3177" t="s">
        <v>3187</v>
      </c>
      <c r="D3177" t="s">
        <v>5026</v>
      </c>
      <c r="E3177" t="s">
        <v>5032</v>
      </c>
      <c r="F3177" t="s">
        <v>5036</v>
      </c>
      <c r="G3177" s="3">
        <v>11900.41</v>
      </c>
      <c r="H3177" s="3">
        <v>0</v>
      </c>
      <c r="I3177" s="3">
        <f>SUM(Tabla1[[#This Row],[Monto_Base]],H3177)</f>
        <v>11900.41</v>
      </c>
      <c r="J3177" t="s">
        <v>5046</v>
      </c>
      <c r="K3177" t="s">
        <v>5049</v>
      </c>
      <c r="L3177" t="s">
        <v>5052</v>
      </c>
      <c r="M3177" t="s">
        <v>5054</v>
      </c>
    </row>
    <row r="3178" spans="1:13" x14ac:dyDescent="0.3">
      <c r="A3178" s="1">
        <v>45356</v>
      </c>
      <c r="B3178" s="1" t="str">
        <f>TEXT(Tabla1[[#This Row],[Fecha]],"MMMM")</f>
        <v>marzo</v>
      </c>
      <c r="C3178" t="s">
        <v>3188</v>
      </c>
      <c r="D3178" t="s">
        <v>5027</v>
      </c>
      <c r="E3178" t="s">
        <v>5032</v>
      </c>
      <c r="F3178" t="s">
        <v>5037</v>
      </c>
      <c r="G3178" s="3">
        <v>14703.43</v>
      </c>
      <c r="H3178" s="3">
        <v>0</v>
      </c>
      <c r="I3178" s="3">
        <f>SUM(Tabla1[[#This Row],[Monto_Base]],H3178)</f>
        <v>14703.43</v>
      </c>
      <c r="J3178" t="s">
        <v>5043</v>
      </c>
      <c r="K3178" t="s">
        <v>5049</v>
      </c>
      <c r="L3178" t="s">
        <v>5050</v>
      </c>
      <c r="M3178" t="s">
        <v>5055</v>
      </c>
    </row>
    <row r="3179" spans="1:13" x14ac:dyDescent="0.3">
      <c r="A3179" s="1">
        <v>45562</v>
      </c>
      <c r="B3179" s="1" t="str">
        <f>TEXT(Tabla1[[#This Row],[Fecha]],"MMMM")</f>
        <v>septiembre</v>
      </c>
      <c r="C3179" t="s">
        <v>3189</v>
      </c>
      <c r="D3179" t="s">
        <v>5027</v>
      </c>
      <c r="E3179" t="s">
        <v>5032</v>
      </c>
      <c r="F3179" t="s">
        <v>5039</v>
      </c>
      <c r="G3179" s="3">
        <v>7094.41</v>
      </c>
      <c r="H3179" s="3">
        <v>0</v>
      </c>
      <c r="I3179" s="3">
        <f>SUM(Tabla1[[#This Row],[Monto_Base]],H3179)</f>
        <v>7094.41</v>
      </c>
      <c r="J3179" t="s">
        <v>5043</v>
      </c>
      <c r="K3179" t="s">
        <v>5049</v>
      </c>
      <c r="L3179" t="s">
        <v>5050</v>
      </c>
      <c r="M3179" t="s">
        <v>5054</v>
      </c>
    </row>
    <row r="3180" spans="1:13" x14ac:dyDescent="0.3">
      <c r="A3180" s="1">
        <v>45407</v>
      </c>
      <c r="B3180" s="1" t="str">
        <f>TEXT(Tabla1[[#This Row],[Fecha]],"MMMM")</f>
        <v>abril</v>
      </c>
      <c r="C3180" t="s">
        <v>3190</v>
      </c>
      <c r="D3180" t="s">
        <v>5026</v>
      </c>
      <c r="E3180" t="s">
        <v>5033</v>
      </c>
      <c r="F3180" t="s">
        <v>5041</v>
      </c>
      <c r="G3180" s="3">
        <v>6760.1</v>
      </c>
      <c r="H3180" s="3">
        <v>878.81</v>
      </c>
      <c r="I3180" s="3">
        <f>SUM(Tabla1[[#This Row],[Monto_Base]],H3180)</f>
        <v>7638.91</v>
      </c>
      <c r="J3180" t="s">
        <v>5044</v>
      </c>
      <c r="K3180" t="s">
        <v>5048</v>
      </c>
      <c r="L3180" t="s">
        <v>5053</v>
      </c>
      <c r="M3180" t="s">
        <v>5054</v>
      </c>
    </row>
    <row r="3181" spans="1:13" x14ac:dyDescent="0.3">
      <c r="A3181" s="1">
        <v>45616</v>
      </c>
      <c r="B3181" s="1" t="str">
        <f>TEXT(Tabla1[[#This Row],[Fecha]],"MMMM")</f>
        <v>noviembre</v>
      </c>
      <c r="C3181" t="s">
        <v>3191</v>
      </c>
      <c r="D3181" t="s">
        <v>5028</v>
      </c>
      <c r="E3181" t="s">
        <v>5033</v>
      </c>
      <c r="F3181" t="s">
        <v>5034</v>
      </c>
      <c r="G3181" s="3">
        <v>4026.1</v>
      </c>
      <c r="H3181" s="3">
        <v>523.39</v>
      </c>
      <c r="I3181" s="3">
        <f>SUM(Tabla1[[#This Row],[Monto_Base]],H3181)</f>
        <v>4549.49</v>
      </c>
      <c r="J3181" t="s">
        <v>5044</v>
      </c>
      <c r="K3181" t="s">
        <v>5049</v>
      </c>
      <c r="L3181" t="s">
        <v>5051</v>
      </c>
      <c r="M3181" t="s">
        <v>5055</v>
      </c>
    </row>
    <row r="3182" spans="1:13" x14ac:dyDescent="0.3">
      <c r="A3182" s="1">
        <v>45624</v>
      </c>
      <c r="B3182" s="1" t="str">
        <f>TEXT(Tabla1[[#This Row],[Fecha]],"MMMM")</f>
        <v>noviembre</v>
      </c>
      <c r="C3182" t="s">
        <v>3192</v>
      </c>
      <c r="D3182" t="s">
        <v>5015</v>
      </c>
      <c r="E3182" t="s">
        <v>5032</v>
      </c>
      <c r="F3182" t="s">
        <v>5039</v>
      </c>
      <c r="G3182" s="3">
        <v>2933.52</v>
      </c>
      <c r="H3182" s="3">
        <v>0</v>
      </c>
      <c r="I3182" s="3">
        <f>SUM(Tabla1[[#This Row],[Monto_Base]],H3182)</f>
        <v>2933.52</v>
      </c>
      <c r="J3182" t="s">
        <v>5046</v>
      </c>
      <c r="K3182" t="s">
        <v>5048</v>
      </c>
      <c r="L3182" t="s">
        <v>5050</v>
      </c>
      <c r="M3182" t="s">
        <v>5054</v>
      </c>
    </row>
    <row r="3183" spans="1:13" x14ac:dyDescent="0.3">
      <c r="A3183" s="1">
        <v>45474</v>
      </c>
      <c r="B3183" s="1" t="str">
        <f>TEXT(Tabla1[[#This Row],[Fecha]],"MMMM")</f>
        <v>julio</v>
      </c>
      <c r="C3183" t="s">
        <v>3193</v>
      </c>
      <c r="D3183" t="s">
        <v>5021</v>
      </c>
      <c r="E3183" t="s">
        <v>5032</v>
      </c>
      <c r="F3183" t="s">
        <v>5034</v>
      </c>
      <c r="G3183" s="3">
        <v>5127.87</v>
      </c>
      <c r="H3183" s="3">
        <v>0</v>
      </c>
      <c r="I3183" s="3">
        <f>SUM(Tabla1[[#This Row],[Monto_Base]],H3183)</f>
        <v>5127.87</v>
      </c>
      <c r="J3183" t="s">
        <v>5042</v>
      </c>
      <c r="K3183" t="s">
        <v>5048</v>
      </c>
      <c r="L3183" t="s">
        <v>5052</v>
      </c>
      <c r="M3183" t="s">
        <v>5054</v>
      </c>
    </row>
    <row r="3184" spans="1:13" x14ac:dyDescent="0.3">
      <c r="A3184" s="1">
        <v>45468</v>
      </c>
      <c r="B3184" s="1" t="str">
        <f>TEXT(Tabla1[[#This Row],[Fecha]],"MMMM")</f>
        <v>junio</v>
      </c>
      <c r="C3184" t="s">
        <v>3194</v>
      </c>
      <c r="D3184" t="s">
        <v>5018</v>
      </c>
      <c r="E3184" t="s">
        <v>5033</v>
      </c>
      <c r="F3184" t="s">
        <v>5039</v>
      </c>
      <c r="G3184" s="3">
        <v>2594.7199999999998</v>
      </c>
      <c r="H3184" s="3">
        <v>337.31</v>
      </c>
      <c r="I3184" s="3">
        <f>SUM(Tabla1[[#This Row],[Monto_Base]],H3184)</f>
        <v>2932.0299999999997</v>
      </c>
      <c r="J3184" t="s">
        <v>5043</v>
      </c>
      <c r="K3184" t="s">
        <v>5047</v>
      </c>
      <c r="L3184" t="s">
        <v>5051</v>
      </c>
      <c r="M3184" t="s">
        <v>5054</v>
      </c>
    </row>
    <row r="3185" spans="1:13" x14ac:dyDescent="0.3">
      <c r="A3185" s="1">
        <v>45440</v>
      </c>
      <c r="B3185" s="1" t="str">
        <f>TEXT(Tabla1[[#This Row],[Fecha]],"MMMM")</f>
        <v>mayo</v>
      </c>
      <c r="C3185" t="s">
        <v>3195</v>
      </c>
      <c r="D3185" t="s">
        <v>5022</v>
      </c>
      <c r="E3185" t="s">
        <v>5033</v>
      </c>
      <c r="F3185" t="s">
        <v>5040</v>
      </c>
      <c r="G3185" s="3">
        <v>5165.6400000000003</v>
      </c>
      <c r="H3185" s="3">
        <v>671.53</v>
      </c>
      <c r="I3185" s="3">
        <f>SUM(Tabla1[[#This Row],[Monto_Base]],H3185)</f>
        <v>5837.17</v>
      </c>
      <c r="J3185" t="s">
        <v>5043</v>
      </c>
      <c r="K3185" t="s">
        <v>5049</v>
      </c>
      <c r="L3185" t="s">
        <v>5052</v>
      </c>
      <c r="M3185" t="s">
        <v>5055</v>
      </c>
    </row>
    <row r="3186" spans="1:13" x14ac:dyDescent="0.3">
      <c r="A3186" s="1">
        <v>45536</v>
      </c>
      <c r="B3186" s="1" t="str">
        <f>TEXT(Tabla1[[#This Row],[Fecha]],"MMMM")</f>
        <v>septiembre</v>
      </c>
      <c r="C3186" t="s">
        <v>3196</v>
      </c>
      <c r="D3186" t="s">
        <v>5022</v>
      </c>
      <c r="E3186" t="s">
        <v>5032</v>
      </c>
      <c r="F3186" t="s">
        <v>5036</v>
      </c>
      <c r="G3186" s="3">
        <v>1604.78</v>
      </c>
      <c r="H3186" s="3">
        <v>0</v>
      </c>
      <c r="I3186" s="3">
        <f>SUM(Tabla1[[#This Row],[Monto_Base]],H3186)</f>
        <v>1604.78</v>
      </c>
      <c r="J3186" t="s">
        <v>5042</v>
      </c>
      <c r="K3186" t="s">
        <v>5049</v>
      </c>
      <c r="L3186" t="s">
        <v>5053</v>
      </c>
      <c r="M3186" t="s">
        <v>5055</v>
      </c>
    </row>
    <row r="3187" spans="1:13" x14ac:dyDescent="0.3">
      <c r="A3187" s="1">
        <v>45492</v>
      </c>
      <c r="B3187" s="1" t="str">
        <f>TEXT(Tabla1[[#This Row],[Fecha]],"MMMM")</f>
        <v>julio</v>
      </c>
      <c r="C3187" t="s">
        <v>3197</v>
      </c>
      <c r="D3187" t="s">
        <v>5029</v>
      </c>
      <c r="E3187" t="s">
        <v>5032</v>
      </c>
      <c r="F3187" t="s">
        <v>5041</v>
      </c>
      <c r="G3187" s="3">
        <v>3531.06</v>
      </c>
      <c r="H3187" s="3">
        <v>0</v>
      </c>
      <c r="I3187" s="3">
        <f>SUM(Tabla1[[#This Row],[Monto_Base]],H3187)</f>
        <v>3531.06</v>
      </c>
      <c r="J3187" t="s">
        <v>5044</v>
      </c>
      <c r="K3187" t="s">
        <v>5048</v>
      </c>
      <c r="L3187" t="s">
        <v>5053</v>
      </c>
      <c r="M3187" t="s">
        <v>5055</v>
      </c>
    </row>
    <row r="3188" spans="1:13" x14ac:dyDescent="0.3">
      <c r="A3188" s="1">
        <v>45408</v>
      </c>
      <c r="B3188" s="1" t="str">
        <f>TEXT(Tabla1[[#This Row],[Fecha]],"MMMM")</f>
        <v>abril</v>
      </c>
      <c r="C3188" t="s">
        <v>3198</v>
      </c>
      <c r="D3188" t="s">
        <v>5016</v>
      </c>
      <c r="E3188" t="s">
        <v>5032</v>
      </c>
      <c r="F3188" t="s">
        <v>5037</v>
      </c>
      <c r="G3188" s="3">
        <v>7516.94</v>
      </c>
      <c r="H3188" s="3">
        <v>0</v>
      </c>
      <c r="I3188" s="3">
        <f>SUM(Tabla1[[#This Row],[Monto_Base]],H3188)</f>
        <v>7516.94</v>
      </c>
      <c r="J3188" t="s">
        <v>5046</v>
      </c>
      <c r="K3188" t="s">
        <v>5047</v>
      </c>
      <c r="L3188" t="s">
        <v>5052</v>
      </c>
      <c r="M3188" t="s">
        <v>5054</v>
      </c>
    </row>
    <row r="3189" spans="1:13" x14ac:dyDescent="0.3">
      <c r="A3189" s="1">
        <v>45645</v>
      </c>
      <c r="B3189" s="1" t="str">
        <f>TEXT(Tabla1[[#This Row],[Fecha]],"MMMM")</f>
        <v>diciembre</v>
      </c>
      <c r="C3189" t="s">
        <v>3199</v>
      </c>
      <c r="D3189" t="s">
        <v>5021</v>
      </c>
      <c r="E3189" t="s">
        <v>5032</v>
      </c>
      <c r="F3189" t="s">
        <v>5040</v>
      </c>
      <c r="G3189" s="3">
        <v>8043.15</v>
      </c>
      <c r="H3189" s="3">
        <v>0</v>
      </c>
      <c r="I3189" s="3">
        <f>SUM(Tabla1[[#This Row],[Monto_Base]],H3189)</f>
        <v>8043.15</v>
      </c>
      <c r="J3189" t="s">
        <v>5043</v>
      </c>
      <c r="K3189" t="s">
        <v>5047</v>
      </c>
      <c r="L3189" t="s">
        <v>5053</v>
      </c>
      <c r="M3189" t="s">
        <v>5055</v>
      </c>
    </row>
    <row r="3190" spans="1:13" x14ac:dyDescent="0.3">
      <c r="A3190" s="1">
        <v>45595</v>
      </c>
      <c r="B3190" s="1" t="str">
        <f>TEXT(Tabla1[[#This Row],[Fecha]],"MMMM")</f>
        <v>octubre</v>
      </c>
      <c r="C3190" t="s">
        <v>3200</v>
      </c>
      <c r="D3190" t="s">
        <v>5017</v>
      </c>
      <c r="E3190" t="s">
        <v>5032</v>
      </c>
      <c r="F3190" t="s">
        <v>5040</v>
      </c>
      <c r="G3190" s="3">
        <v>8761.1200000000008</v>
      </c>
      <c r="H3190" s="3">
        <v>0</v>
      </c>
      <c r="I3190" s="3">
        <f>SUM(Tabla1[[#This Row],[Monto_Base]],H3190)</f>
        <v>8761.1200000000008</v>
      </c>
      <c r="J3190" t="s">
        <v>5044</v>
      </c>
      <c r="K3190" t="s">
        <v>5047</v>
      </c>
      <c r="L3190" t="s">
        <v>5050</v>
      </c>
      <c r="M3190" t="s">
        <v>5055</v>
      </c>
    </row>
    <row r="3191" spans="1:13" x14ac:dyDescent="0.3">
      <c r="A3191" s="1">
        <v>45596</v>
      </c>
      <c r="B3191" s="1" t="str">
        <f>TEXT(Tabla1[[#This Row],[Fecha]],"MMMM")</f>
        <v>octubre</v>
      </c>
      <c r="C3191" t="s">
        <v>3201</v>
      </c>
      <c r="D3191" t="s">
        <v>5018</v>
      </c>
      <c r="E3191" t="s">
        <v>5032</v>
      </c>
      <c r="F3191" t="s">
        <v>5035</v>
      </c>
      <c r="G3191" s="3">
        <v>9560.89</v>
      </c>
      <c r="H3191" s="3">
        <v>0</v>
      </c>
      <c r="I3191" s="3">
        <f>SUM(Tabla1[[#This Row],[Monto_Base]],H3191)</f>
        <v>9560.89</v>
      </c>
      <c r="J3191" t="s">
        <v>5044</v>
      </c>
      <c r="K3191" t="s">
        <v>5047</v>
      </c>
      <c r="L3191" t="s">
        <v>5053</v>
      </c>
      <c r="M3191" t="s">
        <v>5054</v>
      </c>
    </row>
    <row r="3192" spans="1:13" x14ac:dyDescent="0.3">
      <c r="A3192" s="1">
        <v>45306</v>
      </c>
      <c r="B3192" s="1" t="str">
        <f>TEXT(Tabla1[[#This Row],[Fecha]],"MMMM")</f>
        <v>enero</v>
      </c>
      <c r="C3192" t="s">
        <v>3202</v>
      </c>
      <c r="D3192" t="s">
        <v>5012</v>
      </c>
      <c r="E3192" t="s">
        <v>5033</v>
      </c>
      <c r="F3192" t="s">
        <v>5034</v>
      </c>
      <c r="G3192" s="3">
        <v>8660.01</v>
      </c>
      <c r="H3192" s="3">
        <v>1125.8</v>
      </c>
      <c r="I3192" s="3">
        <f>SUM(Tabla1[[#This Row],[Monto_Base]],H3192)</f>
        <v>9785.81</v>
      </c>
      <c r="J3192" t="s">
        <v>5045</v>
      </c>
      <c r="K3192" t="s">
        <v>5047</v>
      </c>
      <c r="L3192" t="s">
        <v>5050</v>
      </c>
      <c r="M3192" t="s">
        <v>5054</v>
      </c>
    </row>
    <row r="3193" spans="1:13" x14ac:dyDescent="0.3">
      <c r="A3193" s="1">
        <v>45573</v>
      </c>
      <c r="B3193" s="1" t="str">
        <f>TEXT(Tabla1[[#This Row],[Fecha]],"MMMM")</f>
        <v>octubre</v>
      </c>
      <c r="C3193" t="s">
        <v>3203</v>
      </c>
      <c r="D3193" t="s">
        <v>5028</v>
      </c>
      <c r="E3193" t="s">
        <v>5033</v>
      </c>
      <c r="F3193" t="s">
        <v>5034</v>
      </c>
      <c r="G3193" s="3">
        <v>5370.01</v>
      </c>
      <c r="H3193" s="3">
        <v>698.1</v>
      </c>
      <c r="I3193" s="3">
        <f>SUM(Tabla1[[#This Row],[Monto_Base]],H3193)</f>
        <v>6068.1100000000006</v>
      </c>
      <c r="J3193" t="s">
        <v>5042</v>
      </c>
      <c r="K3193" t="s">
        <v>5047</v>
      </c>
      <c r="L3193" t="s">
        <v>5051</v>
      </c>
      <c r="M3193" t="s">
        <v>5054</v>
      </c>
    </row>
    <row r="3194" spans="1:13" x14ac:dyDescent="0.3">
      <c r="A3194" s="1">
        <v>45403</v>
      </c>
      <c r="B3194" s="1" t="str">
        <f>TEXT(Tabla1[[#This Row],[Fecha]],"MMMM")</f>
        <v>abril</v>
      </c>
      <c r="C3194" t="s">
        <v>3204</v>
      </c>
      <c r="D3194" t="s">
        <v>5023</v>
      </c>
      <c r="E3194" t="s">
        <v>5033</v>
      </c>
      <c r="F3194" t="s">
        <v>5036</v>
      </c>
      <c r="G3194" s="3">
        <v>5521.33</v>
      </c>
      <c r="H3194" s="3">
        <v>717.77</v>
      </c>
      <c r="I3194" s="3">
        <f>SUM(Tabla1[[#This Row],[Monto_Base]],H3194)</f>
        <v>6239.1</v>
      </c>
      <c r="J3194" t="s">
        <v>5046</v>
      </c>
      <c r="K3194" t="s">
        <v>5048</v>
      </c>
      <c r="L3194" t="s">
        <v>5051</v>
      </c>
      <c r="M3194" t="s">
        <v>5054</v>
      </c>
    </row>
    <row r="3195" spans="1:13" x14ac:dyDescent="0.3">
      <c r="A3195" s="1">
        <v>45627</v>
      </c>
      <c r="B3195" s="1" t="str">
        <f>TEXT(Tabla1[[#This Row],[Fecha]],"MMMM")</f>
        <v>diciembre</v>
      </c>
      <c r="C3195" t="s">
        <v>3205</v>
      </c>
      <c r="D3195" t="s">
        <v>5019</v>
      </c>
      <c r="E3195" t="s">
        <v>5032</v>
      </c>
      <c r="F3195" t="s">
        <v>5035</v>
      </c>
      <c r="G3195" s="3">
        <v>1983.04</v>
      </c>
      <c r="H3195" s="3">
        <v>0</v>
      </c>
      <c r="I3195" s="3">
        <f>SUM(Tabla1[[#This Row],[Monto_Base]],H3195)</f>
        <v>1983.04</v>
      </c>
      <c r="J3195" t="s">
        <v>5043</v>
      </c>
      <c r="K3195" t="s">
        <v>5048</v>
      </c>
      <c r="L3195" t="s">
        <v>5052</v>
      </c>
      <c r="M3195" t="s">
        <v>5055</v>
      </c>
    </row>
    <row r="3196" spans="1:13" x14ac:dyDescent="0.3">
      <c r="A3196" s="1">
        <v>45629</v>
      </c>
      <c r="B3196" s="1" t="str">
        <f>TEXT(Tabla1[[#This Row],[Fecha]],"MMMM")</f>
        <v>diciembre</v>
      </c>
      <c r="C3196" t="s">
        <v>3206</v>
      </c>
      <c r="D3196" t="s">
        <v>5015</v>
      </c>
      <c r="E3196" t="s">
        <v>5032</v>
      </c>
      <c r="F3196" t="s">
        <v>5040</v>
      </c>
      <c r="G3196" s="3">
        <v>9141.89</v>
      </c>
      <c r="H3196" s="3">
        <v>0</v>
      </c>
      <c r="I3196" s="3">
        <f>SUM(Tabla1[[#This Row],[Monto_Base]],H3196)</f>
        <v>9141.89</v>
      </c>
      <c r="J3196" t="s">
        <v>5042</v>
      </c>
      <c r="K3196" t="s">
        <v>5048</v>
      </c>
      <c r="L3196" t="s">
        <v>5050</v>
      </c>
      <c r="M3196" t="s">
        <v>5055</v>
      </c>
    </row>
    <row r="3197" spans="1:13" x14ac:dyDescent="0.3">
      <c r="A3197" s="1">
        <v>45481</v>
      </c>
      <c r="B3197" s="1" t="str">
        <f>TEXT(Tabla1[[#This Row],[Fecha]],"MMMM")</f>
        <v>julio</v>
      </c>
      <c r="C3197" t="s">
        <v>3207</v>
      </c>
      <c r="D3197" t="s">
        <v>5025</v>
      </c>
      <c r="E3197" t="s">
        <v>5032</v>
      </c>
      <c r="F3197" t="s">
        <v>5040</v>
      </c>
      <c r="G3197" s="3">
        <v>9193.5</v>
      </c>
      <c r="H3197" s="3">
        <v>0</v>
      </c>
      <c r="I3197" s="3">
        <f>SUM(Tabla1[[#This Row],[Monto_Base]],H3197)</f>
        <v>9193.5</v>
      </c>
      <c r="J3197" t="s">
        <v>5044</v>
      </c>
      <c r="K3197" t="s">
        <v>5047</v>
      </c>
      <c r="L3197" t="s">
        <v>5051</v>
      </c>
      <c r="M3197" t="s">
        <v>5055</v>
      </c>
    </row>
    <row r="3198" spans="1:13" x14ac:dyDescent="0.3">
      <c r="A3198" s="1">
        <v>45445</v>
      </c>
      <c r="B3198" s="1" t="str">
        <f>TEXT(Tabla1[[#This Row],[Fecha]],"MMMM")</f>
        <v>junio</v>
      </c>
      <c r="C3198" t="s">
        <v>3208</v>
      </c>
      <c r="D3198" t="s">
        <v>5027</v>
      </c>
      <c r="E3198" t="s">
        <v>5033</v>
      </c>
      <c r="F3198" t="s">
        <v>5036</v>
      </c>
      <c r="G3198" s="3">
        <v>6674.5</v>
      </c>
      <c r="H3198" s="3">
        <v>867.69</v>
      </c>
      <c r="I3198" s="3">
        <f>SUM(Tabla1[[#This Row],[Monto_Base]],H3198)</f>
        <v>7542.1900000000005</v>
      </c>
      <c r="J3198" t="s">
        <v>5042</v>
      </c>
      <c r="K3198" t="s">
        <v>5048</v>
      </c>
      <c r="L3198" t="s">
        <v>5051</v>
      </c>
      <c r="M3198" t="s">
        <v>5054</v>
      </c>
    </row>
    <row r="3199" spans="1:13" x14ac:dyDescent="0.3">
      <c r="A3199" s="1">
        <v>45359</v>
      </c>
      <c r="B3199" s="1" t="str">
        <f>TEXT(Tabla1[[#This Row],[Fecha]],"MMMM")</f>
        <v>marzo</v>
      </c>
      <c r="C3199" t="s">
        <v>3209</v>
      </c>
      <c r="D3199" t="s">
        <v>5031</v>
      </c>
      <c r="E3199" t="s">
        <v>5032</v>
      </c>
      <c r="F3199" t="s">
        <v>5039</v>
      </c>
      <c r="G3199" s="3">
        <v>10360.700000000001</v>
      </c>
      <c r="H3199" s="3">
        <v>0</v>
      </c>
      <c r="I3199" s="3">
        <f>SUM(Tabla1[[#This Row],[Monto_Base]],H3199)</f>
        <v>10360.700000000001</v>
      </c>
      <c r="J3199" t="s">
        <v>5044</v>
      </c>
      <c r="K3199" t="s">
        <v>5047</v>
      </c>
      <c r="L3199" t="s">
        <v>5053</v>
      </c>
      <c r="M3199" t="s">
        <v>5055</v>
      </c>
    </row>
    <row r="3200" spans="1:13" x14ac:dyDescent="0.3">
      <c r="A3200" s="1">
        <v>45326</v>
      </c>
      <c r="B3200" s="1" t="str">
        <f>TEXT(Tabla1[[#This Row],[Fecha]],"MMMM")</f>
        <v>febrero</v>
      </c>
      <c r="C3200" t="s">
        <v>3210</v>
      </c>
      <c r="D3200" t="s">
        <v>5013</v>
      </c>
      <c r="E3200" t="s">
        <v>5032</v>
      </c>
      <c r="F3200" t="s">
        <v>5040</v>
      </c>
      <c r="G3200" s="3">
        <v>1489.4</v>
      </c>
      <c r="H3200" s="3">
        <v>0</v>
      </c>
      <c r="I3200" s="3">
        <f>SUM(Tabla1[[#This Row],[Monto_Base]],H3200)</f>
        <v>1489.4</v>
      </c>
      <c r="J3200" t="s">
        <v>5042</v>
      </c>
      <c r="K3200" t="s">
        <v>5049</v>
      </c>
      <c r="L3200" t="s">
        <v>5052</v>
      </c>
      <c r="M3200" t="s">
        <v>5054</v>
      </c>
    </row>
    <row r="3201" spans="1:13" x14ac:dyDescent="0.3">
      <c r="A3201" s="1">
        <v>45455</v>
      </c>
      <c r="B3201" s="1" t="str">
        <f>TEXT(Tabla1[[#This Row],[Fecha]],"MMMM")</f>
        <v>junio</v>
      </c>
      <c r="C3201" t="s">
        <v>3211</v>
      </c>
      <c r="D3201" t="s">
        <v>5020</v>
      </c>
      <c r="E3201" t="s">
        <v>5032</v>
      </c>
      <c r="F3201" t="s">
        <v>5038</v>
      </c>
      <c r="G3201" s="3">
        <v>10672.46</v>
      </c>
      <c r="H3201" s="3">
        <v>0</v>
      </c>
      <c r="I3201" s="3">
        <f>SUM(Tabla1[[#This Row],[Monto_Base]],H3201)</f>
        <v>10672.46</v>
      </c>
      <c r="J3201" t="s">
        <v>5046</v>
      </c>
      <c r="K3201" t="s">
        <v>5047</v>
      </c>
      <c r="L3201" t="s">
        <v>5052</v>
      </c>
      <c r="M3201" t="s">
        <v>5054</v>
      </c>
    </row>
    <row r="3202" spans="1:13" x14ac:dyDescent="0.3">
      <c r="A3202" s="1">
        <v>45305</v>
      </c>
      <c r="B3202" s="1" t="str">
        <f>TEXT(Tabla1[[#This Row],[Fecha]],"MMMM")</f>
        <v>enero</v>
      </c>
      <c r="C3202" t="s">
        <v>3212</v>
      </c>
      <c r="D3202" t="s">
        <v>5018</v>
      </c>
      <c r="E3202" t="s">
        <v>5032</v>
      </c>
      <c r="F3202" t="s">
        <v>5038</v>
      </c>
      <c r="G3202" s="3">
        <v>6975.28</v>
      </c>
      <c r="H3202" s="3">
        <v>0</v>
      </c>
      <c r="I3202" s="3">
        <f>SUM(Tabla1[[#This Row],[Monto_Base]],H3202)</f>
        <v>6975.28</v>
      </c>
      <c r="J3202" t="s">
        <v>5042</v>
      </c>
      <c r="K3202" t="s">
        <v>5049</v>
      </c>
      <c r="L3202" t="s">
        <v>5052</v>
      </c>
      <c r="M3202" t="s">
        <v>5055</v>
      </c>
    </row>
    <row r="3203" spans="1:13" x14ac:dyDescent="0.3">
      <c r="A3203" s="1">
        <v>45338</v>
      </c>
      <c r="B3203" s="1" t="str">
        <f>TEXT(Tabla1[[#This Row],[Fecha]],"MMMM")</f>
        <v>febrero</v>
      </c>
      <c r="C3203" t="s">
        <v>3213</v>
      </c>
      <c r="D3203" t="s">
        <v>5017</v>
      </c>
      <c r="E3203" t="s">
        <v>5032</v>
      </c>
      <c r="F3203" t="s">
        <v>5034</v>
      </c>
      <c r="G3203" s="3">
        <v>2625.93</v>
      </c>
      <c r="H3203" s="3">
        <v>0</v>
      </c>
      <c r="I3203" s="3">
        <f>SUM(Tabla1[[#This Row],[Monto_Base]],H3203)</f>
        <v>2625.93</v>
      </c>
      <c r="J3203" t="s">
        <v>5046</v>
      </c>
      <c r="K3203" t="s">
        <v>5049</v>
      </c>
      <c r="L3203" t="s">
        <v>5051</v>
      </c>
      <c r="M3203" t="s">
        <v>5055</v>
      </c>
    </row>
    <row r="3204" spans="1:13" x14ac:dyDescent="0.3">
      <c r="A3204" s="1">
        <v>45621</v>
      </c>
      <c r="B3204" s="1" t="str">
        <f>TEXT(Tabla1[[#This Row],[Fecha]],"MMMM")</f>
        <v>noviembre</v>
      </c>
      <c r="C3204" t="s">
        <v>3214</v>
      </c>
      <c r="D3204" t="s">
        <v>5026</v>
      </c>
      <c r="E3204" t="s">
        <v>5033</v>
      </c>
      <c r="F3204" t="s">
        <v>5037</v>
      </c>
      <c r="G3204" s="3">
        <v>3541.6</v>
      </c>
      <c r="H3204" s="3">
        <v>460.41</v>
      </c>
      <c r="I3204" s="3">
        <f>SUM(Tabla1[[#This Row],[Monto_Base]],H3204)</f>
        <v>4002.0099999999998</v>
      </c>
      <c r="J3204" t="s">
        <v>5045</v>
      </c>
      <c r="K3204" t="s">
        <v>5049</v>
      </c>
      <c r="L3204" t="s">
        <v>5051</v>
      </c>
      <c r="M3204" t="s">
        <v>5054</v>
      </c>
    </row>
    <row r="3205" spans="1:13" x14ac:dyDescent="0.3">
      <c r="A3205" s="1">
        <v>45629</v>
      </c>
      <c r="B3205" s="1" t="str">
        <f>TEXT(Tabla1[[#This Row],[Fecha]],"MMMM")</f>
        <v>diciembre</v>
      </c>
      <c r="C3205" t="s">
        <v>3215</v>
      </c>
      <c r="D3205" t="s">
        <v>5013</v>
      </c>
      <c r="E3205" t="s">
        <v>5033</v>
      </c>
      <c r="F3205" t="s">
        <v>5040</v>
      </c>
      <c r="G3205" s="3">
        <v>10790.53</v>
      </c>
      <c r="H3205" s="3">
        <v>1402.77</v>
      </c>
      <c r="I3205" s="3">
        <f>SUM(Tabla1[[#This Row],[Monto_Base]],H3205)</f>
        <v>12193.300000000001</v>
      </c>
      <c r="J3205" t="s">
        <v>5046</v>
      </c>
      <c r="K3205" t="s">
        <v>5048</v>
      </c>
      <c r="L3205" t="s">
        <v>5050</v>
      </c>
      <c r="M3205" t="s">
        <v>5055</v>
      </c>
    </row>
    <row r="3206" spans="1:13" x14ac:dyDescent="0.3">
      <c r="A3206" s="1">
        <v>45421</v>
      </c>
      <c r="B3206" s="1" t="str">
        <f>TEXT(Tabla1[[#This Row],[Fecha]],"MMMM")</f>
        <v>mayo</v>
      </c>
      <c r="C3206" t="s">
        <v>3216</v>
      </c>
      <c r="D3206" t="s">
        <v>5012</v>
      </c>
      <c r="E3206" t="s">
        <v>5032</v>
      </c>
      <c r="F3206" t="s">
        <v>5041</v>
      </c>
      <c r="G3206" s="3">
        <v>9136.34</v>
      </c>
      <c r="H3206" s="3">
        <v>0</v>
      </c>
      <c r="I3206" s="3">
        <f>SUM(Tabla1[[#This Row],[Monto_Base]],H3206)</f>
        <v>9136.34</v>
      </c>
      <c r="J3206" t="s">
        <v>5045</v>
      </c>
      <c r="K3206" t="s">
        <v>5047</v>
      </c>
      <c r="L3206" t="s">
        <v>5052</v>
      </c>
      <c r="M3206" t="s">
        <v>5054</v>
      </c>
    </row>
    <row r="3207" spans="1:13" x14ac:dyDescent="0.3">
      <c r="A3207" s="1">
        <v>45596</v>
      </c>
      <c r="B3207" s="1" t="str">
        <f>TEXT(Tabla1[[#This Row],[Fecha]],"MMMM")</f>
        <v>octubre</v>
      </c>
      <c r="C3207" t="s">
        <v>3217</v>
      </c>
      <c r="D3207" t="s">
        <v>5029</v>
      </c>
      <c r="E3207" t="s">
        <v>5032</v>
      </c>
      <c r="F3207" t="s">
        <v>5035</v>
      </c>
      <c r="G3207" s="3">
        <v>1340.84</v>
      </c>
      <c r="H3207" s="3">
        <v>0</v>
      </c>
      <c r="I3207" s="3">
        <f>SUM(Tabla1[[#This Row],[Monto_Base]],H3207)</f>
        <v>1340.84</v>
      </c>
      <c r="J3207" t="s">
        <v>5045</v>
      </c>
      <c r="K3207" t="s">
        <v>5047</v>
      </c>
      <c r="L3207" t="s">
        <v>5052</v>
      </c>
      <c r="M3207" t="s">
        <v>5055</v>
      </c>
    </row>
    <row r="3208" spans="1:13" x14ac:dyDescent="0.3">
      <c r="A3208" s="1">
        <v>45401</v>
      </c>
      <c r="B3208" s="1" t="str">
        <f>TEXT(Tabla1[[#This Row],[Fecha]],"MMMM")</f>
        <v>abril</v>
      </c>
      <c r="C3208" t="s">
        <v>3218</v>
      </c>
      <c r="D3208" t="s">
        <v>5021</v>
      </c>
      <c r="E3208" t="s">
        <v>5032</v>
      </c>
      <c r="F3208" t="s">
        <v>5041</v>
      </c>
      <c r="G3208" s="3">
        <v>1076.43</v>
      </c>
      <c r="H3208" s="3">
        <v>0</v>
      </c>
      <c r="I3208" s="3">
        <f>SUM(Tabla1[[#This Row],[Monto_Base]],H3208)</f>
        <v>1076.43</v>
      </c>
      <c r="J3208" t="s">
        <v>5042</v>
      </c>
      <c r="K3208" t="s">
        <v>5049</v>
      </c>
      <c r="L3208" t="s">
        <v>5050</v>
      </c>
      <c r="M3208" t="s">
        <v>5054</v>
      </c>
    </row>
    <row r="3209" spans="1:13" x14ac:dyDescent="0.3">
      <c r="A3209" s="1">
        <v>45414</v>
      </c>
      <c r="B3209" s="1" t="str">
        <f>TEXT(Tabla1[[#This Row],[Fecha]],"MMMM")</f>
        <v>mayo</v>
      </c>
      <c r="C3209" t="s">
        <v>3219</v>
      </c>
      <c r="D3209" t="s">
        <v>5019</v>
      </c>
      <c r="E3209" t="s">
        <v>5032</v>
      </c>
      <c r="F3209" t="s">
        <v>5036</v>
      </c>
      <c r="G3209" s="3">
        <v>2825.31</v>
      </c>
      <c r="H3209" s="3">
        <v>0</v>
      </c>
      <c r="I3209" s="3">
        <f>SUM(Tabla1[[#This Row],[Monto_Base]],H3209)</f>
        <v>2825.31</v>
      </c>
      <c r="J3209" t="s">
        <v>5044</v>
      </c>
      <c r="K3209" t="s">
        <v>5047</v>
      </c>
      <c r="L3209" t="s">
        <v>5053</v>
      </c>
      <c r="M3209" t="s">
        <v>5054</v>
      </c>
    </row>
    <row r="3210" spans="1:13" x14ac:dyDescent="0.3">
      <c r="A3210" s="1">
        <v>45654</v>
      </c>
      <c r="B3210" s="1" t="str">
        <f>TEXT(Tabla1[[#This Row],[Fecha]],"MMMM")</f>
        <v>diciembre</v>
      </c>
      <c r="C3210" t="s">
        <v>3220</v>
      </c>
      <c r="D3210" t="s">
        <v>5012</v>
      </c>
      <c r="E3210" t="s">
        <v>5033</v>
      </c>
      <c r="F3210" t="s">
        <v>5036</v>
      </c>
      <c r="G3210" s="3">
        <v>13248.62</v>
      </c>
      <c r="H3210" s="3">
        <v>1722.32</v>
      </c>
      <c r="I3210" s="3">
        <f>SUM(Tabla1[[#This Row],[Monto_Base]],H3210)</f>
        <v>14970.94</v>
      </c>
      <c r="J3210" t="s">
        <v>5046</v>
      </c>
      <c r="K3210" t="s">
        <v>5049</v>
      </c>
      <c r="L3210" t="s">
        <v>5053</v>
      </c>
      <c r="M3210" t="s">
        <v>5054</v>
      </c>
    </row>
    <row r="3211" spans="1:13" x14ac:dyDescent="0.3">
      <c r="A3211" s="1">
        <v>45375</v>
      </c>
      <c r="B3211" s="1" t="str">
        <f>TEXT(Tabla1[[#This Row],[Fecha]],"MMMM")</f>
        <v>marzo</v>
      </c>
      <c r="C3211" t="s">
        <v>3221</v>
      </c>
      <c r="D3211" t="s">
        <v>5013</v>
      </c>
      <c r="E3211" t="s">
        <v>5032</v>
      </c>
      <c r="F3211" t="s">
        <v>5038</v>
      </c>
      <c r="G3211" s="3">
        <v>8429.23</v>
      </c>
      <c r="H3211" s="3">
        <v>0</v>
      </c>
      <c r="I3211" s="3">
        <f>SUM(Tabla1[[#This Row],[Monto_Base]],H3211)</f>
        <v>8429.23</v>
      </c>
      <c r="J3211" t="s">
        <v>5042</v>
      </c>
      <c r="K3211" t="s">
        <v>5049</v>
      </c>
      <c r="L3211" t="s">
        <v>5053</v>
      </c>
      <c r="M3211" t="s">
        <v>5054</v>
      </c>
    </row>
    <row r="3212" spans="1:13" x14ac:dyDescent="0.3">
      <c r="A3212" s="1">
        <v>45351</v>
      </c>
      <c r="B3212" s="1" t="str">
        <f>TEXT(Tabla1[[#This Row],[Fecha]],"MMMM")</f>
        <v>febrero</v>
      </c>
      <c r="C3212" t="s">
        <v>3222</v>
      </c>
      <c r="D3212" t="s">
        <v>5019</v>
      </c>
      <c r="E3212" t="s">
        <v>5032</v>
      </c>
      <c r="F3212" t="s">
        <v>5040</v>
      </c>
      <c r="G3212" s="3">
        <v>2408.86</v>
      </c>
      <c r="H3212" s="3">
        <v>0</v>
      </c>
      <c r="I3212" s="3">
        <f>SUM(Tabla1[[#This Row],[Monto_Base]],H3212)</f>
        <v>2408.86</v>
      </c>
      <c r="J3212" t="s">
        <v>5042</v>
      </c>
      <c r="K3212" t="s">
        <v>5047</v>
      </c>
      <c r="L3212" t="s">
        <v>5053</v>
      </c>
      <c r="M3212" t="s">
        <v>5054</v>
      </c>
    </row>
    <row r="3213" spans="1:13" x14ac:dyDescent="0.3">
      <c r="A3213" s="1">
        <v>45579</v>
      </c>
      <c r="B3213" s="1" t="str">
        <f>TEXT(Tabla1[[#This Row],[Fecha]],"MMMM")</f>
        <v>octubre</v>
      </c>
      <c r="C3213" t="s">
        <v>3223</v>
      </c>
      <c r="D3213" t="s">
        <v>5017</v>
      </c>
      <c r="E3213" t="s">
        <v>5033</v>
      </c>
      <c r="F3213" t="s">
        <v>5040</v>
      </c>
      <c r="G3213" s="3">
        <v>5918.7</v>
      </c>
      <c r="H3213" s="3">
        <v>769.43</v>
      </c>
      <c r="I3213" s="3">
        <f>SUM(Tabla1[[#This Row],[Monto_Base]],H3213)</f>
        <v>6688.13</v>
      </c>
      <c r="J3213" t="s">
        <v>5046</v>
      </c>
      <c r="K3213" t="s">
        <v>5047</v>
      </c>
      <c r="L3213" t="s">
        <v>5050</v>
      </c>
      <c r="M3213" t="s">
        <v>5054</v>
      </c>
    </row>
    <row r="3214" spans="1:13" x14ac:dyDescent="0.3">
      <c r="A3214" s="1">
        <v>45445</v>
      </c>
      <c r="B3214" s="1" t="str">
        <f>TEXT(Tabla1[[#This Row],[Fecha]],"MMMM")</f>
        <v>junio</v>
      </c>
      <c r="C3214" t="s">
        <v>3224</v>
      </c>
      <c r="D3214" t="s">
        <v>5027</v>
      </c>
      <c r="E3214" t="s">
        <v>5032</v>
      </c>
      <c r="F3214" t="s">
        <v>5041</v>
      </c>
      <c r="G3214" s="3">
        <v>854.83</v>
      </c>
      <c r="H3214" s="3">
        <v>0</v>
      </c>
      <c r="I3214" s="3">
        <f>SUM(Tabla1[[#This Row],[Monto_Base]],H3214)</f>
        <v>854.83</v>
      </c>
      <c r="J3214" t="s">
        <v>5045</v>
      </c>
      <c r="K3214" t="s">
        <v>5048</v>
      </c>
      <c r="L3214" t="s">
        <v>5053</v>
      </c>
      <c r="M3214" t="s">
        <v>5054</v>
      </c>
    </row>
    <row r="3215" spans="1:13" x14ac:dyDescent="0.3">
      <c r="A3215" s="1">
        <v>45537</v>
      </c>
      <c r="B3215" s="1" t="str">
        <f>TEXT(Tabla1[[#This Row],[Fecha]],"MMMM")</f>
        <v>septiembre</v>
      </c>
      <c r="C3215" t="s">
        <v>3225</v>
      </c>
      <c r="D3215" t="s">
        <v>5023</v>
      </c>
      <c r="E3215" t="s">
        <v>5033</v>
      </c>
      <c r="F3215" t="s">
        <v>5036</v>
      </c>
      <c r="G3215" s="3">
        <v>13323.46</v>
      </c>
      <c r="H3215" s="3">
        <v>1732.05</v>
      </c>
      <c r="I3215" s="3">
        <f>SUM(Tabla1[[#This Row],[Monto_Base]],H3215)</f>
        <v>15055.509999999998</v>
      </c>
      <c r="J3215" t="s">
        <v>5044</v>
      </c>
      <c r="K3215" t="s">
        <v>5047</v>
      </c>
      <c r="L3215" t="s">
        <v>5051</v>
      </c>
      <c r="M3215" t="s">
        <v>5054</v>
      </c>
    </row>
    <row r="3216" spans="1:13" x14ac:dyDescent="0.3">
      <c r="A3216" s="1">
        <v>45419</v>
      </c>
      <c r="B3216" s="1" t="str">
        <f>TEXT(Tabla1[[#This Row],[Fecha]],"MMMM")</f>
        <v>mayo</v>
      </c>
      <c r="C3216" t="s">
        <v>3226</v>
      </c>
      <c r="D3216" t="s">
        <v>5017</v>
      </c>
      <c r="E3216" t="s">
        <v>5033</v>
      </c>
      <c r="F3216" t="s">
        <v>5039</v>
      </c>
      <c r="G3216" s="3">
        <v>392.75</v>
      </c>
      <c r="H3216" s="3">
        <v>51.06</v>
      </c>
      <c r="I3216" s="3">
        <f>SUM(Tabla1[[#This Row],[Monto_Base]],H3216)</f>
        <v>443.81</v>
      </c>
      <c r="J3216" t="s">
        <v>5044</v>
      </c>
      <c r="K3216" t="s">
        <v>5048</v>
      </c>
      <c r="L3216" t="s">
        <v>5051</v>
      </c>
      <c r="M3216" t="s">
        <v>5055</v>
      </c>
    </row>
    <row r="3217" spans="1:13" x14ac:dyDescent="0.3">
      <c r="A3217" s="1">
        <v>45535</v>
      </c>
      <c r="B3217" s="1" t="str">
        <f>TEXT(Tabla1[[#This Row],[Fecha]],"MMMM")</f>
        <v>agosto</v>
      </c>
      <c r="C3217" t="s">
        <v>3227</v>
      </c>
      <c r="D3217" t="s">
        <v>5018</v>
      </c>
      <c r="E3217" t="s">
        <v>5033</v>
      </c>
      <c r="F3217" t="s">
        <v>5038</v>
      </c>
      <c r="G3217" s="3">
        <v>13420.77</v>
      </c>
      <c r="H3217" s="3">
        <v>1744.7</v>
      </c>
      <c r="I3217" s="3">
        <f>SUM(Tabla1[[#This Row],[Monto_Base]],H3217)</f>
        <v>15165.470000000001</v>
      </c>
      <c r="J3217" t="s">
        <v>5043</v>
      </c>
      <c r="K3217" t="s">
        <v>5048</v>
      </c>
      <c r="L3217" t="s">
        <v>5053</v>
      </c>
      <c r="M3217" t="s">
        <v>5055</v>
      </c>
    </row>
    <row r="3218" spans="1:13" x14ac:dyDescent="0.3">
      <c r="A3218" s="1">
        <v>45626</v>
      </c>
      <c r="B3218" s="1" t="str">
        <f>TEXT(Tabla1[[#This Row],[Fecha]],"MMMM")</f>
        <v>noviembre</v>
      </c>
      <c r="C3218" t="s">
        <v>3228</v>
      </c>
      <c r="D3218" t="s">
        <v>5020</v>
      </c>
      <c r="E3218" t="s">
        <v>5033</v>
      </c>
      <c r="F3218" t="s">
        <v>5040</v>
      </c>
      <c r="G3218" s="3">
        <v>10626.92</v>
      </c>
      <c r="H3218" s="3">
        <v>1381.5</v>
      </c>
      <c r="I3218" s="3">
        <f>SUM(Tabla1[[#This Row],[Monto_Base]],H3218)</f>
        <v>12008.42</v>
      </c>
      <c r="J3218" t="s">
        <v>5043</v>
      </c>
      <c r="K3218" t="s">
        <v>5047</v>
      </c>
      <c r="L3218" t="s">
        <v>5052</v>
      </c>
      <c r="M3218" t="s">
        <v>5054</v>
      </c>
    </row>
    <row r="3219" spans="1:13" x14ac:dyDescent="0.3">
      <c r="A3219" s="1">
        <v>45392</v>
      </c>
      <c r="B3219" s="1" t="str">
        <f>TEXT(Tabla1[[#This Row],[Fecha]],"MMMM")</f>
        <v>abril</v>
      </c>
      <c r="C3219" t="s">
        <v>3229</v>
      </c>
      <c r="D3219" t="s">
        <v>5024</v>
      </c>
      <c r="E3219" t="s">
        <v>5033</v>
      </c>
      <c r="F3219" t="s">
        <v>5037</v>
      </c>
      <c r="G3219" s="3">
        <v>440.16</v>
      </c>
      <c r="H3219" s="3">
        <v>57.22</v>
      </c>
      <c r="I3219" s="3">
        <f>SUM(Tabla1[[#This Row],[Monto_Base]],H3219)</f>
        <v>497.38</v>
      </c>
      <c r="J3219" t="s">
        <v>5043</v>
      </c>
      <c r="K3219" t="s">
        <v>5049</v>
      </c>
      <c r="L3219" t="s">
        <v>5053</v>
      </c>
      <c r="M3219" t="s">
        <v>5054</v>
      </c>
    </row>
    <row r="3220" spans="1:13" x14ac:dyDescent="0.3">
      <c r="A3220" s="1">
        <v>45585</v>
      </c>
      <c r="B3220" s="1" t="str">
        <f>TEXT(Tabla1[[#This Row],[Fecha]],"MMMM")</f>
        <v>octubre</v>
      </c>
      <c r="C3220" t="s">
        <v>3230</v>
      </c>
      <c r="D3220" t="s">
        <v>5015</v>
      </c>
      <c r="E3220" t="s">
        <v>5032</v>
      </c>
      <c r="F3220" t="s">
        <v>5035</v>
      </c>
      <c r="G3220" s="3">
        <v>14313.89</v>
      </c>
      <c r="H3220" s="3">
        <v>0</v>
      </c>
      <c r="I3220" s="3">
        <f>SUM(Tabla1[[#This Row],[Monto_Base]],H3220)</f>
        <v>14313.89</v>
      </c>
      <c r="J3220" t="s">
        <v>5042</v>
      </c>
      <c r="K3220" t="s">
        <v>5048</v>
      </c>
      <c r="L3220" t="s">
        <v>5052</v>
      </c>
      <c r="M3220" t="s">
        <v>5054</v>
      </c>
    </row>
    <row r="3221" spans="1:13" x14ac:dyDescent="0.3">
      <c r="A3221" s="1">
        <v>45596</v>
      </c>
      <c r="B3221" s="1" t="str">
        <f>TEXT(Tabla1[[#This Row],[Fecha]],"MMMM")</f>
        <v>octubre</v>
      </c>
      <c r="C3221" t="s">
        <v>3231</v>
      </c>
      <c r="D3221" t="s">
        <v>5019</v>
      </c>
      <c r="E3221" t="s">
        <v>5032</v>
      </c>
      <c r="F3221" t="s">
        <v>5035</v>
      </c>
      <c r="G3221" s="3">
        <v>254.28</v>
      </c>
      <c r="H3221" s="3">
        <v>0</v>
      </c>
      <c r="I3221" s="3">
        <f>SUM(Tabla1[[#This Row],[Monto_Base]],H3221)</f>
        <v>254.28</v>
      </c>
      <c r="J3221" t="s">
        <v>5042</v>
      </c>
      <c r="K3221" t="s">
        <v>5048</v>
      </c>
      <c r="L3221" t="s">
        <v>5050</v>
      </c>
      <c r="M3221" t="s">
        <v>5055</v>
      </c>
    </row>
    <row r="3222" spans="1:13" x14ac:dyDescent="0.3">
      <c r="A3222" s="1">
        <v>45418</v>
      </c>
      <c r="B3222" s="1" t="str">
        <f>TEXT(Tabla1[[#This Row],[Fecha]],"MMMM")</f>
        <v>mayo</v>
      </c>
      <c r="C3222" t="s">
        <v>3232</v>
      </c>
      <c r="D3222" t="s">
        <v>5014</v>
      </c>
      <c r="E3222" t="s">
        <v>5033</v>
      </c>
      <c r="F3222" t="s">
        <v>5039</v>
      </c>
      <c r="G3222" s="3">
        <v>14802.88</v>
      </c>
      <c r="H3222" s="3">
        <v>1924.37</v>
      </c>
      <c r="I3222" s="3">
        <f>SUM(Tabla1[[#This Row],[Monto_Base]],H3222)</f>
        <v>16727.25</v>
      </c>
      <c r="J3222" t="s">
        <v>5046</v>
      </c>
      <c r="K3222" t="s">
        <v>5049</v>
      </c>
      <c r="L3222" t="s">
        <v>5050</v>
      </c>
      <c r="M3222" t="s">
        <v>5054</v>
      </c>
    </row>
    <row r="3223" spans="1:13" x14ac:dyDescent="0.3">
      <c r="A3223" s="1">
        <v>45296</v>
      </c>
      <c r="B3223" s="1" t="str">
        <f>TEXT(Tabla1[[#This Row],[Fecha]],"MMMM")</f>
        <v>enero</v>
      </c>
      <c r="C3223" t="s">
        <v>3233</v>
      </c>
      <c r="D3223" t="s">
        <v>5018</v>
      </c>
      <c r="E3223" t="s">
        <v>5033</v>
      </c>
      <c r="F3223" t="s">
        <v>5040</v>
      </c>
      <c r="G3223" s="3">
        <v>7867.58</v>
      </c>
      <c r="H3223" s="3">
        <v>1022.79</v>
      </c>
      <c r="I3223" s="3">
        <f>SUM(Tabla1[[#This Row],[Monto_Base]],H3223)</f>
        <v>8890.369999999999</v>
      </c>
      <c r="J3223" t="s">
        <v>5045</v>
      </c>
      <c r="K3223" t="s">
        <v>5049</v>
      </c>
      <c r="L3223" t="s">
        <v>5050</v>
      </c>
      <c r="M3223" t="s">
        <v>5054</v>
      </c>
    </row>
    <row r="3224" spans="1:13" x14ac:dyDescent="0.3">
      <c r="A3224" s="1">
        <v>45402</v>
      </c>
      <c r="B3224" s="1" t="str">
        <f>TEXT(Tabla1[[#This Row],[Fecha]],"MMMM")</f>
        <v>abril</v>
      </c>
      <c r="C3224" t="s">
        <v>3234</v>
      </c>
      <c r="D3224" t="s">
        <v>5022</v>
      </c>
      <c r="E3224" t="s">
        <v>5032</v>
      </c>
      <c r="F3224" t="s">
        <v>5034</v>
      </c>
      <c r="G3224" s="3">
        <v>3782.23</v>
      </c>
      <c r="H3224" s="3">
        <v>0</v>
      </c>
      <c r="I3224" s="3">
        <f>SUM(Tabla1[[#This Row],[Monto_Base]],H3224)</f>
        <v>3782.23</v>
      </c>
      <c r="J3224" t="s">
        <v>5044</v>
      </c>
      <c r="K3224" t="s">
        <v>5047</v>
      </c>
      <c r="L3224" t="s">
        <v>5053</v>
      </c>
      <c r="M3224" t="s">
        <v>5055</v>
      </c>
    </row>
    <row r="3225" spans="1:13" x14ac:dyDescent="0.3">
      <c r="A3225" s="1">
        <v>45648</v>
      </c>
      <c r="B3225" s="1" t="str">
        <f>TEXT(Tabla1[[#This Row],[Fecha]],"MMMM")</f>
        <v>diciembre</v>
      </c>
      <c r="C3225" t="s">
        <v>3235</v>
      </c>
      <c r="D3225" t="s">
        <v>5016</v>
      </c>
      <c r="E3225" t="s">
        <v>5032</v>
      </c>
      <c r="F3225" t="s">
        <v>5038</v>
      </c>
      <c r="G3225" s="3">
        <v>4315.45</v>
      </c>
      <c r="H3225" s="3">
        <v>0</v>
      </c>
      <c r="I3225" s="3">
        <f>SUM(Tabla1[[#This Row],[Monto_Base]],H3225)</f>
        <v>4315.45</v>
      </c>
      <c r="J3225" t="s">
        <v>5042</v>
      </c>
      <c r="K3225" t="s">
        <v>5049</v>
      </c>
      <c r="L3225" t="s">
        <v>5052</v>
      </c>
      <c r="M3225" t="s">
        <v>5054</v>
      </c>
    </row>
    <row r="3226" spans="1:13" x14ac:dyDescent="0.3">
      <c r="A3226" s="1">
        <v>45544</v>
      </c>
      <c r="B3226" s="1" t="str">
        <f>TEXT(Tabla1[[#This Row],[Fecha]],"MMMM")</f>
        <v>septiembre</v>
      </c>
      <c r="C3226" t="s">
        <v>3236</v>
      </c>
      <c r="D3226" t="s">
        <v>5018</v>
      </c>
      <c r="E3226" t="s">
        <v>5032</v>
      </c>
      <c r="F3226" t="s">
        <v>5035</v>
      </c>
      <c r="G3226" s="3">
        <v>12618.91</v>
      </c>
      <c r="H3226" s="3">
        <v>0</v>
      </c>
      <c r="I3226" s="3">
        <f>SUM(Tabla1[[#This Row],[Monto_Base]],H3226)</f>
        <v>12618.91</v>
      </c>
      <c r="J3226" t="s">
        <v>5046</v>
      </c>
      <c r="K3226" t="s">
        <v>5047</v>
      </c>
      <c r="L3226" t="s">
        <v>5051</v>
      </c>
      <c r="M3226" t="s">
        <v>5054</v>
      </c>
    </row>
    <row r="3227" spans="1:13" x14ac:dyDescent="0.3">
      <c r="A3227" s="1">
        <v>45349</v>
      </c>
      <c r="B3227" s="1" t="str">
        <f>TEXT(Tabla1[[#This Row],[Fecha]],"MMMM")</f>
        <v>febrero</v>
      </c>
      <c r="C3227" t="s">
        <v>3237</v>
      </c>
      <c r="D3227" t="s">
        <v>5016</v>
      </c>
      <c r="E3227" t="s">
        <v>5032</v>
      </c>
      <c r="F3227" t="s">
        <v>5038</v>
      </c>
      <c r="G3227" s="3">
        <v>5373.26</v>
      </c>
      <c r="H3227" s="3">
        <v>0</v>
      </c>
      <c r="I3227" s="3">
        <f>SUM(Tabla1[[#This Row],[Monto_Base]],H3227)</f>
        <v>5373.26</v>
      </c>
      <c r="J3227" t="s">
        <v>5046</v>
      </c>
      <c r="K3227" t="s">
        <v>5049</v>
      </c>
      <c r="L3227" t="s">
        <v>5053</v>
      </c>
      <c r="M3227" t="s">
        <v>5055</v>
      </c>
    </row>
    <row r="3228" spans="1:13" x14ac:dyDescent="0.3">
      <c r="A3228" s="1">
        <v>45412</v>
      </c>
      <c r="B3228" s="1" t="str">
        <f>TEXT(Tabla1[[#This Row],[Fecha]],"MMMM")</f>
        <v>abril</v>
      </c>
      <c r="C3228" t="s">
        <v>3238</v>
      </c>
      <c r="D3228" t="s">
        <v>5017</v>
      </c>
      <c r="E3228" t="s">
        <v>5032</v>
      </c>
      <c r="F3228" t="s">
        <v>5039</v>
      </c>
      <c r="G3228" s="3">
        <v>11685.37</v>
      </c>
      <c r="H3228" s="3">
        <v>0</v>
      </c>
      <c r="I3228" s="3">
        <f>SUM(Tabla1[[#This Row],[Monto_Base]],H3228)</f>
        <v>11685.37</v>
      </c>
      <c r="J3228" t="s">
        <v>5043</v>
      </c>
      <c r="K3228" t="s">
        <v>5048</v>
      </c>
      <c r="L3228" t="s">
        <v>5052</v>
      </c>
      <c r="M3228" t="s">
        <v>5055</v>
      </c>
    </row>
    <row r="3229" spans="1:13" x14ac:dyDescent="0.3">
      <c r="A3229" s="1">
        <v>45564</v>
      </c>
      <c r="B3229" s="1" t="str">
        <f>TEXT(Tabla1[[#This Row],[Fecha]],"MMMM")</f>
        <v>septiembre</v>
      </c>
      <c r="C3229" t="s">
        <v>3239</v>
      </c>
      <c r="D3229" t="s">
        <v>5027</v>
      </c>
      <c r="E3229" t="s">
        <v>5033</v>
      </c>
      <c r="F3229" t="s">
        <v>5039</v>
      </c>
      <c r="G3229" s="3">
        <v>14295.07</v>
      </c>
      <c r="H3229" s="3">
        <v>1858.36</v>
      </c>
      <c r="I3229" s="3">
        <f>SUM(Tabla1[[#This Row],[Monto_Base]],H3229)</f>
        <v>16153.43</v>
      </c>
      <c r="J3229" t="s">
        <v>5045</v>
      </c>
      <c r="K3229" t="s">
        <v>5047</v>
      </c>
      <c r="L3229" t="s">
        <v>5051</v>
      </c>
      <c r="M3229" t="s">
        <v>5054</v>
      </c>
    </row>
    <row r="3230" spans="1:13" x14ac:dyDescent="0.3">
      <c r="A3230" s="1">
        <v>45503</v>
      </c>
      <c r="B3230" s="1" t="str">
        <f>TEXT(Tabla1[[#This Row],[Fecha]],"MMMM")</f>
        <v>julio</v>
      </c>
      <c r="C3230" t="s">
        <v>3240</v>
      </c>
      <c r="D3230" t="s">
        <v>5029</v>
      </c>
      <c r="E3230" t="s">
        <v>5032</v>
      </c>
      <c r="F3230" t="s">
        <v>5040</v>
      </c>
      <c r="G3230" s="3">
        <v>7807.28</v>
      </c>
      <c r="H3230" s="3">
        <v>0</v>
      </c>
      <c r="I3230" s="3">
        <f>SUM(Tabla1[[#This Row],[Monto_Base]],H3230)</f>
        <v>7807.28</v>
      </c>
      <c r="J3230" t="s">
        <v>5043</v>
      </c>
      <c r="K3230" t="s">
        <v>5048</v>
      </c>
      <c r="L3230" t="s">
        <v>5050</v>
      </c>
      <c r="M3230" t="s">
        <v>5055</v>
      </c>
    </row>
    <row r="3231" spans="1:13" x14ac:dyDescent="0.3">
      <c r="A3231" s="1">
        <v>45337</v>
      </c>
      <c r="B3231" s="1" t="str">
        <f>TEXT(Tabla1[[#This Row],[Fecha]],"MMMM")</f>
        <v>febrero</v>
      </c>
      <c r="C3231" t="s">
        <v>3241</v>
      </c>
      <c r="D3231" t="s">
        <v>5030</v>
      </c>
      <c r="E3231" t="s">
        <v>5032</v>
      </c>
      <c r="F3231" t="s">
        <v>5034</v>
      </c>
      <c r="G3231" s="3">
        <v>7391.85</v>
      </c>
      <c r="H3231" s="3">
        <v>0</v>
      </c>
      <c r="I3231" s="3">
        <f>SUM(Tabla1[[#This Row],[Monto_Base]],H3231)</f>
        <v>7391.85</v>
      </c>
      <c r="J3231" t="s">
        <v>5046</v>
      </c>
      <c r="K3231" t="s">
        <v>5047</v>
      </c>
      <c r="L3231" t="s">
        <v>5050</v>
      </c>
      <c r="M3231" t="s">
        <v>5054</v>
      </c>
    </row>
    <row r="3232" spans="1:13" x14ac:dyDescent="0.3">
      <c r="A3232" s="1">
        <v>45586</v>
      </c>
      <c r="B3232" s="1" t="str">
        <f>TEXT(Tabla1[[#This Row],[Fecha]],"MMMM")</f>
        <v>octubre</v>
      </c>
      <c r="C3232" t="s">
        <v>3242</v>
      </c>
      <c r="D3232" t="s">
        <v>5018</v>
      </c>
      <c r="E3232" t="s">
        <v>5032</v>
      </c>
      <c r="F3232" t="s">
        <v>5040</v>
      </c>
      <c r="G3232" s="3">
        <v>13359.41</v>
      </c>
      <c r="H3232" s="3">
        <v>0</v>
      </c>
      <c r="I3232" s="3">
        <f>SUM(Tabla1[[#This Row],[Monto_Base]],H3232)</f>
        <v>13359.41</v>
      </c>
      <c r="J3232" t="s">
        <v>5043</v>
      </c>
      <c r="K3232" t="s">
        <v>5048</v>
      </c>
      <c r="L3232" t="s">
        <v>5050</v>
      </c>
      <c r="M3232" t="s">
        <v>5054</v>
      </c>
    </row>
    <row r="3233" spans="1:13" x14ac:dyDescent="0.3">
      <c r="A3233" s="1">
        <v>45344</v>
      </c>
      <c r="B3233" s="1" t="str">
        <f>TEXT(Tabla1[[#This Row],[Fecha]],"MMMM")</f>
        <v>febrero</v>
      </c>
      <c r="C3233" t="s">
        <v>3243</v>
      </c>
      <c r="D3233" t="s">
        <v>5021</v>
      </c>
      <c r="E3233" t="s">
        <v>5032</v>
      </c>
      <c r="F3233" t="s">
        <v>5038</v>
      </c>
      <c r="G3233" s="3">
        <v>122.82</v>
      </c>
      <c r="H3233" s="3">
        <v>0</v>
      </c>
      <c r="I3233" s="3">
        <f>SUM(Tabla1[[#This Row],[Monto_Base]],H3233)</f>
        <v>122.82</v>
      </c>
      <c r="J3233" t="s">
        <v>5045</v>
      </c>
      <c r="K3233" t="s">
        <v>5049</v>
      </c>
      <c r="L3233" t="s">
        <v>5051</v>
      </c>
      <c r="M3233" t="s">
        <v>5055</v>
      </c>
    </row>
    <row r="3234" spans="1:13" x14ac:dyDescent="0.3">
      <c r="A3234" s="1">
        <v>45653</v>
      </c>
      <c r="B3234" s="1" t="str">
        <f>TEXT(Tabla1[[#This Row],[Fecha]],"MMMM")</f>
        <v>diciembre</v>
      </c>
      <c r="C3234" t="s">
        <v>3244</v>
      </c>
      <c r="D3234" t="s">
        <v>5015</v>
      </c>
      <c r="E3234" t="s">
        <v>5032</v>
      </c>
      <c r="F3234" t="s">
        <v>5039</v>
      </c>
      <c r="G3234" s="3">
        <v>8183.55</v>
      </c>
      <c r="H3234" s="3">
        <v>0</v>
      </c>
      <c r="I3234" s="3">
        <f>SUM(Tabla1[[#This Row],[Monto_Base]],H3234)</f>
        <v>8183.55</v>
      </c>
      <c r="J3234" t="s">
        <v>5044</v>
      </c>
      <c r="K3234" t="s">
        <v>5049</v>
      </c>
      <c r="L3234" t="s">
        <v>5052</v>
      </c>
      <c r="M3234" t="s">
        <v>5055</v>
      </c>
    </row>
    <row r="3235" spans="1:13" x14ac:dyDescent="0.3">
      <c r="A3235" s="1">
        <v>45449</v>
      </c>
      <c r="B3235" s="1" t="str">
        <f>TEXT(Tabla1[[#This Row],[Fecha]],"MMMM")</f>
        <v>junio</v>
      </c>
      <c r="C3235" t="s">
        <v>3245</v>
      </c>
      <c r="D3235" t="s">
        <v>5013</v>
      </c>
      <c r="E3235" t="s">
        <v>5032</v>
      </c>
      <c r="F3235" t="s">
        <v>5037</v>
      </c>
      <c r="G3235" s="3">
        <v>1818.03</v>
      </c>
      <c r="H3235" s="3">
        <v>0</v>
      </c>
      <c r="I3235" s="3">
        <f>SUM(Tabla1[[#This Row],[Monto_Base]],H3235)</f>
        <v>1818.03</v>
      </c>
      <c r="J3235" t="s">
        <v>5043</v>
      </c>
      <c r="K3235" t="s">
        <v>5047</v>
      </c>
      <c r="L3235" t="s">
        <v>5052</v>
      </c>
      <c r="M3235" t="s">
        <v>5055</v>
      </c>
    </row>
    <row r="3236" spans="1:13" x14ac:dyDescent="0.3">
      <c r="A3236" s="1">
        <v>45303</v>
      </c>
      <c r="B3236" s="1" t="str">
        <f>TEXT(Tabla1[[#This Row],[Fecha]],"MMMM")</f>
        <v>enero</v>
      </c>
      <c r="C3236" t="s">
        <v>3246</v>
      </c>
      <c r="D3236" t="s">
        <v>5013</v>
      </c>
      <c r="E3236" t="s">
        <v>5033</v>
      </c>
      <c r="F3236" t="s">
        <v>5037</v>
      </c>
      <c r="G3236" s="3">
        <v>11240.31</v>
      </c>
      <c r="H3236" s="3">
        <v>1461.24</v>
      </c>
      <c r="I3236" s="3">
        <f>SUM(Tabla1[[#This Row],[Monto_Base]],H3236)</f>
        <v>12701.55</v>
      </c>
      <c r="J3236" t="s">
        <v>5044</v>
      </c>
      <c r="K3236" t="s">
        <v>5048</v>
      </c>
      <c r="L3236" t="s">
        <v>5051</v>
      </c>
      <c r="M3236" t="s">
        <v>5055</v>
      </c>
    </row>
    <row r="3237" spans="1:13" x14ac:dyDescent="0.3">
      <c r="A3237" s="1">
        <v>45548</v>
      </c>
      <c r="B3237" s="1" t="str">
        <f>TEXT(Tabla1[[#This Row],[Fecha]],"MMMM")</f>
        <v>septiembre</v>
      </c>
      <c r="C3237" t="s">
        <v>3247</v>
      </c>
      <c r="D3237" t="s">
        <v>5020</v>
      </c>
      <c r="E3237" t="s">
        <v>5032</v>
      </c>
      <c r="F3237" t="s">
        <v>5039</v>
      </c>
      <c r="G3237" s="3">
        <v>11135.7</v>
      </c>
      <c r="H3237" s="3">
        <v>0</v>
      </c>
      <c r="I3237" s="3">
        <f>SUM(Tabla1[[#This Row],[Monto_Base]],H3237)</f>
        <v>11135.7</v>
      </c>
      <c r="J3237" t="s">
        <v>5046</v>
      </c>
      <c r="K3237" t="s">
        <v>5048</v>
      </c>
      <c r="L3237" t="s">
        <v>5051</v>
      </c>
      <c r="M3237" t="s">
        <v>5054</v>
      </c>
    </row>
    <row r="3238" spans="1:13" x14ac:dyDescent="0.3">
      <c r="A3238" s="1">
        <v>45393</v>
      </c>
      <c r="B3238" s="1" t="str">
        <f>TEXT(Tabla1[[#This Row],[Fecha]],"MMMM")</f>
        <v>abril</v>
      </c>
      <c r="C3238" t="s">
        <v>3248</v>
      </c>
      <c r="D3238" t="s">
        <v>5025</v>
      </c>
      <c r="E3238" t="s">
        <v>5033</v>
      </c>
      <c r="F3238" t="s">
        <v>5038</v>
      </c>
      <c r="G3238" s="3">
        <v>12113.97</v>
      </c>
      <c r="H3238" s="3">
        <v>1574.82</v>
      </c>
      <c r="I3238" s="3">
        <f>SUM(Tabla1[[#This Row],[Monto_Base]],H3238)</f>
        <v>13688.789999999999</v>
      </c>
      <c r="J3238" t="s">
        <v>5044</v>
      </c>
      <c r="K3238" t="s">
        <v>5049</v>
      </c>
      <c r="L3238" t="s">
        <v>5051</v>
      </c>
      <c r="M3238" t="s">
        <v>5055</v>
      </c>
    </row>
    <row r="3239" spans="1:13" x14ac:dyDescent="0.3">
      <c r="A3239" s="1">
        <v>45306</v>
      </c>
      <c r="B3239" s="1" t="str">
        <f>TEXT(Tabla1[[#This Row],[Fecha]],"MMMM")</f>
        <v>enero</v>
      </c>
      <c r="C3239" t="s">
        <v>3249</v>
      </c>
      <c r="D3239" t="s">
        <v>5020</v>
      </c>
      <c r="E3239" t="s">
        <v>5032</v>
      </c>
      <c r="F3239" t="s">
        <v>5037</v>
      </c>
      <c r="G3239" s="3">
        <v>11829.54</v>
      </c>
      <c r="H3239" s="3">
        <v>0</v>
      </c>
      <c r="I3239" s="3">
        <f>SUM(Tabla1[[#This Row],[Monto_Base]],H3239)</f>
        <v>11829.54</v>
      </c>
      <c r="J3239" t="s">
        <v>5045</v>
      </c>
      <c r="K3239" t="s">
        <v>5047</v>
      </c>
      <c r="L3239" t="s">
        <v>5053</v>
      </c>
      <c r="M3239" t="s">
        <v>5054</v>
      </c>
    </row>
    <row r="3240" spans="1:13" x14ac:dyDescent="0.3">
      <c r="A3240" s="1">
        <v>45368</v>
      </c>
      <c r="B3240" s="1" t="str">
        <f>TEXT(Tabla1[[#This Row],[Fecha]],"MMMM")</f>
        <v>marzo</v>
      </c>
      <c r="C3240" t="s">
        <v>3250</v>
      </c>
      <c r="D3240" t="s">
        <v>5031</v>
      </c>
      <c r="E3240" t="s">
        <v>5032</v>
      </c>
      <c r="F3240" t="s">
        <v>5039</v>
      </c>
      <c r="G3240" s="3">
        <v>2325.21</v>
      </c>
      <c r="H3240" s="3">
        <v>0</v>
      </c>
      <c r="I3240" s="3">
        <f>SUM(Tabla1[[#This Row],[Monto_Base]],H3240)</f>
        <v>2325.21</v>
      </c>
      <c r="J3240" t="s">
        <v>5046</v>
      </c>
      <c r="K3240" t="s">
        <v>5049</v>
      </c>
      <c r="L3240" t="s">
        <v>5050</v>
      </c>
      <c r="M3240" t="s">
        <v>5055</v>
      </c>
    </row>
    <row r="3241" spans="1:13" x14ac:dyDescent="0.3">
      <c r="A3241" s="1">
        <v>45398</v>
      </c>
      <c r="B3241" s="1" t="str">
        <f>TEXT(Tabla1[[#This Row],[Fecha]],"MMMM")</f>
        <v>abril</v>
      </c>
      <c r="C3241" t="s">
        <v>3251</v>
      </c>
      <c r="D3241" t="s">
        <v>5028</v>
      </c>
      <c r="E3241" t="s">
        <v>5033</v>
      </c>
      <c r="F3241" t="s">
        <v>5041</v>
      </c>
      <c r="G3241" s="3">
        <v>11168.98</v>
      </c>
      <c r="H3241" s="3">
        <v>1451.97</v>
      </c>
      <c r="I3241" s="3">
        <f>SUM(Tabla1[[#This Row],[Monto_Base]],H3241)</f>
        <v>12620.949999999999</v>
      </c>
      <c r="J3241" t="s">
        <v>5043</v>
      </c>
      <c r="K3241" t="s">
        <v>5049</v>
      </c>
      <c r="L3241" t="s">
        <v>5052</v>
      </c>
      <c r="M3241" t="s">
        <v>5055</v>
      </c>
    </row>
    <row r="3242" spans="1:13" x14ac:dyDescent="0.3">
      <c r="A3242" s="1">
        <v>45591</v>
      </c>
      <c r="B3242" s="1" t="str">
        <f>TEXT(Tabla1[[#This Row],[Fecha]],"MMMM")</f>
        <v>octubre</v>
      </c>
      <c r="C3242" t="s">
        <v>3252</v>
      </c>
      <c r="D3242" t="s">
        <v>5031</v>
      </c>
      <c r="E3242" t="s">
        <v>5032</v>
      </c>
      <c r="F3242" t="s">
        <v>5041</v>
      </c>
      <c r="G3242" s="3">
        <v>371.07</v>
      </c>
      <c r="H3242" s="3">
        <v>0</v>
      </c>
      <c r="I3242" s="3">
        <f>SUM(Tabla1[[#This Row],[Monto_Base]],H3242)</f>
        <v>371.07</v>
      </c>
      <c r="J3242" t="s">
        <v>5046</v>
      </c>
      <c r="K3242" t="s">
        <v>5048</v>
      </c>
      <c r="L3242" t="s">
        <v>5053</v>
      </c>
      <c r="M3242" t="s">
        <v>5054</v>
      </c>
    </row>
    <row r="3243" spans="1:13" x14ac:dyDescent="0.3">
      <c r="A3243" s="1">
        <v>45502</v>
      </c>
      <c r="B3243" s="1" t="str">
        <f>TEXT(Tabla1[[#This Row],[Fecha]],"MMMM")</f>
        <v>julio</v>
      </c>
      <c r="C3243" t="s">
        <v>3253</v>
      </c>
      <c r="D3243" t="s">
        <v>5020</v>
      </c>
      <c r="E3243" t="s">
        <v>5033</v>
      </c>
      <c r="F3243" t="s">
        <v>5036</v>
      </c>
      <c r="G3243" s="3">
        <v>1091.02</v>
      </c>
      <c r="H3243" s="3">
        <v>141.83000000000001</v>
      </c>
      <c r="I3243" s="3">
        <f>SUM(Tabla1[[#This Row],[Monto_Base]],H3243)</f>
        <v>1232.8499999999999</v>
      </c>
      <c r="J3243" t="s">
        <v>5044</v>
      </c>
      <c r="K3243" t="s">
        <v>5047</v>
      </c>
      <c r="L3243" t="s">
        <v>5052</v>
      </c>
      <c r="M3243" t="s">
        <v>5055</v>
      </c>
    </row>
    <row r="3244" spans="1:13" x14ac:dyDescent="0.3">
      <c r="A3244" s="1">
        <v>45534</v>
      </c>
      <c r="B3244" s="1" t="str">
        <f>TEXT(Tabla1[[#This Row],[Fecha]],"MMMM")</f>
        <v>agosto</v>
      </c>
      <c r="C3244" t="s">
        <v>3254</v>
      </c>
      <c r="D3244" t="s">
        <v>5016</v>
      </c>
      <c r="E3244" t="s">
        <v>5032</v>
      </c>
      <c r="F3244" t="s">
        <v>5034</v>
      </c>
      <c r="G3244" s="3">
        <v>13080.5</v>
      </c>
      <c r="H3244" s="3">
        <v>0</v>
      </c>
      <c r="I3244" s="3">
        <f>SUM(Tabla1[[#This Row],[Monto_Base]],H3244)</f>
        <v>13080.5</v>
      </c>
      <c r="J3244" t="s">
        <v>5043</v>
      </c>
      <c r="K3244" t="s">
        <v>5047</v>
      </c>
      <c r="L3244" t="s">
        <v>5053</v>
      </c>
      <c r="M3244" t="s">
        <v>5055</v>
      </c>
    </row>
    <row r="3245" spans="1:13" x14ac:dyDescent="0.3">
      <c r="A3245" s="1">
        <v>45355</v>
      </c>
      <c r="B3245" s="1" t="str">
        <f>TEXT(Tabla1[[#This Row],[Fecha]],"MMMM")</f>
        <v>marzo</v>
      </c>
      <c r="C3245" t="s">
        <v>3255</v>
      </c>
      <c r="D3245" t="s">
        <v>5018</v>
      </c>
      <c r="E3245" t="s">
        <v>5032</v>
      </c>
      <c r="F3245" t="s">
        <v>5040</v>
      </c>
      <c r="G3245" s="3">
        <v>13150.28</v>
      </c>
      <c r="H3245" s="3">
        <v>0</v>
      </c>
      <c r="I3245" s="3">
        <f>SUM(Tabla1[[#This Row],[Monto_Base]],H3245)</f>
        <v>13150.28</v>
      </c>
      <c r="J3245" t="s">
        <v>5044</v>
      </c>
      <c r="K3245" t="s">
        <v>5047</v>
      </c>
      <c r="L3245" t="s">
        <v>5051</v>
      </c>
      <c r="M3245" t="s">
        <v>5055</v>
      </c>
    </row>
    <row r="3246" spans="1:13" x14ac:dyDescent="0.3">
      <c r="A3246" s="1">
        <v>45442</v>
      </c>
      <c r="B3246" s="1" t="str">
        <f>TEXT(Tabla1[[#This Row],[Fecha]],"MMMM")</f>
        <v>mayo</v>
      </c>
      <c r="C3246" t="s">
        <v>3256</v>
      </c>
      <c r="D3246" t="s">
        <v>5014</v>
      </c>
      <c r="E3246" t="s">
        <v>5032</v>
      </c>
      <c r="F3246" t="s">
        <v>5037</v>
      </c>
      <c r="G3246" s="3">
        <v>8662.36</v>
      </c>
      <c r="H3246" s="3">
        <v>0</v>
      </c>
      <c r="I3246" s="3">
        <f>SUM(Tabla1[[#This Row],[Monto_Base]],H3246)</f>
        <v>8662.36</v>
      </c>
      <c r="J3246" t="s">
        <v>5046</v>
      </c>
      <c r="K3246" t="s">
        <v>5047</v>
      </c>
      <c r="L3246" t="s">
        <v>5050</v>
      </c>
      <c r="M3246" t="s">
        <v>5055</v>
      </c>
    </row>
    <row r="3247" spans="1:13" x14ac:dyDescent="0.3">
      <c r="A3247" s="1">
        <v>45295</v>
      </c>
      <c r="B3247" s="1" t="str">
        <f>TEXT(Tabla1[[#This Row],[Fecha]],"MMMM")</f>
        <v>enero</v>
      </c>
      <c r="C3247" t="s">
        <v>3257</v>
      </c>
      <c r="D3247" t="s">
        <v>5028</v>
      </c>
      <c r="E3247" t="s">
        <v>5032</v>
      </c>
      <c r="F3247" t="s">
        <v>5040</v>
      </c>
      <c r="G3247" s="3">
        <v>2569.91</v>
      </c>
      <c r="H3247" s="3">
        <v>0</v>
      </c>
      <c r="I3247" s="3">
        <f>SUM(Tabla1[[#This Row],[Monto_Base]],H3247)</f>
        <v>2569.91</v>
      </c>
      <c r="J3247" t="s">
        <v>5045</v>
      </c>
      <c r="K3247" t="s">
        <v>5047</v>
      </c>
      <c r="L3247" t="s">
        <v>5050</v>
      </c>
      <c r="M3247" t="s">
        <v>5054</v>
      </c>
    </row>
    <row r="3248" spans="1:13" x14ac:dyDescent="0.3">
      <c r="A3248" s="1">
        <v>45631</v>
      </c>
      <c r="B3248" s="1" t="str">
        <f>TEXT(Tabla1[[#This Row],[Fecha]],"MMMM")</f>
        <v>diciembre</v>
      </c>
      <c r="C3248" t="s">
        <v>3258</v>
      </c>
      <c r="D3248" t="s">
        <v>5024</v>
      </c>
      <c r="E3248" t="s">
        <v>5032</v>
      </c>
      <c r="F3248" t="s">
        <v>5038</v>
      </c>
      <c r="G3248" s="3">
        <v>6941.31</v>
      </c>
      <c r="H3248" s="3">
        <v>0</v>
      </c>
      <c r="I3248" s="3">
        <f>SUM(Tabla1[[#This Row],[Monto_Base]],H3248)</f>
        <v>6941.31</v>
      </c>
      <c r="J3248" t="s">
        <v>5044</v>
      </c>
      <c r="K3248" t="s">
        <v>5049</v>
      </c>
      <c r="L3248" t="s">
        <v>5051</v>
      </c>
      <c r="M3248" t="s">
        <v>5054</v>
      </c>
    </row>
    <row r="3249" spans="1:13" x14ac:dyDescent="0.3">
      <c r="A3249" s="1">
        <v>45574</v>
      </c>
      <c r="B3249" s="1" t="str">
        <f>TEXT(Tabla1[[#This Row],[Fecha]],"MMMM")</f>
        <v>octubre</v>
      </c>
      <c r="C3249" t="s">
        <v>3259</v>
      </c>
      <c r="D3249" t="s">
        <v>5015</v>
      </c>
      <c r="E3249" t="s">
        <v>5033</v>
      </c>
      <c r="F3249" t="s">
        <v>5037</v>
      </c>
      <c r="G3249" s="3">
        <v>10688.4</v>
      </c>
      <c r="H3249" s="3">
        <v>1389.49</v>
      </c>
      <c r="I3249" s="3">
        <f>SUM(Tabla1[[#This Row],[Monto_Base]],H3249)</f>
        <v>12077.89</v>
      </c>
      <c r="J3249" t="s">
        <v>5046</v>
      </c>
      <c r="K3249" t="s">
        <v>5047</v>
      </c>
      <c r="L3249" t="s">
        <v>5050</v>
      </c>
      <c r="M3249" t="s">
        <v>5055</v>
      </c>
    </row>
    <row r="3250" spans="1:13" x14ac:dyDescent="0.3">
      <c r="A3250" s="1">
        <v>45298</v>
      </c>
      <c r="B3250" s="1" t="str">
        <f>TEXT(Tabla1[[#This Row],[Fecha]],"MMMM")</f>
        <v>enero</v>
      </c>
      <c r="C3250" t="s">
        <v>3260</v>
      </c>
      <c r="D3250" t="s">
        <v>5030</v>
      </c>
      <c r="E3250" t="s">
        <v>5033</v>
      </c>
      <c r="F3250" t="s">
        <v>5035</v>
      </c>
      <c r="G3250" s="3">
        <v>1402.94</v>
      </c>
      <c r="H3250" s="3">
        <v>182.38</v>
      </c>
      <c r="I3250" s="3">
        <f>SUM(Tabla1[[#This Row],[Monto_Base]],H3250)</f>
        <v>1585.3200000000002</v>
      </c>
      <c r="J3250" t="s">
        <v>5043</v>
      </c>
      <c r="K3250" t="s">
        <v>5049</v>
      </c>
      <c r="L3250" t="s">
        <v>5053</v>
      </c>
      <c r="M3250" t="s">
        <v>5054</v>
      </c>
    </row>
    <row r="3251" spans="1:13" x14ac:dyDescent="0.3">
      <c r="A3251" s="1">
        <v>45414</v>
      </c>
      <c r="B3251" s="1" t="str">
        <f>TEXT(Tabla1[[#This Row],[Fecha]],"MMMM")</f>
        <v>mayo</v>
      </c>
      <c r="C3251" t="s">
        <v>3261</v>
      </c>
      <c r="D3251" t="s">
        <v>5020</v>
      </c>
      <c r="E3251" t="s">
        <v>5032</v>
      </c>
      <c r="F3251" t="s">
        <v>5037</v>
      </c>
      <c r="G3251" s="3">
        <v>14282.98</v>
      </c>
      <c r="H3251" s="3">
        <v>0</v>
      </c>
      <c r="I3251" s="3">
        <f>SUM(Tabla1[[#This Row],[Monto_Base]],H3251)</f>
        <v>14282.98</v>
      </c>
      <c r="J3251" t="s">
        <v>5045</v>
      </c>
      <c r="K3251" t="s">
        <v>5048</v>
      </c>
      <c r="L3251" t="s">
        <v>5051</v>
      </c>
      <c r="M3251" t="s">
        <v>5055</v>
      </c>
    </row>
    <row r="3252" spans="1:13" x14ac:dyDescent="0.3">
      <c r="A3252" s="1">
        <v>45471</v>
      </c>
      <c r="B3252" s="1" t="str">
        <f>TEXT(Tabla1[[#This Row],[Fecha]],"MMMM")</f>
        <v>junio</v>
      </c>
      <c r="C3252" t="s">
        <v>3262</v>
      </c>
      <c r="D3252" t="s">
        <v>5021</v>
      </c>
      <c r="E3252" t="s">
        <v>5033</v>
      </c>
      <c r="F3252" t="s">
        <v>5034</v>
      </c>
      <c r="G3252" s="3">
        <v>4735.0200000000004</v>
      </c>
      <c r="H3252" s="3">
        <v>615.54999999999995</v>
      </c>
      <c r="I3252" s="3">
        <f>SUM(Tabla1[[#This Row],[Monto_Base]],H3252)</f>
        <v>5350.5700000000006</v>
      </c>
      <c r="J3252" t="s">
        <v>5046</v>
      </c>
      <c r="K3252" t="s">
        <v>5049</v>
      </c>
      <c r="L3252" t="s">
        <v>5052</v>
      </c>
      <c r="M3252" t="s">
        <v>5054</v>
      </c>
    </row>
    <row r="3253" spans="1:13" x14ac:dyDescent="0.3">
      <c r="A3253" s="1">
        <v>45629</v>
      </c>
      <c r="B3253" s="1" t="str">
        <f>TEXT(Tabla1[[#This Row],[Fecha]],"MMMM")</f>
        <v>diciembre</v>
      </c>
      <c r="C3253" t="s">
        <v>3263</v>
      </c>
      <c r="D3253" t="s">
        <v>5028</v>
      </c>
      <c r="E3253" t="s">
        <v>5032</v>
      </c>
      <c r="F3253" t="s">
        <v>5040</v>
      </c>
      <c r="G3253" s="3">
        <v>12898.71</v>
      </c>
      <c r="H3253" s="3">
        <v>0</v>
      </c>
      <c r="I3253" s="3">
        <f>SUM(Tabla1[[#This Row],[Monto_Base]],H3253)</f>
        <v>12898.71</v>
      </c>
      <c r="J3253" t="s">
        <v>5043</v>
      </c>
      <c r="K3253" t="s">
        <v>5049</v>
      </c>
      <c r="L3253" t="s">
        <v>5053</v>
      </c>
      <c r="M3253" t="s">
        <v>5054</v>
      </c>
    </row>
    <row r="3254" spans="1:13" x14ac:dyDescent="0.3">
      <c r="A3254" s="1">
        <v>45618</v>
      </c>
      <c r="B3254" s="1" t="str">
        <f>TEXT(Tabla1[[#This Row],[Fecha]],"MMMM")</f>
        <v>noviembre</v>
      </c>
      <c r="C3254" t="s">
        <v>3264</v>
      </c>
      <c r="D3254" t="s">
        <v>5026</v>
      </c>
      <c r="E3254" t="s">
        <v>5032</v>
      </c>
      <c r="F3254" t="s">
        <v>5040</v>
      </c>
      <c r="G3254" s="3">
        <v>5706.44</v>
      </c>
      <c r="H3254" s="3">
        <v>0</v>
      </c>
      <c r="I3254" s="3">
        <f>SUM(Tabla1[[#This Row],[Monto_Base]],H3254)</f>
        <v>5706.44</v>
      </c>
      <c r="J3254" t="s">
        <v>5043</v>
      </c>
      <c r="K3254" t="s">
        <v>5049</v>
      </c>
      <c r="L3254" t="s">
        <v>5050</v>
      </c>
      <c r="M3254" t="s">
        <v>5054</v>
      </c>
    </row>
    <row r="3255" spans="1:13" x14ac:dyDescent="0.3">
      <c r="A3255" s="1">
        <v>45531</v>
      </c>
      <c r="B3255" s="1" t="str">
        <f>TEXT(Tabla1[[#This Row],[Fecha]],"MMMM")</f>
        <v>agosto</v>
      </c>
      <c r="C3255" t="s">
        <v>3265</v>
      </c>
      <c r="D3255" t="s">
        <v>5015</v>
      </c>
      <c r="E3255" t="s">
        <v>5033</v>
      </c>
      <c r="F3255" t="s">
        <v>5036</v>
      </c>
      <c r="G3255" s="3">
        <v>12545.09</v>
      </c>
      <c r="H3255" s="3">
        <v>1630.86</v>
      </c>
      <c r="I3255" s="3">
        <f>SUM(Tabla1[[#This Row],[Monto_Base]],H3255)</f>
        <v>14175.95</v>
      </c>
      <c r="J3255" t="s">
        <v>5045</v>
      </c>
      <c r="K3255" t="s">
        <v>5049</v>
      </c>
      <c r="L3255" t="s">
        <v>5051</v>
      </c>
      <c r="M3255" t="s">
        <v>5054</v>
      </c>
    </row>
    <row r="3256" spans="1:13" x14ac:dyDescent="0.3">
      <c r="A3256" s="1">
        <v>45353</v>
      </c>
      <c r="B3256" s="1" t="str">
        <f>TEXT(Tabla1[[#This Row],[Fecha]],"MMMM")</f>
        <v>marzo</v>
      </c>
      <c r="C3256" t="s">
        <v>3266</v>
      </c>
      <c r="D3256" t="s">
        <v>5018</v>
      </c>
      <c r="E3256" t="s">
        <v>5033</v>
      </c>
      <c r="F3256" t="s">
        <v>5036</v>
      </c>
      <c r="G3256" s="3">
        <v>14833.24</v>
      </c>
      <c r="H3256" s="3">
        <v>1928.32</v>
      </c>
      <c r="I3256" s="3">
        <f>SUM(Tabla1[[#This Row],[Monto_Base]],H3256)</f>
        <v>16761.560000000001</v>
      </c>
      <c r="J3256" t="s">
        <v>5045</v>
      </c>
      <c r="K3256" t="s">
        <v>5048</v>
      </c>
      <c r="L3256" t="s">
        <v>5050</v>
      </c>
      <c r="M3256" t="s">
        <v>5055</v>
      </c>
    </row>
    <row r="3257" spans="1:13" x14ac:dyDescent="0.3">
      <c r="A3257" s="1">
        <v>45550</v>
      </c>
      <c r="B3257" s="1" t="str">
        <f>TEXT(Tabla1[[#This Row],[Fecha]],"MMMM")</f>
        <v>septiembre</v>
      </c>
      <c r="C3257" t="s">
        <v>3267</v>
      </c>
      <c r="D3257" t="s">
        <v>5019</v>
      </c>
      <c r="E3257" t="s">
        <v>5033</v>
      </c>
      <c r="F3257" t="s">
        <v>5036</v>
      </c>
      <c r="G3257" s="3">
        <v>14990.41</v>
      </c>
      <c r="H3257" s="3">
        <v>1948.75</v>
      </c>
      <c r="I3257" s="3">
        <f>SUM(Tabla1[[#This Row],[Monto_Base]],H3257)</f>
        <v>16939.16</v>
      </c>
      <c r="J3257" t="s">
        <v>5046</v>
      </c>
      <c r="K3257" t="s">
        <v>5047</v>
      </c>
      <c r="L3257" t="s">
        <v>5050</v>
      </c>
      <c r="M3257" t="s">
        <v>5055</v>
      </c>
    </row>
    <row r="3258" spans="1:13" x14ac:dyDescent="0.3">
      <c r="A3258" s="1">
        <v>45635</v>
      </c>
      <c r="B3258" s="1" t="str">
        <f>TEXT(Tabla1[[#This Row],[Fecha]],"MMMM")</f>
        <v>diciembre</v>
      </c>
      <c r="C3258" t="s">
        <v>3268</v>
      </c>
      <c r="D3258" t="s">
        <v>5028</v>
      </c>
      <c r="E3258" t="s">
        <v>5032</v>
      </c>
      <c r="F3258" t="s">
        <v>5041</v>
      </c>
      <c r="G3258" s="3">
        <v>3232.64</v>
      </c>
      <c r="H3258" s="3">
        <v>0</v>
      </c>
      <c r="I3258" s="3">
        <f>SUM(Tabla1[[#This Row],[Monto_Base]],H3258)</f>
        <v>3232.64</v>
      </c>
      <c r="J3258" t="s">
        <v>5042</v>
      </c>
      <c r="K3258" t="s">
        <v>5049</v>
      </c>
      <c r="L3258" t="s">
        <v>5051</v>
      </c>
      <c r="M3258" t="s">
        <v>5054</v>
      </c>
    </row>
    <row r="3259" spans="1:13" x14ac:dyDescent="0.3">
      <c r="A3259" s="1">
        <v>45545</v>
      </c>
      <c r="B3259" s="1" t="str">
        <f>TEXT(Tabla1[[#This Row],[Fecha]],"MMMM")</f>
        <v>septiembre</v>
      </c>
      <c r="C3259" t="s">
        <v>3269</v>
      </c>
      <c r="D3259" t="s">
        <v>5018</v>
      </c>
      <c r="E3259" t="s">
        <v>5032</v>
      </c>
      <c r="F3259" t="s">
        <v>5038</v>
      </c>
      <c r="G3259" s="3">
        <v>8415.5400000000009</v>
      </c>
      <c r="H3259" s="3">
        <v>0</v>
      </c>
      <c r="I3259" s="3">
        <f>SUM(Tabla1[[#This Row],[Monto_Base]],H3259)</f>
        <v>8415.5400000000009</v>
      </c>
      <c r="J3259" t="s">
        <v>5043</v>
      </c>
      <c r="K3259" t="s">
        <v>5047</v>
      </c>
      <c r="L3259" t="s">
        <v>5053</v>
      </c>
      <c r="M3259" t="s">
        <v>5055</v>
      </c>
    </row>
    <row r="3260" spans="1:13" x14ac:dyDescent="0.3">
      <c r="A3260" s="1">
        <v>45340</v>
      </c>
      <c r="B3260" s="1" t="str">
        <f>TEXT(Tabla1[[#This Row],[Fecha]],"MMMM")</f>
        <v>febrero</v>
      </c>
      <c r="C3260" t="s">
        <v>3270</v>
      </c>
      <c r="D3260" t="s">
        <v>5026</v>
      </c>
      <c r="E3260" t="s">
        <v>5032</v>
      </c>
      <c r="F3260" t="s">
        <v>5034</v>
      </c>
      <c r="G3260" s="3">
        <v>2630.1</v>
      </c>
      <c r="H3260" s="3">
        <v>0</v>
      </c>
      <c r="I3260" s="3">
        <f>SUM(Tabla1[[#This Row],[Monto_Base]],H3260)</f>
        <v>2630.1</v>
      </c>
      <c r="J3260" t="s">
        <v>5046</v>
      </c>
      <c r="K3260" t="s">
        <v>5047</v>
      </c>
      <c r="L3260" t="s">
        <v>5053</v>
      </c>
      <c r="M3260" t="s">
        <v>5054</v>
      </c>
    </row>
    <row r="3261" spans="1:13" x14ac:dyDescent="0.3">
      <c r="A3261" s="1">
        <v>45632</v>
      </c>
      <c r="B3261" s="1" t="str">
        <f>TEXT(Tabla1[[#This Row],[Fecha]],"MMMM")</f>
        <v>diciembre</v>
      </c>
      <c r="C3261" t="s">
        <v>3271</v>
      </c>
      <c r="D3261" t="s">
        <v>5027</v>
      </c>
      <c r="E3261" t="s">
        <v>5032</v>
      </c>
      <c r="F3261" t="s">
        <v>5035</v>
      </c>
      <c r="G3261" s="3">
        <v>9236.85</v>
      </c>
      <c r="H3261" s="3">
        <v>0</v>
      </c>
      <c r="I3261" s="3">
        <f>SUM(Tabla1[[#This Row],[Monto_Base]],H3261)</f>
        <v>9236.85</v>
      </c>
      <c r="J3261" t="s">
        <v>5043</v>
      </c>
      <c r="K3261" t="s">
        <v>5048</v>
      </c>
      <c r="L3261" t="s">
        <v>5053</v>
      </c>
      <c r="M3261" t="s">
        <v>5054</v>
      </c>
    </row>
    <row r="3262" spans="1:13" x14ac:dyDescent="0.3">
      <c r="A3262" s="1">
        <v>45623</v>
      </c>
      <c r="B3262" s="1" t="str">
        <f>TEXT(Tabla1[[#This Row],[Fecha]],"MMMM")</f>
        <v>noviembre</v>
      </c>
      <c r="C3262" t="s">
        <v>3272</v>
      </c>
      <c r="D3262" t="s">
        <v>5020</v>
      </c>
      <c r="E3262" t="s">
        <v>5033</v>
      </c>
      <c r="F3262" t="s">
        <v>5034</v>
      </c>
      <c r="G3262" s="3">
        <v>12442.72</v>
      </c>
      <c r="H3262" s="3">
        <v>1617.55</v>
      </c>
      <c r="I3262" s="3">
        <f>SUM(Tabla1[[#This Row],[Monto_Base]],H3262)</f>
        <v>14060.269999999999</v>
      </c>
      <c r="J3262" t="s">
        <v>5044</v>
      </c>
      <c r="K3262" t="s">
        <v>5048</v>
      </c>
      <c r="L3262" t="s">
        <v>5053</v>
      </c>
      <c r="M3262" t="s">
        <v>5055</v>
      </c>
    </row>
    <row r="3263" spans="1:13" x14ac:dyDescent="0.3">
      <c r="A3263" s="1">
        <v>45292</v>
      </c>
      <c r="B3263" s="1" t="str">
        <f>TEXT(Tabla1[[#This Row],[Fecha]],"MMMM")</f>
        <v>enero</v>
      </c>
      <c r="C3263" t="s">
        <v>3273</v>
      </c>
      <c r="D3263" t="s">
        <v>5019</v>
      </c>
      <c r="E3263" t="s">
        <v>5033</v>
      </c>
      <c r="F3263" t="s">
        <v>5036</v>
      </c>
      <c r="G3263" s="3">
        <v>11539.61</v>
      </c>
      <c r="H3263" s="3">
        <v>1500.15</v>
      </c>
      <c r="I3263" s="3">
        <f>SUM(Tabla1[[#This Row],[Monto_Base]],H3263)</f>
        <v>13039.76</v>
      </c>
      <c r="J3263" t="s">
        <v>5045</v>
      </c>
      <c r="K3263" t="s">
        <v>5047</v>
      </c>
      <c r="L3263" t="s">
        <v>5050</v>
      </c>
      <c r="M3263" t="s">
        <v>5054</v>
      </c>
    </row>
    <row r="3264" spans="1:13" x14ac:dyDescent="0.3">
      <c r="A3264" s="1">
        <v>45323</v>
      </c>
      <c r="B3264" s="1" t="str">
        <f>TEXT(Tabla1[[#This Row],[Fecha]],"MMMM")</f>
        <v>febrero</v>
      </c>
      <c r="C3264" t="s">
        <v>3274</v>
      </c>
      <c r="D3264" t="s">
        <v>5018</v>
      </c>
      <c r="E3264" t="s">
        <v>5033</v>
      </c>
      <c r="F3264" t="s">
        <v>5034</v>
      </c>
      <c r="G3264" s="3">
        <v>7336.9</v>
      </c>
      <c r="H3264" s="3">
        <v>953.8</v>
      </c>
      <c r="I3264" s="3">
        <f>SUM(Tabla1[[#This Row],[Monto_Base]],H3264)</f>
        <v>8290.6999999999989</v>
      </c>
      <c r="J3264" t="s">
        <v>5042</v>
      </c>
      <c r="K3264" t="s">
        <v>5049</v>
      </c>
      <c r="L3264" t="s">
        <v>5050</v>
      </c>
      <c r="M3264" t="s">
        <v>5055</v>
      </c>
    </row>
    <row r="3265" spans="1:13" x14ac:dyDescent="0.3">
      <c r="A3265" s="1">
        <v>45653</v>
      </c>
      <c r="B3265" s="1" t="str">
        <f>TEXT(Tabla1[[#This Row],[Fecha]],"MMMM")</f>
        <v>diciembre</v>
      </c>
      <c r="C3265" t="s">
        <v>3275</v>
      </c>
      <c r="D3265" t="s">
        <v>5026</v>
      </c>
      <c r="E3265" t="s">
        <v>5033</v>
      </c>
      <c r="F3265" t="s">
        <v>5041</v>
      </c>
      <c r="G3265" s="3">
        <v>12018.2</v>
      </c>
      <c r="H3265" s="3">
        <v>1562.37</v>
      </c>
      <c r="I3265" s="3">
        <f>SUM(Tabla1[[#This Row],[Monto_Base]],H3265)</f>
        <v>13580.57</v>
      </c>
      <c r="J3265" t="s">
        <v>5045</v>
      </c>
      <c r="K3265" t="s">
        <v>5049</v>
      </c>
      <c r="L3265" t="s">
        <v>5052</v>
      </c>
      <c r="M3265" t="s">
        <v>5055</v>
      </c>
    </row>
    <row r="3266" spans="1:13" x14ac:dyDescent="0.3">
      <c r="A3266" s="1">
        <v>45447</v>
      </c>
      <c r="B3266" s="1" t="str">
        <f>TEXT(Tabla1[[#This Row],[Fecha]],"MMMM")</f>
        <v>junio</v>
      </c>
      <c r="C3266" t="s">
        <v>3276</v>
      </c>
      <c r="D3266" t="s">
        <v>5014</v>
      </c>
      <c r="E3266" t="s">
        <v>5033</v>
      </c>
      <c r="F3266" t="s">
        <v>5037</v>
      </c>
      <c r="G3266" s="3">
        <v>7401.03</v>
      </c>
      <c r="H3266" s="3">
        <v>962.13</v>
      </c>
      <c r="I3266" s="3">
        <f>SUM(Tabla1[[#This Row],[Monto_Base]],H3266)</f>
        <v>8363.16</v>
      </c>
      <c r="J3266" t="s">
        <v>5042</v>
      </c>
      <c r="K3266" t="s">
        <v>5048</v>
      </c>
      <c r="L3266" t="s">
        <v>5050</v>
      </c>
      <c r="M3266" t="s">
        <v>5054</v>
      </c>
    </row>
    <row r="3267" spans="1:13" x14ac:dyDescent="0.3">
      <c r="A3267" s="1">
        <v>45636</v>
      </c>
      <c r="B3267" s="1" t="str">
        <f>TEXT(Tabla1[[#This Row],[Fecha]],"MMMM")</f>
        <v>diciembre</v>
      </c>
      <c r="C3267" t="s">
        <v>3277</v>
      </c>
      <c r="D3267" t="s">
        <v>5020</v>
      </c>
      <c r="E3267" t="s">
        <v>5033</v>
      </c>
      <c r="F3267" t="s">
        <v>5041</v>
      </c>
      <c r="G3267" s="3">
        <v>11986.73</v>
      </c>
      <c r="H3267" s="3">
        <v>1558.27</v>
      </c>
      <c r="I3267" s="3">
        <f>SUM(Tabla1[[#This Row],[Monto_Base]],H3267)</f>
        <v>13545</v>
      </c>
      <c r="J3267" t="s">
        <v>5044</v>
      </c>
      <c r="K3267" t="s">
        <v>5048</v>
      </c>
      <c r="L3267" t="s">
        <v>5050</v>
      </c>
      <c r="M3267" t="s">
        <v>5055</v>
      </c>
    </row>
    <row r="3268" spans="1:13" x14ac:dyDescent="0.3">
      <c r="A3268" s="1">
        <v>45638</v>
      </c>
      <c r="B3268" s="1" t="str">
        <f>TEXT(Tabla1[[#This Row],[Fecha]],"MMMM")</f>
        <v>diciembre</v>
      </c>
      <c r="C3268" t="s">
        <v>3278</v>
      </c>
      <c r="D3268" t="s">
        <v>5028</v>
      </c>
      <c r="E3268" t="s">
        <v>5032</v>
      </c>
      <c r="F3268" t="s">
        <v>5041</v>
      </c>
      <c r="G3268" s="3">
        <v>5957.75</v>
      </c>
      <c r="H3268" s="3">
        <v>0</v>
      </c>
      <c r="I3268" s="3">
        <f>SUM(Tabla1[[#This Row],[Monto_Base]],H3268)</f>
        <v>5957.75</v>
      </c>
      <c r="J3268" t="s">
        <v>5044</v>
      </c>
      <c r="K3268" t="s">
        <v>5047</v>
      </c>
      <c r="L3268" t="s">
        <v>5052</v>
      </c>
      <c r="M3268" t="s">
        <v>5054</v>
      </c>
    </row>
    <row r="3269" spans="1:13" x14ac:dyDescent="0.3">
      <c r="A3269" s="1">
        <v>45471</v>
      </c>
      <c r="B3269" s="1" t="str">
        <f>TEXT(Tabla1[[#This Row],[Fecha]],"MMMM")</f>
        <v>junio</v>
      </c>
      <c r="C3269" t="s">
        <v>3279</v>
      </c>
      <c r="D3269" t="s">
        <v>5014</v>
      </c>
      <c r="E3269" t="s">
        <v>5032</v>
      </c>
      <c r="F3269" t="s">
        <v>5041</v>
      </c>
      <c r="G3269" s="3">
        <v>7175.6</v>
      </c>
      <c r="H3269" s="3">
        <v>0</v>
      </c>
      <c r="I3269" s="3">
        <f>SUM(Tabla1[[#This Row],[Monto_Base]],H3269)</f>
        <v>7175.6</v>
      </c>
      <c r="J3269" t="s">
        <v>5045</v>
      </c>
      <c r="K3269" t="s">
        <v>5047</v>
      </c>
      <c r="L3269" t="s">
        <v>5052</v>
      </c>
      <c r="M3269" t="s">
        <v>5055</v>
      </c>
    </row>
    <row r="3270" spans="1:13" x14ac:dyDescent="0.3">
      <c r="A3270" s="1">
        <v>45383</v>
      </c>
      <c r="B3270" s="1" t="str">
        <f>TEXT(Tabla1[[#This Row],[Fecha]],"MMMM")</f>
        <v>abril</v>
      </c>
      <c r="C3270" t="s">
        <v>3280</v>
      </c>
      <c r="D3270" t="s">
        <v>5028</v>
      </c>
      <c r="E3270" t="s">
        <v>5033</v>
      </c>
      <c r="F3270" t="s">
        <v>5035</v>
      </c>
      <c r="G3270" s="3">
        <v>2829.24</v>
      </c>
      <c r="H3270" s="3">
        <v>367.8</v>
      </c>
      <c r="I3270" s="3">
        <f>SUM(Tabla1[[#This Row],[Monto_Base]],H3270)</f>
        <v>3197.04</v>
      </c>
      <c r="J3270" t="s">
        <v>5043</v>
      </c>
      <c r="K3270" t="s">
        <v>5049</v>
      </c>
      <c r="L3270" t="s">
        <v>5052</v>
      </c>
      <c r="M3270" t="s">
        <v>5054</v>
      </c>
    </row>
    <row r="3271" spans="1:13" x14ac:dyDescent="0.3">
      <c r="A3271" s="1">
        <v>45482</v>
      </c>
      <c r="B3271" s="1" t="str">
        <f>TEXT(Tabla1[[#This Row],[Fecha]],"MMMM")</f>
        <v>julio</v>
      </c>
      <c r="C3271" t="s">
        <v>3281</v>
      </c>
      <c r="D3271" t="s">
        <v>5026</v>
      </c>
      <c r="E3271" t="s">
        <v>5032</v>
      </c>
      <c r="F3271" t="s">
        <v>5038</v>
      </c>
      <c r="G3271" s="3">
        <v>5212.43</v>
      </c>
      <c r="H3271" s="3">
        <v>0</v>
      </c>
      <c r="I3271" s="3">
        <f>SUM(Tabla1[[#This Row],[Monto_Base]],H3271)</f>
        <v>5212.43</v>
      </c>
      <c r="J3271" t="s">
        <v>5043</v>
      </c>
      <c r="K3271" t="s">
        <v>5047</v>
      </c>
      <c r="L3271" t="s">
        <v>5052</v>
      </c>
      <c r="M3271" t="s">
        <v>5054</v>
      </c>
    </row>
    <row r="3272" spans="1:13" x14ac:dyDescent="0.3">
      <c r="A3272" s="1">
        <v>45408</v>
      </c>
      <c r="B3272" s="1" t="str">
        <f>TEXT(Tabla1[[#This Row],[Fecha]],"MMMM")</f>
        <v>abril</v>
      </c>
      <c r="C3272" t="s">
        <v>3282</v>
      </c>
      <c r="D3272" t="s">
        <v>5018</v>
      </c>
      <c r="E3272" t="s">
        <v>5032</v>
      </c>
      <c r="F3272" t="s">
        <v>5035</v>
      </c>
      <c r="G3272" s="3">
        <v>10999.99</v>
      </c>
      <c r="H3272" s="3">
        <v>0</v>
      </c>
      <c r="I3272" s="3">
        <f>SUM(Tabla1[[#This Row],[Monto_Base]],H3272)</f>
        <v>10999.99</v>
      </c>
      <c r="J3272" t="s">
        <v>5044</v>
      </c>
      <c r="K3272" t="s">
        <v>5047</v>
      </c>
      <c r="L3272" t="s">
        <v>5050</v>
      </c>
      <c r="M3272" t="s">
        <v>5055</v>
      </c>
    </row>
    <row r="3273" spans="1:13" x14ac:dyDescent="0.3">
      <c r="A3273" s="1">
        <v>45537</v>
      </c>
      <c r="B3273" s="1" t="str">
        <f>TEXT(Tabla1[[#This Row],[Fecha]],"MMMM")</f>
        <v>septiembre</v>
      </c>
      <c r="C3273" t="s">
        <v>3283</v>
      </c>
      <c r="D3273" t="s">
        <v>5026</v>
      </c>
      <c r="E3273" t="s">
        <v>5032</v>
      </c>
      <c r="F3273" t="s">
        <v>5041</v>
      </c>
      <c r="G3273" s="3">
        <v>6025.7</v>
      </c>
      <c r="H3273" s="3">
        <v>0</v>
      </c>
      <c r="I3273" s="3">
        <f>SUM(Tabla1[[#This Row],[Monto_Base]],H3273)</f>
        <v>6025.7</v>
      </c>
      <c r="J3273" t="s">
        <v>5044</v>
      </c>
      <c r="K3273" t="s">
        <v>5047</v>
      </c>
      <c r="L3273" t="s">
        <v>5052</v>
      </c>
      <c r="M3273" t="s">
        <v>5055</v>
      </c>
    </row>
    <row r="3274" spans="1:13" x14ac:dyDescent="0.3">
      <c r="A3274" s="1">
        <v>45475</v>
      </c>
      <c r="B3274" s="1" t="str">
        <f>TEXT(Tabla1[[#This Row],[Fecha]],"MMMM")</f>
        <v>julio</v>
      </c>
      <c r="C3274" t="s">
        <v>3284</v>
      </c>
      <c r="D3274" t="s">
        <v>5018</v>
      </c>
      <c r="E3274" t="s">
        <v>5033</v>
      </c>
      <c r="F3274" t="s">
        <v>5035</v>
      </c>
      <c r="G3274" s="3">
        <v>10815.82</v>
      </c>
      <c r="H3274" s="3">
        <v>1406.06</v>
      </c>
      <c r="I3274" s="3">
        <f>SUM(Tabla1[[#This Row],[Monto_Base]],H3274)</f>
        <v>12221.88</v>
      </c>
      <c r="J3274" t="s">
        <v>5046</v>
      </c>
      <c r="K3274" t="s">
        <v>5048</v>
      </c>
      <c r="L3274" t="s">
        <v>5050</v>
      </c>
      <c r="M3274" t="s">
        <v>5054</v>
      </c>
    </row>
    <row r="3275" spans="1:13" x14ac:dyDescent="0.3">
      <c r="A3275" s="1">
        <v>45424</v>
      </c>
      <c r="B3275" s="1" t="str">
        <f>TEXT(Tabla1[[#This Row],[Fecha]],"MMMM")</f>
        <v>mayo</v>
      </c>
      <c r="C3275" t="s">
        <v>3285</v>
      </c>
      <c r="D3275" t="s">
        <v>5026</v>
      </c>
      <c r="E3275" t="s">
        <v>5032</v>
      </c>
      <c r="F3275" t="s">
        <v>5037</v>
      </c>
      <c r="G3275" s="3">
        <v>3496.69</v>
      </c>
      <c r="H3275" s="3">
        <v>0</v>
      </c>
      <c r="I3275" s="3">
        <f>SUM(Tabla1[[#This Row],[Monto_Base]],H3275)</f>
        <v>3496.69</v>
      </c>
      <c r="J3275" t="s">
        <v>5046</v>
      </c>
      <c r="K3275" t="s">
        <v>5047</v>
      </c>
      <c r="L3275" t="s">
        <v>5051</v>
      </c>
      <c r="M3275" t="s">
        <v>5055</v>
      </c>
    </row>
    <row r="3276" spans="1:13" x14ac:dyDescent="0.3">
      <c r="A3276" s="1">
        <v>45404</v>
      </c>
      <c r="B3276" s="1" t="str">
        <f>TEXT(Tabla1[[#This Row],[Fecha]],"MMMM")</f>
        <v>abril</v>
      </c>
      <c r="C3276" t="s">
        <v>3286</v>
      </c>
      <c r="D3276" t="s">
        <v>5023</v>
      </c>
      <c r="E3276" t="s">
        <v>5033</v>
      </c>
      <c r="F3276" t="s">
        <v>5041</v>
      </c>
      <c r="G3276" s="3">
        <v>2140.1999999999998</v>
      </c>
      <c r="H3276" s="3">
        <v>278.23</v>
      </c>
      <c r="I3276" s="3">
        <f>SUM(Tabla1[[#This Row],[Monto_Base]],H3276)</f>
        <v>2418.4299999999998</v>
      </c>
      <c r="J3276" t="s">
        <v>5043</v>
      </c>
      <c r="K3276" t="s">
        <v>5049</v>
      </c>
      <c r="L3276" t="s">
        <v>5052</v>
      </c>
      <c r="M3276" t="s">
        <v>5054</v>
      </c>
    </row>
    <row r="3277" spans="1:13" x14ac:dyDescent="0.3">
      <c r="A3277" s="1">
        <v>45409</v>
      </c>
      <c r="B3277" s="1" t="str">
        <f>TEXT(Tabla1[[#This Row],[Fecha]],"MMMM")</f>
        <v>abril</v>
      </c>
      <c r="C3277" t="s">
        <v>3287</v>
      </c>
      <c r="D3277" t="s">
        <v>5014</v>
      </c>
      <c r="E3277" t="s">
        <v>5033</v>
      </c>
      <c r="F3277" t="s">
        <v>5036</v>
      </c>
      <c r="G3277" s="3">
        <v>578.41</v>
      </c>
      <c r="H3277" s="3">
        <v>75.19</v>
      </c>
      <c r="I3277" s="3">
        <f>SUM(Tabla1[[#This Row],[Monto_Base]],H3277)</f>
        <v>653.59999999999991</v>
      </c>
      <c r="J3277" t="s">
        <v>5043</v>
      </c>
      <c r="K3277" t="s">
        <v>5049</v>
      </c>
      <c r="L3277" t="s">
        <v>5053</v>
      </c>
      <c r="M3277" t="s">
        <v>5054</v>
      </c>
    </row>
    <row r="3278" spans="1:13" x14ac:dyDescent="0.3">
      <c r="A3278" s="1">
        <v>45309</v>
      </c>
      <c r="B3278" s="1" t="str">
        <f>TEXT(Tabla1[[#This Row],[Fecha]],"MMMM")</f>
        <v>enero</v>
      </c>
      <c r="C3278" t="s">
        <v>3288</v>
      </c>
      <c r="D3278" t="s">
        <v>5028</v>
      </c>
      <c r="E3278" t="s">
        <v>5033</v>
      </c>
      <c r="F3278" t="s">
        <v>5038</v>
      </c>
      <c r="G3278" s="3">
        <v>14037.3</v>
      </c>
      <c r="H3278" s="3">
        <v>1824.85</v>
      </c>
      <c r="I3278" s="3">
        <f>SUM(Tabla1[[#This Row],[Monto_Base]],H3278)</f>
        <v>15862.15</v>
      </c>
      <c r="J3278" t="s">
        <v>5046</v>
      </c>
      <c r="K3278" t="s">
        <v>5049</v>
      </c>
      <c r="L3278" t="s">
        <v>5050</v>
      </c>
      <c r="M3278" t="s">
        <v>5054</v>
      </c>
    </row>
    <row r="3279" spans="1:13" x14ac:dyDescent="0.3">
      <c r="A3279" s="1">
        <v>45392</v>
      </c>
      <c r="B3279" s="1" t="str">
        <f>TEXT(Tabla1[[#This Row],[Fecha]],"MMMM")</f>
        <v>abril</v>
      </c>
      <c r="C3279" t="s">
        <v>3289</v>
      </c>
      <c r="D3279" t="s">
        <v>5024</v>
      </c>
      <c r="E3279" t="s">
        <v>5033</v>
      </c>
      <c r="F3279" t="s">
        <v>5034</v>
      </c>
      <c r="G3279" s="3">
        <v>13308.99</v>
      </c>
      <c r="H3279" s="3">
        <v>1730.17</v>
      </c>
      <c r="I3279" s="3">
        <f>SUM(Tabla1[[#This Row],[Monto_Base]],H3279)</f>
        <v>15039.16</v>
      </c>
      <c r="J3279" t="s">
        <v>5045</v>
      </c>
      <c r="K3279" t="s">
        <v>5049</v>
      </c>
      <c r="L3279" t="s">
        <v>5052</v>
      </c>
      <c r="M3279" t="s">
        <v>5055</v>
      </c>
    </row>
    <row r="3280" spans="1:13" x14ac:dyDescent="0.3">
      <c r="A3280" s="1">
        <v>45541</v>
      </c>
      <c r="B3280" s="1" t="str">
        <f>TEXT(Tabla1[[#This Row],[Fecha]],"MMMM")</f>
        <v>septiembre</v>
      </c>
      <c r="C3280" t="s">
        <v>3290</v>
      </c>
      <c r="D3280" t="s">
        <v>5019</v>
      </c>
      <c r="E3280" t="s">
        <v>5033</v>
      </c>
      <c r="F3280" t="s">
        <v>5039</v>
      </c>
      <c r="G3280" s="3">
        <v>5432.71</v>
      </c>
      <c r="H3280" s="3">
        <v>706.25</v>
      </c>
      <c r="I3280" s="3">
        <f>SUM(Tabla1[[#This Row],[Monto_Base]],H3280)</f>
        <v>6138.96</v>
      </c>
      <c r="J3280" t="s">
        <v>5042</v>
      </c>
      <c r="K3280" t="s">
        <v>5049</v>
      </c>
      <c r="L3280" t="s">
        <v>5053</v>
      </c>
      <c r="M3280" t="s">
        <v>5055</v>
      </c>
    </row>
    <row r="3281" spans="1:13" x14ac:dyDescent="0.3">
      <c r="A3281" s="1">
        <v>45655</v>
      </c>
      <c r="B3281" s="1" t="str">
        <f>TEXT(Tabla1[[#This Row],[Fecha]],"MMMM")</f>
        <v>diciembre</v>
      </c>
      <c r="C3281" t="s">
        <v>3291</v>
      </c>
      <c r="D3281" t="s">
        <v>5024</v>
      </c>
      <c r="E3281" t="s">
        <v>5032</v>
      </c>
      <c r="F3281" t="s">
        <v>5036</v>
      </c>
      <c r="G3281" s="3">
        <v>8907</v>
      </c>
      <c r="H3281" s="3">
        <v>0</v>
      </c>
      <c r="I3281" s="3">
        <f>SUM(Tabla1[[#This Row],[Monto_Base]],H3281)</f>
        <v>8907</v>
      </c>
      <c r="J3281" t="s">
        <v>5044</v>
      </c>
      <c r="K3281" t="s">
        <v>5049</v>
      </c>
      <c r="L3281" t="s">
        <v>5053</v>
      </c>
      <c r="M3281" t="s">
        <v>5055</v>
      </c>
    </row>
    <row r="3282" spans="1:13" x14ac:dyDescent="0.3">
      <c r="A3282" s="1">
        <v>45626</v>
      </c>
      <c r="B3282" s="1" t="str">
        <f>TEXT(Tabla1[[#This Row],[Fecha]],"MMMM")</f>
        <v>noviembre</v>
      </c>
      <c r="C3282" t="s">
        <v>3292</v>
      </c>
      <c r="D3282" t="s">
        <v>5014</v>
      </c>
      <c r="E3282" t="s">
        <v>5032</v>
      </c>
      <c r="F3282" t="s">
        <v>5035</v>
      </c>
      <c r="G3282" s="3">
        <v>13410</v>
      </c>
      <c r="H3282" s="3">
        <v>0</v>
      </c>
      <c r="I3282" s="3">
        <f>SUM(Tabla1[[#This Row],[Monto_Base]],H3282)</f>
        <v>13410</v>
      </c>
      <c r="J3282" t="s">
        <v>5043</v>
      </c>
      <c r="K3282" t="s">
        <v>5048</v>
      </c>
      <c r="L3282" t="s">
        <v>5051</v>
      </c>
      <c r="M3282" t="s">
        <v>5055</v>
      </c>
    </row>
    <row r="3283" spans="1:13" x14ac:dyDescent="0.3">
      <c r="A3283" s="1">
        <v>45632</v>
      </c>
      <c r="B3283" s="1" t="str">
        <f>TEXT(Tabla1[[#This Row],[Fecha]],"MMMM")</f>
        <v>diciembre</v>
      </c>
      <c r="C3283" t="s">
        <v>3293</v>
      </c>
      <c r="D3283" t="s">
        <v>5029</v>
      </c>
      <c r="E3283" t="s">
        <v>5033</v>
      </c>
      <c r="F3283" t="s">
        <v>5036</v>
      </c>
      <c r="G3283" s="3">
        <v>5546.35</v>
      </c>
      <c r="H3283" s="3">
        <v>721.03</v>
      </c>
      <c r="I3283" s="3">
        <f>SUM(Tabla1[[#This Row],[Monto_Base]],H3283)</f>
        <v>6267.38</v>
      </c>
      <c r="J3283" t="s">
        <v>5042</v>
      </c>
      <c r="K3283" t="s">
        <v>5047</v>
      </c>
      <c r="L3283" t="s">
        <v>5050</v>
      </c>
      <c r="M3283" t="s">
        <v>5054</v>
      </c>
    </row>
    <row r="3284" spans="1:13" x14ac:dyDescent="0.3">
      <c r="A3284" s="1">
        <v>45366</v>
      </c>
      <c r="B3284" s="1" t="str">
        <f>TEXT(Tabla1[[#This Row],[Fecha]],"MMMM")</f>
        <v>marzo</v>
      </c>
      <c r="C3284" t="s">
        <v>3294</v>
      </c>
      <c r="D3284" t="s">
        <v>5029</v>
      </c>
      <c r="E3284" t="s">
        <v>5033</v>
      </c>
      <c r="F3284" t="s">
        <v>5040</v>
      </c>
      <c r="G3284" s="3">
        <v>3133.57</v>
      </c>
      <c r="H3284" s="3">
        <v>407.36</v>
      </c>
      <c r="I3284" s="3">
        <f>SUM(Tabla1[[#This Row],[Monto_Base]],H3284)</f>
        <v>3540.9300000000003</v>
      </c>
      <c r="J3284" t="s">
        <v>5043</v>
      </c>
      <c r="K3284" t="s">
        <v>5047</v>
      </c>
      <c r="L3284" t="s">
        <v>5050</v>
      </c>
      <c r="M3284" t="s">
        <v>5055</v>
      </c>
    </row>
    <row r="3285" spans="1:13" x14ac:dyDescent="0.3">
      <c r="A3285" s="1">
        <v>45584</v>
      </c>
      <c r="B3285" s="1" t="str">
        <f>TEXT(Tabla1[[#This Row],[Fecha]],"MMMM")</f>
        <v>octubre</v>
      </c>
      <c r="C3285" t="s">
        <v>3295</v>
      </c>
      <c r="D3285" t="s">
        <v>5021</v>
      </c>
      <c r="E3285" t="s">
        <v>5033</v>
      </c>
      <c r="F3285" t="s">
        <v>5034</v>
      </c>
      <c r="G3285" s="3">
        <v>9553.11</v>
      </c>
      <c r="H3285" s="3">
        <v>1241.9000000000001</v>
      </c>
      <c r="I3285" s="3">
        <f>SUM(Tabla1[[#This Row],[Monto_Base]],H3285)</f>
        <v>10795.01</v>
      </c>
      <c r="J3285" t="s">
        <v>5045</v>
      </c>
      <c r="K3285" t="s">
        <v>5047</v>
      </c>
      <c r="L3285" t="s">
        <v>5050</v>
      </c>
      <c r="M3285" t="s">
        <v>5055</v>
      </c>
    </row>
    <row r="3286" spans="1:13" x14ac:dyDescent="0.3">
      <c r="A3286" s="1">
        <v>45376</v>
      </c>
      <c r="B3286" s="1" t="str">
        <f>TEXT(Tabla1[[#This Row],[Fecha]],"MMMM")</f>
        <v>marzo</v>
      </c>
      <c r="C3286" t="s">
        <v>3296</v>
      </c>
      <c r="D3286" t="s">
        <v>5017</v>
      </c>
      <c r="E3286" t="s">
        <v>5033</v>
      </c>
      <c r="F3286" t="s">
        <v>5040</v>
      </c>
      <c r="G3286" s="3">
        <v>391.72</v>
      </c>
      <c r="H3286" s="3">
        <v>50.92</v>
      </c>
      <c r="I3286" s="3">
        <f>SUM(Tabla1[[#This Row],[Monto_Base]],H3286)</f>
        <v>442.64000000000004</v>
      </c>
      <c r="J3286" t="s">
        <v>5045</v>
      </c>
      <c r="K3286" t="s">
        <v>5049</v>
      </c>
      <c r="L3286" t="s">
        <v>5051</v>
      </c>
      <c r="M3286" t="s">
        <v>5055</v>
      </c>
    </row>
    <row r="3287" spans="1:13" x14ac:dyDescent="0.3">
      <c r="A3287" s="1">
        <v>45297</v>
      </c>
      <c r="B3287" s="1" t="str">
        <f>TEXT(Tabla1[[#This Row],[Fecha]],"MMMM")</f>
        <v>enero</v>
      </c>
      <c r="C3287" t="s">
        <v>3297</v>
      </c>
      <c r="D3287" t="s">
        <v>5020</v>
      </c>
      <c r="E3287" t="s">
        <v>5033</v>
      </c>
      <c r="F3287" t="s">
        <v>5035</v>
      </c>
      <c r="G3287" s="3">
        <v>1960.11</v>
      </c>
      <c r="H3287" s="3">
        <v>254.81</v>
      </c>
      <c r="I3287" s="3">
        <f>SUM(Tabla1[[#This Row],[Monto_Base]],H3287)</f>
        <v>2214.92</v>
      </c>
      <c r="J3287" t="s">
        <v>5043</v>
      </c>
      <c r="K3287" t="s">
        <v>5048</v>
      </c>
      <c r="L3287" t="s">
        <v>5050</v>
      </c>
      <c r="M3287" t="s">
        <v>5055</v>
      </c>
    </row>
    <row r="3288" spans="1:13" x14ac:dyDescent="0.3">
      <c r="A3288" s="1">
        <v>45545</v>
      </c>
      <c r="B3288" s="1" t="str">
        <f>TEXT(Tabla1[[#This Row],[Fecha]],"MMMM")</f>
        <v>septiembre</v>
      </c>
      <c r="C3288" t="s">
        <v>3298</v>
      </c>
      <c r="D3288" t="s">
        <v>5027</v>
      </c>
      <c r="E3288" t="s">
        <v>5032</v>
      </c>
      <c r="F3288" t="s">
        <v>5034</v>
      </c>
      <c r="G3288" s="3">
        <v>14857.48</v>
      </c>
      <c r="H3288" s="3">
        <v>0</v>
      </c>
      <c r="I3288" s="3">
        <f>SUM(Tabla1[[#This Row],[Monto_Base]],H3288)</f>
        <v>14857.48</v>
      </c>
      <c r="J3288" t="s">
        <v>5043</v>
      </c>
      <c r="K3288" t="s">
        <v>5048</v>
      </c>
      <c r="L3288" t="s">
        <v>5053</v>
      </c>
      <c r="M3288" t="s">
        <v>5055</v>
      </c>
    </row>
    <row r="3289" spans="1:13" x14ac:dyDescent="0.3">
      <c r="A3289" s="1">
        <v>45337</v>
      </c>
      <c r="B3289" s="1" t="str">
        <f>TEXT(Tabla1[[#This Row],[Fecha]],"MMMM")</f>
        <v>febrero</v>
      </c>
      <c r="C3289" t="s">
        <v>3299</v>
      </c>
      <c r="D3289" t="s">
        <v>5024</v>
      </c>
      <c r="E3289" t="s">
        <v>5033</v>
      </c>
      <c r="F3289" t="s">
        <v>5040</v>
      </c>
      <c r="G3289" s="3">
        <v>10876.18</v>
      </c>
      <c r="H3289" s="3">
        <v>1413.9</v>
      </c>
      <c r="I3289" s="3">
        <f>SUM(Tabla1[[#This Row],[Monto_Base]],H3289)</f>
        <v>12290.08</v>
      </c>
      <c r="J3289" t="s">
        <v>5045</v>
      </c>
      <c r="K3289" t="s">
        <v>5047</v>
      </c>
      <c r="L3289" t="s">
        <v>5051</v>
      </c>
      <c r="M3289" t="s">
        <v>5054</v>
      </c>
    </row>
    <row r="3290" spans="1:13" x14ac:dyDescent="0.3">
      <c r="A3290" s="1">
        <v>45344</v>
      </c>
      <c r="B3290" s="1" t="str">
        <f>TEXT(Tabla1[[#This Row],[Fecha]],"MMMM")</f>
        <v>febrero</v>
      </c>
      <c r="C3290" t="s">
        <v>3300</v>
      </c>
      <c r="D3290" t="s">
        <v>5028</v>
      </c>
      <c r="E3290" t="s">
        <v>5032</v>
      </c>
      <c r="F3290" t="s">
        <v>5037</v>
      </c>
      <c r="G3290" s="3">
        <v>2575</v>
      </c>
      <c r="H3290" s="3">
        <v>0</v>
      </c>
      <c r="I3290" s="3">
        <f>SUM(Tabla1[[#This Row],[Monto_Base]],H3290)</f>
        <v>2575</v>
      </c>
      <c r="J3290" t="s">
        <v>5044</v>
      </c>
      <c r="K3290" t="s">
        <v>5048</v>
      </c>
      <c r="L3290" t="s">
        <v>5050</v>
      </c>
      <c r="M3290" t="s">
        <v>5054</v>
      </c>
    </row>
    <row r="3291" spans="1:13" x14ac:dyDescent="0.3">
      <c r="A3291" s="1">
        <v>45601</v>
      </c>
      <c r="B3291" s="1" t="str">
        <f>TEXT(Tabla1[[#This Row],[Fecha]],"MMMM")</f>
        <v>noviembre</v>
      </c>
      <c r="C3291" t="s">
        <v>3301</v>
      </c>
      <c r="D3291" t="s">
        <v>5029</v>
      </c>
      <c r="E3291" t="s">
        <v>5033</v>
      </c>
      <c r="F3291" t="s">
        <v>5037</v>
      </c>
      <c r="G3291" s="3">
        <v>3456.39</v>
      </c>
      <c r="H3291" s="3">
        <v>449.33</v>
      </c>
      <c r="I3291" s="3">
        <f>SUM(Tabla1[[#This Row],[Monto_Base]],H3291)</f>
        <v>3905.72</v>
      </c>
      <c r="J3291" t="s">
        <v>5044</v>
      </c>
      <c r="K3291" t="s">
        <v>5049</v>
      </c>
      <c r="L3291" t="s">
        <v>5051</v>
      </c>
      <c r="M3291" t="s">
        <v>5055</v>
      </c>
    </row>
    <row r="3292" spans="1:13" x14ac:dyDescent="0.3">
      <c r="A3292" s="1">
        <v>45438</v>
      </c>
      <c r="B3292" s="1" t="str">
        <f>TEXT(Tabla1[[#This Row],[Fecha]],"MMMM")</f>
        <v>mayo</v>
      </c>
      <c r="C3292" t="s">
        <v>3302</v>
      </c>
      <c r="D3292" t="s">
        <v>5017</v>
      </c>
      <c r="E3292" t="s">
        <v>5032</v>
      </c>
      <c r="F3292" t="s">
        <v>5040</v>
      </c>
      <c r="G3292" s="3">
        <v>11828.73</v>
      </c>
      <c r="H3292" s="3">
        <v>0</v>
      </c>
      <c r="I3292" s="3">
        <f>SUM(Tabla1[[#This Row],[Monto_Base]],H3292)</f>
        <v>11828.73</v>
      </c>
      <c r="J3292" t="s">
        <v>5043</v>
      </c>
      <c r="K3292" t="s">
        <v>5048</v>
      </c>
      <c r="L3292" t="s">
        <v>5050</v>
      </c>
      <c r="M3292" t="s">
        <v>5055</v>
      </c>
    </row>
    <row r="3293" spans="1:13" x14ac:dyDescent="0.3">
      <c r="A3293" s="1">
        <v>45403</v>
      </c>
      <c r="B3293" s="1" t="str">
        <f>TEXT(Tabla1[[#This Row],[Fecha]],"MMMM")</f>
        <v>abril</v>
      </c>
      <c r="C3293" t="s">
        <v>3303</v>
      </c>
      <c r="D3293" t="s">
        <v>5013</v>
      </c>
      <c r="E3293" t="s">
        <v>5032</v>
      </c>
      <c r="F3293" t="s">
        <v>5035</v>
      </c>
      <c r="G3293" s="3">
        <v>7727.54</v>
      </c>
      <c r="H3293" s="3">
        <v>0</v>
      </c>
      <c r="I3293" s="3">
        <f>SUM(Tabla1[[#This Row],[Monto_Base]],H3293)</f>
        <v>7727.54</v>
      </c>
      <c r="J3293" t="s">
        <v>5045</v>
      </c>
      <c r="K3293" t="s">
        <v>5047</v>
      </c>
      <c r="L3293" t="s">
        <v>5052</v>
      </c>
      <c r="M3293" t="s">
        <v>5054</v>
      </c>
    </row>
    <row r="3294" spans="1:13" x14ac:dyDescent="0.3">
      <c r="A3294" s="1">
        <v>45484</v>
      </c>
      <c r="B3294" s="1" t="str">
        <f>TEXT(Tabla1[[#This Row],[Fecha]],"MMMM")</f>
        <v>julio</v>
      </c>
      <c r="C3294" t="s">
        <v>3304</v>
      </c>
      <c r="D3294" t="s">
        <v>5026</v>
      </c>
      <c r="E3294" t="s">
        <v>5032</v>
      </c>
      <c r="F3294" t="s">
        <v>5034</v>
      </c>
      <c r="G3294" s="3">
        <v>5733.53</v>
      </c>
      <c r="H3294" s="3">
        <v>0</v>
      </c>
      <c r="I3294" s="3">
        <f>SUM(Tabla1[[#This Row],[Monto_Base]],H3294)</f>
        <v>5733.53</v>
      </c>
      <c r="J3294" t="s">
        <v>5046</v>
      </c>
      <c r="K3294" t="s">
        <v>5049</v>
      </c>
      <c r="L3294" t="s">
        <v>5052</v>
      </c>
      <c r="M3294" t="s">
        <v>5055</v>
      </c>
    </row>
    <row r="3295" spans="1:13" x14ac:dyDescent="0.3">
      <c r="A3295" s="1">
        <v>45396</v>
      </c>
      <c r="B3295" s="1" t="str">
        <f>TEXT(Tabla1[[#This Row],[Fecha]],"MMMM")</f>
        <v>abril</v>
      </c>
      <c r="C3295" t="s">
        <v>3305</v>
      </c>
      <c r="D3295" t="s">
        <v>5025</v>
      </c>
      <c r="E3295" t="s">
        <v>5033</v>
      </c>
      <c r="F3295" t="s">
        <v>5039</v>
      </c>
      <c r="G3295" s="3">
        <v>2591.6799999999998</v>
      </c>
      <c r="H3295" s="3">
        <v>336.92</v>
      </c>
      <c r="I3295" s="3">
        <f>SUM(Tabla1[[#This Row],[Monto_Base]],H3295)</f>
        <v>2928.6</v>
      </c>
      <c r="J3295" t="s">
        <v>5044</v>
      </c>
      <c r="K3295" t="s">
        <v>5049</v>
      </c>
      <c r="L3295" t="s">
        <v>5050</v>
      </c>
      <c r="M3295" t="s">
        <v>5055</v>
      </c>
    </row>
    <row r="3296" spans="1:13" x14ac:dyDescent="0.3">
      <c r="A3296" s="1">
        <v>45294</v>
      </c>
      <c r="B3296" s="1" t="str">
        <f>TEXT(Tabla1[[#This Row],[Fecha]],"MMMM")</f>
        <v>enero</v>
      </c>
      <c r="C3296" t="s">
        <v>3306</v>
      </c>
      <c r="D3296" t="s">
        <v>5031</v>
      </c>
      <c r="E3296" t="s">
        <v>5033</v>
      </c>
      <c r="F3296" t="s">
        <v>5037</v>
      </c>
      <c r="G3296" s="3">
        <v>10029.6</v>
      </c>
      <c r="H3296" s="3">
        <v>1303.8499999999999</v>
      </c>
      <c r="I3296" s="3">
        <f>SUM(Tabla1[[#This Row],[Monto_Base]],H3296)</f>
        <v>11333.45</v>
      </c>
      <c r="J3296" t="s">
        <v>5045</v>
      </c>
      <c r="K3296" t="s">
        <v>5049</v>
      </c>
      <c r="L3296" t="s">
        <v>5053</v>
      </c>
      <c r="M3296" t="s">
        <v>5054</v>
      </c>
    </row>
    <row r="3297" spans="1:13" x14ac:dyDescent="0.3">
      <c r="A3297" s="1">
        <v>45303</v>
      </c>
      <c r="B3297" s="1" t="str">
        <f>TEXT(Tabla1[[#This Row],[Fecha]],"MMMM")</f>
        <v>enero</v>
      </c>
      <c r="C3297" t="s">
        <v>3307</v>
      </c>
      <c r="D3297" t="s">
        <v>5021</v>
      </c>
      <c r="E3297" t="s">
        <v>5032</v>
      </c>
      <c r="F3297" t="s">
        <v>5037</v>
      </c>
      <c r="G3297" s="3">
        <v>10813.96</v>
      </c>
      <c r="H3297" s="3">
        <v>0</v>
      </c>
      <c r="I3297" s="3">
        <f>SUM(Tabla1[[#This Row],[Monto_Base]],H3297)</f>
        <v>10813.96</v>
      </c>
      <c r="J3297" t="s">
        <v>5043</v>
      </c>
      <c r="K3297" t="s">
        <v>5047</v>
      </c>
      <c r="L3297" t="s">
        <v>5052</v>
      </c>
      <c r="M3297" t="s">
        <v>5055</v>
      </c>
    </row>
    <row r="3298" spans="1:13" x14ac:dyDescent="0.3">
      <c r="A3298" s="1">
        <v>45555</v>
      </c>
      <c r="B3298" s="1" t="str">
        <f>TEXT(Tabla1[[#This Row],[Fecha]],"MMMM")</f>
        <v>septiembre</v>
      </c>
      <c r="C3298" t="s">
        <v>3308</v>
      </c>
      <c r="D3298" t="s">
        <v>5029</v>
      </c>
      <c r="E3298" t="s">
        <v>5032</v>
      </c>
      <c r="F3298" t="s">
        <v>5034</v>
      </c>
      <c r="G3298" s="3">
        <v>9983.8799999999992</v>
      </c>
      <c r="H3298" s="3">
        <v>0</v>
      </c>
      <c r="I3298" s="3">
        <f>SUM(Tabla1[[#This Row],[Monto_Base]],H3298)</f>
        <v>9983.8799999999992</v>
      </c>
      <c r="J3298" t="s">
        <v>5044</v>
      </c>
      <c r="K3298" t="s">
        <v>5049</v>
      </c>
      <c r="L3298" t="s">
        <v>5051</v>
      </c>
      <c r="M3298" t="s">
        <v>5055</v>
      </c>
    </row>
    <row r="3299" spans="1:13" x14ac:dyDescent="0.3">
      <c r="A3299" s="1">
        <v>45607</v>
      </c>
      <c r="B3299" s="1" t="str">
        <f>TEXT(Tabla1[[#This Row],[Fecha]],"MMMM")</f>
        <v>noviembre</v>
      </c>
      <c r="C3299" t="s">
        <v>3309</v>
      </c>
      <c r="D3299" t="s">
        <v>5018</v>
      </c>
      <c r="E3299" t="s">
        <v>5032</v>
      </c>
      <c r="F3299" t="s">
        <v>5035</v>
      </c>
      <c r="G3299" s="3">
        <v>11814.04</v>
      </c>
      <c r="H3299" s="3">
        <v>0</v>
      </c>
      <c r="I3299" s="3">
        <f>SUM(Tabla1[[#This Row],[Monto_Base]],H3299)</f>
        <v>11814.04</v>
      </c>
      <c r="J3299" t="s">
        <v>5045</v>
      </c>
      <c r="K3299" t="s">
        <v>5049</v>
      </c>
      <c r="L3299" t="s">
        <v>5052</v>
      </c>
      <c r="M3299" t="s">
        <v>5055</v>
      </c>
    </row>
    <row r="3300" spans="1:13" x14ac:dyDescent="0.3">
      <c r="A3300" s="1">
        <v>45578</v>
      </c>
      <c r="B3300" s="1" t="str">
        <f>TEXT(Tabla1[[#This Row],[Fecha]],"MMMM")</f>
        <v>octubre</v>
      </c>
      <c r="C3300" t="s">
        <v>3310</v>
      </c>
      <c r="D3300" t="s">
        <v>5027</v>
      </c>
      <c r="E3300" t="s">
        <v>5032</v>
      </c>
      <c r="F3300" t="s">
        <v>5040</v>
      </c>
      <c r="G3300" s="3">
        <v>9595.58</v>
      </c>
      <c r="H3300" s="3">
        <v>0</v>
      </c>
      <c r="I3300" s="3">
        <f>SUM(Tabla1[[#This Row],[Monto_Base]],H3300)</f>
        <v>9595.58</v>
      </c>
      <c r="J3300" t="s">
        <v>5045</v>
      </c>
      <c r="K3300" t="s">
        <v>5047</v>
      </c>
      <c r="L3300" t="s">
        <v>5051</v>
      </c>
      <c r="M3300" t="s">
        <v>5055</v>
      </c>
    </row>
    <row r="3301" spans="1:13" x14ac:dyDescent="0.3">
      <c r="A3301" s="1">
        <v>45586</v>
      </c>
      <c r="B3301" s="1" t="str">
        <f>TEXT(Tabla1[[#This Row],[Fecha]],"MMMM")</f>
        <v>octubre</v>
      </c>
      <c r="C3301" t="s">
        <v>3311</v>
      </c>
      <c r="D3301" t="s">
        <v>5024</v>
      </c>
      <c r="E3301" t="s">
        <v>5032</v>
      </c>
      <c r="F3301" t="s">
        <v>5037</v>
      </c>
      <c r="G3301" s="3">
        <v>6558.17</v>
      </c>
      <c r="H3301" s="3">
        <v>0</v>
      </c>
      <c r="I3301" s="3">
        <f>SUM(Tabla1[[#This Row],[Monto_Base]],H3301)</f>
        <v>6558.17</v>
      </c>
      <c r="J3301" t="s">
        <v>5044</v>
      </c>
      <c r="K3301" t="s">
        <v>5048</v>
      </c>
      <c r="L3301" t="s">
        <v>5050</v>
      </c>
      <c r="M3301" t="s">
        <v>5054</v>
      </c>
    </row>
    <row r="3302" spans="1:13" x14ac:dyDescent="0.3">
      <c r="A3302" s="1">
        <v>45656</v>
      </c>
      <c r="B3302" s="1" t="str">
        <f>TEXT(Tabla1[[#This Row],[Fecha]],"MMMM")</f>
        <v>diciembre</v>
      </c>
      <c r="C3302" t="s">
        <v>3312</v>
      </c>
      <c r="D3302" t="s">
        <v>5023</v>
      </c>
      <c r="E3302" t="s">
        <v>5032</v>
      </c>
      <c r="F3302" t="s">
        <v>5035</v>
      </c>
      <c r="G3302" s="3">
        <v>11175.79</v>
      </c>
      <c r="H3302" s="3">
        <v>0</v>
      </c>
      <c r="I3302" s="3">
        <f>SUM(Tabla1[[#This Row],[Monto_Base]],H3302)</f>
        <v>11175.79</v>
      </c>
      <c r="J3302" t="s">
        <v>5044</v>
      </c>
      <c r="K3302" t="s">
        <v>5047</v>
      </c>
      <c r="L3302" t="s">
        <v>5053</v>
      </c>
      <c r="M3302" t="s">
        <v>5055</v>
      </c>
    </row>
    <row r="3303" spans="1:13" x14ac:dyDescent="0.3">
      <c r="A3303" s="1">
        <v>45518</v>
      </c>
      <c r="B3303" s="1" t="str">
        <f>TEXT(Tabla1[[#This Row],[Fecha]],"MMMM")</f>
        <v>agosto</v>
      </c>
      <c r="C3303" t="s">
        <v>3313</v>
      </c>
      <c r="D3303" t="s">
        <v>5019</v>
      </c>
      <c r="E3303" t="s">
        <v>5032</v>
      </c>
      <c r="F3303" t="s">
        <v>5036</v>
      </c>
      <c r="G3303" s="3">
        <v>8319.23</v>
      </c>
      <c r="H3303" s="3">
        <v>0</v>
      </c>
      <c r="I3303" s="3">
        <f>SUM(Tabla1[[#This Row],[Monto_Base]],H3303)</f>
        <v>8319.23</v>
      </c>
      <c r="J3303" t="s">
        <v>5042</v>
      </c>
      <c r="K3303" t="s">
        <v>5048</v>
      </c>
      <c r="L3303" t="s">
        <v>5050</v>
      </c>
      <c r="M3303" t="s">
        <v>5055</v>
      </c>
    </row>
    <row r="3304" spans="1:13" x14ac:dyDescent="0.3">
      <c r="A3304" s="1">
        <v>45427</v>
      </c>
      <c r="B3304" s="1" t="str">
        <f>TEXT(Tabla1[[#This Row],[Fecha]],"MMMM")</f>
        <v>mayo</v>
      </c>
      <c r="C3304" t="s">
        <v>3314</v>
      </c>
      <c r="D3304" t="s">
        <v>5031</v>
      </c>
      <c r="E3304" t="s">
        <v>5033</v>
      </c>
      <c r="F3304" t="s">
        <v>5041</v>
      </c>
      <c r="G3304" s="3">
        <v>4137.91</v>
      </c>
      <c r="H3304" s="3">
        <v>537.92999999999995</v>
      </c>
      <c r="I3304" s="3">
        <f>SUM(Tabla1[[#This Row],[Monto_Base]],H3304)</f>
        <v>4675.84</v>
      </c>
      <c r="J3304" t="s">
        <v>5044</v>
      </c>
      <c r="K3304" t="s">
        <v>5047</v>
      </c>
      <c r="L3304" t="s">
        <v>5050</v>
      </c>
      <c r="M3304" t="s">
        <v>5055</v>
      </c>
    </row>
    <row r="3305" spans="1:13" x14ac:dyDescent="0.3">
      <c r="A3305" s="1">
        <v>45457</v>
      </c>
      <c r="B3305" s="1" t="str">
        <f>TEXT(Tabla1[[#This Row],[Fecha]],"MMMM")</f>
        <v>junio</v>
      </c>
      <c r="C3305" t="s">
        <v>3315</v>
      </c>
      <c r="D3305" t="s">
        <v>5023</v>
      </c>
      <c r="E3305" t="s">
        <v>5033</v>
      </c>
      <c r="F3305" t="s">
        <v>5037</v>
      </c>
      <c r="G3305" s="3">
        <v>2408.25</v>
      </c>
      <c r="H3305" s="3">
        <v>313.07</v>
      </c>
      <c r="I3305" s="3">
        <f>SUM(Tabla1[[#This Row],[Monto_Base]],H3305)</f>
        <v>2721.32</v>
      </c>
      <c r="J3305" t="s">
        <v>5045</v>
      </c>
      <c r="K3305" t="s">
        <v>5047</v>
      </c>
      <c r="L3305" t="s">
        <v>5052</v>
      </c>
      <c r="M3305" t="s">
        <v>5054</v>
      </c>
    </row>
    <row r="3306" spans="1:13" x14ac:dyDescent="0.3">
      <c r="A3306" s="1">
        <v>45405</v>
      </c>
      <c r="B3306" s="1" t="str">
        <f>TEXT(Tabla1[[#This Row],[Fecha]],"MMMM")</f>
        <v>abril</v>
      </c>
      <c r="C3306" t="s">
        <v>3316</v>
      </c>
      <c r="D3306" t="s">
        <v>5029</v>
      </c>
      <c r="E3306" t="s">
        <v>5032</v>
      </c>
      <c r="F3306" t="s">
        <v>5039</v>
      </c>
      <c r="G3306" s="3">
        <v>4015</v>
      </c>
      <c r="H3306" s="3">
        <v>0</v>
      </c>
      <c r="I3306" s="3">
        <f>SUM(Tabla1[[#This Row],[Monto_Base]],H3306)</f>
        <v>4015</v>
      </c>
      <c r="J3306" t="s">
        <v>5044</v>
      </c>
      <c r="K3306" t="s">
        <v>5047</v>
      </c>
      <c r="L3306" t="s">
        <v>5051</v>
      </c>
      <c r="M3306" t="s">
        <v>5055</v>
      </c>
    </row>
    <row r="3307" spans="1:13" x14ac:dyDescent="0.3">
      <c r="A3307" s="1">
        <v>45387</v>
      </c>
      <c r="B3307" s="1" t="str">
        <f>TEXT(Tabla1[[#This Row],[Fecha]],"MMMM")</f>
        <v>abril</v>
      </c>
      <c r="C3307" t="s">
        <v>3317</v>
      </c>
      <c r="D3307" t="s">
        <v>5014</v>
      </c>
      <c r="E3307" t="s">
        <v>5032</v>
      </c>
      <c r="F3307" t="s">
        <v>5039</v>
      </c>
      <c r="G3307" s="3">
        <v>14951.35</v>
      </c>
      <c r="H3307" s="3">
        <v>0</v>
      </c>
      <c r="I3307" s="3">
        <f>SUM(Tabla1[[#This Row],[Monto_Base]],H3307)</f>
        <v>14951.35</v>
      </c>
      <c r="J3307" t="s">
        <v>5045</v>
      </c>
      <c r="K3307" t="s">
        <v>5049</v>
      </c>
      <c r="L3307" t="s">
        <v>5051</v>
      </c>
      <c r="M3307" t="s">
        <v>5055</v>
      </c>
    </row>
    <row r="3308" spans="1:13" x14ac:dyDescent="0.3">
      <c r="A3308" s="1">
        <v>45571</v>
      </c>
      <c r="B3308" s="1" t="str">
        <f>TEXT(Tabla1[[#This Row],[Fecha]],"MMMM")</f>
        <v>octubre</v>
      </c>
      <c r="C3308" t="s">
        <v>3318</v>
      </c>
      <c r="D3308" t="s">
        <v>5017</v>
      </c>
      <c r="E3308" t="s">
        <v>5032</v>
      </c>
      <c r="F3308" t="s">
        <v>5036</v>
      </c>
      <c r="G3308" s="3">
        <v>126.38</v>
      </c>
      <c r="H3308" s="3">
        <v>0</v>
      </c>
      <c r="I3308" s="3">
        <f>SUM(Tabla1[[#This Row],[Monto_Base]],H3308)</f>
        <v>126.38</v>
      </c>
      <c r="J3308" t="s">
        <v>5045</v>
      </c>
      <c r="K3308" t="s">
        <v>5047</v>
      </c>
      <c r="L3308" t="s">
        <v>5051</v>
      </c>
      <c r="M3308" t="s">
        <v>5055</v>
      </c>
    </row>
    <row r="3309" spans="1:13" x14ac:dyDescent="0.3">
      <c r="A3309" s="1">
        <v>45445</v>
      </c>
      <c r="B3309" s="1" t="str">
        <f>TEXT(Tabla1[[#This Row],[Fecha]],"MMMM")</f>
        <v>junio</v>
      </c>
      <c r="C3309" t="s">
        <v>3319</v>
      </c>
      <c r="D3309" t="s">
        <v>5014</v>
      </c>
      <c r="E3309" t="s">
        <v>5032</v>
      </c>
      <c r="F3309" t="s">
        <v>5037</v>
      </c>
      <c r="G3309" s="3">
        <v>6436.14</v>
      </c>
      <c r="H3309" s="3">
        <v>0</v>
      </c>
      <c r="I3309" s="3">
        <f>SUM(Tabla1[[#This Row],[Monto_Base]],H3309)</f>
        <v>6436.14</v>
      </c>
      <c r="J3309" t="s">
        <v>5042</v>
      </c>
      <c r="K3309" t="s">
        <v>5047</v>
      </c>
      <c r="L3309" t="s">
        <v>5052</v>
      </c>
      <c r="M3309" t="s">
        <v>5055</v>
      </c>
    </row>
    <row r="3310" spans="1:13" x14ac:dyDescent="0.3">
      <c r="A3310" s="1">
        <v>45590</v>
      </c>
      <c r="B3310" s="1" t="str">
        <f>TEXT(Tabla1[[#This Row],[Fecha]],"MMMM")</f>
        <v>octubre</v>
      </c>
      <c r="C3310" t="s">
        <v>3320</v>
      </c>
      <c r="D3310" t="s">
        <v>5029</v>
      </c>
      <c r="E3310" t="s">
        <v>5032</v>
      </c>
      <c r="F3310" t="s">
        <v>5038</v>
      </c>
      <c r="G3310" s="3">
        <v>6920.36</v>
      </c>
      <c r="H3310" s="3">
        <v>0</v>
      </c>
      <c r="I3310" s="3">
        <f>SUM(Tabla1[[#This Row],[Monto_Base]],H3310)</f>
        <v>6920.36</v>
      </c>
      <c r="J3310" t="s">
        <v>5045</v>
      </c>
      <c r="K3310" t="s">
        <v>5049</v>
      </c>
      <c r="L3310" t="s">
        <v>5053</v>
      </c>
      <c r="M3310" t="s">
        <v>5055</v>
      </c>
    </row>
    <row r="3311" spans="1:13" x14ac:dyDescent="0.3">
      <c r="A3311" s="1">
        <v>45314</v>
      </c>
      <c r="B3311" s="1" t="str">
        <f>TEXT(Tabla1[[#This Row],[Fecha]],"MMMM")</f>
        <v>enero</v>
      </c>
      <c r="C3311" t="s">
        <v>3321</v>
      </c>
      <c r="D3311" t="s">
        <v>5026</v>
      </c>
      <c r="E3311" t="s">
        <v>5033</v>
      </c>
      <c r="F3311" t="s">
        <v>5036</v>
      </c>
      <c r="G3311" s="3">
        <v>12196.72</v>
      </c>
      <c r="H3311" s="3">
        <v>1585.57</v>
      </c>
      <c r="I3311" s="3">
        <f>SUM(Tabla1[[#This Row],[Monto_Base]],H3311)</f>
        <v>13782.289999999999</v>
      </c>
      <c r="J3311" t="s">
        <v>5046</v>
      </c>
      <c r="K3311" t="s">
        <v>5049</v>
      </c>
      <c r="L3311" t="s">
        <v>5050</v>
      </c>
      <c r="M3311" t="s">
        <v>5055</v>
      </c>
    </row>
    <row r="3312" spans="1:13" x14ac:dyDescent="0.3">
      <c r="A3312" s="1">
        <v>45619</v>
      </c>
      <c r="B3312" s="1" t="str">
        <f>TEXT(Tabla1[[#This Row],[Fecha]],"MMMM")</f>
        <v>noviembre</v>
      </c>
      <c r="C3312" t="s">
        <v>3322</v>
      </c>
      <c r="D3312" t="s">
        <v>5016</v>
      </c>
      <c r="E3312" t="s">
        <v>5032</v>
      </c>
      <c r="F3312" t="s">
        <v>5036</v>
      </c>
      <c r="G3312" s="3">
        <v>9595.18</v>
      </c>
      <c r="H3312" s="3">
        <v>0</v>
      </c>
      <c r="I3312" s="3">
        <f>SUM(Tabla1[[#This Row],[Monto_Base]],H3312)</f>
        <v>9595.18</v>
      </c>
      <c r="J3312" t="s">
        <v>5045</v>
      </c>
      <c r="K3312" t="s">
        <v>5047</v>
      </c>
      <c r="L3312" t="s">
        <v>5051</v>
      </c>
      <c r="M3312" t="s">
        <v>5054</v>
      </c>
    </row>
    <row r="3313" spans="1:13" x14ac:dyDescent="0.3">
      <c r="A3313" s="1">
        <v>45359</v>
      </c>
      <c r="B3313" s="1" t="str">
        <f>TEXT(Tabla1[[#This Row],[Fecha]],"MMMM")</f>
        <v>marzo</v>
      </c>
      <c r="C3313" t="s">
        <v>3323</v>
      </c>
      <c r="D3313" t="s">
        <v>5016</v>
      </c>
      <c r="E3313" t="s">
        <v>5033</v>
      </c>
      <c r="F3313" t="s">
        <v>5034</v>
      </c>
      <c r="G3313" s="3">
        <v>3289.29</v>
      </c>
      <c r="H3313" s="3">
        <v>427.61</v>
      </c>
      <c r="I3313" s="3">
        <f>SUM(Tabla1[[#This Row],[Monto_Base]],H3313)</f>
        <v>3716.9</v>
      </c>
      <c r="J3313" t="s">
        <v>5042</v>
      </c>
      <c r="K3313" t="s">
        <v>5048</v>
      </c>
      <c r="L3313" t="s">
        <v>5050</v>
      </c>
      <c r="M3313" t="s">
        <v>5054</v>
      </c>
    </row>
    <row r="3314" spans="1:13" x14ac:dyDescent="0.3">
      <c r="A3314" s="1">
        <v>45305</v>
      </c>
      <c r="B3314" s="1" t="str">
        <f>TEXT(Tabla1[[#This Row],[Fecha]],"MMMM")</f>
        <v>enero</v>
      </c>
      <c r="C3314" t="s">
        <v>3324</v>
      </c>
      <c r="D3314" t="s">
        <v>5017</v>
      </c>
      <c r="E3314" t="s">
        <v>5032</v>
      </c>
      <c r="F3314" t="s">
        <v>5040</v>
      </c>
      <c r="G3314" s="3">
        <v>11250.66</v>
      </c>
      <c r="H3314" s="3">
        <v>0</v>
      </c>
      <c r="I3314" s="3">
        <f>SUM(Tabla1[[#This Row],[Monto_Base]],H3314)</f>
        <v>11250.66</v>
      </c>
      <c r="J3314" t="s">
        <v>5046</v>
      </c>
      <c r="K3314" t="s">
        <v>5049</v>
      </c>
      <c r="L3314" t="s">
        <v>5051</v>
      </c>
      <c r="M3314" t="s">
        <v>5055</v>
      </c>
    </row>
    <row r="3315" spans="1:13" x14ac:dyDescent="0.3">
      <c r="A3315" s="1">
        <v>45307</v>
      </c>
      <c r="B3315" s="1" t="str">
        <f>TEXT(Tabla1[[#This Row],[Fecha]],"MMMM")</f>
        <v>enero</v>
      </c>
      <c r="C3315" t="s">
        <v>3325</v>
      </c>
      <c r="D3315" t="s">
        <v>5023</v>
      </c>
      <c r="E3315" t="s">
        <v>5033</v>
      </c>
      <c r="F3315" t="s">
        <v>5036</v>
      </c>
      <c r="G3315" s="3">
        <v>14873.2</v>
      </c>
      <c r="H3315" s="3">
        <v>1933.52</v>
      </c>
      <c r="I3315" s="3">
        <f>SUM(Tabla1[[#This Row],[Monto_Base]],H3315)</f>
        <v>16806.72</v>
      </c>
      <c r="J3315" t="s">
        <v>5045</v>
      </c>
      <c r="K3315" t="s">
        <v>5047</v>
      </c>
      <c r="L3315" t="s">
        <v>5051</v>
      </c>
      <c r="M3315" t="s">
        <v>5055</v>
      </c>
    </row>
    <row r="3316" spans="1:13" x14ac:dyDescent="0.3">
      <c r="A3316" s="1">
        <v>45489</v>
      </c>
      <c r="B3316" s="1" t="str">
        <f>TEXT(Tabla1[[#This Row],[Fecha]],"MMMM")</f>
        <v>julio</v>
      </c>
      <c r="C3316" t="s">
        <v>3326</v>
      </c>
      <c r="D3316" t="s">
        <v>5030</v>
      </c>
      <c r="E3316" t="s">
        <v>5033</v>
      </c>
      <c r="F3316" t="s">
        <v>5040</v>
      </c>
      <c r="G3316" s="3">
        <v>8406.1</v>
      </c>
      <c r="H3316" s="3">
        <v>1092.79</v>
      </c>
      <c r="I3316" s="3">
        <f>SUM(Tabla1[[#This Row],[Monto_Base]],H3316)</f>
        <v>9498.89</v>
      </c>
      <c r="J3316" t="s">
        <v>5045</v>
      </c>
      <c r="K3316" t="s">
        <v>5049</v>
      </c>
      <c r="L3316" t="s">
        <v>5051</v>
      </c>
      <c r="M3316" t="s">
        <v>5054</v>
      </c>
    </row>
    <row r="3317" spans="1:13" x14ac:dyDescent="0.3">
      <c r="A3317" s="1">
        <v>45464</v>
      </c>
      <c r="B3317" s="1" t="str">
        <f>TEXT(Tabla1[[#This Row],[Fecha]],"MMMM")</f>
        <v>junio</v>
      </c>
      <c r="C3317" t="s">
        <v>3327</v>
      </c>
      <c r="D3317" t="s">
        <v>5027</v>
      </c>
      <c r="E3317" t="s">
        <v>5032</v>
      </c>
      <c r="F3317" t="s">
        <v>5035</v>
      </c>
      <c r="G3317" s="3">
        <v>13162.45</v>
      </c>
      <c r="H3317" s="3">
        <v>0</v>
      </c>
      <c r="I3317" s="3">
        <f>SUM(Tabla1[[#This Row],[Monto_Base]],H3317)</f>
        <v>13162.45</v>
      </c>
      <c r="J3317" t="s">
        <v>5045</v>
      </c>
      <c r="K3317" t="s">
        <v>5049</v>
      </c>
      <c r="L3317" t="s">
        <v>5053</v>
      </c>
      <c r="M3317" t="s">
        <v>5054</v>
      </c>
    </row>
    <row r="3318" spans="1:13" x14ac:dyDescent="0.3">
      <c r="A3318" s="1">
        <v>45630</v>
      </c>
      <c r="B3318" s="1" t="str">
        <f>TEXT(Tabla1[[#This Row],[Fecha]],"MMMM")</f>
        <v>diciembre</v>
      </c>
      <c r="C3318" t="s">
        <v>3328</v>
      </c>
      <c r="D3318" t="s">
        <v>5016</v>
      </c>
      <c r="E3318" t="s">
        <v>5032</v>
      </c>
      <c r="F3318" t="s">
        <v>5036</v>
      </c>
      <c r="G3318" s="3">
        <v>7549.91</v>
      </c>
      <c r="H3318" s="3">
        <v>0</v>
      </c>
      <c r="I3318" s="3">
        <f>SUM(Tabla1[[#This Row],[Monto_Base]],H3318)</f>
        <v>7549.91</v>
      </c>
      <c r="J3318" t="s">
        <v>5043</v>
      </c>
      <c r="K3318" t="s">
        <v>5047</v>
      </c>
      <c r="L3318" t="s">
        <v>5050</v>
      </c>
      <c r="M3318" t="s">
        <v>5054</v>
      </c>
    </row>
    <row r="3319" spans="1:13" x14ac:dyDescent="0.3">
      <c r="A3319" s="1">
        <v>45577</v>
      </c>
      <c r="B3319" s="1" t="str">
        <f>TEXT(Tabla1[[#This Row],[Fecha]],"MMMM")</f>
        <v>octubre</v>
      </c>
      <c r="C3319" t="s">
        <v>3329</v>
      </c>
      <c r="D3319" t="s">
        <v>5021</v>
      </c>
      <c r="E3319" t="s">
        <v>5033</v>
      </c>
      <c r="F3319" t="s">
        <v>5034</v>
      </c>
      <c r="G3319" s="3">
        <v>10621.67</v>
      </c>
      <c r="H3319" s="3">
        <v>1380.82</v>
      </c>
      <c r="I3319" s="3">
        <f>SUM(Tabla1[[#This Row],[Monto_Base]],H3319)</f>
        <v>12002.49</v>
      </c>
      <c r="J3319" t="s">
        <v>5044</v>
      </c>
      <c r="K3319" t="s">
        <v>5047</v>
      </c>
      <c r="L3319" t="s">
        <v>5050</v>
      </c>
      <c r="M3319" t="s">
        <v>5054</v>
      </c>
    </row>
    <row r="3320" spans="1:13" x14ac:dyDescent="0.3">
      <c r="A3320" s="1">
        <v>45363</v>
      </c>
      <c r="B3320" s="1" t="str">
        <f>TEXT(Tabla1[[#This Row],[Fecha]],"MMMM")</f>
        <v>marzo</v>
      </c>
      <c r="C3320" t="s">
        <v>3330</v>
      </c>
      <c r="D3320" t="s">
        <v>5030</v>
      </c>
      <c r="E3320" t="s">
        <v>5033</v>
      </c>
      <c r="F3320" t="s">
        <v>5034</v>
      </c>
      <c r="G3320" s="3">
        <v>3152.66</v>
      </c>
      <c r="H3320" s="3">
        <v>409.85</v>
      </c>
      <c r="I3320" s="3">
        <f>SUM(Tabla1[[#This Row],[Monto_Base]],H3320)</f>
        <v>3562.5099999999998</v>
      </c>
      <c r="J3320" t="s">
        <v>5045</v>
      </c>
      <c r="K3320" t="s">
        <v>5047</v>
      </c>
      <c r="L3320" t="s">
        <v>5051</v>
      </c>
      <c r="M3320" t="s">
        <v>5055</v>
      </c>
    </row>
    <row r="3321" spans="1:13" x14ac:dyDescent="0.3">
      <c r="A3321" s="1">
        <v>45318</v>
      </c>
      <c r="B3321" s="1" t="str">
        <f>TEXT(Tabla1[[#This Row],[Fecha]],"MMMM")</f>
        <v>enero</v>
      </c>
      <c r="C3321" t="s">
        <v>3331</v>
      </c>
      <c r="D3321" t="s">
        <v>5026</v>
      </c>
      <c r="E3321" t="s">
        <v>5033</v>
      </c>
      <c r="F3321" t="s">
        <v>5038</v>
      </c>
      <c r="G3321" s="3">
        <v>668.16</v>
      </c>
      <c r="H3321" s="3">
        <v>86.86</v>
      </c>
      <c r="I3321" s="3">
        <f>SUM(Tabla1[[#This Row],[Monto_Base]],H3321)</f>
        <v>755.02</v>
      </c>
      <c r="J3321" t="s">
        <v>5046</v>
      </c>
      <c r="K3321" t="s">
        <v>5048</v>
      </c>
      <c r="L3321" t="s">
        <v>5053</v>
      </c>
      <c r="M3321" t="s">
        <v>5055</v>
      </c>
    </row>
    <row r="3322" spans="1:13" x14ac:dyDescent="0.3">
      <c r="A3322" s="1">
        <v>45521</v>
      </c>
      <c r="B3322" s="1" t="str">
        <f>TEXT(Tabla1[[#This Row],[Fecha]],"MMMM")</f>
        <v>agosto</v>
      </c>
      <c r="C3322" t="s">
        <v>3332</v>
      </c>
      <c r="D3322" t="s">
        <v>5020</v>
      </c>
      <c r="E3322" t="s">
        <v>5032</v>
      </c>
      <c r="F3322" t="s">
        <v>5037</v>
      </c>
      <c r="G3322" s="3">
        <v>2359.77</v>
      </c>
      <c r="H3322" s="3">
        <v>0</v>
      </c>
      <c r="I3322" s="3">
        <f>SUM(Tabla1[[#This Row],[Monto_Base]],H3322)</f>
        <v>2359.77</v>
      </c>
      <c r="J3322" t="s">
        <v>5044</v>
      </c>
      <c r="K3322" t="s">
        <v>5049</v>
      </c>
      <c r="L3322" t="s">
        <v>5053</v>
      </c>
      <c r="M3322" t="s">
        <v>5055</v>
      </c>
    </row>
    <row r="3323" spans="1:13" x14ac:dyDescent="0.3">
      <c r="A3323" s="1">
        <v>45359</v>
      </c>
      <c r="B3323" s="1" t="str">
        <f>TEXT(Tabla1[[#This Row],[Fecha]],"MMMM")</f>
        <v>marzo</v>
      </c>
      <c r="C3323" t="s">
        <v>3333</v>
      </c>
      <c r="D3323" t="s">
        <v>5030</v>
      </c>
      <c r="E3323" t="s">
        <v>5033</v>
      </c>
      <c r="F3323" t="s">
        <v>5039</v>
      </c>
      <c r="G3323" s="3">
        <v>13581.48</v>
      </c>
      <c r="H3323" s="3">
        <v>1765.59</v>
      </c>
      <c r="I3323" s="3">
        <f>SUM(Tabla1[[#This Row],[Monto_Base]],H3323)</f>
        <v>15347.07</v>
      </c>
      <c r="J3323" t="s">
        <v>5045</v>
      </c>
      <c r="K3323" t="s">
        <v>5049</v>
      </c>
      <c r="L3323" t="s">
        <v>5052</v>
      </c>
      <c r="M3323" t="s">
        <v>5054</v>
      </c>
    </row>
    <row r="3324" spans="1:13" x14ac:dyDescent="0.3">
      <c r="A3324" s="1">
        <v>45543</v>
      </c>
      <c r="B3324" s="1" t="str">
        <f>TEXT(Tabla1[[#This Row],[Fecha]],"MMMM")</f>
        <v>septiembre</v>
      </c>
      <c r="C3324" t="s">
        <v>3334</v>
      </c>
      <c r="D3324" t="s">
        <v>5014</v>
      </c>
      <c r="E3324" t="s">
        <v>5032</v>
      </c>
      <c r="F3324" t="s">
        <v>5036</v>
      </c>
      <c r="G3324" s="3">
        <v>6468.43</v>
      </c>
      <c r="H3324" s="3">
        <v>0</v>
      </c>
      <c r="I3324" s="3">
        <f>SUM(Tabla1[[#This Row],[Monto_Base]],H3324)</f>
        <v>6468.43</v>
      </c>
      <c r="J3324" t="s">
        <v>5045</v>
      </c>
      <c r="K3324" t="s">
        <v>5047</v>
      </c>
      <c r="L3324" t="s">
        <v>5053</v>
      </c>
      <c r="M3324" t="s">
        <v>5054</v>
      </c>
    </row>
    <row r="3325" spans="1:13" x14ac:dyDescent="0.3">
      <c r="A3325" s="1">
        <v>45633</v>
      </c>
      <c r="B3325" s="1" t="str">
        <f>TEXT(Tabla1[[#This Row],[Fecha]],"MMMM")</f>
        <v>diciembre</v>
      </c>
      <c r="C3325" t="s">
        <v>3335</v>
      </c>
      <c r="D3325" t="s">
        <v>5022</v>
      </c>
      <c r="E3325" t="s">
        <v>5033</v>
      </c>
      <c r="F3325" t="s">
        <v>5036</v>
      </c>
      <c r="G3325" s="3">
        <v>13493.3</v>
      </c>
      <c r="H3325" s="3">
        <v>1754.13</v>
      </c>
      <c r="I3325" s="3">
        <f>SUM(Tabla1[[#This Row],[Monto_Base]],H3325)</f>
        <v>15247.43</v>
      </c>
      <c r="J3325" t="s">
        <v>5046</v>
      </c>
      <c r="K3325" t="s">
        <v>5049</v>
      </c>
      <c r="L3325" t="s">
        <v>5052</v>
      </c>
      <c r="M3325" t="s">
        <v>5054</v>
      </c>
    </row>
    <row r="3326" spans="1:13" x14ac:dyDescent="0.3">
      <c r="A3326" s="1">
        <v>45552</v>
      </c>
      <c r="B3326" s="1" t="str">
        <f>TEXT(Tabla1[[#This Row],[Fecha]],"MMMM")</f>
        <v>septiembre</v>
      </c>
      <c r="C3326" t="s">
        <v>3336</v>
      </c>
      <c r="D3326" t="s">
        <v>5012</v>
      </c>
      <c r="E3326" t="s">
        <v>5033</v>
      </c>
      <c r="F3326" t="s">
        <v>5040</v>
      </c>
      <c r="G3326" s="3">
        <v>5389.8</v>
      </c>
      <c r="H3326" s="3">
        <v>700.67</v>
      </c>
      <c r="I3326" s="3">
        <f>SUM(Tabla1[[#This Row],[Monto_Base]],H3326)</f>
        <v>6090.47</v>
      </c>
      <c r="J3326" t="s">
        <v>5043</v>
      </c>
      <c r="K3326" t="s">
        <v>5049</v>
      </c>
      <c r="L3326" t="s">
        <v>5052</v>
      </c>
      <c r="M3326" t="s">
        <v>5054</v>
      </c>
    </row>
    <row r="3327" spans="1:13" x14ac:dyDescent="0.3">
      <c r="A3327" s="1">
        <v>45631</v>
      </c>
      <c r="B3327" s="1" t="str">
        <f>TEXT(Tabla1[[#This Row],[Fecha]],"MMMM")</f>
        <v>diciembre</v>
      </c>
      <c r="C3327" t="s">
        <v>3337</v>
      </c>
      <c r="D3327" t="s">
        <v>5028</v>
      </c>
      <c r="E3327" t="s">
        <v>5033</v>
      </c>
      <c r="F3327" t="s">
        <v>5036</v>
      </c>
      <c r="G3327" s="3">
        <v>11871.16</v>
      </c>
      <c r="H3327" s="3">
        <v>1543.25</v>
      </c>
      <c r="I3327" s="3">
        <f>SUM(Tabla1[[#This Row],[Monto_Base]],H3327)</f>
        <v>13414.41</v>
      </c>
      <c r="J3327" t="s">
        <v>5044</v>
      </c>
      <c r="K3327" t="s">
        <v>5049</v>
      </c>
      <c r="L3327" t="s">
        <v>5050</v>
      </c>
      <c r="M3327" t="s">
        <v>5054</v>
      </c>
    </row>
    <row r="3328" spans="1:13" x14ac:dyDescent="0.3">
      <c r="A3328" s="1">
        <v>45499</v>
      </c>
      <c r="B3328" s="1" t="str">
        <f>TEXT(Tabla1[[#This Row],[Fecha]],"MMMM")</f>
        <v>julio</v>
      </c>
      <c r="C3328" t="s">
        <v>3338</v>
      </c>
      <c r="D3328" t="s">
        <v>5031</v>
      </c>
      <c r="E3328" t="s">
        <v>5032</v>
      </c>
      <c r="F3328" t="s">
        <v>5036</v>
      </c>
      <c r="G3328" s="3">
        <v>8582.27</v>
      </c>
      <c r="H3328" s="3">
        <v>0</v>
      </c>
      <c r="I3328" s="3">
        <f>SUM(Tabla1[[#This Row],[Monto_Base]],H3328)</f>
        <v>8582.27</v>
      </c>
      <c r="J3328" t="s">
        <v>5042</v>
      </c>
      <c r="K3328" t="s">
        <v>5047</v>
      </c>
      <c r="L3328" t="s">
        <v>5051</v>
      </c>
      <c r="M3328" t="s">
        <v>5055</v>
      </c>
    </row>
    <row r="3329" spans="1:13" x14ac:dyDescent="0.3">
      <c r="A3329" s="1">
        <v>45317</v>
      </c>
      <c r="B3329" s="1" t="str">
        <f>TEXT(Tabla1[[#This Row],[Fecha]],"MMMM")</f>
        <v>enero</v>
      </c>
      <c r="C3329" t="s">
        <v>3339</v>
      </c>
      <c r="D3329" t="s">
        <v>5015</v>
      </c>
      <c r="E3329" t="s">
        <v>5033</v>
      </c>
      <c r="F3329" t="s">
        <v>5036</v>
      </c>
      <c r="G3329" s="3">
        <v>1023.28</v>
      </c>
      <c r="H3329" s="3">
        <v>133.03</v>
      </c>
      <c r="I3329" s="3">
        <f>SUM(Tabla1[[#This Row],[Monto_Base]],H3329)</f>
        <v>1156.31</v>
      </c>
      <c r="J3329" t="s">
        <v>5046</v>
      </c>
      <c r="K3329" t="s">
        <v>5048</v>
      </c>
      <c r="L3329" t="s">
        <v>5053</v>
      </c>
      <c r="M3329" t="s">
        <v>5054</v>
      </c>
    </row>
    <row r="3330" spans="1:13" x14ac:dyDescent="0.3">
      <c r="A3330" s="1">
        <v>45500</v>
      </c>
      <c r="B3330" s="1" t="str">
        <f>TEXT(Tabla1[[#This Row],[Fecha]],"MMMM")</f>
        <v>julio</v>
      </c>
      <c r="C3330" t="s">
        <v>3340</v>
      </c>
      <c r="D3330" t="s">
        <v>5029</v>
      </c>
      <c r="E3330" t="s">
        <v>5033</v>
      </c>
      <c r="F3330" t="s">
        <v>5035</v>
      </c>
      <c r="G3330" s="3">
        <v>3834.93</v>
      </c>
      <c r="H3330" s="3">
        <v>498.54</v>
      </c>
      <c r="I3330" s="3">
        <f>SUM(Tabla1[[#This Row],[Monto_Base]],H3330)</f>
        <v>4333.47</v>
      </c>
      <c r="J3330" t="s">
        <v>5045</v>
      </c>
      <c r="K3330" t="s">
        <v>5049</v>
      </c>
      <c r="L3330" t="s">
        <v>5053</v>
      </c>
      <c r="M3330" t="s">
        <v>5055</v>
      </c>
    </row>
    <row r="3331" spans="1:13" x14ac:dyDescent="0.3">
      <c r="A3331" s="1">
        <v>45580</v>
      </c>
      <c r="B3331" s="1" t="str">
        <f>TEXT(Tabla1[[#This Row],[Fecha]],"MMMM")</f>
        <v>octubre</v>
      </c>
      <c r="C3331" t="s">
        <v>3341</v>
      </c>
      <c r="D3331" t="s">
        <v>5021</v>
      </c>
      <c r="E3331" t="s">
        <v>5033</v>
      </c>
      <c r="F3331" t="s">
        <v>5034</v>
      </c>
      <c r="G3331" s="3">
        <v>4133.97</v>
      </c>
      <c r="H3331" s="3">
        <v>537.41999999999996</v>
      </c>
      <c r="I3331" s="3">
        <f>SUM(Tabla1[[#This Row],[Monto_Base]],H3331)</f>
        <v>4671.3900000000003</v>
      </c>
      <c r="J3331" t="s">
        <v>5044</v>
      </c>
      <c r="K3331" t="s">
        <v>5048</v>
      </c>
      <c r="L3331" t="s">
        <v>5051</v>
      </c>
      <c r="M3331" t="s">
        <v>5055</v>
      </c>
    </row>
    <row r="3332" spans="1:13" x14ac:dyDescent="0.3">
      <c r="A3332" s="1">
        <v>45548</v>
      </c>
      <c r="B3332" s="1" t="str">
        <f>TEXT(Tabla1[[#This Row],[Fecha]],"MMMM")</f>
        <v>septiembre</v>
      </c>
      <c r="C3332" t="s">
        <v>3342</v>
      </c>
      <c r="D3332" t="s">
        <v>5027</v>
      </c>
      <c r="E3332" t="s">
        <v>5033</v>
      </c>
      <c r="F3332" t="s">
        <v>5040</v>
      </c>
      <c r="G3332" s="3">
        <v>12438.08</v>
      </c>
      <c r="H3332" s="3">
        <v>1616.95</v>
      </c>
      <c r="I3332" s="3">
        <f>SUM(Tabla1[[#This Row],[Monto_Base]],H3332)</f>
        <v>14055.03</v>
      </c>
      <c r="J3332" t="s">
        <v>5045</v>
      </c>
      <c r="K3332" t="s">
        <v>5048</v>
      </c>
      <c r="L3332" t="s">
        <v>5052</v>
      </c>
      <c r="M3332" t="s">
        <v>5055</v>
      </c>
    </row>
    <row r="3333" spans="1:13" x14ac:dyDescent="0.3">
      <c r="A3333" s="1">
        <v>45404</v>
      </c>
      <c r="B3333" s="1" t="str">
        <f>TEXT(Tabla1[[#This Row],[Fecha]],"MMMM")</f>
        <v>abril</v>
      </c>
      <c r="C3333" t="s">
        <v>3343</v>
      </c>
      <c r="D3333" t="s">
        <v>5020</v>
      </c>
      <c r="E3333" t="s">
        <v>5032</v>
      </c>
      <c r="F3333" t="s">
        <v>5037</v>
      </c>
      <c r="G3333" s="3">
        <v>8932.11</v>
      </c>
      <c r="H3333" s="3">
        <v>0</v>
      </c>
      <c r="I3333" s="3">
        <f>SUM(Tabla1[[#This Row],[Monto_Base]],H3333)</f>
        <v>8932.11</v>
      </c>
      <c r="J3333" t="s">
        <v>5042</v>
      </c>
      <c r="K3333" t="s">
        <v>5049</v>
      </c>
      <c r="L3333" t="s">
        <v>5051</v>
      </c>
      <c r="M3333" t="s">
        <v>5054</v>
      </c>
    </row>
    <row r="3334" spans="1:13" x14ac:dyDescent="0.3">
      <c r="A3334" s="1">
        <v>45365</v>
      </c>
      <c r="B3334" s="1" t="str">
        <f>TEXT(Tabla1[[#This Row],[Fecha]],"MMMM")</f>
        <v>marzo</v>
      </c>
      <c r="C3334" t="s">
        <v>3344</v>
      </c>
      <c r="D3334" t="s">
        <v>5029</v>
      </c>
      <c r="E3334" t="s">
        <v>5033</v>
      </c>
      <c r="F3334" t="s">
        <v>5038</v>
      </c>
      <c r="G3334" s="3">
        <v>1218.7</v>
      </c>
      <c r="H3334" s="3">
        <v>158.43</v>
      </c>
      <c r="I3334" s="3">
        <f>SUM(Tabla1[[#This Row],[Monto_Base]],H3334)</f>
        <v>1377.13</v>
      </c>
      <c r="J3334" t="s">
        <v>5042</v>
      </c>
      <c r="K3334" t="s">
        <v>5049</v>
      </c>
      <c r="L3334" t="s">
        <v>5053</v>
      </c>
      <c r="M3334" t="s">
        <v>5055</v>
      </c>
    </row>
    <row r="3335" spans="1:13" x14ac:dyDescent="0.3">
      <c r="A3335" s="1">
        <v>45389</v>
      </c>
      <c r="B3335" s="1" t="str">
        <f>TEXT(Tabla1[[#This Row],[Fecha]],"MMMM")</f>
        <v>abril</v>
      </c>
      <c r="C3335" t="s">
        <v>3345</v>
      </c>
      <c r="D3335" t="s">
        <v>5025</v>
      </c>
      <c r="E3335" t="s">
        <v>5032</v>
      </c>
      <c r="F3335" t="s">
        <v>5037</v>
      </c>
      <c r="G3335" s="3">
        <v>2728.17</v>
      </c>
      <c r="H3335" s="3">
        <v>0</v>
      </c>
      <c r="I3335" s="3">
        <f>SUM(Tabla1[[#This Row],[Monto_Base]],H3335)</f>
        <v>2728.17</v>
      </c>
      <c r="J3335" t="s">
        <v>5042</v>
      </c>
      <c r="K3335" t="s">
        <v>5048</v>
      </c>
      <c r="L3335" t="s">
        <v>5050</v>
      </c>
      <c r="M3335" t="s">
        <v>5055</v>
      </c>
    </row>
    <row r="3336" spans="1:13" x14ac:dyDescent="0.3">
      <c r="A3336" s="1">
        <v>45341</v>
      </c>
      <c r="B3336" s="1" t="str">
        <f>TEXT(Tabla1[[#This Row],[Fecha]],"MMMM")</f>
        <v>febrero</v>
      </c>
      <c r="C3336" t="s">
        <v>3346</v>
      </c>
      <c r="D3336" t="s">
        <v>5014</v>
      </c>
      <c r="E3336" t="s">
        <v>5033</v>
      </c>
      <c r="F3336" t="s">
        <v>5040</v>
      </c>
      <c r="G3336" s="3">
        <v>2969</v>
      </c>
      <c r="H3336" s="3">
        <v>385.97</v>
      </c>
      <c r="I3336" s="3">
        <f>SUM(Tabla1[[#This Row],[Monto_Base]],H3336)</f>
        <v>3354.9700000000003</v>
      </c>
      <c r="J3336" t="s">
        <v>5043</v>
      </c>
      <c r="K3336" t="s">
        <v>5048</v>
      </c>
      <c r="L3336" t="s">
        <v>5050</v>
      </c>
      <c r="M3336" t="s">
        <v>5054</v>
      </c>
    </row>
    <row r="3337" spans="1:13" x14ac:dyDescent="0.3">
      <c r="A3337" s="1">
        <v>45484</v>
      </c>
      <c r="B3337" s="1" t="str">
        <f>TEXT(Tabla1[[#This Row],[Fecha]],"MMMM")</f>
        <v>julio</v>
      </c>
      <c r="C3337" t="s">
        <v>3347</v>
      </c>
      <c r="D3337" t="s">
        <v>5030</v>
      </c>
      <c r="E3337" t="s">
        <v>5032</v>
      </c>
      <c r="F3337" t="s">
        <v>5038</v>
      </c>
      <c r="G3337" s="3">
        <v>10100.83</v>
      </c>
      <c r="H3337" s="3">
        <v>0</v>
      </c>
      <c r="I3337" s="3">
        <f>SUM(Tabla1[[#This Row],[Monto_Base]],H3337)</f>
        <v>10100.83</v>
      </c>
      <c r="J3337" t="s">
        <v>5042</v>
      </c>
      <c r="K3337" t="s">
        <v>5048</v>
      </c>
      <c r="L3337" t="s">
        <v>5053</v>
      </c>
      <c r="M3337" t="s">
        <v>5054</v>
      </c>
    </row>
    <row r="3338" spans="1:13" x14ac:dyDescent="0.3">
      <c r="A3338" s="1">
        <v>45491</v>
      </c>
      <c r="B3338" s="1" t="str">
        <f>TEXT(Tabla1[[#This Row],[Fecha]],"MMMM")</f>
        <v>julio</v>
      </c>
      <c r="C3338" t="s">
        <v>3348</v>
      </c>
      <c r="D3338" t="s">
        <v>5028</v>
      </c>
      <c r="E3338" t="s">
        <v>5032</v>
      </c>
      <c r="F3338" t="s">
        <v>5037</v>
      </c>
      <c r="G3338" s="3">
        <v>1317.8</v>
      </c>
      <c r="H3338" s="3">
        <v>0</v>
      </c>
      <c r="I3338" s="3">
        <f>SUM(Tabla1[[#This Row],[Monto_Base]],H3338)</f>
        <v>1317.8</v>
      </c>
      <c r="J3338" t="s">
        <v>5043</v>
      </c>
      <c r="K3338" t="s">
        <v>5047</v>
      </c>
      <c r="L3338" t="s">
        <v>5050</v>
      </c>
      <c r="M3338" t="s">
        <v>5055</v>
      </c>
    </row>
    <row r="3339" spans="1:13" x14ac:dyDescent="0.3">
      <c r="A3339" s="1">
        <v>45496</v>
      </c>
      <c r="B3339" s="1" t="str">
        <f>TEXT(Tabla1[[#This Row],[Fecha]],"MMMM")</f>
        <v>julio</v>
      </c>
      <c r="C3339" t="s">
        <v>3349</v>
      </c>
      <c r="D3339" t="s">
        <v>5017</v>
      </c>
      <c r="E3339" t="s">
        <v>5032</v>
      </c>
      <c r="F3339" t="s">
        <v>5039</v>
      </c>
      <c r="G3339" s="3">
        <v>4087.52</v>
      </c>
      <c r="H3339" s="3">
        <v>0</v>
      </c>
      <c r="I3339" s="3">
        <f>SUM(Tabla1[[#This Row],[Monto_Base]],H3339)</f>
        <v>4087.52</v>
      </c>
      <c r="J3339" t="s">
        <v>5042</v>
      </c>
      <c r="K3339" t="s">
        <v>5049</v>
      </c>
      <c r="L3339" t="s">
        <v>5050</v>
      </c>
      <c r="M3339" t="s">
        <v>5055</v>
      </c>
    </row>
    <row r="3340" spans="1:13" x14ac:dyDescent="0.3">
      <c r="A3340" s="1">
        <v>45546</v>
      </c>
      <c r="B3340" s="1" t="str">
        <f>TEXT(Tabla1[[#This Row],[Fecha]],"MMMM")</f>
        <v>septiembre</v>
      </c>
      <c r="C3340" t="s">
        <v>3350</v>
      </c>
      <c r="D3340" t="s">
        <v>5013</v>
      </c>
      <c r="E3340" t="s">
        <v>5032</v>
      </c>
      <c r="F3340" t="s">
        <v>5040</v>
      </c>
      <c r="G3340" s="3">
        <v>5708.26</v>
      </c>
      <c r="H3340" s="3">
        <v>0</v>
      </c>
      <c r="I3340" s="3">
        <f>SUM(Tabla1[[#This Row],[Monto_Base]],H3340)</f>
        <v>5708.26</v>
      </c>
      <c r="J3340" t="s">
        <v>5043</v>
      </c>
      <c r="K3340" t="s">
        <v>5049</v>
      </c>
      <c r="L3340" t="s">
        <v>5051</v>
      </c>
      <c r="M3340" t="s">
        <v>5054</v>
      </c>
    </row>
    <row r="3341" spans="1:13" x14ac:dyDescent="0.3">
      <c r="A3341" s="1">
        <v>45397</v>
      </c>
      <c r="B3341" s="1" t="str">
        <f>TEXT(Tabla1[[#This Row],[Fecha]],"MMMM")</f>
        <v>abril</v>
      </c>
      <c r="C3341" t="s">
        <v>3351</v>
      </c>
      <c r="D3341" t="s">
        <v>5013</v>
      </c>
      <c r="E3341" t="s">
        <v>5032</v>
      </c>
      <c r="F3341" t="s">
        <v>5041</v>
      </c>
      <c r="G3341" s="3">
        <v>14280.09</v>
      </c>
      <c r="H3341" s="3">
        <v>0</v>
      </c>
      <c r="I3341" s="3">
        <f>SUM(Tabla1[[#This Row],[Monto_Base]],H3341)</f>
        <v>14280.09</v>
      </c>
      <c r="J3341" t="s">
        <v>5045</v>
      </c>
      <c r="K3341" t="s">
        <v>5049</v>
      </c>
      <c r="L3341" t="s">
        <v>5052</v>
      </c>
      <c r="M3341" t="s">
        <v>5055</v>
      </c>
    </row>
    <row r="3342" spans="1:13" x14ac:dyDescent="0.3">
      <c r="A3342" s="1">
        <v>45466</v>
      </c>
      <c r="B3342" s="1" t="str">
        <f>TEXT(Tabla1[[#This Row],[Fecha]],"MMMM")</f>
        <v>junio</v>
      </c>
      <c r="C3342" t="s">
        <v>3352</v>
      </c>
      <c r="D3342" t="s">
        <v>5021</v>
      </c>
      <c r="E3342" t="s">
        <v>5033</v>
      </c>
      <c r="F3342" t="s">
        <v>5034</v>
      </c>
      <c r="G3342" s="3">
        <v>5136.03</v>
      </c>
      <c r="H3342" s="3">
        <v>667.68</v>
      </c>
      <c r="I3342" s="3">
        <f>SUM(Tabla1[[#This Row],[Monto_Base]],H3342)</f>
        <v>5803.71</v>
      </c>
      <c r="J3342" t="s">
        <v>5043</v>
      </c>
      <c r="K3342" t="s">
        <v>5047</v>
      </c>
      <c r="L3342" t="s">
        <v>5053</v>
      </c>
      <c r="M3342" t="s">
        <v>5055</v>
      </c>
    </row>
    <row r="3343" spans="1:13" x14ac:dyDescent="0.3">
      <c r="A3343" s="1">
        <v>45347</v>
      </c>
      <c r="B3343" s="1" t="str">
        <f>TEXT(Tabla1[[#This Row],[Fecha]],"MMMM")</f>
        <v>febrero</v>
      </c>
      <c r="C3343" t="s">
        <v>3353</v>
      </c>
      <c r="D3343" t="s">
        <v>5014</v>
      </c>
      <c r="E3343" t="s">
        <v>5032</v>
      </c>
      <c r="F3343" t="s">
        <v>5036</v>
      </c>
      <c r="G3343" s="3">
        <v>6816.61</v>
      </c>
      <c r="H3343" s="3">
        <v>0</v>
      </c>
      <c r="I3343" s="3">
        <f>SUM(Tabla1[[#This Row],[Monto_Base]],H3343)</f>
        <v>6816.61</v>
      </c>
      <c r="J3343" t="s">
        <v>5044</v>
      </c>
      <c r="K3343" t="s">
        <v>5047</v>
      </c>
      <c r="L3343" t="s">
        <v>5051</v>
      </c>
      <c r="M3343" t="s">
        <v>5054</v>
      </c>
    </row>
    <row r="3344" spans="1:13" x14ac:dyDescent="0.3">
      <c r="A3344" s="1">
        <v>45336</v>
      </c>
      <c r="B3344" s="1" t="str">
        <f>TEXT(Tabla1[[#This Row],[Fecha]],"MMMM")</f>
        <v>febrero</v>
      </c>
      <c r="C3344" t="s">
        <v>3354</v>
      </c>
      <c r="D3344" t="s">
        <v>5015</v>
      </c>
      <c r="E3344" t="s">
        <v>5033</v>
      </c>
      <c r="F3344" t="s">
        <v>5040</v>
      </c>
      <c r="G3344" s="3">
        <v>3028.31</v>
      </c>
      <c r="H3344" s="3">
        <v>393.68</v>
      </c>
      <c r="I3344" s="3">
        <f>SUM(Tabla1[[#This Row],[Monto_Base]],H3344)</f>
        <v>3421.99</v>
      </c>
      <c r="J3344" t="s">
        <v>5046</v>
      </c>
      <c r="K3344" t="s">
        <v>5049</v>
      </c>
      <c r="L3344" t="s">
        <v>5053</v>
      </c>
      <c r="M3344" t="s">
        <v>5055</v>
      </c>
    </row>
    <row r="3345" spans="1:13" x14ac:dyDescent="0.3">
      <c r="A3345" s="1">
        <v>45611</v>
      </c>
      <c r="B3345" s="1" t="str">
        <f>TEXT(Tabla1[[#This Row],[Fecha]],"MMMM")</f>
        <v>noviembre</v>
      </c>
      <c r="C3345" t="s">
        <v>3355</v>
      </c>
      <c r="D3345" t="s">
        <v>5019</v>
      </c>
      <c r="E3345" t="s">
        <v>5033</v>
      </c>
      <c r="F3345" t="s">
        <v>5040</v>
      </c>
      <c r="G3345" s="3">
        <v>9208.66</v>
      </c>
      <c r="H3345" s="3">
        <v>1197.1300000000001</v>
      </c>
      <c r="I3345" s="3">
        <f>SUM(Tabla1[[#This Row],[Monto_Base]],H3345)</f>
        <v>10405.790000000001</v>
      </c>
      <c r="J3345" t="s">
        <v>5046</v>
      </c>
      <c r="K3345" t="s">
        <v>5048</v>
      </c>
      <c r="L3345" t="s">
        <v>5052</v>
      </c>
      <c r="M3345" t="s">
        <v>5054</v>
      </c>
    </row>
    <row r="3346" spans="1:13" x14ac:dyDescent="0.3">
      <c r="A3346" s="1">
        <v>45367</v>
      </c>
      <c r="B3346" s="1" t="str">
        <f>TEXT(Tabla1[[#This Row],[Fecha]],"MMMM")</f>
        <v>marzo</v>
      </c>
      <c r="C3346" t="s">
        <v>3356</v>
      </c>
      <c r="D3346" t="s">
        <v>5026</v>
      </c>
      <c r="E3346" t="s">
        <v>5033</v>
      </c>
      <c r="F3346" t="s">
        <v>5035</v>
      </c>
      <c r="G3346" s="3">
        <v>9087.75</v>
      </c>
      <c r="H3346" s="3">
        <v>1181.4100000000001</v>
      </c>
      <c r="I3346" s="3">
        <f>SUM(Tabla1[[#This Row],[Monto_Base]],H3346)</f>
        <v>10269.16</v>
      </c>
      <c r="J3346" t="s">
        <v>5042</v>
      </c>
      <c r="K3346" t="s">
        <v>5048</v>
      </c>
      <c r="L3346" t="s">
        <v>5051</v>
      </c>
      <c r="M3346" t="s">
        <v>5054</v>
      </c>
    </row>
    <row r="3347" spans="1:13" x14ac:dyDescent="0.3">
      <c r="A3347" s="1">
        <v>45567</v>
      </c>
      <c r="B3347" s="1" t="str">
        <f>TEXT(Tabla1[[#This Row],[Fecha]],"MMMM")</f>
        <v>octubre</v>
      </c>
      <c r="C3347" t="s">
        <v>3357</v>
      </c>
      <c r="D3347" t="s">
        <v>5021</v>
      </c>
      <c r="E3347" t="s">
        <v>5033</v>
      </c>
      <c r="F3347" t="s">
        <v>5038</v>
      </c>
      <c r="G3347" s="3">
        <v>12938.69</v>
      </c>
      <c r="H3347" s="3">
        <v>1682.03</v>
      </c>
      <c r="I3347" s="3">
        <f>SUM(Tabla1[[#This Row],[Monto_Base]],H3347)</f>
        <v>14620.720000000001</v>
      </c>
      <c r="J3347" t="s">
        <v>5043</v>
      </c>
      <c r="K3347" t="s">
        <v>5049</v>
      </c>
      <c r="L3347" t="s">
        <v>5052</v>
      </c>
      <c r="M3347" t="s">
        <v>5055</v>
      </c>
    </row>
    <row r="3348" spans="1:13" x14ac:dyDescent="0.3">
      <c r="A3348" s="1">
        <v>45447</v>
      </c>
      <c r="B3348" s="1" t="str">
        <f>TEXT(Tabla1[[#This Row],[Fecha]],"MMMM")</f>
        <v>junio</v>
      </c>
      <c r="C3348" t="s">
        <v>3358</v>
      </c>
      <c r="D3348" t="s">
        <v>5018</v>
      </c>
      <c r="E3348" t="s">
        <v>5032</v>
      </c>
      <c r="F3348" t="s">
        <v>5039</v>
      </c>
      <c r="G3348" s="3">
        <v>10353.16</v>
      </c>
      <c r="H3348" s="3">
        <v>0</v>
      </c>
      <c r="I3348" s="3">
        <f>SUM(Tabla1[[#This Row],[Monto_Base]],H3348)</f>
        <v>10353.16</v>
      </c>
      <c r="J3348" t="s">
        <v>5045</v>
      </c>
      <c r="K3348" t="s">
        <v>5047</v>
      </c>
      <c r="L3348" t="s">
        <v>5053</v>
      </c>
      <c r="M3348" t="s">
        <v>5054</v>
      </c>
    </row>
    <row r="3349" spans="1:13" x14ac:dyDescent="0.3">
      <c r="A3349" s="1">
        <v>45543</v>
      </c>
      <c r="B3349" s="1" t="str">
        <f>TEXT(Tabla1[[#This Row],[Fecha]],"MMMM")</f>
        <v>septiembre</v>
      </c>
      <c r="C3349" t="s">
        <v>3359</v>
      </c>
      <c r="D3349" t="s">
        <v>5016</v>
      </c>
      <c r="E3349" t="s">
        <v>5033</v>
      </c>
      <c r="F3349" t="s">
        <v>5034</v>
      </c>
      <c r="G3349" s="3">
        <v>1436.31</v>
      </c>
      <c r="H3349" s="3">
        <v>186.72</v>
      </c>
      <c r="I3349" s="3">
        <f>SUM(Tabla1[[#This Row],[Monto_Base]],H3349)</f>
        <v>1623.03</v>
      </c>
      <c r="J3349" t="s">
        <v>5042</v>
      </c>
      <c r="K3349" t="s">
        <v>5049</v>
      </c>
      <c r="L3349" t="s">
        <v>5053</v>
      </c>
      <c r="M3349" t="s">
        <v>5054</v>
      </c>
    </row>
    <row r="3350" spans="1:13" x14ac:dyDescent="0.3">
      <c r="A3350" s="1">
        <v>45375</v>
      </c>
      <c r="B3350" s="1" t="str">
        <f>TEXT(Tabla1[[#This Row],[Fecha]],"MMMM")</f>
        <v>marzo</v>
      </c>
      <c r="C3350" t="s">
        <v>3360</v>
      </c>
      <c r="D3350" t="s">
        <v>5012</v>
      </c>
      <c r="E3350" t="s">
        <v>5032</v>
      </c>
      <c r="F3350" t="s">
        <v>5039</v>
      </c>
      <c r="G3350" s="3">
        <v>12929.65</v>
      </c>
      <c r="H3350" s="3">
        <v>0</v>
      </c>
      <c r="I3350" s="3">
        <f>SUM(Tabla1[[#This Row],[Monto_Base]],H3350)</f>
        <v>12929.65</v>
      </c>
      <c r="J3350" t="s">
        <v>5043</v>
      </c>
      <c r="K3350" t="s">
        <v>5048</v>
      </c>
      <c r="L3350" t="s">
        <v>5050</v>
      </c>
      <c r="M3350" t="s">
        <v>5055</v>
      </c>
    </row>
    <row r="3351" spans="1:13" x14ac:dyDescent="0.3">
      <c r="A3351" s="1">
        <v>45436</v>
      </c>
      <c r="B3351" s="1" t="str">
        <f>TEXT(Tabla1[[#This Row],[Fecha]],"MMMM")</f>
        <v>mayo</v>
      </c>
      <c r="C3351" t="s">
        <v>3361</v>
      </c>
      <c r="D3351" t="s">
        <v>5015</v>
      </c>
      <c r="E3351" t="s">
        <v>5032</v>
      </c>
      <c r="F3351" t="s">
        <v>5041</v>
      </c>
      <c r="G3351" s="3">
        <v>6802.29</v>
      </c>
      <c r="H3351" s="3">
        <v>0</v>
      </c>
      <c r="I3351" s="3">
        <f>SUM(Tabla1[[#This Row],[Monto_Base]],H3351)</f>
        <v>6802.29</v>
      </c>
      <c r="J3351" t="s">
        <v>5044</v>
      </c>
      <c r="K3351" t="s">
        <v>5047</v>
      </c>
      <c r="L3351" t="s">
        <v>5050</v>
      </c>
      <c r="M3351" t="s">
        <v>5054</v>
      </c>
    </row>
    <row r="3352" spans="1:13" x14ac:dyDescent="0.3">
      <c r="A3352" s="1">
        <v>45544</v>
      </c>
      <c r="B3352" s="1" t="str">
        <f>TEXT(Tabla1[[#This Row],[Fecha]],"MMMM")</f>
        <v>septiembre</v>
      </c>
      <c r="C3352" t="s">
        <v>3362</v>
      </c>
      <c r="D3352" t="s">
        <v>5016</v>
      </c>
      <c r="E3352" t="s">
        <v>5033</v>
      </c>
      <c r="F3352" t="s">
        <v>5034</v>
      </c>
      <c r="G3352" s="3">
        <v>11247.33</v>
      </c>
      <c r="H3352" s="3">
        <v>1462.15</v>
      </c>
      <c r="I3352" s="3">
        <f>SUM(Tabla1[[#This Row],[Monto_Base]],H3352)</f>
        <v>12709.48</v>
      </c>
      <c r="J3352" t="s">
        <v>5046</v>
      </c>
      <c r="K3352" t="s">
        <v>5048</v>
      </c>
      <c r="L3352" t="s">
        <v>5051</v>
      </c>
      <c r="M3352" t="s">
        <v>5055</v>
      </c>
    </row>
    <row r="3353" spans="1:13" x14ac:dyDescent="0.3">
      <c r="A3353" s="1">
        <v>45326</v>
      </c>
      <c r="B3353" s="1" t="str">
        <f>TEXT(Tabla1[[#This Row],[Fecha]],"MMMM")</f>
        <v>febrero</v>
      </c>
      <c r="C3353" t="s">
        <v>3363</v>
      </c>
      <c r="D3353" t="s">
        <v>5026</v>
      </c>
      <c r="E3353" t="s">
        <v>5032</v>
      </c>
      <c r="F3353" t="s">
        <v>5034</v>
      </c>
      <c r="G3353" s="3">
        <v>4937.6899999999996</v>
      </c>
      <c r="H3353" s="3">
        <v>0</v>
      </c>
      <c r="I3353" s="3">
        <f>SUM(Tabla1[[#This Row],[Monto_Base]],H3353)</f>
        <v>4937.6899999999996</v>
      </c>
      <c r="J3353" t="s">
        <v>5043</v>
      </c>
      <c r="K3353" t="s">
        <v>5049</v>
      </c>
      <c r="L3353" t="s">
        <v>5052</v>
      </c>
      <c r="M3353" t="s">
        <v>5054</v>
      </c>
    </row>
    <row r="3354" spans="1:13" x14ac:dyDescent="0.3">
      <c r="A3354" s="1">
        <v>45409</v>
      </c>
      <c r="B3354" s="1" t="str">
        <f>TEXT(Tabla1[[#This Row],[Fecha]],"MMMM")</f>
        <v>abril</v>
      </c>
      <c r="C3354" t="s">
        <v>3364</v>
      </c>
      <c r="D3354" t="s">
        <v>5022</v>
      </c>
      <c r="E3354" t="s">
        <v>5033</v>
      </c>
      <c r="F3354" t="s">
        <v>5038</v>
      </c>
      <c r="G3354" s="3">
        <v>5079.32</v>
      </c>
      <c r="H3354" s="3">
        <v>660.31</v>
      </c>
      <c r="I3354" s="3">
        <f>SUM(Tabla1[[#This Row],[Monto_Base]],H3354)</f>
        <v>5739.6299999999992</v>
      </c>
      <c r="J3354" t="s">
        <v>5042</v>
      </c>
      <c r="K3354" t="s">
        <v>5049</v>
      </c>
      <c r="L3354" t="s">
        <v>5052</v>
      </c>
      <c r="M3354" t="s">
        <v>5055</v>
      </c>
    </row>
    <row r="3355" spans="1:13" x14ac:dyDescent="0.3">
      <c r="A3355" s="1">
        <v>45514</v>
      </c>
      <c r="B3355" s="1" t="str">
        <f>TEXT(Tabla1[[#This Row],[Fecha]],"MMMM")</f>
        <v>agosto</v>
      </c>
      <c r="C3355" t="s">
        <v>3365</v>
      </c>
      <c r="D3355" t="s">
        <v>5012</v>
      </c>
      <c r="E3355" t="s">
        <v>5032</v>
      </c>
      <c r="F3355" t="s">
        <v>5041</v>
      </c>
      <c r="G3355" s="3">
        <v>5980.82</v>
      </c>
      <c r="H3355" s="3">
        <v>0</v>
      </c>
      <c r="I3355" s="3">
        <f>SUM(Tabla1[[#This Row],[Monto_Base]],H3355)</f>
        <v>5980.82</v>
      </c>
      <c r="J3355" t="s">
        <v>5043</v>
      </c>
      <c r="K3355" t="s">
        <v>5048</v>
      </c>
      <c r="L3355" t="s">
        <v>5053</v>
      </c>
      <c r="M3355" t="s">
        <v>5054</v>
      </c>
    </row>
    <row r="3356" spans="1:13" x14ac:dyDescent="0.3">
      <c r="A3356" s="1">
        <v>45632</v>
      </c>
      <c r="B3356" s="1" t="str">
        <f>TEXT(Tabla1[[#This Row],[Fecha]],"MMMM")</f>
        <v>diciembre</v>
      </c>
      <c r="C3356" t="s">
        <v>3366</v>
      </c>
      <c r="D3356" t="s">
        <v>5029</v>
      </c>
      <c r="E3356" t="s">
        <v>5032</v>
      </c>
      <c r="F3356" t="s">
        <v>5041</v>
      </c>
      <c r="G3356" s="3">
        <v>1231.5</v>
      </c>
      <c r="H3356" s="3">
        <v>0</v>
      </c>
      <c r="I3356" s="3">
        <f>SUM(Tabla1[[#This Row],[Monto_Base]],H3356)</f>
        <v>1231.5</v>
      </c>
      <c r="J3356" t="s">
        <v>5046</v>
      </c>
      <c r="K3356" t="s">
        <v>5047</v>
      </c>
      <c r="L3356" t="s">
        <v>5050</v>
      </c>
      <c r="M3356" t="s">
        <v>5055</v>
      </c>
    </row>
    <row r="3357" spans="1:13" x14ac:dyDescent="0.3">
      <c r="A3357" s="1">
        <v>45601</v>
      </c>
      <c r="B3357" s="1" t="str">
        <f>TEXT(Tabla1[[#This Row],[Fecha]],"MMMM")</f>
        <v>noviembre</v>
      </c>
      <c r="C3357" t="s">
        <v>3367</v>
      </c>
      <c r="D3357" t="s">
        <v>5013</v>
      </c>
      <c r="E3357" t="s">
        <v>5033</v>
      </c>
      <c r="F3357" t="s">
        <v>5037</v>
      </c>
      <c r="G3357" s="3">
        <v>8353.91</v>
      </c>
      <c r="H3357" s="3">
        <v>1086.01</v>
      </c>
      <c r="I3357" s="3">
        <f>SUM(Tabla1[[#This Row],[Monto_Base]],H3357)</f>
        <v>9439.92</v>
      </c>
      <c r="J3357" t="s">
        <v>5046</v>
      </c>
      <c r="K3357" t="s">
        <v>5047</v>
      </c>
      <c r="L3357" t="s">
        <v>5051</v>
      </c>
      <c r="M3357" t="s">
        <v>5054</v>
      </c>
    </row>
    <row r="3358" spans="1:13" x14ac:dyDescent="0.3">
      <c r="A3358" s="1">
        <v>45443</v>
      </c>
      <c r="B3358" s="1" t="str">
        <f>TEXT(Tabla1[[#This Row],[Fecha]],"MMMM")</f>
        <v>mayo</v>
      </c>
      <c r="C3358" t="s">
        <v>3368</v>
      </c>
      <c r="D3358" t="s">
        <v>5028</v>
      </c>
      <c r="E3358" t="s">
        <v>5033</v>
      </c>
      <c r="F3358" t="s">
        <v>5035</v>
      </c>
      <c r="G3358" s="3">
        <v>7237.43</v>
      </c>
      <c r="H3358" s="3">
        <v>940.87</v>
      </c>
      <c r="I3358" s="3">
        <f>SUM(Tabla1[[#This Row],[Monto_Base]],H3358)</f>
        <v>8178.3</v>
      </c>
      <c r="J3358" t="s">
        <v>5045</v>
      </c>
      <c r="K3358" t="s">
        <v>5048</v>
      </c>
      <c r="L3358" t="s">
        <v>5051</v>
      </c>
      <c r="M3358" t="s">
        <v>5054</v>
      </c>
    </row>
    <row r="3359" spans="1:13" x14ac:dyDescent="0.3">
      <c r="A3359" s="1">
        <v>45438</v>
      </c>
      <c r="B3359" s="1" t="str">
        <f>TEXT(Tabla1[[#This Row],[Fecha]],"MMMM")</f>
        <v>mayo</v>
      </c>
      <c r="C3359" t="s">
        <v>3369</v>
      </c>
      <c r="D3359" t="s">
        <v>5013</v>
      </c>
      <c r="E3359" t="s">
        <v>5033</v>
      </c>
      <c r="F3359" t="s">
        <v>5037</v>
      </c>
      <c r="G3359" s="3">
        <v>1270.21</v>
      </c>
      <c r="H3359" s="3">
        <v>165.13</v>
      </c>
      <c r="I3359" s="3">
        <f>SUM(Tabla1[[#This Row],[Monto_Base]],H3359)</f>
        <v>1435.3400000000001</v>
      </c>
      <c r="J3359" t="s">
        <v>5044</v>
      </c>
      <c r="K3359" t="s">
        <v>5047</v>
      </c>
      <c r="L3359" t="s">
        <v>5050</v>
      </c>
      <c r="M3359" t="s">
        <v>5055</v>
      </c>
    </row>
    <row r="3360" spans="1:13" x14ac:dyDescent="0.3">
      <c r="A3360" s="1">
        <v>45401</v>
      </c>
      <c r="B3360" s="1" t="str">
        <f>TEXT(Tabla1[[#This Row],[Fecha]],"MMMM")</f>
        <v>abril</v>
      </c>
      <c r="C3360" t="s">
        <v>3370</v>
      </c>
      <c r="D3360" t="s">
        <v>5025</v>
      </c>
      <c r="E3360" t="s">
        <v>5032</v>
      </c>
      <c r="F3360" t="s">
        <v>5038</v>
      </c>
      <c r="G3360" s="3">
        <v>13977.02</v>
      </c>
      <c r="H3360" s="3">
        <v>0</v>
      </c>
      <c r="I3360" s="3">
        <f>SUM(Tabla1[[#This Row],[Monto_Base]],H3360)</f>
        <v>13977.02</v>
      </c>
      <c r="J3360" t="s">
        <v>5045</v>
      </c>
      <c r="K3360" t="s">
        <v>5049</v>
      </c>
      <c r="L3360" t="s">
        <v>5050</v>
      </c>
      <c r="M3360" t="s">
        <v>5054</v>
      </c>
    </row>
    <row r="3361" spans="1:13" x14ac:dyDescent="0.3">
      <c r="A3361" s="1">
        <v>45433</v>
      </c>
      <c r="B3361" s="1" t="str">
        <f>TEXT(Tabla1[[#This Row],[Fecha]],"MMMM")</f>
        <v>mayo</v>
      </c>
      <c r="C3361" t="s">
        <v>3371</v>
      </c>
      <c r="D3361" t="s">
        <v>5015</v>
      </c>
      <c r="E3361" t="s">
        <v>5033</v>
      </c>
      <c r="F3361" t="s">
        <v>5034</v>
      </c>
      <c r="G3361" s="3">
        <v>12289.38</v>
      </c>
      <c r="H3361" s="3">
        <v>1597.62</v>
      </c>
      <c r="I3361" s="3">
        <f>SUM(Tabla1[[#This Row],[Monto_Base]],H3361)</f>
        <v>13887</v>
      </c>
      <c r="J3361" t="s">
        <v>5042</v>
      </c>
      <c r="K3361" t="s">
        <v>5048</v>
      </c>
      <c r="L3361" t="s">
        <v>5052</v>
      </c>
      <c r="M3361" t="s">
        <v>5055</v>
      </c>
    </row>
    <row r="3362" spans="1:13" x14ac:dyDescent="0.3">
      <c r="A3362" s="1">
        <v>45397</v>
      </c>
      <c r="B3362" s="1" t="str">
        <f>TEXT(Tabla1[[#This Row],[Fecha]],"MMMM")</f>
        <v>abril</v>
      </c>
      <c r="C3362" t="s">
        <v>3372</v>
      </c>
      <c r="D3362" t="s">
        <v>5022</v>
      </c>
      <c r="E3362" t="s">
        <v>5033</v>
      </c>
      <c r="F3362" t="s">
        <v>5035</v>
      </c>
      <c r="G3362" s="3">
        <v>11262.58</v>
      </c>
      <c r="H3362" s="3">
        <v>1464.14</v>
      </c>
      <c r="I3362" s="3">
        <f>SUM(Tabla1[[#This Row],[Monto_Base]],H3362)</f>
        <v>12726.72</v>
      </c>
      <c r="J3362" t="s">
        <v>5044</v>
      </c>
      <c r="K3362" t="s">
        <v>5047</v>
      </c>
      <c r="L3362" t="s">
        <v>5051</v>
      </c>
      <c r="M3362" t="s">
        <v>5055</v>
      </c>
    </row>
    <row r="3363" spans="1:13" x14ac:dyDescent="0.3">
      <c r="A3363" s="1">
        <v>45563</v>
      </c>
      <c r="B3363" s="1" t="str">
        <f>TEXT(Tabla1[[#This Row],[Fecha]],"MMMM")</f>
        <v>septiembre</v>
      </c>
      <c r="C3363" t="s">
        <v>3373</v>
      </c>
      <c r="D3363" t="s">
        <v>5020</v>
      </c>
      <c r="E3363" t="s">
        <v>5032</v>
      </c>
      <c r="F3363" t="s">
        <v>5037</v>
      </c>
      <c r="G3363" s="3">
        <v>9422.14</v>
      </c>
      <c r="H3363" s="3">
        <v>0</v>
      </c>
      <c r="I3363" s="3">
        <f>SUM(Tabla1[[#This Row],[Monto_Base]],H3363)</f>
        <v>9422.14</v>
      </c>
      <c r="J3363" t="s">
        <v>5042</v>
      </c>
      <c r="K3363" t="s">
        <v>5049</v>
      </c>
      <c r="L3363" t="s">
        <v>5053</v>
      </c>
      <c r="M3363" t="s">
        <v>5055</v>
      </c>
    </row>
    <row r="3364" spans="1:13" x14ac:dyDescent="0.3">
      <c r="A3364" s="1">
        <v>45594</v>
      </c>
      <c r="B3364" s="1" t="str">
        <f>TEXT(Tabla1[[#This Row],[Fecha]],"MMMM")</f>
        <v>octubre</v>
      </c>
      <c r="C3364" t="s">
        <v>3374</v>
      </c>
      <c r="D3364" t="s">
        <v>5022</v>
      </c>
      <c r="E3364" t="s">
        <v>5033</v>
      </c>
      <c r="F3364" t="s">
        <v>5036</v>
      </c>
      <c r="G3364" s="3">
        <v>5527.02</v>
      </c>
      <c r="H3364" s="3">
        <v>718.51</v>
      </c>
      <c r="I3364" s="3">
        <f>SUM(Tabla1[[#This Row],[Monto_Base]],H3364)</f>
        <v>6245.5300000000007</v>
      </c>
      <c r="J3364" t="s">
        <v>5046</v>
      </c>
      <c r="K3364" t="s">
        <v>5048</v>
      </c>
      <c r="L3364" t="s">
        <v>5051</v>
      </c>
      <c r="M3364" t="s">
        <v>5054</v>
      </c>
    </row>
    <row r="3365" spans="1:13" x14ac:dyDescent="0.3">
      <c r="A3365" s="1">
        <v>45439</v>
      </c>
      <c r="B3365" s="1" t="str">
        <f>TEXT(Tabla1[[#This Row],[Fecha]],"MMMM")</f>
        <v>mayo</v>
      </c>
      <c r="C3365" t="s">
        <v>3375</v>
      </c>
      <c r="D3365" t="s">
        <v>5019</v>
      </c>
      <c r="E3365" t="s">
        <v>5033</v>
      </c>
      <c r="F3365" t="s">
        <v>5039</v>
      </c>
      <c r="G3365" s="3">
        <v>7391.11</v>
      </c>
      <c r="H3365" s="3">
        <v>960.84</v>
      </c>
      <c r="I3365" s="3">
        <f>SUM(Tabla1[[#This Row],[Monto_Base]],H3365)</f>
        <v>8351.9499999999989</v>
      </c>
      <c r="J3365" t="s">
        <v>5042</v>
      </c>
      <c r="K3365" t="s">
        <v>5047</v>
      </c>
      <c r="L3365" t="s">
        <v>5052</v>
      </c>
      <c r="M3365" t="s">
        <v>5054</v>
      </c>
    </row>
    <row r="3366" spans="1:13" x14ac:dyDescent="0.3">
      <c r="A3366" s="1">
        <v>45600</v>
      </c>
      <c r="B3366" s="1" t="str">
        <f>TEXT(Tabla1[[#This Row],[Fecha]],"MMMM")</f>
        <v>noviembre</v>
      </c>
      <c r="C3366" t="s">
        <v>3376</v>
      </c>
      <c r="D3366" t="s">
        <v>5026</v>
      </c>
      <c r="E3366" t="s">
        <v>5033</v>
      </c>
      <c r="F3366" t="s">
        <v>5039</v>
      </c>
      <c r="G3366" s="3">
        <v>3475.22</v>
      </c>
      <c r="H3366" s="3">
        <v>451.78</v>
      </c>
      <c r="I3366" s="3">
        <f>SUM(Tabla1[[#This Row],[Monto_Base]],H3366)</f>
        <v>3927</v>
      </c>
      <c r="J3366" t="s">
        <v>5044</v>
      </c>
      <c r="K3366" t="s">
        <v>5048</v>
      </c>
      <c r="L3366" t="s">
        <v>5053</v>
      </c>
      <c r="M3366" t="s">
        <v>5055</v>
      </c>
    </row>
    <row r="3367" spans="1:13" x14ac:dyDescent="0.3">
      <c r="A3367" s="1">
        <v>45451</v>
      </c>
      <c r="B3367" s="1" t="str">
        <f>TEXT(Tabla1[[#This Row],[Fecha]],"MMMM")</f>
        <v>junio</v>
      </c>
      <c r="C3367" t="s">
        <v>3377</v>
      </c>
      <c r="D3367" t="s">
        <v>5021</v>
      </c>
      <c r="E3367" t="s">
        <v>5032</v>
      </c>
      <c r="F3367" t="s">
        <v>5034</v>
      </c>
      <c r="G3367" s="3">
        <v>10302.15</v>
      </c>
      <c r="H3367" s="3">
        <v>0</v>
      </c>
      <c r="I3367" s="3">
        <f>SUM(Tabla1[[#This Row],[Monto_Base]],H3367)</f>
        <v>10302.15</v>
      </c>
      <c r="J3367" t="s">
        <v>5042</v>
      </c>
      <c r="K3367" t="s">
        <v>5047</v>
      </c>
      <c r="L3367" t="s">
        <v>5050</v>
      </c>
      <c r="M3367" t="s">
        <v>5055</v>
      </c>
    </row>
    <row r="3368" spans="1:13" x14ac:dyDescent="0.3">
      <c r="A3368" s="1">
        <v>45527</v>
      </c>
      <c r="B3368" s="1" t="str">
        <f>TEXT(Tabla1[[#This Row],[Fecha]],"MMMM")</f>
        <v>agosto</v>
      </c>
      <c r="C3368" t="s">
        <v>3378</v>
      </c>
      <c r="D3368" t="s">
        <v>5025</v>
      </c>
      <c r="E3368" t="s">
        <v>5032</v>
      </c>
      <c r="F3368" t="s">
        <v>5041</v>
      </c>
      <c r="G3368" s="3">
        <v>3874.78</v>
      </c>
      <c r="H3368" s="3">
        <v>0</v>
      </c>
      <c r="I3368" s="3">
        <f>SUM(Tabla1[[#This Row],[Monto_Base]],H3368)</f>
        <v>3874.78</v>
      </c>
      <c r="J3368" t="s">
        <v>5045</v>
      </c>
      <c r="K3368" t="s">
        <v>5047</v>
      </c>
      <c r="L3368" t="s">
        <v>5050</v>
      </c>
      <c r="M3368" t="s">
        <v>5055</v>
      </c>
    </row>
    <row r="3369" spans="1:13" x14ac:dyDescent="0.3">
      <c r="A3369" s="1">
        <v>45522</v>
      </c>
      <c r="B3369" s="1" t="str">
        <f>TEXT(Tabla1[[#This Row],[Fecha]],"MMMM")</f>
        <v>agosto</v>
      </c>
      <c r="C3369" t="s">
        <v>3379</v>
      </c>
      <c r="D3369" t="s">
        <v>5020</v>
      </c>
      <c r="E3369" t="s">
        <v>5032</v>
      </c>
      <c r="F3369" t="s">
        <v>5035</v>
      </c>
      <c r="G3369" s="3">
        <v>105.79</v>
      </c>
      <c r="H3369" s="3">
        <v>0</v>
      </c>
      <c r="I3369" s="3">
        <f>SUM(Tabla1[[#This Row],[Monto_Base]],H3369)</f>
        <v>105.79</v>
      </c>
      <c r="J3369" t="s">
        <v>5043</v>
      </c>
      <c r="K3369" t="s">
        <v>5049</v>
      </c>
      <c r="L3369" t="s">
        <v>5052</v>
      </c>
      <c r="M3369" t="s">
        <v>5054</v>
      </c>
    </row>
    <row r="3370" spans="1:13" x14ac:dyDescent="0.3">
      <c r="A3370" s="1">
        <v>45400</v>
      </c>
      <c r="B3370" s="1" t="str">
        <f>TEXT(Tabla1[[#This Row],[Fecha]],"MMMM")</f>
        <v>abril</v>
      </c>
      <c r="C3370" t="s">
        <v>3380</v>
      </c>
      <c r="D3370" t="s">
        <v>5013</v>
      </c>
      <c r="E3370" t="s">
        <v>5033</v>
      </c>
      <c r="F3370" t="s">
        <v>5039</v>
      </c>
      <c r="G3370" s="3">
        <v>1857.79</v>
      </c>
      <c r="H3370" s="3">
        <v>241.51</v>
      </c>
      <c r="I3370" s="3">
        <f>SUM(Tabla1[[#This Row],[Monto_Base]],H3370)</f>
        <v>2099.3000000000002</v>
      </c>
      <c r="J3370" t="s">
        <v>5042</v>
      </c>
      <c r="K3370" t="s">
        <v>5048</v>
      </c>
      <c r="L3370" t="s">
        <v>5052</v>
      </c>
      <c r="M3370" t="s">
        <v>5055</v>
      </c>
    </row>
    <row r="3371" spans="1:13" x14ac:dyDescent="0.3">
      <c r="A3371" s="1">
        <v>45402</v>
      </c>
      <c r="B3371" s="1" t="str">
        <f>TEXT(Tabla1[[#This Row],[Fecha]],"MMMM")</f>
        <v>abril</v>
      </c>
      <c r="C3371" t="s">
        <v>3381</v>
      </c>
      <c r="D3371" t="s">
        <v>5025</v>
      </c>
      <c r="E3371" t="s">
        <v>5033</v>
      </c>
      <c r="F3371" t="s">
        <v>5037</v>
      </c>
      <c r="G3371" s="3">
        <v>3958.35</v>
      </c>
      <c r="H3371" s="3">
        <v>514.59</v>
      </c>
      <c r="I3371" s="3">
        <f>SUM(Tabla1[[#This Row],[Monto_Base]],H3371)</f>
        <v>4472.9399999999996</v>
      </c>
      <c r="J3371" t="s">
        <v>5042</v>
      </c>
      <c r="K3371" t="s">
        <v>5047</v>
      </c>
      <c r="L3371" t="s">
        <v>5052</v>
      </c>
      <c r="M3371" t="s">
        <v>5054</v>
      </c>
    </row>
    <row r="3372" spans="1:13" x14ac:dyDescent="0.3">
      <c r="A3372" s="1">
        <v>45310</v>
      </c>
      <c r="B3372" s="1" t="str">
        <f>TEXT(Tabla1[[#This Row],[Fecha]],"MMMM")</f>
        <v>enero</v>
      </c>
      <c r="C3372" t="s">
        <v>3382</v>
      </c>
      <c r="D3372" t="s">
        <v>5020</v>
      </c>
      <c r="E3372" t="s">
        <v>5032</v>
      </c>
      <c r="F3372" t="s">
        <v>5039</v>
      </c>
      <c r="G3372" s="3">
        <v>9950.75</v>
      </c>
      <c r="H3372" s="3">
        <v>0</v>
      </c>
      <c r="I3372" s="3">
        <f>SUM(Tabla1[[#This Row],[Monto_Base]],H3372)</f>
        <v>9950.75</v>
      </c>
      <c r="J3372" t="s">
        <v>5043</v>
      </c>
      <c r="K3372" t="s">
        <v>5048</v>
      </c>
      <c r="L3372" t="s">
        <v>5050</v>
      </c>
      <c r="M3372" t="s">
        <v>5054</v>
      </c>
    </row>
    <row r="3373" spans="1:13" x14ac:dyDescent="0.3">
      <c r="A3373" s="1">
        <v>45395</v>
      </c>
      <c r="B3373" s="1" t="str">
        <f>TEXT(Tabla1[[#This Row],[Fecha]],"MMMM")</f>
        <v>abril</v>
      </c>
      <c r="C3373" t="s">
        <v>3383</v>
      </c>
      <c r="D3373" t="s">
        <v>5016</v>
      </c>
      <c r="E3373" t="s">
        <v>5032</v>
      </c>
      <c r="F3373" t="s">
        <v>5034</v>
      </c>
      <c r="G3373" s="3">
        <v>1462.79</v>
      </c>
      <c r="H3373" s="3">
        <v>0</v>
      </c>
      <c r="I3373" s="3">
        <f>SUM(Tabla1[[#This Row],[Monto_Base]],H3373)</f>
        <v>1462.79</v>
      </c>
      <c r="J3373" t="s">
        <v>5044</v>
      </c>
      <c r="K3373" t="s">
        <v>5049</v>
      </c>
      <c r="L3373" t="s">
        <v>5051</v>
      </c>
      <c r="M3373" t="s">
        <v>5054</v>
      </c>
    </row>
    <row r="3374" spans="1:13" x14ac:dyDescent="0.3">
      <c r="A3374" s="1">
        <v>45558</v>
      </c>
      <c r="B3374" s="1" t="str">
        <f>TEXT(Tabla1[[#This Row],[Fecha]],"MMMM")</f>
        <v>septiembre</v>
      </c>
      <c r="C3374" t="s">
        <v>3384</v>
      </c>
      <c r="D3374" t="s">
        <v>5016</v>
      </c>
      <c r="E3374" t="s">
        <v>5032</v>
      </c>
      <c r="F3374" t="s">
        <v>5036</v>
      </c>
      <c r="G3374" s="3">
        <v>1731.35</v>
      </c>
      <c r="H3374" s="3">
        <v>0</v>
      </c>
      <c r="I3374" s="3">
        <f>SUM(Tabla1[[#This Row],[Monto_Base]],H3374)</f>
        <v>1731.35</v>
      </c>
      <c r="J3374" t="s">
        <v>5044</v>
      </c>
      <c r="K3374" t="s">
        <v>5048</v>
      </c>
      <c r="L3374" t="s">
        <v>5051</v>
      </c>
      <c r="M3374" t="s">
        <v>5054</v>
      </c>
    </row>
    <row r="3375" spans="1:13" x14ac:dyDescent="0.3">
      <c r="A3375" s="1">
        <v>45491</v>
      </c>
      <c r="B3375" s="1" t="str">
        <f>TEXT(Tabla1[[#This Row],[Fecha]],"MMMM")</f>
        <v>julio</v>
      </c>
      <c r="C3375" t="s">
        <v>3385</v>
      </c>
      <c r="D3375" t="s">
        <v>5021</v>
      </c>
      <c r="E3375" t="s">
        <v>5033</v>
      </c>
      <c r="F3375" t="s">
        <v>5036</v>
      </c>
      <c r="G3375" s="3">
        <v>484.88</v>
      </c>
      <c r="H3375" s="3">
        <v>63.03</v>
      </c>
      <c r="I3375" s="3">
        <f>SUM(Tabla1[[#This Row],[Monto_Base]],H3375)</f>
        <v>547.91</v>
      </c>
      <c r="J3375" t="s">
        <v>5046</v>
      </c>
      <c r="K3375" t="s">
        <v>5048</v>
      </c>
      <c r="L3375" t="s">
        <v>5053</v>
      </c>
      <c r="M3375" t="s">
        <v>5055</v>
      </c>
    </row>
    <row r="3376" spans="1:13" x14ac:dyDescent="0.3">
      <c r="A3376" s="1">
        <v>45562</v>
      </c>
      <c r="B3376" s="1" t="str">
        <f>TEXT(Tabla1[[#This Row],[Fecha]],"MMMM")</f>
        <v>septiembre</v>
      </c>
      <c r="C3376" t="s">
        <v>3386</v>
      </c>
      <c r="D3376" t="s">
        <v>5021</v>
      </c>
      <c r="E3376" t="s">
        <v>5033</v>
      </c>
      <c r="F3376" t="s">
        <v>5037</v>
      </c>
      <c r="G3376" s="3">
        <v>3823.68</v>
      </c>
      <c r="H3376" s="3">
        <v>497.08</v>
      </c>
      <c r="I3376" s="3">
        <f>SUM(Tabla1[[#This Row],[Monto_Base]],H3376)</f>
        <v>4320.76</v>
      </c>
      <c r="J3376" t="s">
        <v>5045</v>
      </c>
      <c r="K3376" t="s">
        <v>5047</v>
      </c>
      <c r="L3376" t="s">
        <v>5050</v>
      </c>
      <c r="M3376" t="s">
        <v>5055</v>
      </c>
    </row>
    <row r="3377" spans="1:13" x14ac:dyDescent="0.3">
      <c r="A3377" s="1">
        <v>45610</v>
      </c>
      <c r="B3377" s="1" t="str">
        <f>TEXT(Tabla1[[#This Row],[Fecha]],"MMMM")</f>
        <v>noviembre</v>
      </c>
      <c r="C3377" t="s">
        <v>3387</v>
      </c>
      <c r="D3377" t="s">
        <v>5020</v>
      </c>
      <c r="E3377" t="s">
        <v>5032</v>
      </c>
      <c r="F3377" t="s">
        <v>5038</v>
      </c>
      <c r="G3377" s="3">
        <v>2545.4499999999998</v>
      </c>
      <c r="H3377" s="3">
        <v>0</v>
      </c>
      <c r="I3377" s="3">
        <f>SUM(Tabla1[[#This Row],[Monto_Base]],H3377)</f>
        <v>2545.4499999999998</v>
      </c>
      <c r="J3377" t="s">
        <v>5046</v>
      </c>
      <c r="K3377" t="s">
        <v>5048</v>
      </c>
      <c r="L3377" t="s">
        <v>5052</v>
      </c>
      <c r="M3377" t="s">
        <v>5054</v>
      </c>
    </row>
    <row r="3378" spans="1:13" x14ac:dyDescent="0.3">
      <c r="A3378" s="1">
        <v>45546</v>
      </c>
      <c r="B3378" s="1" t="str">
        <f>TEXT(Tabla1[[#This Row],[Fecha]],"MMMM")</f>
        <v>septiembre</v>
      </c>
      <c r="C3378" t="s">
        <v>3388</v>
      </c>
      <c r="D3378" t="s">
        <v>5027</v>
      </c>
      <c r="E3378" t="s">
        <v>5033</v>
      </c>
      <c r="F3378" t="s">
        <v>5037</v>
      </c>
      <c r="G3378" s="3">
        <v>5079.99</v>
      </c>
      <c r="H3378" s="3">
        <v>660.4</v>
      </c>
      <c r="I3378" s="3">
        <f>SUM(Tabla1[[#This Row],[Monto_Base]],H3378)</f>
        <v>5740.3899999999994</v>
      </c>
      <c r="J3378" t="s">
        <v>5046</v>
      </c>
      <c r="K3378" t="s">
        <v>5048</v>
      </c>
      <c r="L3378" t="s">
        <v>5050</v>
      </c>
      <c r="M3378" t="s">
        <v>5055</v>
      </c>
    </row>
    <row r="3379" spans="1:13" x14ac:dyDescent="0.3">
      <c r="A3379" s="1">
        <v>45582</v>
      </c>
      <c r="B3379" s="1" t="str">
        <f>TEXT(Tabla1[[#This Row],[Fecha]],"MMMM")</f>
        <v>octubre</v>
      </c>
      <c r="C3379" t="s">
        <v>3389</v>
      </c>
      <c r="D3379" t="s">
        <v>5016</v>
      </c>
      <c r="E3379" t="s">
        <v>5032</v>
      </c>
      <c r="F3379" t="s">
        <v>5041</v>
      </c>
      <c r="G3379" s="3">
        <v>7347.33</v>
      </c>
      <c r="H3379" s="3">
        <v>0</v>
      </c>
      <c r="I3379" s="3">
        <f>SUM(Tabla1[[#This Row],[Monto_Base]],H3379)</f>
        <v>7347.33</v>
      </c>
      <c r="J3379" t="s">
        <v>5046</v>
      </c>
      <c r="K3379" t="s">
        <v>5048</v>
      </c>
      <c r="L3379" t="s">
        <v>5050</v>
      </c>
      <c r="M3379" t="s">
        <v>5054</v>
      </c>
    </row>
    <row r="3380" spans="1:13" x14ac:dyDescent="0.3">
      <c r="A3380" s="1">
        <v>45596</v>
      </c>
      <c r="B3380" s="1" t="str">
        <f>TEXT(Tabla1[[#This Row],[Fecha]],"MMMM")</f>
        <v>octubre</v>
      </c>
      <c r="C3380" t="s">
        <v>3390</v>
      </c>
      <c r="D3380" t="s">
        <v>5021</v>
      </c>
      <c r="E3380" t="s">
        <v>5033</v>
      </c>
      <c r="F3380" t="s">
        <v>5041</v>
      </c>
      <c r="G3380" s="3">
        <v>3889.74</v>
      </c>
      <c r="H3380" s="3">
        <v>505.67</v>
      </c>
      <c r="I3380" s="3">
        <f>SUM(Tabla1[[#This Row],[Monto_Base]],H3380)</f>
        <v>4395.41</v>
      </c>
      <c r="J3380" t="s">
        <v>5045</v>
      </c>
      <c r="K3380" t="s">
        <v>5049</v>
      </c>
      <c r="L3380" t="s">
        <v>5051</v>
      </c>
      <c r="M3380" t="s">
        <v>5054</v>
      </c>
    </row>
    <row r="3381" spans="1:13" x14ac:dyDescent="0.3">
      <c r="A3381" s="1">
        <v>45543</v>
      </c>
      <c r="B3381" s="1" t="str">
        <f>TEXT(Tabla1[[#This Row],[Fecha]],"MMMM")</f>
        <v>septiembre</v>
      </c>
      <c r="C3381" t="s">
        <v>3391</v>
      </c>
      <c r="D3381" t="s">
        <v>5023</v>
      </c>
      <c r="E3381" t="s">
        <v>5032</v>
      </c>
      <c r="F3381" t="s">
        <v>5039</v>
      </c>
      <c r="G3381" s="3">
        <v>6513.68</v>
      </c>
      <c r="H3381" s="3">
        <v>0</v>
      </c>
      <c r="I3381" s="3">
        <f>SUM(Tabla1[[#This Row],[Monto_Base]],H3381)</f>
        <v>6513.68</v>
      </c>
      <c r="J3381" t="s">
        <v>5046</v>
      </c>
      <c r="K3381" t="s">
        <v>5047</v>
      </c>
      <c r="L3381" t="s">
        <v>5052</v>
      </c>
      <c r="M3381" t="s">
        <v>5054</v>
      </c>
    </row>
    <row r="3382" spans="1:13" x14ac:dyDescent="0.3">
      <c r="A3382" s="1">
        <v>45308</v>
      </c>
      <c r="B3382" s="1" t="str">
        <f>TEXT(Tabla1[[#This Row],[Fecha]],"MMMM")</f>
        <v>enero</v>
      </c>
      <c r="C3382" t="s">
        <v>3392</v>
      </c>
      <c r="D3382" t="s">
        <v>5019</v>
      </c>
      <c r="E3382" t="s">
        <v>5033</v>
      </c>
      <c r="F3382" t="s">
        <v>5040</v>
      </c>
      <c r="G3382" s="3">
        <v>12995</v>
      </c>
      <c r="H3382" s="3">
        <v>1689.35</v>
      </c>
      <c r="I3382" s="3">
        <f>SUM(Tabla1[[#This Row],[Monto_Base]],H3382)</f>
        <v>14684.35</v>
      </c>
      <c r="J3382" t="s">
        <v>5045</v>
      </c>
      <c r="K3382" t="s">
        <v>5047</v>
      </c>
      <c r="L3382" t="s">
        <v>5053</v>
      </c>
      <c r="M3382" t="s">
        <v>5054</v>
      </c>
    </row>
    <row r="3383" spans="1:13" x14ac:dyDescent="0.3">
      <c r="A3383" s="1">
        <v>45385</v>
      </c>
      <c r="B3383" s="1" t="str">
        <f>TEXT(Tabla1[[#This Row],[Fecha]],"MMMM")</f>
        <v>abril</v>
      </c>
      <c r="C3383" t="s">
        <v>3393</v>
      </c>
      <c r="D3383" t="s">
        <v>5015</v>
      </c>
      <c r="E3383" t="s">
        <v>5032</v>
      </c>
      <c r="F3383" t="s">
        <v>5035</v>
      </c>
      <c r="G3383" s="3">
        <v>4651.87</v>
      </c>
      <c r="H3383" s="3">
        <v>0</v>
      </c>
      <c r="I3383" s="3">
        <f>SUM(Tabla1[[#This Row],[Monto_Base]],H3383)</f>
        <v>4651.87</v>
      </c>
      <c r="J3383" t="s">
        <v>5046</v>
      </c>
      <c r="K3383" t="s">
        <v>5048</v>
      </c>
      <c r="L3383" t="s">
        <v>5051</v>
      </c>
      <c r="M3383" t="s">
        <v>5055</v>
      </c>
    </row>
    <row r="3384" spans="1:13" x14ac:dyDescent="0.3">
      <c r="A3384" s="1">
        <v>45560</v>
      </c>
      <c r="B3384" s="1" t="str">
        <f>TEXT(Tabla1[[#This Row],[Fecha]],"MMMM")</f>
        <v>septiembre</v>
      </c>
      <c r="C3384" t="s">
        <v>3394</v>
      </c>
      <c r="D3384" t="s">
        <v>5013</v>
      </c>
      <c r="E3384" t="s">
        <v>5032</v>
      </c>
      <c r="F3384" t="s">
        <v>5035</v>
      </c>
      <c r="G3384" s="3">
        <v>1351.11</v>
      </c>
      <c r="H3384" s="3">
        <v>0</v>
      </c>
      <c r="I3384" s="3">
        <f>SUM(Tabla1[[#This Row],[Monto_Base]],H3384)</f>
        <v>1351.11</v>
      </c>
      <c r="J3384" t="s">
        <v>5043</v>
      </c>
      <c r="K3384" t="s">
        <v>5047</v>
      </c>
      <c r="L3384" t="s">
        <v>5050</v>
      </c>
      <c r="M3384" t="s">
        <v>5055</v>
      </c>
    </row>
    <row r="3385" spans="1:13" x14ac:dyDescent="0.3">
      <c r="A3385" s="1">
        <v>45629</v>
      </c>
      <c r="B3385" s="1" t="str">
        <f>TEXT(Tabla1[[#This Row],[Fecha]],"MMMM")</f>
        <v>diciembre</v>
      </c>
      <c r="C3385" t="s">
        <v>3395</v>
      </c>
      <c r="D3385" t="s">
        <v>5014</v>
      </c>
      <c r="E3385" t="s">
        <v>5033</v>
      </c>
      <c r="F3385" t="s">
        <v>5038</v>
      </c>
      <c r="G3385" s="3">
        <v>12596.72</v>
      </c>
      <c r="H3385" s="3">
        <v>1637.57</v>
      </c>
      <c r="I3385" s="3">
        <f>SUM(Tabla1[[#This Row],[Monto_Base]],H3385)</f>
        <v>14234.289999999999</v>
      </c>
      <c r="J3385" t="s">
        <v>5042</v>
      </c>
      <c r="K3385" t="s">
        <v>5049</v>
      </c>
      <c r="L3385" t="s">
        <v>5053</v>
      </c>
      <c r="M3385" t="s">
        <v>5055</v>
      </c>
    </row>
    <row r="3386" spans="1:13" x14ac:dyDescent="0.3">
      <c r="A3386" s="1">
        <v>45585</v>
      </c>
      <c r="B3386" s="1" t="str">
        <f>TEXT(Tabla1[[#This Row],[Fecha]],"MMMM")</f>
        <v>octubre</v>
      </c>
      <c r="C3386" t="s">
        <v>3396</v>
      </c>
      <c r="D3386" t="s">
        <v>5024</v>
      </c>
      <c r="E3386" t="s">
        <v>5033</v>
      </c>
      <c r="F3386" t="s">
        <v>5037</v>
      </c>
      <c r="G3386" s="3">
        <v>6840.13</v>
      </c>
      <c r="H3386" s="3">
        <v>889.22</v>
      </c>
      <c r="I3386" s="3">
        <f>SUM(Tabla1[[#This Row],[Monto_Base]],H3386)</f>
        <v>7729.35</v>
      </c>
      <c r="J3386" t="s">
        <v>5043</v>
      </c>
      <c r="K3386" t="s">
        <v>5048</v>
      </c>
      <c r="L3386" t="s">
        <v>5052</v>
      </c>
      <c r="M3386" t="s">
        <v>5055</v>
      </c>
    </row>
    <row r="3387" spans="1:13" x14ac:dyDescent="0.3">
      <c r="A3387" s="1">
        <v>45384</v>
      </c>
      <c r="B3387" s="1" t="str">
        <f>TEXT(Tabla1[[#This Row],[Fecha]],"MMMM")</f>
        <v>abril</v>
      </c>
      <c r="C3387" t="s">
        <v>3397</v>
      </c>
      <c r="D3387" t="s">
        <v>5028</v>
      </c>
      <c r="E3387" t="s">
        <v>5033</v>
      </c>
      <c r="F3387" t="s">
        <v>5037</v>
      </c>
      <c r="G3387" s="3">
        <v>1816.66</v>
      </c>
      <c r="H3387" s="3">
        <v>236.17</v>
      </c>
      <c r="I3387" s="3">
        <f>SUM(Tabla1[[#This Row],[Monto_Base]],H3387)</f>
        <v>2052.83</v>
      </c>
      <c r="J3387" t="s">
        <v>5046</v>
      </c>
      <c r="K3387" t="s">
        <v>5048</v>
      </c>
      <c r="L3387" t="s">
        <v>5052</v>
      </c>
      <c r="M3387" t="s">
        <v>5055</v>
      </c>
    </row>
    <row r="3388" spans="1:13" x14ac:dyDescent="0.3">
      <c r="A3388" s="1">
        <v>45490</v>
      </c>
      <c r="B3388" s="1" t="str">
        <f>TEXT(Tabla1[[#This Row],[Fecha]],"MMMM")</f>
        <v>julio</v>
      </c>
      <c r="C3388" t="s">
        <v>3398</v>
      </c>
      <c r="D3388" t="s">
        <v>5024</v>
      </c>
      <c r="E3388" t="s">
        <v>5033</v>
      </c>
      <c r="F3388" t="s">
        <v>5035</v>
      </c>
      <c r="G3388" s="3">
        <v>5489.31</v>
      </c>
      <c r="H3388" s="3">
        <v>713.61</v>
      </c>
      <c r="I3388" s="3">
        <f>SUM(Tabla1[[#This Row],[Monto_Base]],H3388)</f>
        <v>6202.92</v>
      </c>
      <c r="J3388" t="s">
        <v>5042</v>
      </c>
      <c r="K3388" t="s">
        <v>5049</v>
      </c>
      <c r="L3388" t="s">
        <v>5050</v>
      </c>
      <c r="M3388" t="s">
        <v>5054</v>
      </c>
    </row>
    <row r="3389" spans="1:13" x14ac:dyDescent="0.3">
      <c r="A3389" s="1">
        <v>45622</v>
      </c>
      <c r="B3389" s="1" t="str">
        <f>TEXT(Tabla1[[#This Row],[Fecha]],"MMMM")</f>
        <v>noviembre</v>
      </c>
      <c r="C3389" t="s">
        <v>3399</v>
      </c>
      <c r="D3389" t="s">
        <v>5020</v>
      </c>
      <c r="E3389" t="s">
        <v>5032</v>
      </c>
      <c r="F3389" t="s">
        <v>5036</v>
      </c>
      <c r="G3389" s="3">
        <v>9985.3700000000008</v>
      </c>
      <c r="H3389" s="3">
        <v>0</v>
      </c>
      <c r="I3389" s="3">
        <f>SUM(Tabla1[[#This Row],[Monto_Base]],H3389)</f>
        <v>9985.3700000000008</v>
      </c>
      <c r="J3389" t="s">
        <v>5044</v>
      </c>
      <c r="K3389" t="s">
        <v>5048</v>
      </c>
      <c r="L3389" t="s">
        <v>5050</v>
      </c>
      <c r="M3389" t="s">
        <v>5054</v>
      </c>
    </row>
    <row r="3390" spans="1:13" x14ac:dyDescent="0.3">
      <c r="A3390" s="1">
        <v>45640</v>
      </c>
      <c r="B3390" s="1" t="str">
        <f>TEXT(Tabla1[[#This Row],[Fecha]],"MMMM")</f>
        <v>diciembre</v>
      </c>
      <c r="C3390" t="s">
        <v>3400</v>
      </c>
      <c r="D3390" t="s">
        <v>5018</v>
      </c>
      <c r="E3390" t="s">
        <v>5032</v>
      </c>
      <c r="F3390" t="s">
        <v>5035</v>
      </c>
      <c r="G3390" s="3">
        <v>1822.25</v>
      </c>
      <c r="H3390" s="3">
        <v>0</v>
      </c>
      <c r="I3390" s="3">
        <f>SUM(Tabla1[[#This Row],[Monto_Base]],H3390)</f>
        <v>1822.25</v>
      </c>
      <c r="J3390" t="s">
        <v>5044</v>
      </c>
      <c r="K3390" t="s">
        <v>5048</v>
      </c>
      <c r="L3390" t="s">
        <v>5053</v>
      </c>
      <c r="M3390" t="s">
        <v>5055</v>
      </c>
    </row>
    <row r="3391" spans="1:13" x14ac:dyDescent="0.3">
      <c r="A3391" s="1">
        <v>45592</v>
      </c>
      <c r="B3391" s="1" t="str">
        <f>TEXT(Tabla1[[#This Row],[Fecha]],"MMMM")</f>
        <v>octubre</v>
      </c>
      <c r="C3391" t="s">
        <v>3401</v>
      </c>
      <c r="D3391" t="s">
        <v>5024</v>
      </c>
      <c r="E3391" t="s">
        <v>5033</v>
      </c>
      <c r="F3391" t="s">
        <v>5037</v>
      </c>
      <c r="G3391" s="3">
        <v>118.81</v>
      </c>
      <c r="H3391" s="3">
        <v>15.45</v>
      </c>
      <c r="I3391" s="3">
        <f>SUM(Tabla1[[#This Row],[Monto_Base]],H3391)</f>
        <v>134.26</v>
      </c>
      <c r="J3391" t="s">
        <v>5043</v>
      </c>
      <c r="K3391" t="s">
        <v>5049</v>
      </c>
      <c r="L3391" t="s">
        <v>5051</v>
      </c>
      <c r="M3391" t="s">
        <v>5055</v>
      </c>
    </row>
    <row r="3392" spans="1:13" x14ac:dyDescent="0.3">
      <c r="A3392" s="1">
        <v>45534</v>
      </c>
      <c r="B3392" s="1" t="str">
        <f>TEXT(Tabla1[[#This Row],[Fecha]],"MMMM")</f>
        <v>agosto</v>
      </c>
      <c r="C3392" t="s">
        <v>3402</v>
      </c>
      <c r="D3392" t="s">
        <v>5030</v>
      </c>
      <c r="E3392" t="s">
        <v>5033</v>
      </c>
      <c r="F3392" t="s">
        <v>5040</v>
      </c>
      <c r="G3392" s="3">
        <v>10119.58</v>
      </c>
      <c r="H3392" s="3">
        <v>1315.55</v>
      </c>
      <c r="I3392" s="3">
        <f>SUM(Tabla1[[#This Row],[Monto_Base]],H3392)</f>
        <v>11435.13</v>
      </c>
      <c r="J3392" t="s">
        <v>5046</v>
      </c>
      <c r="K3392" t="s">
        <v>5048</v>
      </c>
      <c r="L3392" t="s">
        <v>5050</v>
      </c>
      <c r="M3392" t="s">
        <v>5055</v>
      </c>
    </row>
    <row r="3393" spans="1:13" x14ac:dyDescent="0.3">
      <c r="A3393" s="1">
        <v>45546</v>
      </c>
      <c r="B3393" s="1" t="str">
        <f>TEXT(Tabla1[[#This Row],[Fecha]],"MMMM")</f>
        <v>septiembre</v>
      </c>
      <c r="C3393" t="s">
        <v>3403</v>
      </c>
      <c r="D3393" t="s">
        <v>5024</v>
      </c>
      <c r="E3393" t="s">
        <v>5033</v>
      </c>
      <c r="F3393" t="s">
        <v>5037</v>
      </c>
      <c r="G3393" s="3">
        <v>4143.41</v>
      </c>
      <c r="H3393" s="3">
        <v>538.64</v>
      </c>
      <c r="I3393" s="3">
        <f>SUM(Tabla1[[#This Row],[Monto_Base]],H3393)</f>
        <v>4682.05</v>
      </c>
      <c r="J3393" t="s">
        <v>5045</v>
      </c>
      <c r="K3393" t="s">
        <v>5047</v>
      </c>
      <c r="L3393" t="s">
        <v>5050</v>
      </c>
      <c r="M3393" t="s">
        <v>5054</v>
      </c>
    </row>
    <row r="3394" spans="1:13" x14ac:dyDescent="0.3">
      <c r="A3394" s="1">
        <v>45471</v>
      </c>
      <c r="B3394" s="1" t="str">
        <f>TEXT(Tabla1[[#This Row],[Fecha]],"MMMM")</f>
        <v>junio</v>
      </c>
      <c r="C3394" t="s">
        <v>3404</v>
      </c>
      <c r="D3394" t="s">
        <v>5018</v>
      </c>
      <c r="E3394" t="s">
        <v>5032</v>
      </c>
      <c r="F3394" t="s">
        <v>5041</v>
      </c>
      <c r="G3394" s="3">
        <v>9884.9</v>
      </c>
      <c r="H3394" s="3">
        <v>0</v>
      </c>
      <c r="I3394" s="3">
        <f>SUM(Tabla1[[#This Row],[Monto_Base]],H3394)</f>
        <v>9884.9</v>
      </c>
      <c r="J3394" t="s">
        <v>5042</v>
      </c>
      <c r="K3394" t="s">
        <v>5048</v>
      </c>
      <c r="L3394" t="s">
        <v>5051</v>
      </c>
      <c r="M3394" t="s">
        <v>5055</v>
      </c>
    </row>
    <row r="3395" spans="1:13" x14ac:dyDescent="0.3">
      <c r="A3395" s="1">
        <v>45616</v>
      </c>
      <c r="B3395" s="1" t="str">
        <f>TEXT(Tabla1[[#This Row],[Fecha]],"MMMM")</f>
        <v>noviembre</v>
      </c>
      <c r="C3395" t="s">
        <v>3405</v>
      </c>
      <c r="D3395" t="s">
        <v>5019</v>
      </c>
      <c r="E3395" t="s">
        <v>5032</v>
      </c>
      <c r="F3395" t="s">
        <v>5038</v>
      </c>
      <c r="G3395" s="3">
        <v>12298.01</v>
      </c>
      <c r="H3395" s="3">
        <v>0</v>
      </c>
      <c r="I3395" s="3">
        <f>SUM(Tabla1[[#This Row],[Monto_Base]],H3395)</f>
        <v>12298.01</v>
      </c>
      <c r="J3395" t="s">
        <v>5044</v>
      </c>
      <c r="K3395" t="s">
        <v>5048</v>
      </c>
      <c r="L3395" t="s">
        <v>5053</v>
      </c>
      <c r="M3395" t="s">
        <v>5055</v>
      </c>
    </row>
    <row r="3396" spans="1:13" x14ac:dyDescent="0.3">
      <c r="A3396" s="1">
        <v>45455</v>
      </c>
      <c r="B3396" s="1" t="str">
        <f>TEXT(Tabla1[[#This Row],[Fecha]],"MMMM")</f>
        <v>junio</v>
      </c>
      <c r="C3396" t="s">
        <v>3406</v>
      </c>
      <c r="D3396" t="s">
        <v>5024</v>
      </c>
      <c r="E3396" t="s">
        <v>5032</v>
      </c>
      <c r="F3396" t="s">
        <v>5041</v>
      </c>
      <c r="G3396" s="3">
        <v>13611.51</v>
      </c>
      <c r="H3396" s="3">
        <v>0</v>
      </c>
      <c r="I3396" s="3">
        <f>SUM(Tabla1[[#This Row],[Monto_Base]],H3396)</f>
        <v>13611.51</v>
      </c>
      <c r="J3396" t="s">
        <v>5045</v>
      </c>
      <c r="K3396" t="s">
        <v>5049</v>
      </c>
      <c r="L3396" t="s">
        <v>5052</v>
      </c>
      <c r="M3396" t="s">
        <v>5055</v>
      </c>
    </row>
    <row r="3397" spans="1:13" x14ac:dyDescent="0.3">
      <c r="A3397" s="1">
        <v>45599</v>
      </c>
      <c r="B3397" s="1" t="str">
        <f>TEXT(Tabla1[[#This Row],[Fecha]],"MMMM")</f>
        <v>noviembre</v>
      </c>
      <c r="C3397" t="s">
        <v>3407</v>
      </c>
      <c r="D3397" t="s">
        <v>5015</v>
      </c>
      <c r="E3397" t="s">
        <v>5033</v>
      </c>
      <c r="F3397" t="s">
        <v>5041</v>
      </c>
      <c r="G3397" s="3">
        <v>7452.57</v>
      </c>
      <c r="H3397" s="3">
        <v>968.83</v>
      </c>
      <c r="I3397" s="3">
        <f>SUM(Tabla1[[#This Row],[Monto_Base]],H3397)</f>
        <v>8421.4</v>
      </c>
      <c r="J3397" t="s">
        <v>5045</v>
      </c>
      <c r="K3397" t="s">
        <v>5049</v>
      </c>
      <c r="L3397" t="s">
        <v>5051</v>
      </c>
      <c r="M3397" t="s">
        <v>5055</v>
      </c>
    </row>
    <row r="3398" spans="1:13" x14ac:dyDescent="0.3">
      <c r="A3398" s="1">
        <v>45413</v>
      </c>
      <c r="B3398" s="1" t="str">
        <f>TEXT(Tabla1[[#This Row],[Fecha]],"MMMM")</f>
        <v>mayo</v>
      </c>
      <c r="C3398" t="s">
        <v>3408</v>
      </c>
      <c r="D3398" t="s">
        <v>5024</v>
      </c>
      <c r="E3398" t="s">
        <v>5032</v>
      </c>
      <c r="F3398" t="s">
        <v>5040</v>
      </c>
      <c r="G3398" s="3">
        <v>13169.06</v>
      </c>
      <c r="H3398" s="3">
        <v>0</v>
      </c>
      <c r="I3398" s="3">
        <f>SUM(Tabla1[[#This Row],[Monto_Base]],H3398)</f>
        <v>13169.06</v>
      </c>
      <c r="J3398" t="s">
        <v>5043</v>
      </c>
      <c r="K3398" t="s">
        <v>5048</v>
      </c>
      <c r="L3398" t="s">
        <v>5051</v>
      </c>
      <c r="M3398" t="s">
        <v>5054</v>
      </c>
    </row>
    <row r="3399" spans="1:13" x14ac:dyDescent="0.3">
      <c r="A3399" s="1">
        <v>45402</v>
      </c>
      <c r="B3399" s="1" t="str">
        <f>TEXT(Tabla1[[#This Row],[Fecha]],"MMMM")</f>
        <v>abril</v>
      </c>
      <c r="C3399" t="s">
        <v>3409</v>
      </c>
      <c r="D3399" t="s">
        <v>5016</v>
      </c>
      <c r="E3399" t="s">
        <v>5033</v>
      </c>
      <c r="F3399" t="s">
        <v>5040</v>
      </c>
      <c r="G3399" s="3">
        <v>3482.1</v>
      </c>
      <c r="H3399" s="3">
        <v>452.67</v>
      </c>
      <c r="I3399" s="3">
        <f>SUM(Tabla1[[#This Row],[Monto_Base]],H3399)</f>
        <v>3934.77</v>
      </c>
      <c r="J3399" t="s">
        <v>5046</v>
      </c>
      <c r="K3399" t="s">
        <v>5049</v>
      </c>
      <c r="L3399" t="s">
        <v>5051</v>
      </c>
      <c r="M3399" t="s">
        <v>5055</v>
      </c>
    </row>
    <row r="3400" spans="1:13" x14ac:dyDescent="0.3">
      <c r="A3400" s="1">
        <v>45486</v>
      </c>
      <c r="B3400" s="1" t="str">
        <f>TEXT(Tabla1[[#This Row],[Fecha]],"MMMM")</f>
        <v>julio</v>
      </c>
      <c r="C3400" t="s">
        <v>3410</v>
      </c>
      <c r="D3400" t="s">
        <v>5026</v>
      </c>
      <c r="E3400" t="s">
        <v>5033</v>
      </c>
      <c r="F3400" t="s">
        <v>5034</v>
      </c>
      <c r="G3400" s="3">
        <v>6135.87</v>
      </c>
      <c r="H3400" s="3">
        <v>797.66</v>
      </c>
      <c r="I3400" s="3">
        <f>SUM(Tabla1[[#This Row],[Monto_Base]],H3400)</f>
        <v>6933.53</v>
      </c>
      <c r="J3400" t="s">
        <v>5044</v>
      </c>
      <c r="K3400" t="s">
        <v>5049</v>
      </c>
      <c r="L3400" t="s">
        <v>5053</v>
      </c>
      <c r="M3400" t="s">
        <v>5055</v>
      </c>
    </row>
    <row r="3401" spans="1:13" x14ac:dyDescent="0.3">
      <c r="A3401" s="1">
        <v>45432</v>
      </c>
      <c r="B3401" s="1" t="str">
        <f>TEXT(Tabla1[[#This Row],[Fecha]],"MMMM")</f>
        <v>mayo</v>
      </c>
      <c r="C3401" t="s">
        <v>3411</v>
      </c>
      <c r="D3401" t="s">
        <v>5018</v>
      </c>
      <c r="E3401" t="s">
        <v>5033</v>
      </c>
      <c r="F3401" t="s">
        <v>5041</v>
      </c>
      <c r="G3401" s="3">
        <v>3175.03</v>
      </c>
      <c r="H3401" s="3">
        <v>412.75</v>
      </c>
      <c r="I3401" s="3">
        <f>SUM(Tabla1[[#This Row],[Monto_Base]],H3401)</f>
        <v>3587.78</v>
      </c>
      <c r="J3401" t="s">
        <v>5045</v>
      </c>
      <c r="K3401" t="s">
        <v>5048</v>
      </c>
      <c r="L3401" t="s">
        <v>5053</v>
      </c>
      <c r="M3401" t="s">
        <v>5055</v>
      </c>
    </row>
    <row r="3402" spans="1:13" x14ac:dyDescent="0.3">
      <c r="A3402" s="1">
        <v>45315</v>
      </c>
      <c r="B3402" s="1" t="str">
        <f>TEXT(Tabla1[[#This Row],[Fecha]],"MMMM")</f>
        <v>enero</v>
      </c>
      <c r="C3402" t="s">
        <v>3412</v>
      </c>
      <c r="D3402" t="s">
        <v>5026</v>
      </c>
      <c r="E3402" t="s">
        <v>5032</v>
      </c>
      <c r="F3402" t="s">
        <v>5035</v>
      </c>
      <c r="G3402" s="3">
        <v>4747.68</v>
      </c>
      <c r="H3402" s="3">
        <v>0</v>
      </c>
      <c r="I3402" s="3">
        <f>SUM(Tabla1[[#This Row],[Monto_Base]],H3402)</f>
        <v>4747.68</v>
      </c>
      <c r="J3402" t="s">
        <v>5046</v>
      </c>
      <c r="K3402" t="s">
        <v>5048</v>
      </c>
      <c r="L3402" t="s">
        <v>5051</v>
      </c>
      <c r="M3402" t="s">
        <v>5054</v>
      </c>
    </row>
    <row r="3403" spans="1:13" x14ac:dyDescent="0.3">
      <c r="A3403" s="1">
        <v>45441</v>
      </c>
      <c r="B3403" s="1" t="str">
        <f>TEXT(Tabla1[[#This Row],[Fecha]],"MMMM")</f>
        <v>mayo</v>
      </c>
      <c r="C3403" t="s">
        <v>3413</v>
      </c>
      <c r="D3403" t="s">
        <v>5014</v>
      </c>
      <c r="E3403" t="s">
        <v>5032</v>
      </c>
      <c r="F3403" t="s">
        <v>5034</v>
      </c>
      <c r="G3403" s="3">
        <v>3071.26</v>
      </c>
      <c r="H3403" s="3">
        <v>0</v>
      </c>
      <c r="I3403" s="3">
        <f>SUM(Tabla1[[#This Row],[Monto_Base]],H3403)</f>
        <v>3071.26</v>
      </c>
      <c r="J3403" t="s">
        <v>5043</v>
      </c>
      <c r="K3403" t="s">
        <v>5048</v>
      </c>
      <c r="L3403" t="s">
        <v>5051</v>
      </c>
      <c r="M3403" t="s">
        <v>5055</v>
      </c>
    </row>
    <row r="3404" spans="1:13" x14ac:dyDescent="0.3">
      <c r="A3404" s="1">
        <v>45361</v>
      </c>
      <c r="B3404" s="1" t="str">
        <f>TEXT(Tabla1[[#This Row],[Fecha]],"MMMM")</f>
        <v>marzo</v>
      </c>
      <c r="C3404" t="s">
        <v>3414</v>
      </c>
      <c r="D3404" t="s">
        <v>5019</v>
      </c>
      <c r="E3404" t="s">
        <v>5032</v>
      </c>
      <c r="F3404" t="s">
        <v>5035</v>
      </c>
      <c r="G3404" s="3">
        <v>3752.22</v>
      </c>
      <c r="H3404" s="3">
        <v>0</v>
      </c>
      <c r="I3404" s="3">
        <f>SUM(Tabla1[[#This Row],[Monto_Base]],H3404)</f>
        <v>3752.22</v>
      </c>
      <c r="J3404" t="s">
        <v>5043</v>
      </c>
      <c r="K3404" t="s">
        <v>5047</v>
      </c>
      <c r="L3404" t="s">
        <v>5050</v>
      </c>
      <c r="M3404" t="s">
        <v>5055</v>
      </c>
    </row>
    <row r="3405" spans="1:13" x14ac:dyDescent="0.3">
      <c r="A3405" s="1">
        <v>45586</v>
      </c>
      <c r="B3405" s="1" t="str">
        <f>TEXT(Tabla1[[#This Row],[Fecha]],"MMMM")</f>
        <v>octubre</v>
      </c>
      <c r="C3405" t="s">
        <v>3415</v>
      </c>
      <c r="D3405" t="s">
        <v>5015</v>
      </c>
      <c r="E3405" t="s">
        <v>5033</v>
      </c>
      <c r="F3405" t="s">
        <v>5035</v>
      </c>
      <c r="G3405" s="3">
        <v>10645.25</v>
      </c>
      <c r="H3405" s="3">
        <v>1383.88</v>
      </c>
      <c r="I3405" s="3">
        <f>SUM(Tabla1[[#This Row],[Monto_Base]],H3405)</f>
        <v>12029.130000000001</v>
      </c>
      <c r="J3405" t="s">
        <v>5044</v>
      </c>
      <c r="K3405" t="s">
        <v>5047</v>
      </c>
      <c r="L3405" t="s">
        <v>5053</v>
      </c>
      <c r="M3405" t="s">
        <v>5054</v>
      </c>
    </row>
    <row r="3406" spans="1:13" x14ac:dyDescent="0.3">
      <c r="A3406" s="1">
        <v>45565</v>
      </c>
      <c r="B3406" s="1" t="str">
        <f>TEXT(Tabla1[[#This Row],[Fecha]],"MMMM")</f>
        <v>septiembre</v>
      </c>
      <c r="C3406" t="s">
        <v>3416</v>
      </c>
      <c r="D3406" t="s">
        <v>5026</v>
      </c>
      <c r="E3406" t="s">
        <v>5032</v>
      </c>
      <c r="F3406" t="s">
        <v>5037</v>
      </c>
      <c r="G3406" s="3">
        <v>721.56</v>
      </c>
      <c r="H3406" s="3">
        <v>0</v>
      </c>
      <c r="I3406" s="3">
        <f>SUM(Tabla1[[#This Row],[Monto_Base]],H3406)</f>
        <v>721.56</v>
      </c>
      <c r="J3406" t="s">
        <v>5045</v>
      </c>
      <c r="K3406" t="s">
        <v>5049</v>
      </c>
      <c r="L3406" t="s">
        <v>5051</v>
      </c>
      <c r="M3406" t="s">
        <v>5054</v>
      </c>
    </row>
    <row r="3407" spans="1:13" x14ac:dyDescent="0.3">
      <c r="A3407" s="1">
        <v>45616</v>
      </c>
      <c r="B3407" s="1" t="str">
        <f>TEXT(Tabla1[[#This Row],[Fecha]],"MMMM")</f>
        <v>noviembre</v>
      </c>
      <c r="C3407" t="s">
        <v>3417</v>
      </c>
      <c r="D3407" t="s">
        <v>5029</v>
      </c>
      <c r="E3407" t="s">
        <v>5032</v>
      </c>
      <c r="F3407" t="s">
        <v>5041</v>
      </c>
      <c r="G3407" s="3">
        <v>7162.86</v>
      </c>
      <c r="H3407" s="3">
        <v>0</v>
      </c>
      <c r="I3407" s="3">
        <f>SUM(Tabla1[[#This Row],[Monto_Base]],H3407)</f>
        <v>7162.86</v>
      </c>
      <c r="J3407" t="s">
        <v>5043</v>
      </c>
      <c r="K3407" t="s">
        <v>5047</v>
      </c>
      <c r="L3407" t="s">
        <v>5052</v>
      </c>
      <c r="M3407" t="s">
        <v>5054</v>
      </c>
    </row>
    <row r="3408" spans="1:13" x14ac:dyDescent="0.3">
      <c r="A3408" s="1">
        <v>45456</v>
      </c>
      <c r="B3408" s="1" t="str">
        <f>TEXT(Tabla1[[#This Row],[Fecha]],"MMMM")</f>
        <v>junio</v>
      </c>
      <c r="C3408" t="s">
        <v>3418</v>
      </c>
      <c r="D3408" t="s">
        <v>5027</v>
      </c>
      <c r="E3408" t="s">
        <v>5033</v>
      </c>
      <c r="F3408" t="s">
        <v>5038</v>
      </c>
      <c r="G3408" s="3">
        <v>3811.59</v>
      </c>
      <c r="H3408" s="3">
        <v>495.51</v>
      </c>
      <c r="I3408" s="3">
        <f>SUM(Tabla1[[#This Row],[Monto_Base]],H3408)</f>
        <v>4307.1000000000004</v>
      </c>
      <c r="J3408" t="s">
        <v>5043</v>
      </c>
      <c r="K3408" t="s">
        <v>5049</v>
      </c>
      <c r="L3408" t="s">
        <v>5051</v>
      </c>
      <c r="M3408" t="s">
        <v>5055</v>
      </c>
    </row>
    <row r="3409" spans="1:13" x14ac:dyDescent="0.3">
      <c r="A3409" s="1">
        <v>45468</v>
      </c>
      <c r="B3409" s="1" t="str">
        <f>TEXT(Tabla1[[#This Row],[Fecha]],"MMMM")</f>
        <v>junio</v>
      </c>
      <c r="C3409" t="s">
        <v>3419</v>
      </c>
      <c r="D3409" t="s">
        <v>5016</v>
      </c>
      <c r="E3409" t="s">
        <v>5033</v>
      </c>
      <c r="F3409" t="s">
        <v>5040</v>
      </c>
      <c r="G3409" s="3">
        <v>392.76</v>
      </c>
      <c r="H3409" s="3">
        <v>51.06</v>
      </c>
      <c r="I3409" s="3">
        <f>SUM(Tabla1[[#This Row],[Monto_Base]],H3409)</f>
        <v>443.82</v>
      </c>
      <c r="J3409" t="s">
        <v>5046</v>
      </c>
      <c r="K3409" t="s">
        <v>5048</v>
      </c>
      <c r="L3409" t="s">
        <v>5053</v>
      </c>
      <c r="M3409" t="s">
        <v>5054</v>
      </c>
    </row>
    <row r="3410" spans="1:13" x14ac:dyDescent="0.3">
      <c r="A3410" s="1">
        <v>45532</v>
      </c>
      <c r="B3410" s="1" t="str">
        <f>TEXT(Tabla1[[#This Row],[Fecha]],"MMMM")</f>
        <v>agosto</v>
      </c>
      <c r="C3410" t="s">
        <v>3420</v>
      </c>
      <c r="D3410" t="s">
        <v>5022</v>
      </c>
      <c r="E3410" t="s">
        <v>5032</v>
      </c>
      <c r="F3410" t="s">
        <v>5041</v>
      </c>
      <c r="G3410" s="3">
        <v>5045.1000000000004</v>
      </c>
      <c r="H3410" s="3">
        <v>0</v>
      </c>
      <c r="I3410" s="3">
        <f>SUM(Tabla1[[#This Row],[Monto_Base]],H3410)</f>
        <v>5045.1000000000004</v>
      </c>
      <c r="J3410" t="s">
        <v>5045</v>
      </c>
      <c r="K3410" t="s">
        <v>5048</v>
      </c>
      <c r="L3410" t="s">
        <v>5053</v>
      </c>
      <c r="M3410" t="s">
        <v>5054</v>
      </c>
    </row>
    <row r="3411" spans="1:13" x14ac:dyDescent="0.3">
      <c r="A3411" s="1">
        <v>45496</v>
      </c>
      <c r="B3411" s="1" t="str">
        <f>TEXT(Tabla1[[#This Row],[Fecha]],"MMMM")</f>
        <v>julio</v>
      </c>
      <c r="C3411" t="s">
        <v>3421</v>
      </c>
      <c r="D3411" t="s">
        <v>5031</v>
      </c>
      <c r="E3411" t="s">
        <v>5033</v>
      </c>
      <c r="F3411" t="s">
        <v>5034</v>
      </c>
      <c r="G3411" s="3">
        <v>13251.54</v>
      </c>
      <c r="H3411" s="3">
        <v>1722.7</v>
      </c>
      <c r="I3411" s="3">
        <f>SUM(Tabla1[[#This Row],[Monto_Base]],H3411)</f>
        <v>14974.240000000002</v>
      </c>
      <c r="J3411" t="s">
        <v>5045</v>
      </c>
      <c r="K3411" t="s">
        <v>5047</v>
      </c>
      <c r="L3411" t="s">
        <v>5053</v>
      </c>
      <c r="M3411" t="s">
        <v>5054</v>
      </c>
    </row>
    <row r="3412" spans="1:13" x14ac:dyDescent="0.3">
      <c r="A3412" s="1">
        <v>45622</v>
      </c>
      <c r="B3412" s="1" t="str">
        <f>TEXT(Tabla1[[#This Row],[Fecha]],"MMMM")</f>
        <v>noviembre</v>
      </c>
      <c r="C3412" t="s">
        <v>3422</v>
      </c>
      <c r="D3412" t="s">
        <v>5018</v>
      </c>
      <c r="E3412" t="s">
        <v>5032</v>
      </c>
      <c r="F3412" t="s">
        <v>5038</v>
      </c>
      <c r="G3412" s="3">
        <v>5490.54</v>
      </c>
      <c r="H3412" s="3">
        <v>0</v>
      </c>
      <c r="I3412" s="3">
        <f>SUM(Tabla1[[#This Row],[Monto_Base]],H3412)</f>
        <v>5490.54</v>
      </c>
      <c r="J3412" t="s">
        <v>5042</v>
      </c>
      <c r="K3412" t="s">
        <v>5049</v>
      </c>
      <c r="L3412" t="s">
        <v>5051</v>
      </c>
      <c r="M3412" t="s">
        <v>5054</v>
      </c>
    </row>
    <row r="3413" spans="1:13" x14ac:dyDescent="0.3">
      <c r="A3413" s="1">
        <v>45520</v>
      </c>
      <c r="B3413" s="1" t="str">
        <f>TEXT(Tabla1[[#This Row],[Fecha]],"MMMM")</f>
        <v>agosto</v>
      </c>
      <c r="C3413" t="s">
        <v>3423</v>
      </c>
      <c r="D3413" t="s">
        <v>5017</v>
      </c>
      <c r="E3413" t="s">
        <v>5032</v>
      </c>
      <c r="F3413" t="s">
        <v>5037</v>
      </c>
      <c r="G3413" s="3">
        <v>14030.85</v>
      </c>
      <c r="H3413" s="3">
        <v>0</v>
      </c>
      <c r="I3413" s="3">
        <f>SUM(Tabla1[[#This Row],[Monto_Base]],H3413)</f>
        <v>14030.85</v>
      </c>
      <c r="J3413" t="s">
        <v>5045</v>
      </c>
      <c r="K3413" t="s">
        <v>5048</v>
      </c>
      <c r="L3413" t="s">
        <v>5053</v>
      </c>
      <c r="M3413" t="s">
        <v>5055</v>
      </c>
    </row>
    <row r="3414" spans="1:13" x14ac:dyDescent="0.3">
      <c r="A3414" s="1">
        <v>45307</v>
      </c>
      <c r="B3414" s="1" t="str">
        <f>TEXT(Tabla1[[#This Row],[Fecha]],"MMMM")</f>
        <v>enero</v>
      </c>
      <c r="C3414" t="s">
        <v>3424</v>
      </c>
      <c r="D3414" t="s">
        <v>5012</v>
      </c>
      <c r="E3414" t="s">
        <v>5032</v>
      </c>
      <c r="F3414" t="s">
        <v>5040</v>
      </c>
      <c r="G3414" s="3">
        <v>1830.63</v>
      </c>
      <c r="H3414" s="3">
        <v>0</v>
      </c>
      <c r="I3414" s="3">
        <f>SUM(Tabla1[[#This Row],[Monto_Base]],H3414)</f>
        <v>1830.63</v>
      </c>
      <c r="J3414" t="s">
        <v>5043</v>
      </c>
      <c r="K3414" t="s">
        <v>5048</v>
      </c>
      <c r="L3414" t="s">
        <v>5053</v>
      </c>
      <c r="M3414" t="s">
        <v>5055</v>
      </c>
    </row>
    <row r="3415" spans="1:13" x14ac:dyDescent="0.3">
      <c r="A3415" s="1">
        <v>45429</v>
      </c>
      <c r="B3415" s="1" t="str">
        <f>TEXT(Tabla1[[#This Row],[Fecha]],"MMMM")</f>
        <v>mayo</v>
      </c>
      <c r="C3415" t="s">
        <v>3425</v>
      </c>
      <c r="D3415" t="s">
        <v>5018</v>
      </c>
      <c r="E3415" t="s">
        <v>5033</v>
      </c>
      <c r="F3415" t="s">
        <v>5038</v>
      </c>
      <c r="G3415" s="3">
        <v>6648.44</v>
      </c>
      <c r="H3415" s="3">
        <v>864.3</v>
      </c>
      <c r="I3415" s="3">
        <f>SUM(Tabla1[[#This Row],[Monto_Base]],H3415)</f>
        <v>7512.74</v>
      </c>
      <c r="J3415" t="s">
        <v>5042</v>
      </c>
      <c r="K3415" t="s">
        <v>5047</v>
      </c>
      <c r="L3415" t="s">
        <v>5053</v>
      </c>
      <c r="M3415" t="s">
        <v>5054</v>
      </c>
    </row>
    <row r="3416" spans="1:13" x14ac:dyDescent="0.3">
      <c r="A3416" s="1">
        <v>45460</v>
      </c>
      <c r="B3416" s="1" t="str">
        <f>TEXT(Tabla1[[#This Row],[Fecha]],"MMMM")</f>
        <v>junio</v>
      </c>
      <c r="C3416" t="s">
        <v>3426</v>
      </c>
      <c r="D3416" t="s">
        <v>5016</v>
      </c>
      <c r="E3416" t="s">
        <v>5032</v>
      </c>
      <c r="F3416" t="s">
        <v>5041</v>
      </c>
      <c r="G3416" s="3">
        <v>3235.35</v>
      </c>
      <c r="H3416" s="3">
        <v>0</v>
      </c>
      <c r="I3416" s="3">
        <f>SUM(Tabla1[[#This Row],[Monto_Base]],H3416)</f>
        <v>3235.35</v>
      </c>
      <c r="J3416" t="s">
        <v>5044</v>
      </c>
      <c r="K3416" t="s">
        <v>5049</v>
      </c>
      <c r="L3416" t="s">
        <v>5053</v>
      </c>
      <c r="M3416" t="s">
        <v>5055</v>
      </c>
    </row>
    <row r="3417" spans="1:13" x14ac:dyDescent="0.3">
      <c r="A3417" s="1">
        <v>45321</v>
      </c>
      <c r="B3417" s="1" t="str">
        <f>TEXT(Tabla1[[#This Row],[Fecha]],"MMMM")</f>
        <v>enero</v>
      </c>
      <c r="C3417" t="s">
        <v>3427</v>
      </c>
      <c r="D3417" t="s">
        <v>5014</v>
      </c>
      <c r="E3417" t="s">
        <v>5033</v>
      </c>
      <c r="F3417" t="s">
        <v>5041</v>
      </c>
      <c r="G3417" s="3">
        <v>2811.31</v>
      </c>
      <c r="H3417" s="3">
        <v>365.47</v>
      </c>
      <c r="I3417" s="3">
        <f>SUM(Tabla1[[#This Row],[Monto_Base]],H3417)</f>
        <v>3176.7799999999997</v>
      </c>
      <c r="J3417" t="s">
        <v>5042</v>
      </c>
      <c r="K3417" t="s">
        <v>5047</v>
      </c>
      <c r="L3417" t="s">
        <v>5052</v>
      </c>
      <c r="M3417" t="s">
        <v>5054</v>
      </c>
    </row>
    <row r="3418" spans="1:13" x14ac:dyDescent="0.3">
      <c r="A3418" s="1">
        <v>45423</v>
      </c>
      <c r="B3418" s="1" t="str">
        <f>TEXT(Tabla1[[#This Row],[Fecha]],"MMMM")</f>
        <v>mayo</v>
      </c>
      <c r="C3418" t="s">
        <v>3428</v>
      </c>
      <c r="D3418" t="s">
        <v>5016</v>
      </c>
      <c r="E3418" t="s">
        <v>5033</v>
      </c>
      <c r="F3418" t="s">
        <v>5037</v>
      </c>
      <c r="G3418" s="3">
        <v>12063.65</v>
      </c>
      <c r="H3418" s="3">
        <v>1568.27</v>
      </c>
      <c r="I3418" s="3">
        <f>SUM(Tabla1[[#This Row],[Monto_Base]],H3418)</f>
        <v>13631.92</v>
      </c>
      <c r="J3418" t="s">
        <v>5046</v>
      </c>
      <c r="K3418" t="s">
        <v>5049</v>
      </c>
      <c r="L3418" t="s">
        <v>5053</v>
      </c>
      <c r="M3418" t="s">
        <v>5055</v>
      </c>
    </row>
    <row r="3419" spans="1:13" x14ac:dyDescent="0.3">
      <c r="A3419" s="1">
        <v>45428</v>
      </c>
      <c r="B3419" s="1" t="str">
        <f>TEXT(Tabla1[[#This Row],[Fecha]],"MMMM")</f>
        <v>mayo</v>
      </c>
      <c r="C3419" t="s">
        <v>3429</v>
      </c>
      <c r="D3419" t="s">
        <v>5016</v>
      </c>
      <c r="E3419" t="s">
        <v>5032</v>
      </c>
      <c r="F3419" t="s">
        <v>5038</v>
      </c>
      <c r="G3419" s="3">
        <v>14225.07</v>
      </c>
      <c r="H3419" s="3">
        <v>0</v>
      </c>
      <c r="I3419" s="3">
        <f>SUM(Tabla1[[#This Row],[Monto_Base]],H3419)</f>
        <v>14225.07</v>
      </c>
      <c r="J3419" t="s">
        <v>5045</v>
      </c>
      <c r="K3419" t="s">
        <v>5049</v>
      </c>
      <c r="L3419" t="s">
        <v>5051</v>
      </c>
      <c r="M3419" t="s">
        <v>5054</v>
      </c>
    </row>
    <row r="3420" spans="1:13" x14ac:dyDescent="0.3">
      <c r="A3420" s="1">
        <v>45482</v>
      </c>
      <c r="B3420" s="1" t="str">
        <f>TEXT(Tabla1[[#This Row],[Fecha]],"MMMM")</f>
        <v>julio</v>
      </c>
      <c r="C3420" t="s">
        <v>3430</v>
      </c>
      <c r="D3420" t="s">
        <v>5017</v>
      </c>
      <c r="E3420" t="s">
        <v>5033</v>
      </c>
      <c r="F3420" t="s">
        <v>5035</v>
      </c>
      <c r="G3420" s="3">
        <v>6944.46</v>
      </c>
      <c r="H3420" s="3">
        <v>902.78</v>
      </c>
      <c r="I3420" s="3">
        <f>SUM(Tabla1[[#This Row],[Monto_Base]],H3420)</f>
        <v>7847.24</v>
      </c>
      <c r="J3420" t="s">
        <v>5043</v>
      </c>
      <c r="K3420" t="s">
        <v>5047</v>
      </c>
      <c r="L3420" t="s">
        <v>5051</v>
      </c>
      <c r="M3420" t="s">
        <v>5054</v>
      </c>
    </row>
    <row r="3421" spans="1:13" x14ac:dyDescent="0.3">
      <c r="A3421" s="1">
        <v>45373</v>
      </c>
      <c r="B3421" s="1" t="str">
        <f>TEXT(Tabla1[[#This Row],[Fecha]],"MMMM")</f>
        <v>marzo</v>
      </c>
      <c r="C3421" t="s">
        <v>3431</v>
      </c>
      <c r="D3421" t="s">
        <v>5014</v>
      </c>
      <c r="E3421" t="s">
        <v>5033</v>
      </c>
      <c r="F3421" t="s">
        <v>5036</v>
      </c>
      <c r="G3421" s="3">
        <v>11161.1</v>
      </c>
      <c r="H3421" s="3">
        <v>1450.94</v>
      </c>
      <c r="I3421" s="3">
        <f>SUM(Tabla1[[#This Row],[Monto_Base]],H3421)</f>
        <v>12612.04</v>
      </c>
      <c r="J3421" t="s">
        <v>5046</v>
      </c>
      <c r="K3421" t="s">
        <v>5049</v>
      </c>
      <c r="L3421" t="s">
        <v>5053</v>
      </c>
      <c r="M3421" t="s">
        <v>5054</v>
      </c>
    </row>
    <row r="3422" spans="1:13" x14ac:dyDescent="0.3">
      <c r="A3422" s="1">
        <v>45599</v>
      </c>
      <c r="B3422" s="1" t="str">
        <f>TEXT(Tabla1[[#This Row],[Fecha]],"MMMM")</f>
        <v>noviembre</v>
      </c>
      <c r="C3422" t="s">
        <v>3432</v>
      </c>
      <c r="D3422" t="s">
        <v>5019</v>
      </c>
      <c r="E3422" t="s">
        <v>5033</v>
      </c>
      <c r="F3422" t="s">
        <v>5034</v>
      </c>
      <c r="G3422" s="3">
        <v>368.9</v>
      </c>
      <c r="H3422" s="3">
        <v>47.96</v>
      </c>
      <c r="I3422" s="3">
        <f>SUM(Tabla1[[#This Row],[Monto_Base]],H3422)</f>
        <v>416.85999999999996</v>
      </c>
      <c r="J3422" t="s">
        <v>5046</v>
      </c>
      <c r="K3422" t="s">
        <v>5047</v>
      </c>
      <c r="L3422" t="s">
        <v>5051</v>
      </c>
      <c r="M3422" t="s">
        <v>5055</v>
      </c>
    </row>
    <row r="3423" spans="1:13" x14ac:dyDescent="0.3">
      <c r="A3423" s="1">
        <v>45597</v>
      </c>
      <c r="B3423" s="1" t="str">
        <f>TEXT(Tabla1[[#This Row],[Fecha]],"MMMM")</f>
        <v>noviembre</v>
      </c>
      <c r="C3423" t="s">
        <v>3433</v>
      </c>
      <c r="D3423" t="s">
        <v>5029</v>
      </c>
      <c r="E3423" t="s">
        <v>5033</v>
      </c>
      <c r="F3423" t="s">
        <v>5034</v>
      </c>
      <c r="G3423" s="3">
        <v>488.81</v>
      </c>
      <c r="H3423" s="3">
        <v>63.55</v>
      </c>
      <c r="I3423" s="3">
        <f>SUM(Tabla1[[#This Row],[Monto_Base]],H3423)</f>
        <v>552.36</v>
      </c>
      <c r="J3423" t="s">
        <v>5042</v>
      </c>
      <c r="K3423" t="s">
        <v>5047</v>
      </c>
      <c r="L3423" t="s">
        <v>5051</v>
      </c>
      <c r="M3423" t="s">
        <v>5055</v>
      </c>
    </row>
    <row r="3424" spans="1:13" x14ac:dyDescent="0.3">
      <c r="A3424" s="1">
        <v>45305</v>
      </c>
      <c r="B3424" s="1" t="str">
        <f>TEXT(Tabla1[[#This Row],[Fecha]],"MMMM")</f>
        <v>enero</v>
      </c>
      <c r="C3424" t="s">
        <v>3434</v>
      </c>
      <c r="D3424" t="s">
        <v>5026</v>
      </c>
      <c r="E3424" t="s">
        <v>5032</v>
      </c>
      <c r="F3424" t="s">
        <v>5034</v>
      </c>
      <c r="G3424" s="3">
        <v>13869.65</v>
      </c>
      <c r="H3424" s="3">
        <v>0</v>
      </c>
      <c r="I3424" s="3">
        <f>SUM(Tabla1[[#This Row],[Monto_Base]],H3424)</f>
        <v>13869.65</v>
      </c>
      <c r="J3424" t="s">
        <v>5045</v>
      </c>
      <c r="K3424" t="s">
        <v>5047</v>
      </c>
      <c r="L3424" t="s">
        <v>5051</v>
      </c>
      <c r="M3424" t="s">
        <v>5054</v>
      </c>
    </row>
    <row r="3425" spans="1:13" x14ac:dyDescent="0.3">
      <c r="A3425" s="1">
        <v>45357</v>
      </c>
      <c r="B3425" s="1" t="str">
        <f>TEXT(Tabla1[[#This Row],[Fecha]],"MMMM")</f>
        <v>marzo</v>
      </c>
      <c r="C3425" t="s">
        <v>3435</v>
      </c>
      <c r="D3425" t="s">
        <v>5023</v>
      </c>
      <c r="E3425" t="s">
        <v>5032</v>
      </c>
      <c r="F3425" t="s">
        <v>5035</v>
      </c>
      <c r="G3425" s="3">
        <v>378.78</v>
      </c>
      <c r="H3425" s="3">
        <v>0</v>
      </c>
      <c r="I3425" s="3">
        <f>SUM(Tabla1[[#This Row],[Monto_Base]],H3425)</f>
        <v>378.78</v>
      </c>
      <c r="J3425" t="s">
        <v>5046</v>
      </c>
      <c r="K3425" t="s">
        <v>5047</v>
      </c>
      <c r="L3425" t="s">
        <v>5052</v>
      </c>
      <c r="M3425" t="s">
        <v>5054</v>
      </c>
    </row>
    <row r="3426" spans="1:13" x14ac:dyDescent="0.3">
      <c r="A3426" s="1">
        <v>45355</v>
      </c>
      <c r="B3426" s="1" t="str">
        <f>TEXT(Tabla1[[#This Row],[Fecha]],"MMMM")</f>
        <v>marzo</v>
      </c>
      <c r="C3426" t="s">
        <v>3436</v>
      </c>
      <c r="D3426" t="s">
        <v>5016</v>
      </c>
      <c r="E3426" t="s">
        <v>5033</v>
      </c>
      <c r="F3426" t="s">
        <v>5035</v>
      </c>
      <c r="G3426" s="3">
        <v>4549.3</v>
      </c>
      <c r="H3426" s="3">
        <v>591.41</v>
      </c>
      <c r="I3426" s="3">
        <f>SUM(Tabla1[[#This Row],[Monto_Base]],H3426)</f>
        <v>5140.71</v>
      </c>
      <c r="J3426" t="s">
        <v>5045</v>
      </c>
      <c r="K3426" t="s">
        <v>5049</v>
      </c>
      <c r="L3426" t="s">
        <v>5052</v>
      </c>
      <c r="M3426" t="s">
        <v>5054</v>
      </c>
    </row>
    <row r="3427" spans="1:13" x14ac:dyDescent="0.3">
      <c r="A3427" s="1">
        <v>45556</v>
      </c>
      <c r="B3427" s="1" t="str">
        <f>TEXT(Tabla1[[#This Row],[Fecha]],"MMMM")</f>
        <v>septiembre</v>
      </c>
      <c r="C3427" t="s">
        <v>3437</v>
      </c>
      <c r="D3427" t="s">
        <v>5029</v>
      </c>
      <c r="E3427" t="s">
        <v>5032</v>
      </c>
      <c r="F3427" t="s">
        <v>5041</v>
      </c>
      <c r="G3427" s="3">
        <v>3301.84</v>
      </c>
      <c r="H3427" s="3">
        <v>0</v>
      </c>
      <c r="I3427" s="3">
        <f>SUM(Tabla1[[#This Row],[Monto_Base]],H3427)</f>
        <v>3301.84</v>
      </c>
      <c r="J3427" t="s">
        <v>5044</v>
      </c>
      <c r="K3427" t="s">
        <v>5048</v>
      </c>
      <c r="L3427" t="s">
        <v>5050</v>
      </c>
      <c r="M3427" t="s">
        <v>5055</v>
      </c>
    </row>
    <row r="3428" spans="1:13" x14ac:dyDescent="0.3">
      <c r="A3428" s="1">
        <v>45460</v>
      </c>
      <c r="B3428" s="1" t="str">
        <f>TEXT(Tabla1[[#This Row],[Fecha]],"MMMM")</f>
        <v>junio</v>
      </c>
      <c r="C3428" t="s">
        <v>3438</v>
      </c>
      <c r="D3428" t="s">
        <v>5031</v>
      </c>
      <c r="E3428" t="s">
        <v>5033</v>
      </c>
      <c r="F3428" t="s">
        <v>5038</v>
      </c>
      <c r="G3428" s="3">
        <v>12473.86</v>
      </c>
      <c r="H3428" s="3">
        <v>1621.6</v>
      </c>
      <c r="I3428" s="3">
        <f>SUM(Tabla1[[#This Row],[Monto_Base]],H3428)</f>
        <v>14095.460000000001</v>
      </c>
      <c r="J3428" t="s">
        <v>5044</v>
      </c>
      <c r="K3428" t="s">
        <v>5047</v>
      </c>
      <c r="L3428" t="s">
        <v>5053</v>
      </c>
      <c r="M3428" t="s">
        <v>5055</v>
      </c>
    </row>
    <row r="3429" spans="1:13" x14ac:dyDescent="0.3">
      <c r="A3429" s="1">
        <v>45639</v>
      </c>
      <c r="B3429" s="1" t="str">
        <f>TEXT(Tabla1[[#This Row],[Fecha]],"MMMM")</f>
        <v>diciembre</v>
      </c>
      <c r="C3429" t="s">
        <v>3439</v>
      </c>
      <c r="D3429" t="s">
        <v>5023</v>
      </c>
      <c r="E3429" t="s">
        <v>5033</v>
      </c>
      <c r="F3429" t="s">
        <v>5041</v>
      </c>
      <c r="G3429" s="3">
        <v>2222.83</v>
      </c>
      <c r="H3429" s="3">
        <v>288.97000000000003</v>
      </c>
      <c r="I3429" s="3">
        <f>SUM(Tabla1[[#This Row],[Monto_Base]],H3429)</f>
        <v>2511.8000000000002</v>
      </c>
      <c r="J3429" t="s">
        <v>5046</v>
      </c>
      <c r="K3429" t="s">
        <v>5049</v>
      </c>
      <c r="L3429" t="s">
        <v>5052</v>
      </c>
      <c r="M3429" t="s">
        <v>5055</v>
      </c>
    </row>
    <row r="3430" spans="1:13" x14ac:dyDescent="0.3">
      <c r="A3430" s="1">
        <v>45386</v>
      </c>
      <c r="B3430" s="1" t="str">
        <f>TEXT(Tabla1[[#This Row],[Fecha]],"MMMM")</f>
        <v>abril</v>
      </c>
      <c r="C3430" t="s">
        <v>3440</v>
      </c>
      <c r="D3430" t="s">
        <v>5028</v>
      </c>
      <c r="E3430" t="s">
        <v>5032</v>
      </c>
      <c r="F3430" t="s">
        <v>5036</v>
      </c>
      <c r="G3430" s="3">
        <v>7591.43</v>
      </c>
      <c r="H3430" s="3">
        <v>0</v>
      </c>
      <c r="I3430" s="3">
        <f>SUM(Tabla1[[#This Row],[Monto_Base]],H3430)</f>
        <v>7591.43</v>
      </c>
      <c r="J3430" t="s">
        <v>5044</v>
      </c>
      <c r="K3430" t="s">
        <v>5048</v>
      </c>
      <c r="L3430" t="s">
        <v>5050</v>
      </c>
      <c r="M3430" t="s">
        <v>5055</v>
      </c>
    </row>
    <row r="3431" spans="1:13" x14ac:dyDescent="0.3">
      <c r="A3431" s="1">
        <v>45554</v>
      </c>
      <c r="B3431" s="1" t="str">
        <f>TEXT(Tabla1[[#This Row],[Fecha]],"MMMM")</f>
        <v>septiembre</v>
      </c>
      <c r="C3431" t="s">
        <v>3441</v>
      </c>
      <c r="D3431" t="s">
        <v>5015</v>
      </c>
      <c r="E3431" t="s">
        <v>5032</v>
      </c>
      <c r="F3431" t="s">
        <v>5035</v>
      </c>
      <c r="G3431" s="3">
        <v>3692.99</v>
      </c>
      <c r="H3431" s="3">
        <v>0</v>
      </c>
      <c r="I3431" s="3">
        <f>SUM(Tabla1[[#This Row],[Monto_Base]],H3431)</f>
        <v>3692.99</v>
      </c>
      <c r="J3431" t="s">
        <v>5045</v>
      </c>
      <c r="K3431" t="s">
        <v>5049</v>
      </c>
      <c r="L3431" t="s">
        <v>5050</v>
      </c>
      <c r="M3431" t="s">
        <v>5055</v>
      </c>
    </row>
    <row r="3432" spans="1:13" x14ac:dyDescent="0.3">
      <c r="A3432" s="1">
        <v>45465</v>
      </c>
      <c r="B3432" s="1" t="str">
        <f>TEXT(Tabla1[[#This Row],[Fecha]],"MMMM")</f>
        <v>junio</v>
      </c>
      <c r="C3432" t="s">
        <v>3442</v>
      </c>
      <c r="D3432" t="s">
        <v>5029</v>
      </c>
      <c r="E3432" t="s">
        <v>5032</v>
      </c>
      <c r="F3432" t="s">
        <v>5037</v>
      </c>
      <c r="G3432" s="3">
        <v>1594.55</v>
      </c>
      <c r="H3432" s="3">
        <v>0</v>
      </c>
      <c r="I3432" s="3">
        <f>SUM(Tabla1[[#This Row],[Monto_Base]],H3432)</f>
        <v>1594.55</v>
      </c>
      <c r="J3432" t="s">
        <v>5045</v>
      </c>
      <c r="K3432" t="s">
        <v>5049</v>
      </c>
      <c r="L3432" t="s">
        <v>5051</v>
      </c>
      <c r="M3432" t="s">
        <v>5055</v>
      </c>
    </row>
    <row r="3433" spans="1:13" x14ac:dyDescent="0.3">
      <c r="A3433" s="1">
        <v>45439</v>
      </c>
      <c r="B3433" s="1" t="str">
        <f>TEXT(Tabla1[[#This Row],[Fecha]],"MMMM")</f>
        <v>mayo</v>
      </c>
      <c r="C3433" t="s">
        <v>3443</v>
      </c>
      <c r="D3433" t="s">
        <v>5015</v>
      </c>
      <c r="E3433" t="s">
        <v>5033</v>
      </c>
      <c r="F3433" t="s">
        <v>5039</v>
      </c>
      <c r="G3433" s="3">
        <v>9833.39</v>
      </c>
      <c r="H3433" s="3">
        <v>1278.3399999999999</v>
      </c>
      <c r="I3433" s="3">
        <f>SUM(Tabla1[[#This Row],[Monto_Base]],H3433)</f>
        <v>11111.73</v>
      </c>
      <c r="J3433" t="s">
        <v>5043</v>
      </c>
      <c r="K3433" t="s">
        <v>5049</v>
      </c>
      <c r="L3433" t="s">
        <v>5051</v>
      </c>
      <c r="M3433" t="s">
        <v>5054</v>
      </c>
    </row>
    <row r="3434" spans="1:13" x14ac:dyDescent="0.3">
      <c r="A3434" s="1">
        <v>45503</v>
      </c>
      <c r="B3434" s="1" t="str">
        <f>TEXT(Tabla1[[#This Row],[Fecha]],"MMMM")</f>
        <v>julio</v>
      </c>
      <c r="C3434" t="s">
        <v>3444</v>
      </c>
      <c r="D3434" t="s">
        <v>5015</v>
      </c>
      <c r="E3434" t="s">
        <v>5033</v>
      </c>
      <c r="F3434" t="s">
        <v>5041</v>
      </c>
      <c r="G3434" s="3">
        <v>13995.01</v>
      </c>
      <c r="H3434" s="3">
        <v>1819.35</v>
      </c>
      <c r="I3434" s="3">
        <f>SUM(Tabla1[[#This Row],[Monto_Base]],H3434)</f>
        <v>15814.36</v>
      </c>
      <c r="J3434" t="s">
        <v>5042</v>
      </c>
      <c r="K3434" t="s">
        <v>5048</v>
      </c>
      <c r="L3434" t="s">
        <v>5051</v>
      </c>
      <c r="M3434" t="s">
        <v>5055</v>
      </c>
    </row>
    <row r="3435" spans="1:13" x14ac:dyDescent="0.3">
      <c r="A3435" s="1">
        <v>45551</v>
      </c>
      <c r="B3435" s="1" t="str">
        <f>TEXT(Tabla1[[#This Row],[Fecha]],"MMMM")</f>
        <v>septiembre</v>
      </c>
      <c r="C3435" t="s">
        <v>3445</v>
      </c>
      <c r="D3435" t="s">
        <v>5015</v>
      </c>
      <c r="E3435" t="s">
        <v>5032</v>
      </c>
      <c r="F3435" t="s">
        <v>5036</v>
      </c>
      <c r="G3435" s="3">
        <v>12889.1</v>
      </c>
      <c r="H3435" s="3">
        <v>0</v>
      </c>
      <c r="I3435" s="3">
        <f>SUM(Tabla1[[#This Row],[Monto_Base]],H3435)</f>
        <v>12889.1</v>
      </c>
      <c r="J3435" t="s">
        <v>5046</v>
      </c>
      <c r="K3435" t="s">
        <v>5049</v>
      </c>
      <c r="L3435" t="s">
        <v>5052</v>
      </c>
      <c r="M3435" t="s">
        <v>5055</v>
      </c>
    </row>
    <row r="3436" spans="1:13" x14ac:dyDescent="0.3">
      <c r="A3436" s="1">
        <v>45523</v>
      </c>
      <c r="B3436" s="1" t="str">
        <f>TEXT(Tabla1[[#This Row],[Fecha]],"MMMM")</f>
        <v>agosto</v>
      </c>
      <c r="C3436" t="s">
        <v>3446</v>
      </c>
      <c r="D3436" t="s">
        <v>5020</v>
      </c>
      <c r="E3436" t="s">
        <v>5032</v>
      </c>
      <c r="F3436" t="s">
        <v>5041</v>
      </c>
      <c r="G3436" s="3">
        <v>11526.21</v>
      </c>
      <c r="H3436" s="3">
        <v>0</v>
      </c>
      <c r="I3436" s="3">
        <f>SUM(Tabla1[[#This Row],[Monto_Base]],H3436)</f>
        <v>11526.21</v>
      </c>
      <c r="J3436" t="s">
        <v>5043</v>
      </c>
      <c r="K3436" t="s">
        <v>5048</v>
      </c>
      <c r="L3436" t="s">
        <v>5051</v>
      </c>
      <c r="M3436" t="s">
        <v>5055</v>
      </c>
    </row>
    <row r="3437" spans="1:13" x14ac:dyDescent="0.3">
      <c r="A3437" s="1">
        <v>45555</v>
      </c>
      <c r="B3437" s="1" t="str">
        <f>TEXT(Tabla1[[#This Row],[Fecha]],"MMMM")</f>
        <v>septiembre</v>
      </c>
      <c r="C3437" t="s">
        <v>3447</v>
      </c>
      <c r="D3437" t="s">
        <v>5015</v>
      </c>
      <c r="E3437" t="s">
        <v>5032</v>
      </c>
      <c r="F3437" t="s">
        <v>5036</v>
      </c>
      <c r="G3437" s="3">
        <v>1936.56</v>
      </c>
      <c r="H3437" s="3">
        <v>0</v>
      </c>
      <c r="I3437" s="3">
        <f>SUM(Tabla1[[#This Row],[Monto_Base]],H3437)</f>
        <v>1936.56</v>
      </c>
      <c r="J3437" t="s">
        <v>5043</v>
      </c>
      <c r="K3437" t="s">
        <v>5047</v>
      </c>
      <c r="L3437" t="s">
        <v>5051</v>
      </c>
      <c r="M3437" t="s">
        <v>5054</v>
      </c>
    </row>
    <row r="3438" spans="1:13" x14ac:dyDescent="0.3">
      <c r="A3438" s="1">
        <v>45323</v>
      </c>
      <c r="B3438" s="1" t="str">
        <f>TEXT(Tabla1[[#This Row],[Fecha]],"MMMM")</f>
        <v>febrero</v>
      </c>
      <c r="C3438" t="s">
        <v>3448</v>
      </c>
      <c r="D3438" t="s">
        <v>5014</v>
      </c>
      <c r="E3438" t="s">
        <v>5032</v>
      </c>
      <c r="F3438" t="s">
        <v>5035</v>
      </c>
      <c r="G3438" s="3">
        <v>304.55</v>
      </c>
      <c r="H3438" s="3">
        <v>0</v>
      </c>
      <c r="I3438" s="3">
        <f>SUM(Tabla1[[#This Row],[Monto_Base]],H3438)</f>
        <v>304.55</v>
      </c>
      <c r="J3438" t="s">
        <v>5044</v>
      </c>
      <c r="K3438" t="s">
        <v>5048</v>
      </c>
      <c r="L3438" t="s">
        <v>5051</v>
      </c>
      <c r="M3438" t="s">
        <v>5055</v>
      </c>
    </row>
    <row r="3439" spans="1:13" x14ac:dyDescent="0.3">
      <c r="A3439" s="1">
        <v>45346</v>
      </c>
      <c r="B3439" s="1" t="str">
        <f>TEXT(Tabla1[[#This Row],[Fecha]],"MMMM")</f>
        <v>febrero</v>
      </c>
      <c r="C3439" t="s">
        <v>3449</v>
      </c>
      <c r="D3439" t="s">
        <v>5014</v>
      </c>
      <c r="E3439" t="s">
        <v>5032</v>
      </c>
      <c r="F3439" t="s">
        <v>5041</v>
      </c>
      <c r="G3439" s="3">
        <v>13451</v>
      </c>
      <c r="H3439" s="3">
        <v>0</v>
      </c>
      <c r="I3439" s="3">
        <f>SUM(Tabla1[[#This Row],[Monto_Base]],H3439)</f>
        <v>13451</v>
      </c>
      <c r="J3439" t="s">
        <v>5043</v>
      </c>
      <c r="K3439" t="s">
        <v>5048</v>
      </c>
      <c r="L3439" t="s">
        <v>5052</v>
      </c>
      <c r="M3439" t="s">
        <v>5054</v>
      </c>
    </row>
    <row r="3440" spans="1:13" x14ac:dyDescent="0.3">
      <c r="A3440" s="1">
        <v>45478</v>
      </c>
      <c r="B3440" s="1" t="str">
        <f>TEXT(Tabla1[[#This Row],[Fecha]],"MMMM")</f>
        <v>julio</v>
      </c>
      <c r="C3440" t="s">
        <v>3450</v>
      </c>
      <c r="D3440" t="s">
        <v>5019</v>
      </c>
      <c r="E3440" t="s">
        <v>5032</v>
      </c>
      <c r="F3440" t="s">
        <v>5036</v>
      </c>
      <c r="G3440" s="3">
        <v>2352.87</v>
      </c>
      <c r="H3440" s="3">
        <v>0</v>
      </c>
      <c r="I3440" s="3">
        <f>SUM(Tabla1[[#This Row],[Monto_Base]],H3440)</f>
        <v>2352.87</v>
      </c>
      <c r="J3440" t="s">
        <v>5042</v>
      </c>
      <c r="K3440" t="s">
        <v>5047</v>
      </c>
      <c r="L3440" t="s">
        <v>5051</v>
      </c>
      <c r="M3440" t="s">
        <v>5054</v>
      </c>
    </row>
    <row r="3441" spans="1:13" x14ac:dyDescent="0.3">
      <c r="A3441" s="1">
        <v>45302</v>
      </c>
      <c r="B3441" s="1" t="str">
        <f>TEXT(Tabla1[[#This Row],[Fecha]],"MMMM")</f>
        <v>enero</v>
      </c>
      <c r="C3441" t="s">
        <v>3451</v>
      </c>
      <c r="D3441" t="s">
        <v>5018</v>
      </c>
      <c r="E3441" t="s">
        <v>5032</v>
      </c>
      <c r="F3441" t="s">
        <v>5041</v>
      </c>
      <c r="G3441" s="3">
        <v>3989.44</v>
      </c>
      <c r="H3441" s="3">
        <v>0</v>
      </c>
      <c r="I3441" s="3">
        <f>SUM(Tabla1[[#This Row],[Monto_Base]],H3441)</f>
        <v>3989.44</v>
      </c>
      <c r="J3441" t="s">
        <v>5043</v>
      </c>
      <c r="K3441" t="s">
        <v>5048</v>
      </c>
      <c r="L3441" t="s">
        <v>5053</v>
      </c>
      <c r="M3441" t="s">
        <v>5054</v>
      </c>
    </row>
    <row r="3442" spans="1:13" x14ac:dyDescent="0.3">
      <c r="A3442" s="1">
        <v>45393</v>
      </c>
      <c r="B3442" s="1" t="str">
        <f>TEXT(Tabla1[[#This Row],[Fecha]],"MMMM")</f>
        <v>abril</v>
      </c>
      <c r="C3442" t="s">
        <v>3452</v>
      </c>
      <c r="D3442" t="s">
        <v>5018</v>
      </c>
      <c r="E3442" t="s">
        <v>5033</v>
      </c>
      <c r="F3442" t="s">
        <v>5041</v>
      </c>
      <c r="G3442" s="3">
        <v>5989.65</v>
      </c>
      <c r="H3442" s="3">
        <v>778.65</v>
      </c>
      <c r="I3442" s="3">
        <f>SUM(Tabla1[[#This Row],[Monto_Base]],H3442)</f>
        <v>6768.2999999999993</v>
      </c>
      <c r="J3442" t="s">
        <v>5045</v>
      </c>
      <c r="K3442" t="s">
        <v>5048</v>
      </c>
      <c r="L3442" t="s">
        <v>5051</v>
      </c>
      <c r="M3442" t="s">
        <v>5054</v>
      </c>
    </row>
    <row r="3443" spans="1:13" x14ac:dyDescent="0.3">
      <c r="A3443" s="1">
        <v>45618</v>
      </c>
      <c r="B3443" s="1" t="str">
        <f>TEXT(Tabla1[[#This Row],[Fecha]],"MMMM")</f>
        <v>noviembre</v>
      </c>
      <c r="C3443" t="s">
        <v>3453</v>
      </c>
      <c r="D3443" t="s">
        <v>5021</v>
      </c>
      <c r="E3443" t="s">
        <v>5033</v>
      </c>
      <c r="F3443" t="s">
        <v>5041</v>
      </c>
      <c r="G3443" s="3">
        <v>13600.71</v>
      </c>
      <c r="H3443" s="3">
        <v>1768.09</v>
      </c>
      <c r="I3443" s="3">
        <f>SUM(Tabla1[[#This Row],[Monto_Base]],H3443)</f>
        <v>15368.8</v>
      </c>
      <c r="J3443" t="s">
        <v>5045</v>
      </c>
      <c r="K3443" t="s">
        <v>5047</v>
      </c>
      <c r="L3443" t="s">
        <v>5051</v>
      </c>
      <c r="M3443" t="s">
        <v>5055</v>
      </c>
    </row>
    <row r="3444" spans="1:13" x14ac:dyDescent="0.3">
      <c r="A3444" s="1">
        <v>45610</v>
      </c>
      <c r="B3444" s="1" t="str">
        <f>TEXT(Tabla1[[#This Row],[Fecha]],"MMMM")</f>
        <v>noviembre</v>
      </c>
      <c r="C3444" t="s">
        <v>3454</v>
      </c>
      <c r="D3444" t="s">
        <v>5020</v>
      </c>
      <c r="E3444" t="s">
        <v>5033</v>
      </c>
      <c r="F3444" t="s">
        <v>5038</v>
      </c>
      <c r="G3444" s="3">
        <v>5330.22</v>
      </c>
      <c r="H3444" s="3">
        <v>692.93</v>
      </c>
      <c r="I3444" s="3">
        <f>SUM(Tabla1[[#This Row],[Monto_Base]],H3444)</f>
        <v>6023.1500000000005</v>
      </c>
      <c r="J3444" t="s">
        <v>5044</v>
      </c>
      <c r="K3444" t="s">
        <v>5048</v>
      </c>
      <c r="L3444" t="s">
        <v>5050</v>
      </c>
      <c r="M3444" t="s">
        <v>5054</v>
      </c>
    </row>
    <row r="3445" spans="1:13" x14ac:dyDescent="0.3">
      <c r="A3445" s="1">
        <v>45628</v>
      </c>
      <c r="B3445" s="1" t="str">
        <f>TEXT(Tabla1[[#This Row],[Fecha]],"MMMM")</f>
        <v>diciembre</v>
      </c>
      <c r="C3445" t="s">
        <v>3455</v>
      </c>
      <c r="D3445" t="s">
        <v>5027</v>
      </c>
      <c r="E3445" t="s">
        <v>5033</v>
      </c>
      <c r="F3445" t="s">
        <v>5034</v>
      </c>
      <c r="G3445" s="3">
        <v>5626.53</v>
      </c>
      <c r="H3445" s="3">
        <v>731.45</v>
      </c>
      <c r="I3445" s="3">
        <f>SUM(Tabla1[[#This Row],[Monto_Base]],H3445)</f>
        <v>6357.98</v>
      </c>
      <c r="J3445" t="s">
        <v>5043</v>
      </c>
      <c r="K3445" t="s">
        <v>5049</v>
      </c>
      <c r="L3445" t="s">
        <v>5050</v>
      </c>
      <c r="M3445" t="s">
        <v>5055</v>
      </c>
    </row>
    <row r="3446" spans="1:13" x14ac:dyDescent="0.3">
      <c r="A3446" s="1">
        <v>45589</v>
      </c>
      <c r="B3446" s="1" t="str">
        <f>TEXT(Tabla1[[#This Row],[Fecha]],"MMMM")</f>
        <v>octubre</v>
      </c>
      <c r="C3446" t="s">
        <v>3456</v>
      </c>
      <c r="D3446" t="s">
        <v>5023</v>
      </c>
      <c r="E3446" t="s">
        <v>5032</v>
      </c>
      <c r="F3446" t="s">
        <v>5035</v>
      </c>
      <c r="G3446" s="3">
        <v>4557.76</v>
      </c>
      <c r="H3446" s="3">
        <v>0</v>
      </c>
      <c r="I3446" s="3">
        <f>SUM(Tabla1[[#This Row],[Monto_Base]],H3446)</f>
        <v>4557.76</v>
      </c>
      <c r="J3446" t="s">
        <v>5045</v>
      </c>
      <c r="K3446" t="s">
        <v>5047</v>
      </c>
      <c r="L3446" t="s">
        <v>5050</v>
      </c>
      <c r="M3446" t="s">
        <v>5054</v>
      </c>
    </row>
    <row r="3447" spans="1:13" x14ac:dyDescent="0.3">
      <c r="A3447" s="1">
        <v>45460</v>
      </c>
      <c r="B3447" s="1" t="str">
        <f>TEXT(Tabla1[[#This Row],[Fecha]],"MMMM")</f>
        <v>junio</v>
      </c>
      <c r="C3447" t="s">
        <v>3457</v>
      </c>
      <c r="D3447" t="s">
        <v>5024</v>
      </c>
      <c r="E3447" t="s">
        <v>5033</v>
      </c>
      <c r="F3447" t="s">
        <v>5041</v>
      </c>
      <c r="G3447" s="3">
        <v>1377.48</v>
      </c>
      <c r="H3447" s="3">
        <v>179.07</v>
      </c>
      <c r="I3447" s="3">
        <f>SUM(Tabla1[[#This Row],[Monto_Base]],H3447)</f>
        <v>1556.55</v>
      </c>
      <c r="J3447" t="s">
        <v>5043</v>
      </c>
      <c r="K3447" t="s">
        <v>5049</v>
      </c>
      <c r="L3447" t="s">
        <v>5051</v>
      </c>
      <c r="M3447" t="s">
        <v>5054</v>
      </c>
    </row>
    <row r="3448" spans="1:13" x14ac:dyDescent="0.3">
      <c r="A3448" s="1">
        <v>45576</v>
      </c>
      <c r="B3448" s="1" t="str">
        <f>TEXT(Tabla1[[#This Row],[Fecha]],"MMMM")</f>
        <v>octubre</v>
      </c>
      <c r="C3448" t="s">
        <v>3458</v>
      </c>
      <c r="D3448" t="s">
        <v>5031</v>
      </c>
      <c r="E3448" t="s">
        <v>5032</v>
      </c>
      <c r="F3448" t="s">
        <v>5034</v>
      </c>
      <c r="G3448" s="3">
        <v>3384.86</v>
      </c>
      <c r="H3448" s="3">
        <v>0</v>
      </c>
      <c r="I3448" s="3">
        <f>SUM(Tabla1[[#This Row],[Monto_Base]],H3448)</f>
        <v>3384.86</v>
      </c>
      <c r="J3448" t="s">
        <v>5043</v>
      </c>
      <c r="K3448" t="s">
        <v>5047</v>
      </c>
      <c r="L3448" t="s">
        <v>5052</v>
      </c>
      <c r="M3448" t="s">
        <v>5054</v>
      </c>
    </row>
    <row r="3449" spans="1:13" x14ac:dyDescent="0.3">
      <c r="A3449" s="1">
        <v>45309</v>
      </c>
      <c r="B3449" s="1" t="str">
        <f>TEXT(Tabla1[[#This Row],[Fecha]],"MMMM")</f>
        <v>enero</v>
      </c>
      <c r="C3449" t="s">
        <v>3459</v>
      </c>
      <c r="D3449" t="s">
        <v>5022</v>
      </c>
      <c r="E3449" t="s">
        <v>5032</v>
      </c>
      <c r="F3449" t="s">
        <v>5035</v>
      </c>
      <c r="G3449" s="3">
        <v>14693.81</v>
      </c>
      <c r="H3449" s="3">
        <v>0</v>
      </c>
      <c r="I3449" s="3">
        <f>SUM(Tabla1[[#This Row],[Monto_Base]],H3449)</f>
        <v>14693.81</v>
      </c>
      <c r="J3449" t="s">
        <v>5044</v>
      </c>
      <c r="K3449" t="s">
        <v>5048</v>
      </c>
      <c r="L3449" t="s">
        <v>5052</v>
      </c>
      <c r="M3449" t="s">
        <v>5054</v>
      </c>
    </row>
    <row r="3450" spans="1:13" x14ac:dyDescent="0.3">
      <c r="A3450" s="1">
        <v>45374</v>
      </c>
      <c r="B3450" s="1" t="str">
        <f>TEXT(Tabla1[[#This Row],[Fecha]],"MMMM")</f>
        <v>marzo</v>
      </c>
      <c r="C3450" t="s">
        <v>3460</v>
      </c>
      <c r="D3450" t="s">
        <v>5013</v>
      </c>
      <c r="E3450" t="s">
        <v>5032</v>
      </c>
      <c r="F3450" t="s">
        <v>5034</v>
      </c>
      <c r="G3450" s="3">
        <v>2639.51</v>
      </c>
      <c r="H3450" s="3">
        <v>0</v>
      </c>
      <c r="I3450" s="3">
        <f>SUM(Tabla1[[#This Row],[Monto_Base]],H3450)</f>
        <v>2639.51</v>
      </c>
      <c r="J3450" t="s">
        <v>5043</v>
      </c>
      <c r="K3450" t="s">
        <v>5048</v>
      </c>
      <c r="L3450" t="s">
        <v>5053</v>
      </c>
      <c r="M3450" t="s">
        <v>5054</v>
      </c>
    </row>
    <row r="3451" spans="1:13" x14ac:dyDescent="0.3">
      <c r="A3451" s="1">
        <v>45592</v>
      </c>
      <c r="B3451" s="1" t="str">
        <f>TEXT(Tabla1[[#This Row],[Fecha]],"MMMM")</f>
        <v>octubre</v>
      </c>
      <c r="C3451" t="s">
        <v>3461</v>
      </c>
      <c r="D3451" t="s">
        <v>5017</v>
      </c>
      <c r="E3451" t="s">
        <v>5033</v>
      </c>
      <c r="F3451" t="s">
        <v>5037</v>
      </c>
      <c r="G3451" s="3">
        <v>3682.76</v>
      </c>
      <c r="H3451" s="3">
        <v>478.76</v>
      </c>
      <c r="I3451" s="3">
        <f>SUM(Tabla1[[#This Row],[Monto_Base]],H3451)</f>
        <v>4161.5200000000004</v>
      </c>
      <c r="J3451" t="s">
        <v>5045</v>
      </c>
      <c r="K3451" t="s">
        <v>5047</v>
      </c>
      <c r="L3451" t="s">
        <v>5053</v>
      </c>
      <c r="M3451" t="s">
        <v>5054</v>
      </c>
    </row>
    <row r="3452" spans="1:13" x14ac:dyDescent="0.3">
      <c r="A3452" s="1">
        <v>45606</v>
      </c>
      <c r="B3452" s="1" t="str">
        <f>TEXT(Tabla1[[#This Row],[Fecha]],"MMMM")</f>
        <v>noviembre</v>
      </c>
      <c r="C3452" t="s">
        <v>3462</v>
      </c>
      <c r="D3452" t="s">
        <v>5016</v>
      </c>
      <c r="E3452" t="s">
        <v>5033</v>
      </c>
      <c r="F3452" t="s">
        <v>5036</v>
      </c>
      <c r="G3452" s="3">
        <v>8415.99</v>
      </c>
      <c r="H3452" s="3">
        <v>1094.08</v>
      </c>
      <c r="I3452" s="3">
        <f>SUM(Tabla1[[#This Row],[Monto_Base]],H3452)</f>
        <v>9510.07</v>
      </c>
      <c r="J3452" t="s">
        <v>5046</v>
      </c>
      <c r="K3452" t="s">
        <v>5049</v>
      </c>
      <c r="L3452" t="s">
        <v>5051</v>
      </c>
      <c r="M3452" t="s">
        <v>5055</v>
      </c>
    </row>
    <row r="3453" spans="1:13" x14ac:dyDescent="0.3">
      <c r="A3453" s="1">
        <v>45513</v>
      </c>
      <c r="B3453" s="1" t="str">
        <f>TEXT(Tabla1[[#This Row],[Fecha]],"MMMM")</f>
        <v>agosto</v>
      </c>
      <c r="C3453" t="s">
        <v>3463</v>
      </c>
      <c r="D3453" t="s">
        <v>5016</v>
      </c>
      <c r="E3453" t="s">
        <v>5033</v>
      </c>
      <c r="F3453" t="s">
        <v>5037</v>
      </c>
      <c r="G3453" s="3">
        <v>11605.23</v>
      </c>
      <c r="H3453" s="3">
        <v>1508.68</v>
      </c>
      <c r="I3453" s="3">
        <f>SUM(Tabla1[[#This Row],[Monto_Base]],H3453)</f>
        <v>13113.91</v>
      </c>
      <c r="J3453" t="s">
        <v>5043</v>
      </c>
      <c r="K3453" t="s">
        <v>5047</v>
      </c>
      <c r="L3453" t="s">
        <v>5051</v>
      </c>
      <c r="M3453" t="s">
        <v>5054</v>
      </c>
    </row>
    <row r="3454" spans="1:13" x14ac:dyDescent="0.3">
      <c r="A3454" s="1">
        <v>45339</v>
      </c>
      <c r="B3454" s="1" t="str">
        <f>TEXT(Tabla1[[#This Row],[Fecha]],"MMMM")</f>
        <v>febrero</v>
      </c>
      <c r="C3454" t="s">
        <v>3464</v>
      </c>
      <c r="D3454" t="s">
        <v>5023</v>
      </c>
      <c r="E3454" t="s">
        <v>5033</v>
      </c>
      <c r="F3454" t="s">
        <v>5038</v>
      </c>
      <c r="G3454" s="3">
        <v>7711.93</v>
      </c>
      <c r="H3454" s="3">
        <v>1002.55</v>
      </c>
      <c r="I3454" s="3">
        <f>SUM(Tabla1[[#This Row],[Monto_Base]],H3454)</f>
        <v>8714.48</v>
      </c>
      <c r="J3454" t="s">
        <v>5046</v>
      </c>
      <c r="K3454" t="s">
        <v>5048</v>
      </c>
      <c r="L3454" t="s">
        <v>5052</v>
      </c>
      <c r="M3454" t="s">
        <v>5055</v>
      </c>
    </row>
    <row r="3455" spans="1:13" x14ac:dyDescent="0.3">
      <c r="A3455" s="1">
        <v>45503</v>
      </c>
      <c r="B3455" s="1" t="str">
        <f>TEXT(Tabla1[[#This Row],[Fecha]],"MMMM")</f>
        <v>julio</v>
      </c>
      <c r="C3455" t="s">
        <v>3465</v>
      </c>
      <c r="D3455" t="s">
        <v>5029</v>
      </c>
      <c r="E3455" t="s">
        <v>5032</v>
      </c>
      <c r="F3455" t="s">
        <v>5038</v>
      </c>
      <c r="G3455" s="3">
        <v>2276.04</v>
      </c>
      <c r="H3455" s="3">
        <v>0</v>
      </c>
      <c r="I3455" s="3">
        <f>SUM(Tabla1[[#This Row],[Monto_Base]],H3455)</f>
        <v>2276.04</v>
      </c>
      <c r="J3455" t="s">
        <v>5044</v>
      </c>
      <c r="K3455" t="s">
        <v>5048</v>
      </c>
      <c r="L3455" t="s">
        <v>5053</v>
      </c>
      <c r="M3455" t="s">
        <v>5055</v>
      </c>
    </row>
    <row r="3456" spans="1:13" x14ac:dyDescent="0.3">
      <c r="A3456" s="1">
        <v>45598</v>
      </c>
      <c r="B3456" s="1" t="str">
        <f>TEXT(Tabla1[[#This Row],[Fecha]],"MMMM")</f>
        <v>noviembre</v>
      </c>
      <c r="C3456" t="s">
        <v>3466</v>
      </c>
      <c r="D3456" t="s">
        <v>5016</v>
      </c>
      <c r="E3456" t="s">
        <v>5033</v>
      </c>
      <c r="F3456" t="s">
        <v>5039</v>
      </c>
      <c r="G3456" s="3">
        <v>11436.3</v>
      </c>
      <c r="H3456" s="3">
        <v>1486.72</v>
      </c>
      <c r="I3456" s="3">
        <f>SUM(Tabla1[[#This Row],[Monto_Base]],H3456)</f>
        <v>12923.019999999999</v>
      </c>
      <c r="J3456" t="s">
        <v>5043</v>
      </c>
      <c r="K3456" t="s">
        <v>5048</v>
      </c>
      <c r="L3456" t="s">
        <v>5052</v>
      </c>
      <c r="M3456" t="s">
        <v>5055</v>
      </c>
    </row>
    <row r="3457" spans="1:13" x14ac:dyDescent="0.3">
      <c r="A3457" s="1">
        <v>45446</v>
      </c>
      <c r="B3457" s="1" t="str">
        <f>TEXT(Tabla1[[#This Row],[Fecha]],"MMMM")</f>
        <v>junio</v>
      </c>
      <c r="C3457" t="s">
        <v>3467</v>
      </c>
      <c r="D3457" t="s">
        <v>5016</v>
      </c>
      <c r="E3457" t="s">
        <v>5033</v>
      </c>
      <c r="F3457" t="s">
        <v>5041</v>
      </c>
      <c r="G3457" s="3">
        <v>6682.22</v>
      </c>
      <c r="H3457" s="3">
        <v>868.69</v>
      </c>
      <c r="I3457" s="3">
        <f>SUM(Tabla1[[#This Row],[Monto_Base]],H3457)</f>
        <v>7550.91</v>
      </c>
      <c r="J3457" t="s">
        <v>5044</v>
      </c>
      <c r="K3457" t="s">
        <v>5049</v>
      </c>
      <c r="L3457" t="s">
        <v>5052</v>
      </c>
      <c r="M3457" t="s">
        <v>5055</v>
      </c>
    </row>
    <row r="3458" spans="1:13" x14ac:dyDescent="0.3">
      <c r="A3458" s="1">
        <v>45423</v>
      </c>
      <c r="B3458" s="1" t="str">
        <f>TEXT(Tabla1[[#This Row],[Fecha]],"MMMM")</f>
        <v>mayo</v>
      </c>
      <c r="C3458" t="s">
        <v>3468</v>
      </c>
      <c r="D3458" t="s">
        <v>5016</v>
      </c>
      <c r="E3458" t="s">
        <v>5032</v>
      </c>
      <c r="F3458" t="s">
        <v>5036</v>
      </c>
      <c r="G3458" s="3">
        <v>4624.03</v>
      </c>
      <c r="H3458" s="3">
        <v>0</v>
      </c>
      <c r="I3458" s="3">
        <f>SUM(Tabla1[[#This Row],[Monto_Base]],H3458)</f>
        <v>4624.03</v>
      </c>
      <c r="J3458" t="s">
        <v>5043</v>
      </c>
      <c r="K3458" t="s">
        <v>5049</v>
      </c>
      <c r="L3458" t="s">
        <v>5052</v>
      </c>
      <c r="M3458" t="s">
        <v>5055</v>
      </c>
    </row>
    <row r="3459" spans="1:13" x14ac:dyDescent="0.3">
      <c r="A3459" s="1">
        <v>45498</v>
      </c>
      <c r="B3459" s="1" t="str">
        <f>TEXT(Tabla1[[#This Row],[Fecha]],"MMMM")</f>
        <v>julio</v>
      </c>
      <c r="C3459" t="s">
        <v>3469</v>
      </c>
      <c r="D3459" t="s">
        <v>5013</v>
      </c>
      <c r="E3459" t="s">
        <v>5032</v>
      </c>
      <c r="F3459" t="s">
        <v>5040</v>
      </c>
      <c r="G3459" s="3">
        <v>12130.89</v>
      </c>
      <c r="H3459" s="3">
        <v>0</v>
      </c>
      <c r="I3459" s="3">
        <f>SUM(Tabla1[[#This Row],[Monto_Base]],H3459)</f>
        <v>12130.89</v>
      </c>
      <c r="J3459" t="s">
        <v>5044</v>
      </c>
      <c r="K3459" t="s">
        <v>5049</v>
      </c>
      <c r="L3459" t="s">
        <v>5052</v>
      </c>
      <c r="M3459" t="s">
        <v>5054</v>
      </c>
    </row>
    <row r="3460" spans="1:13" x14ac:dyDescent="0.3">
      <c r="A3460" s="1">
        <v>45590</v>
      </c>
      <c r="B3460" s="1" t="str">
        <f>TEXT(Tabla1[[#This Row],[Fecha]],"MMMM")</f>
        <v>octubre</v>
      </c>
      <c r="C3460" t="s">
        <v>3470</v>
      </c>
      <c r="D3460" t="s">
        <v>5022</v>
      </c>
      <c r="E3460" t="s">
        <v>5033</v>
      </c>
      <c r="F3460" t="s">
        <v>5037</v>
      </c>
      <c r="G3460" s="3">
        <v>11893.97</v>
      </c>
      <c r="H3460" s="3">
        <v>1546.22</v>
      </c>
      <c r="I3460" s="3">
        <f>SUM(Tabla1[[#This Row],[Monto_Base]],H3460)</f>
        <v>13440.189999999999</v>
      </c>
      <c r="J3460" t="s">
        <v>5045</v>
      </c>
      <c r="K3460" t="s">
        <v>5049</v>
      </c>
      <c r="L3460" t="s">
        <v>5050</v>
      </c>
      <c r="M3460" t="s">
        <v>5055</v>
      </c>
    </row>
    <row r="3461" spans="1:13" x14ac:dyDescent="0.3">
      <c r="A3461" s="1">
        <v>45354</v>
      </c>
      <c r="B3461" s="1" t="str">
        <f>TEXT(Tabla1[[#This Row],[Fecha]],"MMMM")</f>
        <v>marzo</v>
      </c>
      <c r="C3461" t="s">
        <v>3471</v>
      </c>
      <c r="D3461" t="s">
        <v>5019</v>
      </c>
      <c r="E3461" t="s">
        <v>5032</v>
      </c>
      <c r="F3461" t="s">
        <v>5036</v>
      </c>
      <c r="G3461" s="3">
        <v>14383.12</v>
      </c>
      <c r="H3461" s="3">
        <v>0</v>
      </c>
      <c r="I3461" s="3">
        <f>SUM(Tabla1[[#This Row],[Monto_Base]],H3461)</f>
        <v>14383.12</v>
      </c>
      <c r="J3461" t="s">
        <v>5042</v>
      </c>
      <c r="K3461" t="s">
        <v>5047</v>
      </c>
      <c r="L3461" t="s">
        <v>5052</v>
      </c>
      <c r="M3461" t="s">
        <v>5054</v>
      </c>
    </row>
    <row r="3462" spans="1:13" x14ac:dyDescent="0.3">
      <c r="A3462" s="1">
        <v>45362</v>
      </c>
      <c r="B3462" s="1" t="str">
        <f>TEXT(Tabla1[[#This Row],[Fecha]],"MMMM")</f>
        <v>marzo</v>
      </c>
      <c r="C3462" t="s">
        <v>3472</v>
      </c>
      <c r="D3462" t="s">
        <v>5026</v>
      </c>
      <c r="E3462" t="s">
        <v>5032</v>
      </c>
      <c r="F3462" t="s">
        <v>5037</v>
      </c>
      <c r="G3462" s="3">
        <v>8424.76</v>
      </c>
      <c r="H3462" s="3">
        <v>0</v>
      </c>
      <c r="I3462" s="3">
        <f>SUM(Tabla1[[#This Row],[Monto_Base]],H3462)</f>
        <v>8424.76</v>
      </c>
      <c r="J3462" t="s">
        <v>5046</v>
      </c>
      <c r="K3462" t="s">
        <v>5047</v>
      </c>
      <c r="L3462" t="s">
        <v>5052</v>
      </c>
      <c r="M3462" t="s">
        <v>5055</v>
      </c>
    </row>
    <row r="3463" spans="1:13" x14ac:dyDescent="0.3">
      <c r="A3463" s="1">
        <v>45490</v>
      </c>
      <c r="B3463" s="1" t="str">
        <f>TEXT(Tabla1[[#This Row],[Fecha]],"MMMM")</f>
        <v>julio</v>
      </c>
      <c r="C3463" t="s">
        <v>3473</v>
      </c>
      <c r="D3463" t="s">
        <v>5017</v>
      </c>
      <c r="E3463" t="s">
        <v>5032</v>
      </c>
      <c r="F3463" t="s">
        <v>5038</v>
      </c>
      <c r="G3463" s="3">
        <v>845.84</v>
      </c>
      <c r="H3463" s="3">
        <v>0</v>
      </c>
      <c r="I3463" s="3">
        <f>SUM(Tabla1[[#This Row],[Monto_Base]],H3463)</f>
        <v>845.84</v>
      </c>
      <c r="J3463" t="s">
        <v>5045</v>
      </c>
      <c r="K3463" t="s">
        <v>5047</v>
      </c>
      <c r="L3463" t="s">
        <v>5050</v>
      </c>
      <c r="M3463" t="s">
        <v>5055</v>
      </c>
    </row>
    <row r="3464" spans="1:13" x14ac:dyDescent="0.3">
      <c r="A3464" s="1">
        <v>45318</v>
      </c>
      <c r="B3464" s="1" t="str">
        <f>TEXT(Tabla1[[#This Row],[Fecha]],"MMMM")</f>
        <v>enero</v>
      </c>
      <c r="C3464" t="s">
        <v>3474</v>
      </c>
      <c r="D3464" t="s">
        <v>5016</v>
      </c>
      <c r="E3464" t="s">
        <v>5032</v>
      </c>
      <c r="F3464" t="s">
        <v>5041</v>
      </c>
      <c r="G3464" s="3">
        <v>7546.57</v>
      </c>
      <c r="H3464" s="3">
        <v>0</v>
      </c>
      <c r="I3464" s="3">
        <f>SUM(Tabla1[[#This Row],[Monto_Base]],H3464)</f>
        <v>7546.57</v>
      </c>
      <c r="J3464" t="s">
        <v>5044</v>
      </c>
      <c r="K3464" t="s">
        <v>5048</v>
      </c>
      <c r="L3464" t="s">
        <v>5051</v>
      </c>
      <c r="M3464" t="s">
        <v>5055</v>
      </c>
    </row>
    <row r="3465" spans="1:13" x14ac:dyDescent="0.3">
      <c r="A3465" s="1">
        <v>45527</v>
      </c>
      <c r="B3465" s="1" t="str">
        <f>TEXT(Tabla1[[#This Row],[Fecha]],"MMMM")</f>
        <v>agosto</v>
      </c>
      <c r="C3465" t="s">
        <v>3475</v>
      </c>
      <c r="D3465" t="s">
        <v>5025</v>
      </c>
      <c r="E3465" t="s">
        <v>5032</v>
      </c>
      <c r="F3465" t="s">
        <v>5040</v>
      </c>
      <c r="G3465" s="3">
        <v>12393.84</v>
      </c>
      <c r="H3465" s="3">
        <v>0</v>
      </c>
      <c r="I3465" s="3">
        <f>SUM(Tabla1[[#This Row],[Monto_Base]],H3465)</f>
        <v>12393.84</v>
      </c>
      <c r="J3465" t="s">
        <v>5042</v>
      </c>
      <c r="K3465" t="s">
        <v>5048</v>
      </c>
      <c r="L3465" t="s">
        <v>5053</v>
      </c>
      <c r="M3465" t="s">
        <v>5054</v>
      </c>
    </row>
    <row r="3466" spans="1:13" x14ac:dyDescent="0.3">
      <c r="A3466" s="1">
        <v>45618</v>
      </c>
      <c r="B3466" s="1" t="str">
        <f>TEXT(Tabla1[[#This Row],[Fecha]],"MMMM")</f>
        <v>noviembre</v>
      </c>
      <c r="C3466" t="s">
        <v>3476</v>
      </c>
      <c r="D3466" t="s">
        <v>5020</v>
      </c>
      <c r="E3466" t="s">
        <v>5033</v>
      </c>
      <c r="F3466" t="s">
        <v>5039</v>
      </c>
      <c r="G3466" s="3">
        <v>13752.63</v>
      </c>
      <c r="H3466" s="3">
        <v>1787.84</v>
      </c>
      <c r="I3466" s="3">
        <f>SUM(Tabla1[[#This Row],[Monto_Base]],H3466)</f>
        <v>15540.47</v>
      </c>
      <c r="J3466" t="s">
        <v>5043</v>
      </c>
      <c r="K3466" t="s">
        <v>5049</v>
      </c>
      <c r="L3466" t="s">
        <v>5050</v>
      </c>
      <c r="M3466" t="s">
        <v>5055</v>
      </c>
    </row>
    <row r="3467" spans="1:13" x14ac:dyDescent="0.3">
      <c r="A3467" s="1">
        <v>45406</v>
      </c>
      <c r="B3467" s="1" t="str">
        <f>TEXT(Tabla1[[#This Row],[Fecha]],"MMMM")</f>
        <v>abril</v>
      </c>
      <c r="C3467" t="s">
        <v>3477</v>
      </c>
      <c r="D3467" t="s">
        <v>5014</v>
      </c>
      <c r="E3467" t="s">
        <v>5032</v>
      </c>
      <c r="F3467" t="s">
        <v>5034</v>
      </c>
      <c r="G3467" s="3">
        <v>14523.32</v>
      </c>
      <c r="H3467" s="3">
        <v>0</v>
      </c>
      <c r="I3467" s="3">
        <f>SUM(Tabla1[[#This Row],[Monto_Base]],H3467)</f>
        <v>14523.32</v>
      </c>
      <c r="J3467" t="s">
        <v>5046</v>
      </c>
      <c r="K3467" t="s">
        <v>5048</v>
      </c>
      <c r="L3467" t="s">
        <v>5053</v>
      </c>
      <c r="M3467" t="s">
        <v>5055</v>
      </c>
    </row>
    <row r="3468" spans="1:13" x14ac:dyDescent="0.3">
      <c r="A3468" s="1">
        <v>45420</v>
      </c>
      <c r="B3468" s="1" t="str">
        <f>TEXT(Tabla1[[#This Row],[Fecha]],"MMMM")</f>
        <v>mayo</v>
      </c>
      <c r="C3468" t="s">
        <v>3478</v>
      </c>
      <c r="D3468" t="s">
        <v>5030</v>
      </c>
      <c r="E3468" t="s">
        <v>5032</v>
      </c>
      <c r="F3468" t="s">
        <v>5037</v>
      </c>
      <c r="G3468" s="3">
        <v>5359.22</v>
      </c>
      <c r="H3468" s="3">
        <v>0</v>
      </c>
      <c r="I3468" s="3">
        <f>SUM(Tabla1[[#This Row],[Monto_Base]],H3468)</f>
        <v>5359.22</v>
      </c>
      <c r="J3468" t="s">
        <v>5044</v>
      </c>
      <c r="K3468" t="s">
        <v>5047</v>
      </c>
      <c r="L3468" t="s">
        <v>5053</v>
      </c>
      <c r="M3468" t="s">
        <v>5054</v>
      </c>
    </row>
    <row r="3469" spans="1:13" x14ac:dyDescent="0.3">
      <c r="A3469" s="1">
        <v>45525</v>
      </c>
      <c r="B3469" s="1" t="str">
        <f>TEXT(Tabla1[[#This Row],[Fecha]],"MMMM")</f>
        <v>agosto</v>
      </c>
      <c r="C3469" t="s">
        <v>3479</v>
      </c>
      <c r="D3469" t="s">
        <v>5028</v>
      </c>
      <c r="E3469" t="s">
        <v>5033</v>
      </c>
      <c r="F3469" t="s">
        <v>5037</v>
      </c>
      <c r="G3469" s="3">
        <v>6674</v>
      </c>
      <c r="H3469" s="3">
        <v>867.62</v>
      </c>
      <c r="I3469" s="3">
        <f>SUM(Tabla1[[#This Row],[Monto_Base]],H3469)</f>
        <v>7541.62</v>
      </c>
      <c r="J3469" t="s">
        <v>5045</v>
      </c>
      <c r="K3469" t="s">
        <v>5048</v>
      </c>
      <c r="L3469" t="s">
        <v>5052</v>
      </c>
      <c r="M3469" t="s">
        <v>5054</v>
      </c>
    </row>
    <row r="3470" spans="1:13" x14ac:dyDescent="0.3">
      <c r="A3470" s="1">
        <v>45562</v>
      </c>
      <c r="B3470" s="1" t="str">
        <f>TEXT(Tabla1[[#This Row],[Fecha]],"MMMM")</f>
        <v>septiembre</v>
      </c>
      <c r="C3470" t="s">
        <v>3480</v>
      </c>
      <c r="D3470" t="s">
        <v>5015</v>
      </c>
      <c r="E3470" t="s">
        <v>5033</v>
      </c>
      <c r="F3470" t="s">
        <v>5036</v>
      </c>
      <c r="G3470" s="3">
        <v>8596.15</v>
      </c>
      <c r="H3470" s="3">
        <v>1117.5</v>
      </c>
      <c r="I3470" s="3">
        <f>SUM(Tabla1[[#This Row],[Monto_Base]],H3470)</f>
        <v>9713.65</v>
      </c>
      <c r="J3470" t="s">
        <v>5044</v>
      </c>
      <c r="K3470" t="s">
        <v>5049</v>
      </c>
      <c r="L3470" t="s">
        <v>5053</v>
      </c>
      <c r="M3470" t="s">
        <v>5055</v>
      </c>
    </row>
    <row r="3471" spans="1:13" x14ac:dyDescent="0.3">
      <c r="A3471" s="1">
        <v>45572</v>
      </c>
      <c r="B3471" s="1" t="str">
        <f>TEXT(Tabla1[[#This Row],[Fecha]],"MMMM")</f>
        <v>octubre</v>
      </c>
      <c r="C3471" t="s">
        <v>3481</v>
      </c>
      <c r="D3471" t="s">
        <v>5020</v>
      </c>
      <c r="E3471" t="s">
        <v>5033</v>
      </c>
      <c r="F3471" t="s">
        <v>5034</v>
      </c>
      <c r="G3471" s="3">
        <v>3395.78</v>
      </c>
      <c r="H3471" s="3">
        <v>441.45</v>
      </c>
      <c r="I3471" s="3">
        <f>SUM(Tabla1[[#This Row],[Monto_Base]],H3471)</f>
        <v>3837.23</v>
      </c>
      <c r="J3471" t="s">
        <v>5044</v>
      </c>
      <c r="K3471" t="s">
        <v>5047</v>
      </c>
      <c r="L3471" t="s">
        <v>5053</v>
      </c>
      <c r="M3471" t="s">
        <v>5055</v>
      </c>
    </row>
    <row r="3472" spans="1:13" x14ac:dyDescent="0.3">
      <c r="A3472" s="1">
        <v>45502</v>
      </c>
      <c r="B3472" s="1" t="str">
        <f>TEXT(Tabla1[[#This Row],[Fecha]],"MMMM")</f>
        <v>julio</v>
      </c>
      <c r="C3472" t="s">
        <v>3482</v>
      </c>
      <c r="D3472" t="s">
        <v>5026</v>
      </c>
      <c r="E3472" t="s">
        <v>5033</v>
      </c>
      <c r="F3472" t="s">
        <v>5041</v>
      </c>
      <c r="G3472" s="3">
        <v>13490.69</v>
      </c>
      <c r="H3472" s="3">
        <v>1753.79</v>
      </c>
      <c r="I3472" s="3">
        <f>SUM(Tabla1[[#This Row],[Monto_Base]],H3472)</f>
        <v>15244.48</v>
      </c>
      <c r="J3472" t="s">
        <v>5046</v>
      </c>
      <c r="K3472" t="s">
        <v>5047</v>
      </c>
      <c r="L3472" t="s">
        <v>5050</v>
      </c>
      <c r="M3472" t="s">
        <v>5054</v>
      </c>
    </row>
    <row r="3473" spans="1:13" x14ac:dyDescent="0.3">
      <c r="A3473" s="1">
        <v>45292</v>
      </c>
      <c r="B3473" s="1" t="str">
        <f>TEXT(Tabla1[[#This Row],[Fecha]],"MMMM")</f>
        <v>enero</v>
      </c>
      <c r="C3473" t="s">
        <v>3483</v>
      </c>
      <c r="D3473" t="s">
        <v>5028</v>
      </c>
      <c r="E3473" t="s">
        <v>5033</v>
      </c>
      <c r="F3473" t="s">
        <v>5034</v>
      </c>
      <c r="G3473" s="3">
        <v>8242.11</v>
      </c>
      <c r="H3473" s="3">
        <v>1071.47</v>
      </c>
      <c r="I3473" s="3">
        <f>SUM(Tabla1[[#This Row],[Monto_Base]],H3473)</f>
        <v>9313.58</v>
      </c>
      <c r="J3473" t="s">
        <v>5043</v>
      </c>
      <c r="K3473" t="s">
        <v>5047</v>
      </c>
      <c r="L3473" t="s">
        <v>5053</v>
      </c>
      <c r="M3473" t="s">
        <v>5055</v>
      </c>
    </row>
    <row r="3474" spans="1:13" x14ac:dyDescent="0.3">
      <c r="A3474" s="1">
        <v>45333</v>
      </c>
      <c r="B3474" s="1" t="str">
        <f>TEXT(Tabla1[[#This Row],[Fecha]],"MMMM")</f>
        <v>febrero</v>
      </c>
      <c r="C3474" t="s">
        <v>3484</v>
      </c>
      <c r="D3474" t="s">
        <v>5012</v>
      </c>
      <c r="E3474" t="s">
        <v>5032</v>
      </c>
      <c r="F3474" t="s">
        <v>5039</v>
      </c>
      <c r="G3474" s="3">
        <v>1947.3</v>
      </c>
      <c r="H3474" s="3">
        <v>0</v>
      </c>
      <c r="I3474" s="3">
        <f>SUM(Tabla1[[#This Row],[Monto_Base]],H3474)</f>
        <v>1947.3</v>
      </c>
      <c r="J3474" t="s">
        <v>5042</v>
      </c>
      <c r="K3474" t="s">
        <v>5048</v>
      </c>
      <c r="L3474" t="s">
        <v>5051</v>
      </c>
      <c r="M3474" t="s">
        <v>5055</v>
      </c>
    </row>
    <row r="3475" spans="1:13" x14ac:dyDescent="0.3">
      <c r="A3475" s="1">
        <v>45302</v>
      </c>
      <c r="B3475" s="1" t="str">
        <f>TEXT(Tabla1[[#This Row],[Fecha]],"MMMM")</f>
        <v>enero</v>
      </c>
      <c r="C3475" t="s">
        <v>3485</v>
      </c>
      <c r="D3475" t="s">
        <v>5014</v>
      </c>
      <c r="E3475" t="s">
        <v>5032</v>
      </c>
      <c r="F3475" t="s">
        <v>5040</v>
      </c>
      <c r="G3475" s="3">
        <v>9291.11</v>
      </c>
      <c r="H3475" s="3">
        <v>0</v>
      </c>
      <c r="I3475" s="3">
        <f>SUM(Tabla1[[#This Row],[Monto_Base]],H3475)</f>
        <v>9291.11</v>
      </c>
      <c r="J3475" t="s">
        <v>5044</v>
      </c>
      <c r="K3475" t="s">
        <v>5047</v>
      </c>
      <c r="L3475" t="s">
        <v>5050</v>
      </c>
      <c r="M3475" t="s">
        <v>5054</v>
      </c>
    </row>
    <row r="3476" spans="1:13" x14ac:dyDescent="0.3">
      <c r="A3476" s="1">
        <v>45440</v>
      </c>
      <c r="B3476" s="1" t="str">
        <f>TEXT(Tabla1[[#This Row],[Fecha]],"MMMM")</f>
        <v>mayo</v>
      </c>
      <c r="C3476" t="s">
        <v>3486</v>
      </c>
      <c r="D3476" t="s">
        <v>5015</v>
      </c>
      <c r="E3476" t="s">
        <v>5032</v>
      </c>
      <c r="F3476" t="s">
        <v>5036</v>
      </c>
      <c r="G3476" s="3">
        <v>14364.3</v>
      </c>
      <c r="H3476" s="3">
        <v>0</v>
      </c>
      <c r="I3476" s="3">
        <f>SUM(Tabla1[[#This Row],[Monto_Base]],H3476)</f>
        <v>14364.3</v>
      </c>
      <c r="J3476" t="s">
        <v>5046</v>
      </c>
      <c r="K3476" t="s">
        <v>5048</v>
      </c>
      <c r="L3476" t="s">
        <v>5052</v>
      </c>
      <c r="M3476" t="s">
        <v>5054</v>
      </c>
    </row>
    <row r="3477" spans="1:13" x14ac:dyDescent="0.3">
      <c r="A3477" s="1">
        <v>45479</v>
      </c>
      <c r="B3477" s="1" t="str">
        <f>TEXT(Tabla1[[#This Row],[Fecha]],"MMMM")</f>
        <v>julio</v>
      </c>
      <c r="C3477" t="s">
        <v>3487</v>
      </c>
      <c r="D3477" t="s">
        <v>5022</v>
      </c>
      <c r="E3477" t="s">
        <v>5032</v>
      </c>
      <c r="F3477" t="s">
        <v>5041</v>
      </c>
      <c r="G3477" s="3">
        <v>10987.02</v>
      </c>
      <c r="H3477" s="3">
        <v>0</v>
      </c>
      <c r="I3477" s="3">
        <f>SUM(Tabla1[[#This Row],[Monto_Base]],H3477)</f>
        <v>10987.02</v>
      </c>
      <c r="J3477" t="s">
        <v>5045</v>
      </c>
      <c r="K3477" t="s">
        <v>5047</v>
      </c>
      <c r="L3477" t="s">
        <v>5053</v>
      </c>
      <c r="M3477" t="s">
        <v>5055</v>
      </c>
    </row>
    <row r="3478" spans="1:13" x14ac:dyDescent="0.3">
      <c r="A3478" s="1">
        <v>45573</v>
      </c>
      <c r="B3478" s="1" t="str">
        <f>TEXT(Tabla1[[#This Row],[Fecha]],"MMMM")</f>
        <v>octubre</v>
      </c>
      <c r="C3478" t="s">
        <v>3488</v>
      </c>
      <c r="D3478" t="s">
        <v>5012</v>
      </c>
      <c r="E3478" t="s">
        <v>5033</v>
      </c>
      <c r="F3478" t="s">
        <v>5039</v>
      </c>
      <c r="G3478" s="3">
        <v>1675.59</v>
      </c>
      <c r="H3478" s="3">
        <v>217.83</v>
      </c>
      <c r="I3478" s="3">
        <f>SUM(Tabla1[[#This Row],[Monto_Base]],H3478)</f>
        <v>1893.4199999999998</v>
      </c>
      <c r="J3478" t="s">
        <v>5042</v>
      </c>
      <c r="K3478" t="s">
        <v>5048</v>
      </c>
      <c r="L3478" t="s">
        <v>5051</v>
      </c>
      <c r="M3478" t="s">
        <v>5055</v>
      </c>
    </row>
    <row r="3479" spans="1:13" x14ac:dyDescent="0.3">
      <c r="A3479" s="1">
        <v>45414</v>
      </c>
      <c r="B3479" s="1" t="str">
        <f>TEXT(Tabla1[[#This Row],[Fecha]],"MMMM")</f>
        <v>mayo</v>
      </c>
      <c r="C3479" t="s">
        <v>3489</v>
      </c>
      <c r="D3479" t="s">
        <v>5018</v>
      </c>
      <c r="E3479" t="s">
        <v>5033</v>
      </c>
      <c r="F3479" t="s">
        <v>5038</v>
      </c>
      <c r="G3479" s="3">
        <v>14975.22</v>
      </c>
      <c r="H3479" s="3">
        <v>1946.78</v>
      </c>
      <c r="I3479" s="3">
        <f>SUM(Tabla1[[#This Row],[Monto_Base]],H3479)</f>
        <v>16922</v>
      </c>
      <c r="J3479" t="s">
        <v>5046</v>
      </c>
      <c r="K3479" t="s">
        <v>5047</v>
      </c>
      <c r="L3479" t="s">
        <v>5051</v>
      </c>
      <c r="M3479" t="s">
        <v>5054</v>
      </c>
    </row>
    <row r="3480" spans="1:13" x14ac:dyDescent="0.3">
      <c r="A3480" s="1">
        <v>45336</v>
      </c>
      <c r="B3480" s="1" t="str">
        <f>TEXT(Tabla1[[#This Row],[Fecha]],"MMMM")</f>
        <v>febrero</v>
      </c>
      <c r="C3480" t="s">
        <v>3490</v>
      </c>
      <c r="D3480" t="s">
        <v>5031</v>
      </c>
      <c r="E3480" t="s">
        <v>5033</v>
      </c>
      <c r="F3480" t="s">
        <v>5041</v>
      </c>
      <c r="G3480" s="3">
        <v>4265.96</v>
      </c>
      <c r="H3480" s="3">
        <v>554.57000000000005</v>
      </c>
      <c r="I3480" s="3">
        <f>SUM(Tabla1[[#This Row],[Monto_Base]],H3480)</f>
        <v>4820.53</v>
      </c>
      <c r="J3480" t="s">
        <v>5046</v>
      </c>
      <c r="K3480" t="s">
        <v>5048</v>
      </c>
      <c r="L3480" t="s">
        <v>5050</v>
      </c>
      <c r="M3480" t="s">
        <v>5055</v>
      </c>
    </row>
    <row r="3481" spans="1:13" x14ac:dyDescent="0.3">
      <c r="A3481" s="1">
        <v>45497</v>
      </c>
      <c r="B3481" s="1" t="str">
        <f>TEXT(Tabla1[[#This Row],[Fecha]],"MMMM")</f>
        <v>julio</v>
      </c>
      <c r="C3481" t="s">
        <v>3491</v>
      </c>
      <c r="D3481" t="s">
        <v>5019</v>
      </c>
      <c r="E3481" t="s">
        <v>5033</v>
      </c>
      <c r="F3481" t="s">
        <v>5039</v>
      </c>
      <c r="G3481" s="3">
        <v>3363.87</v>
      </c>
      <c r="H3481" s="3">
        <v>437.3</v>
      </c>
      <c r="I3481" s="3">
        <f>SUM(Tabla1[[#This Row],[Monto_Base]],H3481)</f>
        <v>3801.17</v>
      </c>
      <c r="J3481" t="s">
        <v>5045</v>
      </c>
      <c r="K3481" t="s">
        <v>5048</v>
      </c>
      <c r="L3481" t="s">
        <v>5051</v>
      </c>
      <c r="M3481" t="s">
        <v>5055</v>
      </c>
    </row>
    <row r="3482" spans="1:13" x14ac:dyDescent="0.3">
      <c r="A3482" s="1">
        <v>45461</v>
      </c>
      <c r="B3482" s="1" t="str">
        <f>TEXT(Tabla1[[#This Row],[Fecha]],"MMMM")</f>
        <v>junio</v>
      </c>
      <c r="C3482" t="s">
        <v>3492</v>
      </c>
      <c r="D3482" t="s">
        <v>5027</v>
      </c>
      <c r="E3482" t="s">
        <v>5033</v>
      </c>
      <c r="F3482" t="s">
        <v>5038</v>
      </c>
      <c r="G3482" s="3">
        <v>6832.65</v>
      </c>
      <c r="H3482" s="3">
        <v>888.24</v>
      </c>
      <c r="I3482" s="3">
        <f>SUM(Tabla1[[#This Row],[Monto_Base]],H3482)</f>
        <v>7720.8899999999994</v>
      </c>
      <c r="J3482" t="s">
        <v>5044</v>
      </c>
      <c r="K3482" t="s">
        <v>5047</v>
      </c>
      <c r="L3482" t="s">
        <v>5050</v>
      </c>
      <c r="M3482" t="s">
        <v>5055</v>
      </c>
    </row>
    <row r="3483" spans="1:13" x14ac:dyDescent="0.3">
      <c r="A3483" s="1">
        <v>45534</v>
      </c>
      <c r="B3483" s="1" t="str">
        <f>TEXT(Tabla1[[#This Row],[Fecha]],"MMMM")</f>
        <v>agosto</v>
      </c>
      <c r="C3483" t="s">
        <v>3493</v>
      </c>
      <c r="D3483" t="s">
        <v>5012</v>
      </c>
      <c r="E3483" t="s">
        <v>5033</v>
      </c>
      <c r="F3483" t="s">
        <v>5037</v>
      </c>
      <c r="G3483" s="3">
        <v>9454.4</v>
      </c>
      <c r="H3483" s="3">
        <v>1229.07</v>
      </c>
      <c r="I3483" s="3">
        <f>SUM(Tabla1[[#This Row],[Monto_Base]],H3483)</f>
        <v>10683.47</v>
      </c>
      <c r="J3483" t="s">
        <v>5045</v>
      </c>
      <c r="K3483" t="s">
        <v>5047</v>
      </c>
      <c r="L3483" t="s">
        <v>5050</v>
      </c>
      <c r="M3483" t="s">
        <v>5055</v>
      </c>
    </row>
    <row r="3484" spans="1:13" x14ac:dyDescent="0.3">
      <c r="A3484" s="1">
        <v>45642</v>
      </c>
      <c r="B3484" s="1" t="str">
        <f>TEXT(Tabla1[[#This Row],[Fecha]],"MMMM")</f>
        <v>diciembre</v>
      </c>
      <c r="C3484" t="s">
        <v>3494</v>
      </c>
      <c r="D3484" t="s">
        <v>5012</v>
      </c>
      <c r="E3484" t="s">
        <v>5033</v>
      </c>
      <c r="F3484" t="s">
        <v>5040</v>
      </c>
      <c r="G3484" s="3">
        <v>13556.14</v>
      </c>
      <c r="H3484" s="3">
        <v>1762.3</v>
      </c>
      <c r="I3484" s="3">
        <f>SUM(Tabla1[[#This Row],[Monto_Base]],H3484)</f>
        <v>15318.439999999999</v>
      </c>
      <c r="J3484" t="s">
        <v>5043</v>
      </c>
      <c r="K3484" t="s">
        <v>5049</v>
      </c>
      <c r="L3484" t="s">
        <v>5050</v>
      </c>
      <c r="M3484" t="s">
        <v>5054</v>
      </c>
    </row>
    <row r="3485" spans="1:13" x14ac:dyDescent="0.3">
      <c r="A3485" s="1">
        <v>45330</v>
      </c>
      <c r="B3485" s="1" t="str">
        <f>TEXT(Tabla1[[#This Row],[Fecha]],"MMMM")</f>
        <v>febrero</v>
      </c>
      <c r="C3485" t="s">
        <v>3495</v>
      </c>
      <c r="D3485" t="s">
        <v>5014</v>
      </c>
      <c r="E3485" t="s">
        <v>5033</v>
      </c>
      <c r="F3485" t="s">
        <v>5040</v>
      </c>
      <c r="G3485" s="3">
        <v>6962.29</v>
      </c>
      <c r="H3485" s="3">
        <v>905.1</v>
      </c>
      <c r="I3485" s="3">
        <f>SUM(Tabla1[[#This Row],[Monto_Base]],H3485)</f>
        <v>7867.39</v>
      </c>
      <c r="J3485" t="s">
        <v>5045</v>
      </c>
      <c r="K3485" t="s">
        <v>5047</v>
      </c>
      <c r="L3485" t="s">
        <v>5053</v>
      </c>
      <c r="M3485" t="s">
        <v>5054</v>
      </c>
    </row>
    <row r="3486" spans="1:13" x14ac:dyDescent="0.3">
      <c r="A3486" s="1">
        <v>45478</v>
      </c>
      <c r="B3486" s="1" t="str">
        <f>TEXT(Tabla1[[#This Row],[Fecha]],"MMMM")</f>
        <v>julio</v>
      </c>
      <c r="C3486" t="s">
        <v>3496</v>
      </c>
      <c r="D3486" t="s">
        <v>5025</v>
      </c>
      <c r="E3486" t="s">
        <v>5033</v>
      </c>
      <c r="F3486" t="s">
        <v>5039</v>
      </c>
      <c r="G3486" s="3">
        <v>14578.99</v>
      </c>
      <c r="H3486" s="3">
        <v>1895.27</v>
      </c>
      <c r="I3486" s="3">
        <f>SUM(Tabla1[[#This Row],[Monto_Base]],H3486)</f>
        <v>16474.259999999998</v>
      </c>
      <c r="J3486" t="s">
        <v>5046</v>
      </c>
      <c r="K3486" t="s">
        <v>5049</v>
      </c>
      <c r="L3486" t="s">
        <v>5052</v>
      </c>
      <c r="M3486" t="s">
        <v>5054</v>
      </c>
    </row>
    <row r="3487" spans="1:13" x14ac:dyDescent="0.3">
      <c r="A3487" s="1">
        <v>45650</v>
      </c>
      <c r="B3487" s="1" t="str">
        <f>TEXT(Tabla1[[#This Row],[Fecha]],"MMMM")</f>
        <v>diciembre</v>
      </c>
      <c r="C3487" t="s">
        <v>3497</v>
      </c>
      <c r="D3487" t="s">
        <v>5015</v>
      </c>
      <c r="E3487" t="s">
        <v>5032</v>
      </c>
      <c r="F3487" t="s">
        <v>5038</v>
      </c>
      <c r="G3487" s="3">
        <v>11024.44</v>
      </c>
      <c r="H3487" s="3">
        <v>0</v>
      </c>
      <c r="I3487" s="3">
        <f>SUM(Tabla1[[#This Row],[Monto_Base]],H3487)</f>
        <v>11024.44</v>
      </c>
      <c r="J3487" t="s">
        <v>5044</v>
      </c>
      <c r="K3487" t="s">
        <v>5047</v>
      </c>
      <c r="L3487" t="s">
        <v>5050</v>
      </c>
      <c r="M3487" t="s">
        <v>5055</v>
      </c>
    </row>
    <row r="3488" spans="1:13" x14ac:dyDescent="0.3">
      <c r="A3488" s="1">
        <v>45347</v>
      </c>
      <c r="B3488" s="1" t="str">
        <f>TEXT(Tabla1[[#This Row],[Fecha]],"MMMM")</f>
        <v>febrero</v>
      </c>
      <c r="C3488" t="s">
        <v>3498</v>
      </c>
      <c r="D3488" t="s">
        <v>5022</v>
      </c>
      <c r="E3488" t="s">
        <v>5032</v>
      </c>
      <c r="F3488" t="s">
        <v>5038</v>
      </c>
      <c r="G3488" s="3">
        <v>2865.76</v>
      </c>
      <c r="H3488" s="3">
        <v>0</v>
      </c>
      <c r="I3488" s="3">
        <f>SUM(Tabla1[[#This Row],[Monto_Base]],H3488)</f>
        <v>2865.76</v>
      </c>
      <c r="J3488" t="s">
        <v>5042</v>
      </c>
      <c r="K3488" t="s">
        <v>5047</v>
      </c>
      <c r="L3488" t="s">
        <v>5053</v>
      </c>
      <c r="M3488" t="s">
        <v>5054</v>
      </c>
    </row>
    <row r="3489" spans="1:13" x14ac:dyDescent="0.3">
      <c r="A3489" s="1">
        <v>45562</v>
      </c>
      <c r="B3489" s="1" t="str">
        <f>TEXT(Tabla1[[#This Row],[Fecha]],"MMMM")</f>
        <v>septiembre</v>
      </c>
      <c r="C3489" t="s">
        <v>3499</v>
      </c>
      <c r="D3489" t="s">
        <v>5028</v>
      </c>
      <c r="E3489" t="s">
        <v>5032</v>
      </c>
      <c r="F3489" t="s">
        <v>5038</v>
      </c>
      <c r="G3489" s="3">
        <v>6213.36</v>
      </c>
      <c r="H3489" s="3">
        <v>0</v>
      </c>
      <c r="I3489" s="3">
        <f>SUM(Tabla1[[#This Row],[Monto_Base]],H3489)</f>
        <v>6213.36</v>
      </c>
      <c r="J3489" t="s">
        <v>5044</v>
      </c>
      <c r="K3489" t="s">
        <v>5049</v>
      </c>
      <c r="L3489" t="s">
        <v>5051</v>
      </c>
      <c r="M3489" t="s">
        <v>5054</v>
      </c>
    </row>
    <row r="3490" spans="1:13" x14ac:dyDescent="0.3">
      <c r="A3490" s="1">
        <v>45626</v>
      </c>
      <c r="B3490" s="1" t="str">
        <f>TEXT(Tabla1[[#This Row],[Fecha]],"MMMM")</f>
        <v>noviembre</v>
      </c>
      <c r="C3490" t="s">
        <v>3500</v>
      </c>
      <c r="D3490" t="s">
        <v>5026</v>
      </c>
      <c r="E3490" t="s">
        <v>5033</v>
      </c>
      <c r="F3490" t="s">
        <v>5038</v>
      </c>
      <c r="G3490" s="3">
        <v>1078.92</v>
      </c>
      <c r="H3490" s="3">
        <v>140.26</v>
      </c>
      <c r="I3490" s="3">
        <f>SUM(Tabla1[[#This Row],[Monto_Base]],H3490)</f>
        <v>1219.18</v>
      </c>
      <c r="J3490" t="s">
        <v>5045</v>
      </c>
      <c r="K3490" t="s">
        <v>5048</v>
      </c>
      <c r="L3490" t="s">
        <v>5051</v>
      </c>
      <c r="M3490" t="s">
        <v>5054</v>
      </c>
    </row>
    <row r="3491" spans="1:13" x14ac:dyDescent="0.3">
      <c r="A3491" s="1">
        <v>45492</v>
      </c>
      <c r="B3491" s="1" t="str">
        <f>TEXT(Tabla1[[#This Row],[Fecha]],"MMMM")</f>
        <v>julio</v>
      </c>
      <c r="C3491" t="s">
        <v>3501</v>
      </c>
      <c r="D3491" t="s">
        <v>5030</v>
      </c>
      <c r="E3491" t="s">
        <v>5033</v>
      </c>
      <c r="F3491" t="s">
        <v>5034</v>
      </c>
      <c r="G3491" s="3">
        <v>2895.9</v>
      </c>
      <c r="H3491" s="3">
        <v>376.47</v>
      </c>
      <c r="I3491" s="3">
        <f>SUM(Tabla1[[#This Row],[Monto_Base]],H3491)</f>
        <v>3272.37</v>
      </c>
      <c r="J3491" t="s">
        <v>5044</v>
      </c>
      <c r="K3491" t="s">
        <v>5049</v>
      </c>
      <c r="L3491" t="s">
        <v>5052</v>
      </c>
      <c r="M3491" t="s">
        <v>5054</v>
      </c>
    </row>
    <row r="3492" spans="1:13" x14ac:dyDescent="0.3">
      <c r="A3492" s="1">
        <v>45654</v>
      </c>
      <c r="B3492" s="1" t="str">
        <f>TEXT(Tabla1[[#This Row],[Fecha]],"MMMM")</f>
        <v>diciembre</v>
      </c>
      <c r="C3492" t="s">
        <v>3502</v>
      </c>
      <c r="D3492" t="s">
        <v>5024</v>
      </c>
      <c r="E3492" t="s">
        <v>5033</v>
      </c>
      <c r="F3492" t="s">
        <v>5035</v>
      </c>
      <c r="G3492" s="3">
        <v>4769.8500000000004</v>
      </c>
      <c r="H3492" s="3">
        <v>620.08000000000004</v>
      </c>
      <c r="I3492" s="3">
        <f>SUM(Tabla1[[#This Row],[Monto_Base]],H3492)</f>
        <v>5389.93</v>
      </c>
      <c r="J3492" t="s">
        <v>5044</v>
      </c>
      <c r="K3492" t="s">
        <v>5049</v>
      </c>
      <c r="L3492" t="s">
        <v>5051</v>
      </c>
      <c r="M3492" t="s">
        <v>5054</v>
      </c>
    </row>
    <row r="3493" spans="1:13" x14ac:dyDescent="0.3">
      <c r="A3493" s="1">
        <v>45426</v>
      </c>
      <c r="B3493" s="1" t="str">
        <f>TEXT(Tabla1[[#This Row],[Fecha]],"MMMM")</f>
        <v>mayo</v>
      </c>
      <c r="C3493" t="s">
        <v>3503</v>
      </c>
      <c r="D3493" t="s">
        <v>5022</v>
      </c>
      <c r="E3493" t="s">
        <v>5033</v>
      </c>
      <c r="F3493" t="s">
        <v>5038</v>
      </c>
      <c r="G3493" s="3">
        <v>1836.79</v>
      </c>
      <c r="H3493" s="3">
        <v>238.78</v>
      </c>
      <c r="I3493" s="3">
        <f>SUM(Tabla1[[#This Row],[Monto_Base]],H3493)</f>
        <v>2075.5700000000002</v>
      </c>
      <c r="J3493" t="s">
        <v>5046</v>
      </c>
      <c r="K3493" t="s">
        <v>5048</v>
      </c>
      <c r="L3493" t="s">
        <v>5050</v>
      </c>
      <c r="M3493" t="s">
        <v>5054</v>
      </c>
    </row>
    <row r="3494" spans="1:13" x14ac:dyDescent="0.3">
      <c r="A3494" s="1">
        <v>45430</v>
      </c>
      <c r="B3494" s="1" t="str">
        <f>TEXT(Tabla1[[#This Row],[Fecha]],"MMMM")</f>
        <v>mayo</v>
      </c>
      <c r="C3494" t="s">
        <v>3504</v>
      </c>
      <c r="D3494" t="s">
        <v>5013</v>
      </c>
      <c r="E3494" t="s">
        <v>5032</v>
      </c>
      <c r="F3494" t="s">
        <v>5035</v>
      </c>
      <c r="G3494" s="3">
        <v>12435.39</v>
      </c>
      <c r="H3494" s="3">
        <v>0</v>
      </c>
      <c r="I3494" s="3">
        <f>SUM(Tabla1[[#This Row],[Monto_Base]],H3494)</f>
        <v>12435.39</v>
      </c>
      <c r="J3494" t="s">
        <v>5043</v>
      </c>
      <c r="K3494" t="s">
        <v>5047</v>
      </c>
      <c r="L3494" t="s">
        <v>5053</v>
      </c>
      <c r="M3494" t="s">
        <v>5054</v>
      </c>
    </row>
    <row r="3495" spans="1:13" x14ac:dyDescent="0.3">
      <c r="A3495" s="1">
        <v>45613</v>
      </c>
      <c r="B3495" s="1" t="str">
        <f>TEXT(Tabla1[[#This Row],[Fecha]],"MMMM")</f>
        <v>noviembre</v>
      </c>
      <c r="C3495" t="s">
        <v>3505</v>
      </c>
      <c r="D3495" t="s">
        <v>5014</v>
      </c>
      <c r="E3495" t="s">
        <v>5033</v>
      </c>
      <c r="F3495" t="s">
        <v>5034</v>
      </c>
      <c r="G3495" s="3">
        <v>12946</v>
      </c>
      <c r="H3495" s="3">
        <v>1682.98</v>
      </c>
      <c r="I3495" s="3">
        <f>SUM(Tabla1[[#This Row],[Monto_Base]],H3495)</f>
        <v>14628.98</v>
      </c>
      <c r="J3495" t="s">
        <v>5042</v>
      </c>
      <c r="K3495" t="s">
        <v>5049</v>
      </c>
      <c r="L3495" t="s">
        <v>5050</v>
      </c>
      <c r="M3495" t="s">
        <v>5054</v>
      </c>
    </row>
    <row r="3496" spans="1:13" x14ac:dyDescent="0.3">
      <c r="A3496" s="1">
        <v>45524</v>
      </c>
      <c r="B3496" s="1" t="str">
        <f>TEXT(Tabla1[[#This Row],[Fecha]],"MMMM")</f>
        <v>agosto</v>
      </c>
      <c r="C3496" t="s">
        <v>3506</v>
      </c>
      <c r="D3496" t="s">
        <v>5016</v>
      </c>
      <c r="E3496" t="s">
        <v>5032</v>
      </c>
      <c r="F3496" t="s">
        <v>5037</v>
      </c>
      <c r="G3496" s="3">
        <v>7961.33</v>
      </c>
      <c r="H3496" s="3">
        <v>0</v>
      </c>
      <c r="I3496" s="3">
        <f>SUM(Tabla1[[#This Row],[Monto_Base]],H3496)</f>
        <v>7961.33</v>
      </c>
      <c r="J3496" t="s">
        <v>5043</v>
      </c>
      <c r="K3496" t="s">
        <v>5049</v>
      </c>
      <c r="L3496" t="s">
        <v>5050</v>
      </c>
      <c r="M3496" t="s">
        <v>5055</v>
      </c>
    </row>
    <row r="3497" spans="1:13" x14ac:dyDescent="0.3">
      <c r="A3497" s="1">
        <v>45413</v>
      </c>
      <c r="B3497" s="1" t="str">
        <f>TEXT(Tabla1[[#This Row],[Fecha]],"MMMM")</f>
        <v>mayo</v>
      </c>
      <c r="C3497" t="s">
        <v>3507</v>
      </c>
      <c r="D3497" t="s">
        <v>5015</v>
      </c>
      <c r="E3497" t="s">
        <v>5033</v>
      </c>
      <c r="F3497" t="s">
        <v>5041</v>
      </c>
      <c r="G3497" s="3">
        <v>14280</v>
      </c>
      <c r="H3497" s="3">
        <v>1856.4</v>
      </c>
      <c r="I3497" s="3">
        <f>SUM(Tabla1[[#This Row],[Monto_Base]],H3497)</f>
        <v>16136.4</v>
      </c>
      <c r="J3497" t="s">
        <v>5042</v>
      </c>
      <c r="K3497" t="s">
        <v>5047</v>
      </c>
      <c r="L3497" t="s">
        <v>5053</v>
      </c>
      <c r="M3497" t="s">
        <v>5054</v>
      </c>
    </row>
    <row r="3498" spans="1:13" x14ac:dyDescent="0.3">
      <c r="A3498" s="1">
        <v>45602</v>
      </c>
      <c r="B3498" s="1" t="str">
        <f>TEXT(Tabla1[[#This Row],[Fecha]],"MMMM")</f>
        <v>noviembre</v>
      </c>
      <c r="C3498" t="s">
        <v>3508</v>
      </c>
      <c r="D3498" t="s">
        <v>5015</v>
      </c>
      <c r="E3498" t="s">
        <v>5032</v>
      </c>
      <c r="F3498" t="s">
        <v>5036</v>
      </c>
      <c r="G3498" s="3">
        <v>11628.06</v>
      </c>
      <c r="H3498" s="3">
        <v>0</v>
      </c>
      <c r="I3498" s="3">
        <f>SUM(Tabla1[[#This Row],[Monto_Base]],H3498)</f>
        <v>11628.06</v>
      </c>
      <c r="J3498" t="s">
        <v>5042</v>
      </c>
      <c r="K3498" t="s">
        <v>5047</v>
      </c>
      <c r="L3498" t="s">
        <v>5052</v>
      </c>
      <c r="M3498" t="s">
        <v>5054</v>
      </c>
    </row>
    <row r="3499" spans="1:13" x14ac:dyDescent="0.3">
      <c r="A3499" s="1">
        <v>45547</v>
      </c>
      <c r="B3499" s="1" t="str">
        <f>TEXT(Tabla1[[#This Row],[Fecha]],"MMMM")</f>
        <v>septiembre</v>
      </c>
      <c r="C3499" t="s">
        <v>3509</v>
      </c>
      <c r="D3499" t="s">
        <v>5014</v>
      </c>
      <c r="E3499" t="s">
        <v>5033</v>
      </c>
      <c r="F3499" t="s">
        <v>5037</v>
      </c>
      <c r="G3499" s="3">
        <v>4348.46</v>
      </c>
      <c r="H3499" s="3">
        <v>565.29999999999995</v>
      </c>
      <c r="I3499" s="3">
        <f>SUM(Tabla1[[#This Row],[Monto_Base]],H3499)</f>
        <v>4913.76</v>
      </c>
      <c r="J3499" t="s">
        <v>5045</v>
      </c>
      <c r="K3499" t="s">
        <v>5049</v>
      </c>
      <c r="L3499" t="s">
        <v>5051</v>
      </c>
      <c r="M3499" t="s">
        <v>5055</v>
      </c>
    </row>
    <row r="3500" spans="1:13" x14ac:dyDescent="0.3">
      <c r="A3500" s="1">
        <v>45473</v>
      </c>
      <c r="B3500" s="1" t="str">
        <f>TEXT(Tabla1[[#This Row],[Fecha]],"MMMM")</f>
        <v>junio</v>
      </c>
      <c r="C3500" t="s">
        <v>3510</v>
      </c>
      <c r="D3500" t="s">
        <v>5027</v>
      </c>
      <c r="E3500" t="s">
        <v>5032</v>
      </c>
      <c r="F3500" t="s">
        <v>5038</v>
      </c>
      <c r="G3500" s="3">
        <v>13924.74</v>
      </c>
      <c r="H3500" s="3">
        <v>0</v>
      </c>
      <c r="I3500" s="3">
        <f>SUM(Tabla1[[#This Row],[Monto_Base]],H3500)</f>
        <v>13924.74</v>
      </c>
      <c r="J3500" t="s">
        <v>5046</v>
      </c>
      <c r="K3500" t="s">
        <v>5049</v>
      </c>
      <c r="L3500" t="s">
        <v>5051</v>
      </c>
      <c r="M3500" t="s">
        <v>5054</v>
      </c>
    </row>
    <row r="3501" spans="1:13" x14ac:dyDescent="0.3">
      <c r="A3501" s="1">
        <v>45487</v>
      </c>
      <c r="B3501" s="1" t="str">
        <f>TEXT(Tabla1[[#This Row],[Fecha]],"MMMM")</f>
        <v>julio</v>
      </c>
      <c r="C3501" t="s">
        <v>3511</v>
      </c>
      <c r="D3501" t="s">
        <v>5025</v>
      </c>
      <c r="E3501" t="s">
        <v>5033</v>
      </c>
      <c r="F3501" t="s">
        <v>5041</v>
      </c>
      <c r="G3501" s="3">
        <v>12794.75</v>
      </c>
      <c r="H3501" s="3">
        <v>1663.32</v>
      </c>
      <c r="I3501" s="3">
        <f>SUM(Tabla1[[#This Row],[Monto_Base]],H3501)</f>
        <v>14458.07</v>
      </c>
      <c r="J3501" t="s">
        <v>5044</v>
      </c>
      <c r="K3501" t="s">
        <v>5047</v>
      </c>
      <c r="L3501" t="s">
        <v>5051</v>
      </c>
      <c r="M3501" t="s">
        <v>5055</v>
      </c>
    </row>
    <row r="3502" spans="1:13" x14ac:dyDescent="0.3">
      <c r="A3502" s="1">
        <v>45626</v>
      </c>
      <c r="B3502" s="1" t="str">
        <f>TEXT(Tabla1[[#This Row],[Fecha]],"MMMM")</f>
        <v>noviembre</v>
      </c>
      <c r="C3502" t="s">
        <v>3512</v>
      </c>
      <c r="D3502" t="s">
        <v>5012</v>
      </c>
      <c r="E3502" t="s">
        <v>5032</v>
      </c>
      <c r="F3502" t="s">
        <v>5040</v>
      </c>
      <c r="G3502" s="3">
        <v>6409.41</v>
      </c>
      <c r="H3502" s="3">
        <v>0</v>
      </c>
      <c r="I3502" s="3">
        <f>SUM(Tabla1[[#This Row],[Monto_Base]],H3502)</f>
        <v>6409.41</v>
      </c>
      <c r="J3502" t="s">
        <v>5046</v>
      </c>
      <c r="K3502" t="s">
        <v>5048</v>
      </c>
      <c r="L3502" t="s">
        <v>5053</v>
      </c>
      <c r="M3502" t="s">
        <v>5054</v>
      </c>
    </row>
    <row r="3503" spans="1:13" x14ac:dyDescent="0.3">
      <c r="A3503" s="1">
        <v>45325</v>
      </c>
      <c r="B3503" s="1" t="str">
        <f>TEXT(Tabla1[[#This Row],[Fecha]],"MMMM")</f>
        <v>febrero</v>
      </c>
      <c r="C3503" t="s">
        <v>3513</v>
      </c>
      <c r="D3503" t="s">
        <v>5022</v>
      </c>
      <c r="E3503" t="s">
        <v>5033</v>
      </c>
      <c r="F3503" t="s">
        <v>5037</v>
      </c>
      <c r="G3503" s="3">
        <v>11825.16</v>
      </c>
      <c r="H3503" s="3">
        <v>1537.27</v>
      </c>
      <c r="I3503" s="3">
        <f>SUM(Tabla1[[#This Row],[Monto_Base]],H3503)</f>
        <v>13362.43</v>
      </c>
      <c r="J3503" t="s">
        <v>5045</v>
      </c>
      <c r="K3503" t="s">
        <v>5049</v>
      </c>
      <c r="L3503" t="s">
        <v>5050</v>
      </c>
      <c r="M3503" t="s">
        <v>5054</v>
      </c>
    </row>
    <row r="3504" spans="1:13" x14ac:dyDescent="0.3">
      <c r="A3504" s="1">
        <v>45592</v>
      </c>
      <c r="B3504" s="1" t="str">
        <f>TEXT(Tabla1[[#This Row],[Fecha]],"MMMM")</f>
        <v>octubre</v>
      </c>
      <c r="C3504" t="s">
        <v>3514</v>
      </c>
      <c r="D3504" t="s">
        <v>5012</v>
      </c>
      <c r="E3504" t="s">
        <v>5033</v>
      </c>
      <c r="F3504" t="s">
        <v>5037</v>
      </c>
      <c r="G3504" s="3">
        <v>12584.64</v>
      </c>
      <c r="H3504" s="3">
        <v>1636</v>
      </c>
      <c r="I3504" s="3">
        <f>SUM(Tabla1[[#This Row],[Monto_Base]],H3504)</f>
        <v>14220.64</v>
      </c>
      <c r="J3504" t="s">
        <v>5045</v>
      </c>
      <c r="K3504" t="s">
        <v>5049</v>
      </c>
      <c r="L3504" t="s">
        <v>5051</v>
      </c>
      <c r="M3504" t="s">
        <v>5054</v>
      </c>
    </row>
    <row r="3505" spans="1:13" x14ac:dyDescent="0.3">
      <c r="A3505" s="1">
        <v>45361</v>
      </c>
      <c r="B3505" s="1" t="str">
        <f>TEXT(Tabla1[[#This Row],[Fecha]],"MMMM")</f>
        <v>marzo</v>
      </c>
      <c r="C3505" t="s">
        <v>3515</v>
      </c>
      <c r="D3505" t="s">
        <v>5018</v>
      </c>
      <c r="E3505" t="s">
        <v>5033</v>
      </c>
      <c r="F3505" t="s">
        <v>5035</v>
      </c>
      <c r="G3505" s="3">
        <v>13091.74</v>
      </c>
      <c r="H3505" s="3">
        <v>1701.93</v>
      </c>
      <c r="I3505" s="3">
        <f>SUM(Tabla1[[#This Row],[Monto_Base]],H3505)</f>
        <v>14793.67</v>
      </c>
      <c r="J3505" t="s">
        <v>5043</v>
      </c>
      <c r="K3505" t="s">
        <v>5049</v>
      </c>
      <c r="L3505" t="s">
        <v>5050</v>
      </c>
      <c r="M3505" t="s">
        <v>5054</v>
      </c>
    </row>
    <row r="3506" spans="1:13" x14ac:dyDescent="0.3">
      <c r="A3506" s="1">
        <v>45545</v>
      </c>
      <c r="B3506" s="1" t="str">
        <f>TEXT(Tabla1[[#This Row],[Fecha]],"MMMM")</f>
        <v>septiembre</v>
      </c>
      <c r="C3506" t="s">
        <v>3516</v>
      </c>
      <c r="D3506" t="s">
        <v>5015</v>
      </c>
      <c r="E3506" t="s">
        <v>5032</v>
      </c>
      <c r="F3506" t="s">
        <v>5041</v>
      </c>
      <c r="G3506" s="3">
        <v>12358.05</v>
      </c>
      <c r="H3506" s="3">
        <v>0</v>
      </c>
      <c r="I3506" s="3">
        <f>SUM(Tabla1[[#This Row],[Monto_Base]],H3506)</f>
        <v>12358.05</v>
      </c>
      <c r="J3506" t="s">
        <v>5045</v>
      </c>
      <c r="K3506" t="s">
        <v>5047</v>
      </c>
      <c r="L3506" t="s">
        <v>5051</v>
      </c>
      <c r="M3506" t="s">
        <v>5055</v>
      </c>
    </row>
    <row r="3507" spans="1:13" x14ac:dyDescent="0.3">
      <c r="A3507" s="1">
        <v>45463</v>
      </c>
      <c r="B3507" s="1" t="str">
        <f>TEXT(Tabla1[[#This Row],[Fecha]],"MMMM")</f>
        <v>junio</v>
      </c>
      <c r="C3507" t="s">
        <v>3517</v>
      </c>
      <c r="D3507" t="s">
        <v>5027</v>
      </c>
      <c r="E3507" t="s">
        <v>5033</v>
      </c>
      <c r="F3507" t="s">
        <v>5036</v>
      </c>
      <c r="G3507" s="3">
        <v>1622.46</v>
      </c>
      <c r="H3507" s="3">
        <v>210.92</v>
      </c>
      <c r="I3507" s="3">
        <f>SUM(Tabla1[[#This Row],[Monto_Base]],H3507)</f>
        <v>1833.38</v>
      </c>
      <c r="J3507" t="s">
        <v>5043</v>
      </c>
      <c r="K3507" t="s">
        <v>5049</v>
      </c>
      <c r="L3507" t="s">
        <v>5050</v>
      </c>
      <c r="M3507" t="s">
        <v>5055</v>
      </c>
    </row>
    <row r="3508" spans="1:13" x14ac:dyDescent="0.3">
      <c r="A3508" s="1">
        <v>45454</v>
      </c>
      <c r="B3508" s="1" t="str">
        <f>TEXT(Tabla1[[#This Row],[Fecha]],"MMMM")</f>
        <v>junio</v>
      </c>
      <c r="C3508" t="s">
        <v>3518</v>
      </c>
      <c r="D3508" t="s">
        <v>5022</v>
      </c>
      <c r="E3508" t="s">
        <v>5032</v>
      </c>
      <c r="F3508" t="s">
        <v>5041</v>
      </c>
      <c r="G3508" s="3">
        <v>3074.09</v>
      </c>
      <c r="H3508" s="3">
        <v>0</v>
      </c>
      <c r="I3508" s="3">
        <f>SUM(Tabla1[[#This Row],[Monto_Base]],H3508)</f>
        <v>3074.09</v>
      </c>
      <c r="J3508" t="s">
        <v>5042</v>
      </c>
      <c r="K3508" t="s">
        <v>5048</v>
      </c>
      <c r="L3508" t="s">
        <v>5050</v>
      </c>
      <c r="M3508" t="s">
        <v>5054</v>
      </c>
    </row>
    <row r="3509" spans="1:13" x14ac:dyDescent="0.3">
      <c r="A3509" s="1">
        <v>45353</v>
      </c>
      <c r="B3509" s="1" t="str">
        <f>TEXT(Tabla1[[#This Row],[Fecha]],"MMMM")</f>
        <v>marzo</v>
      </c>
      <c r="C3509" t="s">
        <v>3519</v>
      </c>
      <c r="D3509" t="s">
        <v>5026</v>
      </c>
      <c r="E3509" t="s">
        <v>5033</v>
      </c>
      <c r="F3509" t="s">
        <v>5040</v>
      </c>
      <c r="G3509" s="3">
        <v>12986.54</v>
      </c>
      <c r="H3509" s="3">
        <v>1688.25</v>
      </c>
      <c r="I3509" s="3">
        <f>SUM(Tabla1[[#This Row],[Monto_Base]],H3509)</f>
        <v>14674.79</v>
      </c>
      <c r="J3509" t="s">
        <v>5046</v>
      </c>
      <c r="K3509" t="s">
        <v>5048</v>
      </c>
      <c r="L3509" t="s">
        <v>5050</v>
      </c>
      <c r="M3509" t="s">
        <v>5054</v>
      </c>
    </row>
    <row r="3510" spans="1:13" x14ac:dyDescent="0.3">
      <c r="A3510" s="1">
        <v>45545</v>
      </c>
      <c r="B3510" s="1" t="str">
        <f>TEXT(Tabla1[[#This Row],[Fecha]],"MMMM")</f>
        <v>septiembre</v>
      </c>
      <c r="C3510" t="s">
        <v>3520</v>
      </c>
      <c r="D3510" t="s">
        <v>5029</v>
      </c>
      <c r="E3510" t="s">
        <v>5033</v>
      </c>
      <c r="F3510" t="s">
        <v>5040</v>
      </c>
      <c r="G3510" s="3">
        <v>721.01</v>
      </c>
      <c r="H3510" s="3">
        <v>93.73</v>
      </c>
      <c r="I3510" s="3">
        <f>SUM(Tabla1[[#This Row],[Monto_Base]],H3510)</f>
        <v>814.74</v>
      </c>
      <c r="J3510" t="s">
        <v>5044</v>
      </c>
      <c r="K3510" t="s">
        <v>5047</v>
      </c>
      <c r="L3510" t="s">
        <v>5050</v>
      </c>
      <c r="M3510" t="s">
        <v>5055</v>
      </c>
    </row>
    <row r="3511" spans="1:13" x14ac:dyDescent="0.3">
      <c r="A3511" s="1">
        <v>45569</v>
      </c>
      <c r="B3511" s="1" t="str">
        <f>TEXT(Tabla1[[#This Row],[Fecha]],"MMMM")</f>
        <v>octubre</v>
      </c>
      <c r="C3511" t="s">
        <v>3521</v>
      </c>
      <c r="D3511" t="s">
        <v>5016</v>
      </c>
      <c r="E3511" t="s">
        <v>5032</v>
      </c>
      <c r="F3511" t="s">
        <v>5041</v>
      </c>
      <c r="G3511" s="3">
        <v>2877.59</v>
      </c>
      <c r="H3511" s="3">
        <v>0</v>
      </c>
      <c r="I3511" s="3">
        <f>SUM(Tabla1[[#This Row],[Monto_Base]],H3511)</f>
        <v>2877.59</v>
      </c>
      <c r="J3511" t="s">
        <v>5045</v>
      </c>
      <c r="K3511" t="s">
        <v>5049</v>
      </c>
      <c r="L3511" t="s">
        <v>5052</v>
      </c>
      <c r="M3511" t="s">
        <v>5054</v>
      </c>
    </row>
    <row r="3512" spans="1:13" x14ac:dyDescent="0.3">
      <c r="A3512" s="1">
        <v>45436</v>
      </c>
      <c r="B3512" s="1" t="str">
        <f>TEXT(Tabla1[[#This Row],[Fecha]],"MMMM")</f>
        <v>mayo</v>
      </c>
      <c r="C3512" t="s">
        <v>3522</v>
      </c>
      <c r="D3512" t="s">
        <v>5025</v>
      </c>
      <c r="E3512" t="s">
        <v>5032</v>
      </c>
      <c r="F3512" t="s">
        <v>5041</v>
      </c>
      <c r="G3512" s="3">
        <v>14160.89</v>
      </c>
      <c r="H3512" s="3">
        <v>0</v>
      </c>
      <c r="I3512" s="3">
        <f>SUM(Tabla1[[#This Row],[Monto_Base]],H3512)</f>
        <v>14160.89</v>
      </c>
      <c r="J3512" t="s">
        <v>5043</v>
      </c>
      <c r="K3512" t="s">
        <v>5048</v>
      </c>
      <c r="L3512" t="s">
        <v>5052</v>
      </c>
      <c r="M3512" t="s">
        <v>5055</v>
      </c>
    </row>
    <row r="3513" spans="1:13" x14ac:dyDescent="0.3">
      <c r="A3513" s="1">
        <v>45482</v>
      </c>
      <c r="B3513" s="1" t="str">
        <f>TEXT(Tabla1[[#This Row],[Fecha]],"MMMM")</f>
        <v>julio</v>
      </c>
      <c r="C3513" t="s">
        <v>3523</v>
      </c>
      <c r="D3513" t="s">
        <v>5016</v>
      </c>
      <c r="E3513" t="s">
        <v>5032</v>
      </c>
      <c r="F3513" t="s">
        <v>5034</v>
      </c>
      <c r="G3513" s="3">
        <v>8078.85</v>
      </c>
      <c r="H3513" s="3">
        <v>0</v>
      </c>
      <c r="I3513" s="3">
        <f>SUM(Tabla1[[#This Row],[Monto_Base]],H3513)</f>
        <v>8078.85</v>
      </c>
      <c r="J3513" t="s">
        <v>5043</v>
      </c>
      <c r="K3513" t="s">
        <v>5049</v>
      </c>
      <c r="L3513" t="s">
        <v>5050</v>
      </c>
      <c r="M3513" t="s">
        <v>5054</v>
      </c>
    </row>
    <row r="3514" spans="1:13" x14ac:dyDescent="0.3">
      <c r="A3514" s="1">
        <v>45605</v>
      </c>
      <c r="B3514" s="1" t="str">
        <f>TEXT(Tabla1[[#This Row],[Fecha]],"MMMM")</f>
        <v>noviembre</v>
      </c>
      <c r="C3514" t="s">
        <v>3524</v>
      </c>
      <c r="D3514" t="s">
        <v>5015</v>
      </c>
      <c r="E3514" t="s">
        <v>5033</v>
      </c>
      <c r="F3514" t="s">
        <v>5035</v>
      </c>
      <c r="G3514" s="3">
        <v>12643.18</v>
      </c>
      <c r="H3514" s="3">
        <v>1643.61</v>
      </c>
      <c r="I3514" s="3">
        <f>SUM(Tabla1[[#This Row],[Monto_Base]],H3514)</f>
        <v>14286.79</v>
      </c>
      <c r="J3514" t="s">
        <v>5046</v>
      </c>
      <c r="K3514" t="s">
        <v>5047</v>
      </c>
      <c r="L3514" t="s">
        <v>5050</v>
      </c>
      <c r="M3514" t="s">
        <v>5055</v>
      </c>
    </row>
    <row r="3515" spans="1:13" x14ac:dyDescent="0.3">
      <c r="A3515" s="1">
        <v>45543</v>
      </c>
      <c r="B3515" s="1" t="str">
        <f>TEXT(Tabla1[[#This Row],[Fecha]],"MMMM")</f>
        <v>septiembre</v>
      </c>
      <c r="C3515" t="s">
        <v>3525</v>
      </c>
      <c r="D3515" t="s">
        <v>5014</v>
      </c>
      <c r="E3515" t="s">
        <v>5033</v>
      </c>
      <c r="F3515" t="s">
        <v>5039</v>
      </c>
      <c r="G3515" s="3">
        <v>5753.78</v>
      </c>
      <c r="H3515" s="3">
        <v>747.99</v>
      </c>
      <c r="I3515" s="3">
        <f>SUM(Tabla1[[#This Row],[Monto_Base]],H3515)</f>
        <v>6501.7699999999995</v>
      </c>
      <c r="J3515" t="s">
        <v>5045</v>
      </c>
      <c r="K3515" t="s">
        <v>5049</v>
      </c>
      <c r="L3515" t="s">
        <v>5053</v>
      </c>
      <c r="M3515" t="s">
        <v>5055</v>
      </c>
    </row>
    <row r="3516" spans="1:13" x14ac:dyDescent="0.3">
      <c r="A3516" s="1">
        <v>45400</v>
      </c>
      <c r="B3516" s="1" t="str">
        <f>TEXT(Tabla1[[#This Row],[Fecha]],"MMMM")</f>
        <v>abril</v>
      </c>
      <c r="C3516" t="s">
        <v>3526</v>
      </c>
      <c r="D3516" t="s">
        <v>5017</v>
      </c>
      <c r="E3516" t="s">
        <v>5032</v>
      </c>
      <c r="F3516" t="s">
        <v>5034</v>
      </c>
      <c r="G3516" s="3">
        <v>10189.75</v>
      </c>
      <c r="H3516" s="3">
        <v>0</v>
      </c>
      <c r="I3516" s="3">
        <f>SUM(Tabla1[[#This Row],[Monto_Base]],H3516)</f>
        <v>10189.75</v>
      </c>
      <c r="J3516" t="s">
        <v>5045</v>
      </c>
      <c r="K3516" t="s">
        <v>5047</v>
      </c>
      <c r="L3516" t="s">
        <v>5050</v>
      </c>
      <c r="M3516" t="s">
        <v>5054</v>
      </c>
    </row>
    <row r="3517" spans="1:13" x14ac:dyDescent="0.3">
      <c r="A3517" s="1">
        <v>45536</v>
      </c>
      <c r="B3517" s="1" t="str">
        <f>TEXT(Tabla1[[#This Row],[Fecha]],"MMMM")</f>
        <v>septiembre</v>
      </c>
      <c r="C3517" t="s">
        <v>3527</v>
      </c>
      <c r="D3517" t="s">
        <v>5015</v>
      </c>
      <c r="E3517" t="s">
        <v>5032</v>
      </c>
      <c r="F3517" t="s">
        <v>5039</v>
      </c>
      <c r="G3517" s="3">
        <v>7758.21</v>
      </c>
      <c r="H3517" s="3">
        <v>0</v>
      </c>
      <c r="I3517" s="3">
        <f>SUM(Tabla1[[#This Row],[Monto_Base]],H3517)</f>
        <v>7758.21</v>
      </c>
      <c r="J3517" t="s">
        <v>5044</v>
      </c>
      <c r="K3517" t="s">
        <v>5047</v>
      </c>
      <c r="L3517" t="s">
        <v>5052</v>
      </c>
      <c r="M3517" t="s">
        <v>5055</v>
      </c>
    </row>
    <row r="3518" spans="1:13" x14ac:dyDescent="0.3">
      <c r="A3518" s="1">
        <v>45598</v>
      </c>
      <c r="B3518" s="1" t="str">
        <f>TEXT(Tabla1[[#This Row],[Fecha]],"MMMM")</f>
        <v>noviembre</v>
      </c>
      <c r="C3518" t="s">
        <v>3528</v>
      </c>
      <c r="D3518" t="s">
        <v>5028</v>
      </c>
      <c r="E3518" t="s">
        <v>5032</v>
      </c>
      <c r="F3518" t="s">
        <v>5039</v>
      </c>
      <c r="G3518" s="3">
        <v>846.29</v>
      </c>
      <c r="H3518" s="3">
        <v>0</v>
      </c>
      <c r="I3518" s="3">
        <f>SUM(Tabla1[[#This Row],[Monto_Base]],H3518)</f>
        <v>846.29</v>
      </c>
      <c r="J3518" t="s">
        <v>5044</v>
      </c>
      <c r="K3518" t="s">
        <v>5049</v>
      </c>
      <c r="L3518" t="s">
        <v>5050</v>
      </c>
      <c r="M3518" t="s">
        <v>5055</v>
      </c>
    </row>
    <row r="3519" spans="1:13" x14ac:dyDescent="0.3">
      <c r="A3519" s="1">
        <v>45372</v>
      </c>
      <c r="B3519" s="1" t="str">
        <f>TEXT(Tabla1[[#This Row],[Fecha]],"MMMM")</f>
        <v>marzo</v>
      </c>
      <c r="C3519" t="s">
        <v>3529</v>
      </c>
      <c r="D3519" t="s">
        <v>5016</v>
      </c>
      <c r="E3519" t="s">
        <v>5033</v>
      </c>
      <c r="F3519" t="s">
        <v>5036</v>
      </c>
      <c r="G3519" s="3">
        <v>2835.13</v>
      </c>
      <c r="H3519" s="3">
        <v>368.57</v>
      </c>
      <c r="I3519" s="3">
        <f>SUM(Tabla1[[#This Row],[Monto_Base]],H3519)</f>
        <v>3203.7000000000003</v>
      </c>
      <c r="J3519" t="s">
        <v>5043</v>
      </c>
      <c r="K3519" t="s">
        <v>5049</v>
      </c>
      <c r="L3519" t="s">
        <v>5052</v>
      </c>
      <c r="M3519" t="s">
        <v>5055</v>
      </c>
    </row>
    <row r="3520" spans="1:13" x14ac:dyDescent="0.3">
      <c r="A3520" s="1">
        <v>45376</v>
      </c>
      <c r="B3520" s="1" t="str">
        <f>TEXT(Tabla1[[#This Row],[Fecha]],"MMMM")</f>
        <v>marzo</v>
      </c>
      <c r="C3520" t="s">
        <v>3530</v>
      </c>
      <c r="D3520" t="s">
        <v>5030</v>
      </c>
      <c r="E3520" t="s">
        <v>5032</v>
      </c>
      <c r="F3520" t="s">
        <v>5034</v>
      </c>
      <c r="G3520" s="3">
        <v>8580.25</v>
      </c>
      <c r="H3520" s="3">
        <v>0</v>
      </c>
      <c r="I3520" s="3">
        <f>SUM(Tabla1[[#This Row],[Monto_Base]],H3520)</f>
        <v>8580.25</v>
      </c>
      <c r="J3520" t="s">
        <v>5046</v>
      </c>
      <c r="K3520" t="s">
        <v>5047</v>
      </c>
      <c r="L3520" t="s">
        <v>5052</v>
      </c>
      <c r="M3520" t="s">
        <v>5054</v>
      </c>
    </row>
    <row r="3521" spans="1:13" x14ac:dyDescent="0.3">
      <c r="A3521" s="1">
        <v>45296</v>
      </c>
      <c r="B3521" s="1" t="str">
        <f>TEXT(Tabla1[[#This Row],[Fecha]],"MMMM")</f>
        <v>enero</v>
      </c>
      <c r="C3521" t="s">
        <v>3531</v>
      </c>
      <c r="D3521" t="s">
        <v>5025</v>
      </c>
      <c r="E3521" t="s">
        <v>5032</v>
      </c>
      <c r="F3521" t="s">
        <v>5040</v>
      </c>
      <c r="G3521" s="3">
        <v>13589.7</v>
      </c>
      <c r="H3521" s="3">
        <v>0</v>
      </c>
      <c r="I3521" s="3">
        <f>SUM(Tabla1[[#This Row],[Monto_Base]],H3521)</f>
        <v>13589.7</v>
      </c>
      <c r="J3521" t="s">
        <v>5046</v>
      </c>
      <c r="K3521" t="s">
        <v>5049</v>
      </c>
      <c r="L3521" t="s">
        <v>5051</v>
      </c>
      <c r="M3521" t="s">
        <v>5055</v>
      </c>
    </row>
    <row r="3522" spans="1:13" x14ac:dyDescent="0.3">
      <c r="A3522" s="1">
        <v>45646</v>
      </c>
      <c r="B3522" s="1" t="str">
        <f>TEXT(Tabla1[[#This Row],[Fecha]],"MMMM")</f>
        <v>diciembre</v>
      </c>
      <c r="C3522" t="s">
        <v>3532</v>
      </c>
      <c r="D3522" t="s">
        <v>5022</v>
      </c>
      <c r="E3522" t="s">
        <v>5032</v>
      </c>
      <c r="F3522" t="s">
        <v>5040</v>
      </c>
      <c r="G3522" s="3">
        <v>14483.27</v>
      </c>
      <c r="H3522" s="3">
        <v>0</v>
      </c>
      <c r="I3522" s="3">
        <f>SUM(Tabla1[[#This Row],[Monto_Base]],H3522)</f>
        <v>14483.27</v>
      </c>
      <c r="J3522" t="s">
        <v>5043</v>
      </c>
      <c r="K3522" t="s">
        <v>5049</v>
      </c>
      <c r="L3522" t="s">
        <v>5050</v>
      </c>
      <c r="M3522" t="s">
        <v>5054</v>
      </c>
    </row>
    <row r="3523" spans="1:13" x14ac:dyDescent="0.3">
      <c r="A3523" s="1">
        <v>45634</v>
      </c>
      <c r="B3523" s="1" t="str">
        <f>TEXT(Tabla1[[#This Row],[Fecha]],"MMMM")</f>
        <v>diciembre</v>
      </c>
      <c r="C3523" t="s">
        <v>3533</v>
      </c>
      <c r="D3523" t="s">
        <v>5029</v>
      </c>
      <c r="E3523" t="s">
        <v>5033</v>
      </c>
      <c r="F3523" t="s">
        <v>5036</v>
      </c>
      <c r="G3523" s="3">
        <v>13723.69</v>
      </c>
      <c r="H3523" s="3">
        <v>1784.08</v>
      </c>
      <c r="I3523" s="3">
        <f>SUM(Tabla1[[#This Row],[Monto_Base]],H3523)</f>
        <v>15507.77</v>
      </c>
      <c r="J3523" t="s">
        <v>5044</v>
      </c>
      <c r="K3523" t="s">
        <v>5047</v>
      </c>
      <c r="L3523" t="s">
        <v>5051</v>
      </c>
      <c r="M3523" t="s">
        <v>5055</v>
      </c>
    </row>
    <row r="3524" spans="1:13" x14ac:dyDescent="0.3">
      <c r="A3524" s="1">
        <v>45461</v>
      </c>
      <c r="B3524" s="1" t="str">
        <f>TEXT(Tabla1[[#This Row],[Fecha]],"MMMM")</f>
        <v>junio</v>
      </c>
      <c r="C3524" t="s">
        <v>3534</v>
      </c>
      <c r="D3524" t="s">
        <v>5015</v>
      </c>
      <c r="E3524" t="s">
        <v>5033</v>
      </c>
      <c r="F3524" t="s">
        <v>5036</v>
      </c>
      <c r="G3524" s="3">
        <v>1077.21</v>
      </c>
      <c r="H3524" s="3">
        <v>140.04</v>
      </c>
      <c r="I3524" s="3">
        <f>SUM(Tabla1[[#This Row],[Monto_Base]],H3524)</f>
        <v>1217.25</v>
      </c>
      <c r="J3524" t="s">
        <v>5043</v>
      </c>
      <c r="K3524" t="s">
        <v>5048</v>
      </c>
      <c r="L3524" t="s">
        <v>5053</v>
      </c>
      <c r="M3524" t="s">
        <v>5054</v>
      </c>
    </row>
    <row r="3525" spans="1:13" x14ac:dyDescent="0.3">
      <c r="A3525" s="1">
        <v>45388</v>
      </c>
      <c r="B3525" s="1" t="str">
        <f>TEXT(Tabla1[[#This Row],[Fecha]],"MMMM")</f>
        <v>abril</v>
      </c>
      <c r="C3525" t="s">
        <v>3535</v>
      </c>
      <c r="D3525" t="s">
        <v>5028</v>
      </c>
      <c r="E3525" t="s">
        <v>5033</v>
      </c>
      <c r="F3525" t="s">
        <v>5038</v>
      </c>
      <c r="G3525" s="3">
        <v>7757.76</v>
      </c>
      <c r="H3525" s="3">
        <v>1008.51</v>
      </c>
      <c r="I3525" s="3">
        <f>SUM(Tabla1[[#This Row],[Monto_Base]],H3525)</f>
        <v>8766.27</v>
      </c>
      <c r="J3525" t="s">
        <v>5043</v>
      </c>
      <c r="K3525" t="s">
        <v>5049</v>
      </c>
      <c r="L3525" t="s">
        <v>5051</v>
      </c>
      <c r="M3525" t="s">
        <v>5055</v>
      </c>
    </row>
    <row r="3526" spans="1:13" x14ac:dyDescent="0.3">
      <c r="A3526" s="1">
        <v>45587</v>
      </c>
      <c r="B3526" s="1" t="str">
        <f>TEXT(Tabla1[[#This Row],[Fecha]],"MMMM")</f>
        <v>octubre</v>
      </c>
      <c r="C3526" t="s">
        <v>3536</v>
      </c>
      <c r="D3526" t="s">
        <v>5019</v>
      </c>
      <c r="E3526" t="s">
        <v>5033</v>
      </c>
      <c r="F3526" t="s">
        <v>5038</v>
      </c>
      <c r="G3526" s="3">
        <v>2996.33</v>
      </c>
      <c r="H3526" s="3">
        <v>389.52</v>
      </c>
      <c r="I3526" s="3">
        <f>SUM(Tabla1[[#This Row],[Monto_Base]],H3526)</f>
        <v>3385.85</v>
      </c>
      <c r="J3526" t="s">
        <v>5045</v>
      </c>
      <c r="K3526" t="s">
        <v>5048</v>
      </c>
      <c r="L3526" t="s">
        <v>5050</v>
      </c>
      <c r="M3526" t="s">
        <v>5055</v>
      </c>
    </row>
    <row r="3527" spans="1:13" x14ac:dyDescent="0.3">
      <c r="A3527" s="1">
        <v>45585</v>
      </c>
      <c r="B3527" s="1" t="str">
        <f>TEXT(Tabla1[[#This Row],[Fecha]],"MMMM")</f>
        <v>octubre</v>
      </c>
      <c r="C3527" t="s">
        <v>3537</v>
      </c>
      <c r="D3527" t="s">
        <v>5023</v>
      </c>
      <c r="E3527" t="s">
        <v>5032</v>
      </c>
      <c r="F3527" t="s">
        <v>5040</v>
      </c>
      <c r="G3527" s="3">
        <v>297.76</v>
      </c>
      <c r="H3527" s="3">
        <v>0</v>
      </c>
      <c r="I3527" s="3">
        <f>SUM(Tabla1[[#This Row],[Monto_Base]],H3527)</f>
        <v>297.76</v>
      </c>
      <c r="J3527" t="s">
        <v>5044</v>
      </c>
      <c r="K3527" t="s">
        <v>5047</v>
      </c>
      <c r="L3527" t="s">
        <v>5051</v>
      </c>
      <c r="M3527" t="s">
        <v>5055</v>
      </c>
    </row>
    <row r="3528" spans="1:13" x14ac:dyDescent="0.3">
      <c r="A3528" s="1">
        <v>45541</v>
      </c>
      <c r="B3528" s="1" t="str">
        <f>TEXT(Tabla1[[#This Row],[Fecha]],"MMMM")</f>
        <v>septiembre</v>
      </c>
      <c r="C3528" t="s">
        <v>3538</v>
      </c>
      <c r="D3528" t="s">
        <v>5012</v>
      </c>
      <c r="E3528" t="s">
        <v>5033</v>
      </c>
      <c r="F3528" t="s">
        <v>5035</v>
      </c>
      <c r="G3528" s="3">
        <v>4532.6400000000003</v>
      </c>
      <c r="H3528" s="3">
        <v>589.24</v>
      </c>
      <c r="I3528" s="3">
        <f>SUM(Tabla1[[#This Row],[Monto_Base]],H3528)</f>
        <v>5121.88</v>
      </c>
      <c r="J3528" t="s">
        <v>5042</v>
      </c>
      <c r="K3528" t="s">
        <v>5048</v>
      </c>
      <c r="L3528" t="s">
        <v>5051</v>
      </c>
      <c r="M3528" t="s">
        <v>5054</v>
      </c>
    </row>
    <row r="3529" spans="1:13" x14ac:dyDescent="0.3">
      <c r="A3529" s="1">
        <v>45292</v>
      </c>
      <c r="B3529" s="1" t="str">
        <f>TEXT(Tabla1[[#This Row],[Fecha]],"MMMM")</f>
        <v>enero</v>
      </c>
      <c r="C3529" t="s">
        <v>3539</v>
      </c>
      <c r="D3529" t="s">
        <v>5029</v>
      </c>
      <c r="E3529" t="s">
        <v>5033</v>
      </c>
      <c r="F3529" t="s">
        <v>5036</v>
      </c>
      <c r="G3529" s="3">
        <v>13816.3</v>
      </c>
      <c r="H3529" s="3">
        <v>1796.12</v>
      </c>
      <c r="I3529" s="3">
        <f>SUM(Tabla1[[#This Row],[Monto_Base]],H3529)</f>
        <v>15612.419999999998</v>
      </c>
      <c r="J3529" t="s">
        <v>5045</v>
      </c>
      <c r="K3529" t="s">
        <v>5049</v>
      </c>
      <c r="L3529" t="s">
        <v>5053</v>
      </c>
      <c r="M3529" t="s">
        <v>5055</v>
      </c>
    </row>
    <row r="3530" spans="1:13" x14ac:dyDescent="0.3">
      <c r="A3530" s="1">
        <v>45456</v>
      </c>
      <c r="B3530" s="1" t="str">
        <f>TEXT(Tabla1[[#This Row],[Fecha]],"MMMM")</f>
        <v>junio</v>
      </c>
      <c r="C3530" t="s">
        <v>3540</v>
      </c>
      <c r="D3530" t="s">
        <v>5017</v>
      </c>
      <c r="E3530" t="s">
        <v>5033</v>
      </c>
      <c r="F3530" t="s">
        <v>5034</v>
      </c>
      <c r="G3530" s="3">
        <v>5577.18</v>
      </c>
      <c r="H3530" s="3">
        <v>725.03</v>
      </c>
      <c r="I3530" s="3">
        <f>SUM(Tabla1[[#This Row],[Monto_Base]],H3530)</f>
        <v>6302.21</v>
      </c>
      <c r="J3530" t="s">
        <v>5046</v>
      </c>
      <c r="K3530" t="s">
        <v>5049</v>
      </c>
      <c r="L3530" t="s">
        <v>5051</v>
      </c>
      <c r="M3530" t="s">
        <v>5054</v>
      </c>
    </row>
    <row r="3531" spans="1:13" x14ac:dyDescent="0.3">
      <c r="A3531" s="1">
        <v>45388</v>
      </c>
      <c r="B3531" s="1" t="str">
        <f>TEXT(Tabla1[[#This Row],[Fecha]],"MMMM")</f>
        <v>abril</v>
      </c>
      <c r="C3531" t="s">
        <v>3541</v>
      </c>
      <c r="D3531" t="s">
        <v>5013</v>
      </c>
      <c r="E3531" t="s">
        <v>5032</v>
      </c>
      <c r="F3531" t="s">
        <v>5041</v>
      </c>
      <c r="G3531" s="3">
        <v>611.88</v>
      </c>
      <c r="H3531" s="3">
        <v>0</v>
      </c>
      <c r="I3531" s="3">
        <f>SUM(Tabla1[[#This Row],[Monto_Base]],H3531)</f>
        <v>611.88</v>
      </c>
      <c r="J3531" t="s">
        <v>5044</v>
      </c>
      <c r="K3531" t="s">
        <v>5048</v>
      </c>
      <c r="L3531" t="s">
        <v>5051</v>
      </c>
      <c r="M3531" t="s">
        <v>5055</v>
      </c>
    </row>
    <row r="3532" spans="1:13" x14ac:dyDescent="0.3">
      <c r="A3532" s="1">
        <v>45643</v>
      </c>
      <c r="B3532" s="1" t="str">
        <f>TEXT(Tabla1[[#This Row],[Fecha]],"MMMM")</f>
        <v>diciembre</v>
      </c>
      <c r="C3532" t="s">
        <v>3542</v>
      </c>
      <c r="D3532" t="s">
        <v>5013</v>
      </c>
      <c r="E3532" t="s">
        <v>5032</v>
      </c>
      <c r="F3532" t="s">
        <v>5038</v>
      </c>
      <c r="G3532" s="3">
        <v>12631.36</v>
      </c>
      <c r="H3532" s="3">
        <v>0</v>
      </c>
      <c r="I3532" s="3">
        <f>SUM(Tabla1[[#This Row],[Monto_Base]],H3532)</f>
        <v>12631.36</v>
      </c>
      <c r="J3532" t="s">
        <v>5046</v>
      </c>
      <c r="K3532" t="s">
        <v>5048</v>
      </c>
      <c r="L3532" t="s">
        <v>5052</v>
      </c>
      <c r="M3532" t="s">
        <v>5055</v>
      </c>
    </row>
    <row r="3533" spans="1:13" x14ac:dyDescent="0.3">
      <c r="A3533" s="1">
        <v>45293</v>
      </c>
      <c r="B3533" s="1" t="str">
        <f>TEXT(Tabla1[[#This Row],[Fecha]],"MMMM")</f>
        <v>enero</v>
      </c>
      <c r="C3533" t="s">
        <v>3543</v>
      </c>
      <c r="D3533" t="s">
        <v>5020</v>
      </c>
      <c r="E3533" t="s">
        <v>5032</v>
      </c>
      <c r="F3533" t="s">
        <v>5037</v>
      </c>
      <c r="G3533" s="3">
        <v>14837.68</v>
      </c>
      <c r="H3533" s="3">
        <v>0</v>
      </c>
      <c r="I3533" s="3">
        <f>SUM(Tabla1[[#This Row],[Monto_Base]],H3533)</f>
        <v>14837.68</v>
      </c>
      <c r="J3533" t="s">
        <v>5046</v>
      </c>
      <c r="K3533" t="s">
        <v>5047</v>
      </c>
      <c r="L3533" t="s">
        <v>5052</v>
      </c>
      <c r="M3533" t="s">
        <v>5055</v>
      </c>
    </row>
    <row r="3534" spans="1:13" x14ac:dyDescent="0.3">
      <c r="A3534" s="1">
        <v>45583</v>
      </c>
      <c r="B3534" s="1" t="str">
        <f>TEXT(Tabla1[[#This Row],[Fecha]],"MMMM")</f>
        <v>octubre</v>
      </c>
      <c r="C3534" t="s">
        <v>3544</v>
      </c>
      <c r="D3534" t="s">
        <v>5019</v>
      </c>
      <c r="E3534" t="s">
        <v>5033</v>
      </c>
      <c r="F3534" t="s">
        <v>5039</v>
      </c>
      <c r="G3534" s="3">
        <v>9970.99</v>
      </c>
      <c r="H3534" s="3">
        <v>1296.23</v>
      </c>
      <c r="I3534" s="3">
        <f>SUM(Tabla1[[#This Row],[Monto_Base]],H3534)</f>
        <v>11267.22</v>
      </c>
      <c r="J3534" t="s">
        <v>5044</v>
      </c>
      <c r="K3534" t="s">
        <v>5047</v>
      </c>
      <c r="L3534" t="s">
        <v>5050</v>
      </c>
      <c r="M3534" t="s">
        <v>5054</v>
      </c>
    </row>
    <row r="3535" spans="1:13" x14ac:dyDescent="0.3">
      <c r="A3535" s="1">
        <v>45488</v>
      </c>
      <c r="B3535" s="1" t="str">
        <f>TEXT(Tabla1[[#This Row],[Fecha]],"MMMM")</f>
        <v>julio</v>
      </c>
      <c r="C3535" t="s">
        <v>3545</v>
      </c>
      <c r="D3535" t="s">
        <v>5024</v>
      </c>
      <c r="E3535" t="s">
        <v>5032</v>
      </c>
      <c r="F3535" t="s">
        <v>5034</v>
      </c>
      <c r="G3535" s="3">
        <v>4179.1099999999997</v>
      </c>
      <c r="H3535" s="3">
        <v>0</v>
      </c>
      <c r="I3535" s="3">
        <f>SUM(Tabla1[[#This Row],[Monto_Base]],H3535)</f>
        <v>4179.1099999999997</v>
      </c>
      <c r="J3535" t="s">
        <v>5045</v>
      </c>
      <c r="K3535" t="s">
        <v>5049</v>
      </c>
      <c r="L3535" t="s">
        <v>5051</v>
      </c>
      <c r="M3535" t="s">
        <v>5055</v>
      </c>
    </row>
    <row r="3536" spans="1:13" x14ac:dyDescent="0.3">
      <c r="A3536" s="1">
        <v>45419</v>
      </c>
      <c r="B3536" s="1" t="str">
        <f>TEXT(Tabla1[[#This Row],[Fecha]],"MMMM")</f>
        <v>mayo</v>
      </c>
      <c r="C3536" t="s">
        <v>3546</v>
      </c>
      <c r="D3536" t="s">
        <v>5022</v>
      </c>
      <c r="E3536" t="s">
        <v>5033</v>
      </c>
      <c r="F3536" t="s">
        <v>5037</v>
      </c>
      <c r="G3536" s="3">
        <v>808.32</v>
      </c>
      <c r="H3536" s="3">
        <v>105.08</v>
      </c>
      <c r="I3536" s="3">
        <f>SUM(Tabla1[[#This Row],[Monto_Base]],H3536)</f>
        <v>913.40000000000009</v>
      </c>
      <c r="J3536" t="s">
        <v>5042</v>
      </c>
      <c r="K3536" t="s">
        <v>5049</v>
      </c>
      <c r="L3536" t="s">
        <v>5053</v>
      </c>
      <c r="M3536" t="s">
        <v>5054</v>
      </c>
    </row>
    <row r="3537" spans="1:13" x14ac:dyDescent="0.3">
      <c r="A3537" s="1">
        <v>45464</v>
      </c>
      <c r="B3537" s="1" t="str">
        <f>TEXT(Tabla1[[#This Row],[Fecha]],"MMMM")</f>
        <v>junio</v>
      </c>
      <c r="C3537" t="s">
        <v>3547</v>
      </c>
      <c r="D3537" t="s">
        <v>5014</v>
      </c>
      <c r="E3537" t="s">
        <v>5032</v>
      </c>
      <c r="F3537" t="s">
        <v>5036</v>
      </c>
      <c r="G3537" s="3">
        <v>5898.18</v>
      </c>
      <c r="H3537" s="3">
        <v>0</v>
      </c>
      <c r="I3537" s="3">
        <f>SUM(Tabla1[[#This Row],[Monto_Base]],H3537)</f>
        <v>5898.18</v>
      </c>
      <c r="J3537" t="s">
        <v>5046</v>
      </c>
      <c r="K3537" t="s">
        <v>5047</v>
      </c>
      <c r="L3537" t="s">
        <v>5051</v>
      </c>
      <c r="M3537" t="s">
        <v>5054</v>
      </c>
    </row>
    <row r="3538" spans="1:13" x14ac:dyDescent="0.3">
      <c r="A3538" s="1">
        <v>45346</v>
      </c>
      <c r="B3538" s="1" t="str">
        <f>TEXT(Tabla1[[#This Row],[Fecha]],"MMMM")</f>
        <v>febrero</v>
      </c>
      <c r="C3538" t="s">
        <v>3548</v>
      </c>
      <c r="D3538" t="s">
        <v>5012</v>
      </c>
      <c r="E3538" t="s">
        <v>5033</v>
      </c>
      <c r="F3538" t="s">
        <v>5039</v>
      </c>
      <c r="G3538" s="3">
        <v>4401.42</v>
      </c>
      <c r="H3538" s="3">
        <v>572.17999999999995</v>
      </c>
      <c r="I3538" s="3">
        <f>SUM(Tabla1[[#This Row],[Monto_Base]],H3538)</f>
        <v>4973.6000000000004</v>
      </c>
      <c r="J3538" t="s">
        <v>5043</v>
      </c>
      <c r="K3538" t="s">
        <v>5048</v>
      </c>
      <c r="L3538" t="s">
        <v>5050</v>
      </c>
      <c r="M3538" t="s">
        <v>5054</v>
      </c>
    </row>
    <row r="3539" spans="1:13" x14ac:dyDescent="0.3">
      <c r="A3539" s="1">
        <v>45632</v>
      </c>
      <c r="B3539" s="1" t="str">
        <f>TEXT(Tabla1[[#This Row],[Fecha]],"MMMM")</f>
        <v>diciembre</v>
      </c>
      <c r="C3539" t="s">
        <v>3549</v>
      </c>
      <c r="D3539" t="s">
        <v>5016</v>
      </c>
      <c r="E3539" t="s">
        <v>5033</v>
      </c>
      <c r="F3539" t="s">
        <v>5040</v>
      </c>
      <c r="G3539" s="3">
        <v>6570.03</v>
      </c>
      <c r="H3539" s="3">
        <v>854.1</v>
      </c>
      <c r="I3539" s="3">
        <f>SUM(Tabla1[[#This Row],[Monto_Base]],H3539)</f>
        <v>7424.13</v>
      </c>
      <c r="J3539" t="s">
        <v>5045</v>
      </c>
      <c r="K3539" t="s">
        <v>5049</v>
      </c>
      <c r="L3539" t="s">
        <v>5051</v>
      </c>
      <c r="M3539" t="s">
        <v>5055</v>
      </c>
    </row>
    <row r="3540" spans="1:13" x14ac:dyDescent="0.3">
      <c r="A3540" s="1">
        <v>45476</v>
      </c>
      <c r="B3540" s="1" t="str">
        <f>TEXT(Tabla1[[#This Row],[Fecha]],"MMMM")</f>
        <v>julio</v>
      </c>
      <c r="C3540" t="s">
        <v>3550</v>
      </c>
      <c r="D3540" t="s">
        <v>5017</v>
      </c>
      <c r="E3540" t="s">
        <v>5033</v>
      </c>
      <c r="F3540" t="s">
        <v>5034</v>
      </c>
      <c r="G3540" s="3">
        <v>6549.52</v>
      </c>
      <c r="H3540" s="3">
        <v>851.44</v>
      </c>
      <c r="I3540" s="3">
        <f>SUM(Tabla1[[#This Row],[Monto_Base]],H3540)</f>
        <v>7400.9600000000009</v>
      </c>
      <c r="J3540" t="s">
        <v>5045</v>
      </c>
      <c r="K3540" t="s">
        <v>5047</v>
      </c>
      <c r="L3540" t="s">
        <v>5051</v>
      </c>
      <c r="M3540" t="s">
        <v>5054</v>
      </c>
    </row>
    <row r="3541" spans="1:13" x14ac:dyDescent="0.3">
      <c r="A3541" s="1">
        <v>45605</v>
      </c>
      <c r="B3541" s="1" t="str">
        <f>TEXT(Tabla1[[#This Row],[Fecha]],"MMMM")</f>
        <v>noviembre</v>
      </c>
      <c r="C3541" t="s">
        <v>3551</v>
      </c>
      <c r="D3541" t="s">
        <v>5019</v>
      </c>
      <c r="E3541" t="s">
        <v>5032</v>
      </c>
      <c r="F3541" t="s">
        <v>5036</v>
      </c>
      <c r="G3541" s="3">
        <v>6616.71</v>
      </c>
      <c r="H3541" s="3">
        <v>0</v>
      </c>
      <c r="I3541" s="3">
        <f>SUM(Tabla1[[#This Row],[Monto_Base]],H3541)</f>
        <v>6616.71</v>
      </c>
      <c r="J3541" t="s">
        <v>5045</v>
      </c>
      <c r="K3541" t="s">
        <v>5049</v>
      </c>
      <c r="L3541" t="s">
        <v>5051</v>
      </c>
      <c r="M3541" t="s">
        <v>5055</v>
      </c>
    </row>
    <row r="3542" spans="1:13" x14ac:dyDescent="0.3">
      <c r="A3542" s="1">
        <v>45447</v>
      </c>
      <c r="B3542" s="1" t="str">
        <f>TEXT(Tabla1[[#This Row],[Fecha]],"MMMM")</f>
        <v>junio</v>
      </c>
      <c r="C3542" t="s">
        <v>3552</v>
      </c>
      <c r="D3542" t="s">
        <v>5031</v>
      </c>
      <c r="E3542" t="s">
        <v>5033</v>
      </c>
      <c r="F3542" t="s">
        <v>5040</v>
      </c>
      <c r="G3542" s="3">
        <v>2706.3</v>
      </c>
      <c r="H3542" s="3">
        <v>351.82</v>
      </c>
      <c r="I3542" s="3">
        <f>SUM(Tabla1[[#This Row],[Monto_Base]],H3542)</f>
        <v>3058.1200000000003</v>
      </c>
      <c r="J3542" t="s">
        <v>5042</v>
      </c>
      <c r="K3542" t="s">
        <v>5047</v>
      </c>
      <c r="L3542" t="s">
        <v>5052</v>
      </c>
      <c r="M3542" t="s">
        <v>5054</v>
      </c>
    </row>
    <row r="3543" spans="1:13" x14ac:dyDescent="0.3">
      <c r="A3543" s="1">
        <v>45603</v>
      </c>
      <c r="B3543" s="1" t="str">
        <f>TEXT(Tabla1[[#This Row],[Fecha]],"MMMM")</f>
        <v>noviembre</v>
      </c>
      <c r="C3543" t="s">
        <v>3553</v>
      </c>
      <c r="D3543" t="s">
        <v>5013</v>
      </c>
      <c r="E3543" t="s">
        <v>5032</v>
      </c>
      <c r="F3543" t="s">
        <v>5039</v>
      </c>
      <c r="G3543" s="3">
        <v>8577.91</v>
      </c>
      <c r="H3543" s="3">
        <v>0</v>
      </c>
      <c r="I3543" s="3">
        <f>SUM(Tabla1[[#This Row],[Monto_Base]],H3543)</f>
        <v>8577.91</v>
      </c>
      <c r="J3543" t="s">
        <v>5044</v>
      </c>
      <c r="K3543" t="s">
        <v>5049</v>
      </c>
      <c r="L3543" t="s">
        <v>5053</v>
      </c>
      <c r="M3543" t="s">
        <v>5055</v>
      </c>
    </row>
    <row r="3544" spans="1:13" x14ac:dyDescent="0.3">
      <c r="A3544" s="1">
        <v>45554</v>
      </c>
      <c r="B3544" s="1" t="str">
        <f>TEXT(Tabla1[[#This Row],[Fecha]],"MMMM")</f>
        <v>septiembre</v>
      </c>
      <c r="C3544" t="s">
        <v>3554</v>
      </c>
      <c r="D3544" t="s">
        <v>5021</v>
      </c>
      <c r="E3544" t="s">
        <v>5033</v>
      </c>
      <c r="F3544" t="s">
        <v>5036</v>
      </c>
      <c r="G3544" s="3">
        <v>3285.17</v>
      </c>
      <c r="H3544" s="3">
        <v>427.07</v>
      </c>
      <c r="I3544" s="3">
        <f>SUM(Tabla1[[#This Row],[Monto_Base]],H3544)</f>
        <v>3712.2400000000002</v>
      </c>
      <c r="J3544" t="s">
        <v>5044</v>
      </c>
      <c r="K3544" t="s">
        <v>5049</v>
      </c>
      <c r="L3544" t="s">
        <v>5050</v>
      </c>
      <c r="M3544" t="s">
        <v>5054</v>
      </c>
    </row>
    <row r="3545" spans="1:13" x14ac:dyDescent="0.3">
      <c r="A3545" s="1">
        <v>45294</v>
      </c>
      <c r="B3545" s="1" t="str">
        <f>TEXT(Tabla1[[#This Row],[Fecha]],"MMMM")</f>
        <v>enero</v>
      </c>
      <c r="C3545" t="s">
        <v>3555</v>
      </c>
      <c r="D3545" t="s">
        <v>5021</v>
      </c>
      <c r="E3545" t="s">
        <v>5033</v>
      </c>
      <c r="F3545" t="s">
        <v>5037</v>
      </c>
      <c r="G3545" s="3">
        <v>4855.6400000000003</v>
      </c>
      <c r="H3545" s="3">
        <v>631.23</v>
      </c>
      <c r="I3545" s="3">
        <f>SUM(Tabla1[[#This Row],[Monto_Base]],H3545)</f>
        <v>5486.8700000000008</v>
      </c>
      <c r="J3545" t="s">
        <v>5045</v>
      </c>
      <c r="K3545" t="s">
        <v>5047</v>
      </c>
      <c r="L3545" t="s">
        <v>5053</v>
      </c>
      <c r="M3545" t="s">
        <v>5054</v>
      </c>
    </row>
    <row r="3546" spans="1:13" x14ac:dyDescent="0.3">
      <c r="A3546" s="1">
        <v>45551</v>
      </c>
      <c r="B3546" s="1" t="str">
        <f>TEXT(Tabla1[[#This Row],[Fecha]],"MMMM")</f>
        <v>septiembre</v>
      </c>
      <c r="C3546" t="s">
        <v>3556</v>
      </c>
      <c r="D3546" t="s">
        <v>5029</v>
      </c>
      <c r="E3546" t="s">
        <v>5033</v>
      </c>
      <c r="F3546" t="s">
        <v>5039</v>
      </c>
      <c r="G3546" s="3">
        <v>822.03</v>
      </c>
      <c r="H3546" s="3">
        <v>106.86</v>
      </c>
      <c r="I3546" s="3">
        <f>SUM(Tabla1[[#This Row],[Monto_Base]],H3546)</f>
        <v>928.89</v>
      </c>
      <c r="J3546" t="s">
        <v>5044</v>
      </c>
      <c r="K3546" t="s">
        <v>5049</v>
      </c>
      <c r="L3546" t="s">
        <v>5051</v>
      </c>
      <c r="M3546" t="s">
        <v>5055</v>
      </c>
    </row>
    <row r="3547" spans="1:13" x14ac:dyDescent="0.3">
      <c r="A3547" s="1">
        <v>45645</v>
      </c>
      <c r="B3547" s="1" t="str">
        <f>TEXT(Tabla1[[#This Row],[Fecha]],"MMMM")</f>
        <v>diciembre</v>
      </c>
      <c r="C3547" t="s">
        <v>3557</v>
      </c>
      <c r="D3547" t="s">
        <v>5019</v>
      </c>
      <c r="E3547" t="s">
        <v>5032</v>
      </c>
      <c r="F3547" t="s">
        <v>5038</v>
      </c>
      <c r="G3547" s="3">
        <v>8179.2</v>
      </c>
      <c r="H3547" s="3">
        <v>0</v>
      </c>
      <c r="I3547" s="3">
        <f>SUM(Tabla1[[#This Row],[Monto_Base]],H3547)</f>
        <v>8179.2</v>
      </c>
      <c r="J3547" t="s">
        <v>5042</v>
      </c>
      <c r="K3547" t="s">
        <v>5047</v>
      </c>
      <c r="L3547" t="s">
        <v>5050</v>
      </c>
      <c r="M3547" t="s">
        <v>5054</v>
      </c>
    </row>
    <row r="3548" spans="1:13" x14ac:dyDescent="0.3">
      <c r="A3548" s="1">
        <v>45459</v>
      </c>
      <c r="B3548" s="1" t="str">
        <f>TEXT(Tabla1[[#This Row],[Fecha]],"MMMM")</f>
        <v>junio</v>
      </c>
      <c r="C3548" t="s">
        <v>3558</v>
      </c>
      <c r="D3548" t="s">
        <v>5017</v>
      </c>
      <c r="E3548" t="s">
        <v>5032</v>
      </c>
      <c r="F3548" t="s">
        <v>5041</v>
      </c>
      <c r="G3548" s="3">
        <v>13309.38</v>
      </c>
      <c r="H3548" s="3">
        <v>0</v>
      </c>
      <c r="I3548" s="3">
        <f>SUM(Tabla1[[#This Row],[Monto_Base]],H3548)</f>
        <v>13309.38</v>
      </c>
      <c r="J3548" t="s">
        <v>5042</v>
      </c>
      <c r="K3548" t="s">
        <v>5047</v>
      </c>
      <c r="L3548" t="s">
        <v>5050</v>
      </c>
      <c r="M3548" t="s">
        <v>5055</v>
      </c>
    </row>
    <row r="3549" spans="1:13" x14ac:dyDescent="0.3">
      <c r="A3549" s="1">
        <v>45368</v>
      </c>
      <c r="B3549" s="1" t="str">
        <f>TEXT(Tabla1[[#This Row],[Fecha]],"MMMM")</f>
        <v>marzo</v>
      </c>
      <c r="C3549" t="s">
        <v>3559</v>
      </c>
      <c r="D3549" t="s">
        <v>5014</v>
      </c>
      <c r="E3549" t="s">
        <v>5033</v>
      </c>
      <c r="F3549" t="s">
        <v>5040</v>
      </c>
      <c r="G3549" s="3">
        <v>2911.26</v>
      </c>
      <c r="H3549" s="3">
        <v>378.46</v>
      </c>
      <c r="I3549" s="3">
        <f>SUM(Tabla1[[#This Row],[Monto_Base]],H3549)</f>
        <v>3289.7200000000003</v>
      </c>
      <c r="J3549" t="s">
        <v>5045</v>
      </c>
      <c r="K3549" t="s">
        <v>5049</v>
      </c>
      <c r="L3549" t="s">
        <v>5053</v>
      </c>
      <c r="M3549" t="s">
        <v>5054</v>
      </c>
    </row>
    <row r="3550" spans="1:13" x14ac:dyDescent="0.3">
      <c r="A3550" s="1">
        <v>45403</v>
      </c>
      <c r="B3550" s="1" t="str">
        <f>TEXT(Tabla1[[#This Row],[Fecha]],"MMMM")</f>
        <v>abril</v>
      </c>
      <c r="C3550" t="s">
        <v>3560</v>
      </c>
      <c r="D3550" t="s">
        <v>5017</v>
      </c>
      <c r="E3550" t="s">
        <v>5033</v>
      </c>
      <c r="F3550" t="s">
        <v>5040</v>
      </c>
      <c r="G3550" s="3">
        <v>13245.9</v>
      </c>
      <c r="H3550" s="3">
        <v>1721.97</v>
      </c>
      <c r="I3550" s="3">
        <f>SUM(Tabla1[[#This Row],[Monto_Base]],H3550)</f>
        <v>14967.869999999999</v>
      </c>
      <c r="J3550" t="s">
        <v>5045</v>
      </c>
      <c r="K3550" t="s">
        <v>5048</v>
      </c>
      <c r="L3550" t="s">
        <v>5050</v>
      </c>
      <c r="M3550" t="s">
        <v>5054</v>
      </c>
    </row>
    <row r="3551" spans="1:13" x14ac:dyDescent="0.3">
      <c r="A3551" s="1">
        <v>45298</v>
      </c>
      <c r="B3551" s="1" t="str">
        <f>TEXT(Tabla1[[#This Row],[Fecha]],"MMMM")</f>
        <v>enero</v>
      </c>
      <c r="C3551" t="s">
        <v>3561</v>
      </c>
      <c r="D3551" t="s">
        <v>5021</v>
      </c>
      <c r="E3551" t="s">
        <v>5033</v>
      </c>
      <c r="F3551" t="s">
        <v>5038</v>
      </c>
      <c r="G3551" s="3">
        <v>14014.59</v>
      </c>
      <c r="H3551" s="3">
        <v>1821.9</v>
      </c>
      <c r="I3551" s="3">
        <f>SUM(Tabla1[[#This Row],[Monto_Base]],H3551)</f>
        <v>15836.49</v>
      </c>
      <c r="J3551" t="s">
        <v>5046</v>
      </c>
      <c r="K3551" t="s">
        <v>5047</v>
      </c>
      <c r="L3551" t="s">
        <v>5051</v>
      </c>
      <c r="M3551" t="s">
        <v>5055</v>
      </c>
    </row>
    <row r="3552" spans="1:13" x14ac:dyDescent="0.3">
      <c r="A3552" s="1">
        <v>45372</v>
      </c>
      <c r="B3552" s="1" t="str">
        <f>TEXT(Tabla1[[#This Row],[Fecha]],"MMMM")</f>
        <v>marzo</v>
      </c>
      <c r="C3552" t="s">
        <v>3562</v>
      </c>
      <c r="D3552" t="s">
        <v>5027</v>
      </c>
      <c r="E3552" t="s">
        <v>5032</v>
      </c>
      <c r="F3552" t="s">
        <v>5036</v>
      </c>
      <c r="G3552" s="3">
        <v>9464.49</v>
      </c>
      <c r="H3552" s="3">
        <v>0</v>
      </c>
      <c r="I3552" s="3">
        <f>SUM(Tabla1[[#This Row],[Monto_Base]],H3552)</f>
        <v>9464.49</v>
      </c>
      <c r="J3552" t="s">
        <v>5045</v>
      </c>
      <c r="K3552" t="s">
        <v>5047</v>
      </c>
      <c r="L3552" t="s">
        <v>5051</v>
      </c>
      <c r="M3552" t="s">
        <v>5054</v>
      </c>
    </row>
    <row r="3553" spans="1:13" x14ac:dyDescent="0.3">
      <c r="A3553" s="1">
        <v>45312</v>
      </c>
      <c r="B3553" s="1" t="str">
        <f>TEXT(Tabla1[[#This Row],[Fecha]],"MMMM")</f>
        <v>enero</v>
      </c>
      <c r="C3553" t="s">
        <v>3563</v>
      </c>
      <c r="D3553" t="s">
        <v>5028</v>
      </c>
      <c r="E3553" t="s">
        <v>5033</v>
      </c>
      <c r="F3553" t="s">
        <v>5037</v>
      </c>
      <c r="G3553" s="3">
        <v>6643.12</v>
      </c>
      <c r="H3553" s="3">
        <v>863.61</v>
      </c>
      <c r="I3553" s="3">
        <f>SUM(Tabla1[[#This Row],[Monto_Base]],H3553)</f>
        <v>7506.73</v>
      </c>
      <c r="J3553" t="s">
        <v>5043</v>
      </c>
      <c r="K3553" t="s">
        <v>5048</v>
      </c>
      <c r="L3553" t="s">
        <v>5050</v>
      </c>
      <c r="M3553" t="s">
        <v>5054</v>
      </c>
    </row>
    <row r="3554" spans="1:13" x14ac:dyDescent="0.3">
      <c r="A3554" s="1">
        <v>45510</v>
      </c>
      <c r="B3554" s="1" t="str">
        <f>TEXT(Tabla1[[#This Row],[Fecha]],"MMMM")</f>
        <v>agosto</v>
      </c>
      <c r="C3554" t="s">
        <v>3564</v>
      </c>
      <c r="D3554" t="s">
        <v>5028</v>
      </c>
      <c r="E3554" t="s">
        <v>5033</v>
      </c>
      <c r="F3554" t="s">
        <v>5041</v>
      </c>
      <c r="G3554" s="3">
        <v>9614.89</v>
      </c>
      <c r="H3554" s="3">
        <v>1249.94</v>
      </c>
      <c r="I3554" s="3">
        <f>SUM(Tabla1[[#This Row],[Monto_Base]],H3554)</f>
        <v>10864.83</v>
      </c>
      <c r="J3554" t="s">
        <v>5043</v>
      </c>
      <c r="K3554" t="s">
        <v>5048</v>
      </c>
      <c r="L3554" t="s">
        <v>5051</v>
      </c>
      <c r="M3554" t="s">
        <v>5054</v>
      </c>
    </row>
    <row r="3555" spans="1:13" x14ac:dyDescent="0.3">
      <c r="A3555" s="1">
        <v>45624</v>
      </c>
      <c r="B3555" s="1" t="str">
        <f>TEXT(Tabla1[[#This Row],[Fecha]],"MMMM")</f>
        <v>noviembre</v>
      </c>
      <c r="C3555" t="s">
        <v>3565</v>
      </c>
      <c r="D3555" t="s">
        <v>5025</v>
      </c>
      <c r="E3555" t="s">
        <v>5033</v>
      </c>
      <c r="F3555" t="s">
        <v>5036</v>
      </c>
      <c r="G3555" s="3">
        <v>643.77</v>
      </c>
      <c r="H3555" s="3">
        <v>83.69</v>
      </c>
      <c r="I3555" s="3">
        <f>SUM(Tabla1[[#This Row],[Monto_Base]],H3555)</f>
        <v>727.46</v>
      </c>
      <c r="J3555" t="s">
        <v>5044</v>
      </c>
      <c r="K3555" t="s">
        <v>5047</v>
      </c>
      <c r="L3555" t="s">
        <v>5051</v>
      </c>
      <c r="M3555" t="s">
        <v>5054</v>
      </c>
    </row>
    <row r="3556" spans="1:13" x14ac:dyDescent="0.3">
      <c r="A3556" s="1">
        <v>45481</v>
      </c>
      <c r="B3556" s="1" t="str">
        <f>TEXT(Tabla1[[#This Row],[Fecha]],"MMMM")</f>
        <v>julio</v>
      </c>
      <c r="C3556" t="s">
        <v>3566</v>
      </c>
      <c r="D3556" t="s">
        <v>5017</v>
      </c>
      <c r="E3556" t="s">
        <v>5033</v>
      </c>
      <c r="F3556" t="s">
        <v>5035</v>
      </c>
      <c r="G3556" s="3">
        <v>13242.92</v>
      </c>
      <c r="H3556" s="3">
        <v>1721.58</v>
      </c>
      <c r="I3556" s="3">
        <f>SUM(Tabla1[[#This Row],[Monto_Base]],H3556)</f>
        <v>14964.5</v>
      </c>
      <c r="J3556" t="s">
        <v>5045</v>
      </c>
      <c r="K3556" t="s">
        <v>5047</v>
      </c>
      <c r="L3556" t="s">
        <v>5050</v>
      </c>
      <c r="M3556" t="s">
        <v>5054</v>
      </c>
    </row>
    <row r="3557" spans="1:13" x14ac:dyDescent="0.3">
      <c r="A3557" s="1">
        <v>45513</v>
      </c>
      <c r="B3557" s="1" t="str">
        <f>TEXT(Tabla1[[#This Row],[Fecha]],"MMMM")</f>
        <v>agosto</v>
      </c>
      <c r="C3557" t="s">
        <v>3567</v>
      </c>
      <c r="D3557" t="s">
        <v>5025</v>
      </c>
      <c r="E3557" t="s">
        <v>5033</v>
      </c>
      <c r="F3557" t="s">
        <v>5040</v>
      </c>
      <c r="G3557" s="3">
        <v>4183.8100000000004</v>
      </c>
      <c r="H3557" s="3">
        <v>543.9</v>
      </c>
      <c r="I3557" s="3">
        <f>SUM(Tabla1[[#This Row],[Monto_Base]],H3557)</f>
        <v>4727.71</v>
      </c>
      <c r="J3557" t="s">
        <v>5044</v>
      </c>
      <c r="K3557" t="s">
        <v>5048</v>
      </c>
      <c r="L3557" t="s">
        <v>5053</v>
      </c>
      <c r="M3557" t="s">
        <v>5055</v>
      </c>
    </row>
    <row r="3558" spans="1:13" x14ac:dyDescent="0.3">
      <c r="A3558" s="1">
        <v>45514</v>
      </c>
      <c r="B3558" s="1" t="str">
        <f>TEXT(Tabla1[[#This Row],[Fecha]],"MMMM")</f>
        <v>agosto</v>
      </c>
      <c r="C3558" t="s">
        <v>3568</v>
      </c>
      <c r="D3558" t="s">
        <v>5031</v>
      </c>
      <c r="E3558" t="s">
        <v>5033</v>
      </c>
      <c r="F3558" t="s">
        <v>5041</v>
      </c>
      <c r="G3558" s="3">
        <v>14971.43</v>
      </c>
      <c r="H3558" s="3">
        <v>1946.29</v>
      </c>
      <c r="I3558" s="3">
        <f>SUM(Tabla1[[#This Row],[Monto_Base]],H3558)</f>
        <v>16917.72</v>
      </c>
      <c r="J3558" t="s">
        <v>5046</v>
      </c>
      <c r="K3558" t="s">
        <v>5049</v>
      </c>
      <c r="L3558" t="s">
        <v>5051</v>
      </c>
      <c r="M3558" t="s">
        <v>5054</v>
      </c>
    </row>
    <row r="3559" spans="1:13" x14ac:dyDescent="0.3">
      <c r="A3559" s="1">
        <v>45553</v>
      </c>
      <c r="B3559" s="1" t="str">
        <f>TEXT(Tabla1[[#This Row],[Fecha]],"MMMM")</f>
        <v>septiembre</v>
      </c>
      <c r="C3559" t="s">
        <v>3569</v>
      </c>
      <c r="D3559" t="s">
        <v>5023</v>
      </c>
      <c r="E3559" t="s">
        <v>5033</v>
      </c>
      <c r="F3559" t="s">
        <v>5039</v>
      </c>
      <c r="G3559" s="3">
        <v>11935.78</v>
      </c>
      <c r="H3559" s="3">
        <v>1551.65</v>
      </c>
      <c r="I3559" s="3">
        <f>SUM(Tabla1[[#This Row],[Monto_Base]],H3559)</f>
        <v>13487.43</v>
      </c>
      <c r="J3559" t="s">
        <v>5042</v>
      </c>
      <c r="K3559" t="s">
        <v>5047</v>
      </c>
      <c r="L3559" t="s">
        <v>5050</v>
      </c>
      <c r="M3559" t="s">
        <v>5054</v>
      </c>
    </row>
    <row r="3560" spans="1:13" x14ac:dyDescent="0.3">
      <c r="A3560" s="1">
        <v>45312</v>
      </c>
      <c r="B3560" s="1" t="str">
        <f>TEXT(Tabla1[[#This Row],[Fecha]],"MMMM")</f>
        <v>enero</v>
      </c>
      <c r="C3560" t="s">
        <v>3570</v>
      </c>
      <c r="D3560" t="s">
        <v>5018</v>
      </c>
      <c r="E3560" t="s">
        <v>5032</v>
      </c>
      <c r="F3560" t="s">
        <v>5035</v>
      </c>
      <c r="G3560" s="3">
        <v>7197.66</v>
      </c>
      <c r="H3560" s="3">
        <v>0</v>
      </c>
      <c r="I3560" s="3">
        <f>SUM(Tabla1[[#This Row],[Monto_Base]],H3560)</f>
        <v>7197.66</v>
      </c>
      <c r="J3560" t="s">
        <v>5044</v>
      </c>
      <c r="K3560" t="s">
        <v>5047</v>
      </c>
      <c r="L3560" t="s">
        <v>5052</v>
      </c>
      <c r="M3560" t="s">
        <v>5055</v>
      </c>
    </row>
    <row r="3561" spans="1:13" x14ac:dyDescent="0.3">
      <c r="A3561" s="1">
        <v>45328</v>
      </c>
      <c r="B3561" s="1" t="str">
        <f>TEXT(Tabla1[[#This Row],[Fecha]],"MMMM")</f>
        <v>febrero</v>
      </c>
      <c r="C3561" t="s">
        <v>3571</v>
      </c>
      <c r="D3561" t="s">
        <v>5024</v>
      </c>
      <c r="E3561" t="s">
        <v>5033</v>
      </c>
      <c r="F3561" t="s">
        <v>5040</v>
      </c>
      <c r="G3561" s="3">
        <v>8703.26</v>
      </c>
      <c r="H3561" s="3">
        <v>1131.42</v>
      </c>
      <c r="I3561" s="3">
        <f>SUM(Tabla1[[#This Row],[Monto_Base]],H3561)</f>
        <v>9834.68</v>
      </c>
      <c r="J3561" t="s">
        <v>5045</v>
      </c>
      <c r="K3561" t="s">
        <v>5049</v>
      </c>
      <c r="L3561" t="s">
        <v>5050</v>
      </c>
      <c r="M3561" t="s">
        <v>5054</v>
      </c>
    </row>
    <row r="3562" spans="1:13" x14ac:dyDescent="0.3">
      <c r="A3562" s="1">
        <v>45531</v>
      </c>
      <c r="B3562" s="1" t="str">
        <f>TEXT(Tabla1[[#This Row],[Fecha]],"MMMM")</f>
        <v>agosto</v>
      </c>
      <c r="C3562" t="s">
        <v>3572</v>
      </c>
      <c r="D3562" t="s">
        <v>5017</v>
      </c>
      <c r="E3562" t="s">
        <v>5032</v>
      </c>
      <c r="F3562" t="s">
        <v>5034</v>
      </c>
      <c r="G3562" s="3">
        <v>4721.3</v>
      </c>
      <c r="H3562" s="3">
        <v>0</v>
      </c>
      <c r="I3562" s="3">
        <f>SUM(Tabla1[[#This Row],[Monto_Base]],H3562)</f>
        <v>4721.3</v>
      </c>
      <c r="J3562" t="s">
        <v>5045</v>
      </c>
      <c r="K3562" t="s">
        <v>5048</v>
      </c>
      <c r="L3562" t="s">
        <v>5053</v>
      </c>
      <c r="M3562" t="s">
        <v>5055</v>
      </c>
    </row>
    <row r="3563" spans="1:13" x14ac:dyDescent="0.3">
      <c r="A3563" s="1">
        <v>45577</v>
      </c>
      <c r="B3563" s="1" t="str">
        <f>TEXT(Tabla1[[#This Row],[Fecha]],"MMMM")</f>
        <v>octubre</v>
      </c>
      <c r="C3563" t="s">
        <v>3573</v>
      </c>
      <c r="D3563" t="s">
        <v>5018</v>
      </c>
      <c r="E3563" t="s">
        <v>5032</v>
      </c>
      <c r="F3563" t="s">
        <v>5040</v>
      </c>
      <c r="G3563" s="3">
        <v>141.63999999999999</v>
      </c>
      <c r="H3563" s="3">
        <v>0</v>
      </c>
      <c r="I3563" s="3">
        <f>SUM(Tabla1[[#This Row],[Monto_Base]],H3563)</f>
        <v>141.63999999999999</v>
      </c>
      <c r="J3563" t="s">
        <v>5042</v>
      </c>
      <c r="K3563" t="s">
        <v>5048</v>
      </c>
      <c r="L3563" t="s">
        <v>5051</v>
      </c>
      <c r="M3563" t="s">
        <v>5055</v>
      </c>
    </row>
    <row r="3564" spans="1:13" x14ac:dyDescent="0.3">
      <c r="A3564" s="1">
        <v>45652</v>
      </c>
      <c r="B3564" s="1" t="str">
        <f>TEXT(Tabla1[[#This Row],[Fecha]],"MMMM")</f>
        <v>diciembre</v>
      </c>
      <c r="C3564" t="s">
        <v>3574</v>
      </c>
      <c r="D3564" t="s">
        <v>5015</v>
      </c>
      <c r="E3564" t="s">
        <v>5032</v>
      </c>
      <c r="F3564" t="s">
        <v>5037</v>
      </c>
      <c r="G3564" s="3">
        <v>7593.3</v>
      </c>
      <c r="H3564" s="3">
        <v>0</v>
      </c>
      <c r="I3564" s="3">
        <f>SUM(Tabla1[[#This Row],[Monto_Base]],H3564)</f>
        <v>7593.3</v>
      </c>
      <c r="J3564" t="s">
        <v>5043</v>
      </c>
      <c r="K3564" t="s">
        <v>5047</v>
      </c>
      <c r="L3564" t="s">
        <v>5053</v>
      </c>
      <c r="M3564" t="s">
        <v>5054</v>
      </c>
    </row>
    <row r="3565" spans="1:13" x14ac:dyDescent="0.3">
      <c r="A3565" s="1">
        <v>45423</v>
      </c>
      <c r="B3565" s="1" t="str">
        <f>TEXT(Tabla1[[#This Row],[Fecha]],"MMMM")</f>
        <v>mayo</v>
      </c>
      <c r="C3565" t="s">
        <v>3575</v>
      </c>
      <c r="D3565" t="s">
        <v>5015</v>
      </c>
      <c r="E3565" t="s">
        <v>5032</v>
      </c>
      <c r="F3565" t="s">
        <v>5036</v>
      </c>
      <c r="G3565" s="3">
        <v>9182.77</v>
      </c>
      <c r="H3565" s="3">
        <v>0</v>
      </c>
      <c r="I3565" s="3">
        <f>SUM(Tabla1[[#This Row],[Monto_Base]],H3565)</f>
        <v>9182.77</v>
      </c>
      <c r="J3565" t="s">
        <v>5042</v>
      </c>
      <c r="K3565" t="s">
        <v>5048</v>
      </c>
      <c r="L3565" t="s">
        <v>5051</v>
      </c>
      <c r="M3565" t="s">
        <v>5055</v>
      </c>
    </row>
    <row r="3566" spans="1:13" x14ac:dyDescent="0.3">
      <c r="A3566" s="1">
        <v>45392</v>
      </c>
      <c r="B3566" s="1" t="str">
        <f>TEXT(Tabla1[[#This Row],[Fecha]],"MMMM")</f>
        <v>abril</v>
      </c>
      <c r="C3566" t="s">
        <v>3576</v>
      </c>
      <c r="D3566" t="s">
        <v>5026</v>
      </c>
      <c r="E3566" t="s">
        <v>5032</v>
      </c>
      <c r="F3566" t="s">
        <v>5040</v>
      </c>
      <c r="G3566" s="3">
        <v>5082.87</v>
      </c>
      <c r="H3566" s="3">
        <v>0</v>
      </c>
      <c r="I3566" s="3">
        <f>SUM(Tabla1[[#This Row],[Monto_Base]],H3566)</f>
        <v>5082.87</v>
      </c>
      <c r="J3566" t="s">
        <v>5046</v>
      </c>
      <c r="K3566" t="s">
        <v>5049</v>
      </c>
      <c r="L3566" t="s">
        <v>5053</v>
      </c>
      <c r="M3566" t="s">
        <v>5055</v>
      </c>
    </row>
    <row r="3567" spans="1:13" x14ac:dyDescent="0.3">
      <c r="A3567" s="1">
        <v>45398</v>
      </c>
      <c r="B3567" s="1" t="str">
        <f>TEXT(Tabla1[[#This Row],[Fecha]],"MMMM")</f>
        <v>abril</v>
      </c>
      <c r="C3567" t="s">
        <v>3577</v>
      </c>
      <c r="D3567" t="s">
        <v>5015</v>
      </c>
      <c r="E3567" t="s">
        <v>5032</v>
      </c>
      <c r="F3567" t="s">
        <v>5036</v>
      </c>
      <c r="G3567" s="3">
        <v>8748.43</v>
      </c>
      <c r="H3567" s="3">
        <v>0</v>
      </c>
      <c r="I3567" s="3">
        <f>SUM(Tabla1[[#This Row],[Monto_Base]],H3567)</f>
        <v>8748.43</v>
      </c>
      <c r="J3567" t="s">
        <v>5044</v>
      </c>
      <c r="K3567" t="s">
        <v>5047</v>
      </c>
      <c r="L3567" t="s">
        <v>5053</v>
      </c>
      <c r="M3567" t="s">
        <v>5054</v>
      </c>
    </row>
    <row r="3568" spans="1:13" x14ac:dyDescent="0.3">
      <c r="A3568" s="1">
        <v>45409</v>
      </c>
      <c r="B3568" s="1" t="str">
        <f>TEXT(Tabla1[[#This Row],[Fecha]],"MMMM")</f>
        <v>abril</v>
      </c>
      <c r="C3568" t="s">
        <v>3578</v>
      </c>
      <c r="D3568" t="s">
        <v>5025</v>
      </c>
      <c r="E3568" t="s">
        <v>5032</v>
      </c>
      <c r="F3568" t="s">
        <v>5040</v>
      </c>
      <c r="G3568" s="3">
        <v>1653.46</v>
      </c>
      <c r="H3568" s="3">
        <v>0</v>
      </c>
      <c r="I3568" s="3">
        <f>SUM(Tabla1[[#This Row],[Monto_Base]],H3568)</f>
        <v>1653.46</v>
      </c>
      <c r="J3568" t="s">
        <v>5043</v>
      </c>
      <c r="K3568" t="s">
        <v>5047</v>
      </c>
      <c r="L3568" t="s">
        <v>5050</v>
      </c>
      <c r="M3568" t="s">
        <v>5055</v>
      </c>
    </row>
    <row r="3569" spans="1:13" x14ac:dyDescent="0.3">
      <c r="A3569" s="1">
        <v>45413</v>
      </c>
      <c r="B3569" s="1" t="str">
        <f>TEXT(Tabla1[[#This Row],[Fecha]],"MMMM")</f>
        <v>mayo</v>
      </c>
      <c r="C3569" t="s">
        <v>3579</v>
      </c>
      <c r="D3569" t="s">
        <v>5015</v>
      </c>
      <c r="E3569" t="s">
        <v>5033</v>
      </c>
      <c r="F3569" t="s">
        <v>5038</v>
      </c>
      <c r="G3569" s="3">
        <v>1020.04</v>
      </c>
      <c r="H3569" s="3">
        <v>132.61000000000001</v>
      </c>
      <c r="I3569" s="3">
        <f>SUM(Tabla1[[#This Row],[Monto_Base]],H3569)</f>
        <v>1152.6500000000001</v>
      </c>
      <c r="J3569" t="s">
        <v>5043</v>
      </c>
      <c r="K3569" t="s">
        <v>5047</v>
      </c>
      <c r="L3569" t="s">
        <v>5052</v>
      </c>
      <c r="M3569" t="s">
        <v>5054</v>
      </c>
    </row>
    <row r="3570" spans="1:13" x14ac:dyDescent="0.3">
      <c r="A3570" s="1">
        <v>45530</v>
      </c>
      <c r="B3570" s="1" t="str">
        <f>TEXT(Tabla1[[#This Row],[Fecha]],"MMMM")</f>
        <v>agosto</v>
      </c>
      <c r="C3570" t="s">
        <v>3580</v>
      </c>
      <c r="D3570" t="s">
        <v>5028</v>
      </c>
      <c r="E3570" t="s">
        <v>5032</v>
      </c>
      <c r="F3570" t="s">
        <v>5041</v>
      </c>
      <c r="G3570" s="3">
        <v>12657.01</v>
      </c>
      <c r="H3570" s="3">
        <v>0</v>
      </c>
      <c r="I3570" s="3">
        <f>SUM(Tabla1[[#This Row],[Monto_Base]],H3570)</f>
        <v>12657.01</v>
      </c>
      <c r="J3570" t="s">
        <v>5045</v>
      </c>
      <c r="K3570" t="s">
        <v>5049</v>
      </c>
      <c r="L3570" t="s">
        <v>5052</v>
      </c>
      <c r="M3570" t="s">
        <v>5054</v>
      </c>
    </row>
    <row r="3571" spans="1:13" x14ac:dyDescent="0.3">
      <c r="A3571" s="1">
        <v>45517</v>
      </c>
      <c r="B3571" s="1" t="str">
        <f>TEXT(Tabla1[[#This Row],[Fecha]],"MMMM")</f>
        <v>agosto</v>
      </c>
      <c r="C3571" t="s">
        <v>3581</v>
      </c>
      <c r="D3571" t="s">
        <v>5023</v>
      </c>
      <c r="E3571" t="s">
        <v>5033</v>
      </c>
      <c r="F3571" t="s">
        <v>5039</v>
      </c>
      <c r="G3571" s="3">
        <v>7763.52</v>
      </c>
      <c r="H3571" s="3">
        <v>1009.26</v>
      </c>
      <c r="I3571" s="3">
        <f>SUM(Tabla1[[#This Row],[Monto_Base]],H3571)</f>
        <v>8772.7800000000007</v>
      </c>
      <c r="J3571" t="s">
        <v>5045</v>
      </c>
      <c r="K3571" t="s">
        <v>5049</v>
      </c>
      <c r="L3571" t="s">
        <v>5052</v>
      </c>
      <c r="M3571" t="s">
        <v>5055</v>
      </c>
    </row>
    <row r="3572" spans="1:13" x14ac:dyDescent="0.3">
      <c r="A3572" s="1">
        <v>45353</v>
      </c>
      <c r="B3572" s="1" t="str">
        <f>TEXT(Tabla1[[#This Row],[Fecha]],"MMMM")</f>
        <v>marzo</v>
      </c>
      <c r="C3572" t="s">
        <v>3582</v>
      </c>
      <c r="D3572" t="s">
        <v>5025</v>
      </c>
      <c r="E3572" t="s">
        <v>5032</v>
      </c>
      <c r="F3572" t="s">
        <v>5039</v>
      </c>
      <c r="G3572" s="3">
        <v>14315.56</v>
      </c>
      <c r="H3572" s="3">
        <v>0</v>
      </c>
      <c r="I3572" s="3">
        <f>SUM(Tabla1[[#This Row],[Monto_Base]],H3572)</f>
        <v>14315.56</v>
      </c>
      <c r="J3572" t="s">
        <v>5045</v>
      </c>
      <c r="K3572" t="s">
        <v>5047</v>
      </c>
      <c r="L3572" t="s">
        <v>5050</v>
      </c>
      <c r="M3572" t="s">
        <v>5055</v>
      </c>
    </row>
    <row r="3573" spans="1:13" x14ac:dyDescent="0.3">
      <c r="A3573" s="1">
        <v>45448</v>
      </c>
      <c r="B3573" s="1" t="str">
        <f>TEXT(Tabla1[[#This Row],[Fecha]],"MMMM")</f>
        <v>junio</v>
      </c>
      <c r="C3573" t="s">
        <v>3583</v>
      </c>
      <c r="D3573" t="s">
        <v>5024</v>
      </c>
      <c r="E3573" t="s">
        <v>5032</v>
      </c>
      <c r="F3573" t="s">
        <v>5034</v>
      </c>
      <c r="G3573" s="3">
        <v>1101.44</v>
      </c>
      <c r="H3573" s="3">
        <v>0</v>
      </c>
      <c r="I3573" s="3">
        <f>SUM(Tabla1[[#This Row],[Monto_Base]],H3573)</f>
        <v>1101.44</v>
      </c>
      <c r="J3573" t="s">
        <v>5042</v>
      </c>
      <c r="K3573" t="s">
        <v>5047</v>
      </c>
      <c r="L3573" t="s">
        <v>5052</v>
      </c>
      <c r="M3573" t="s">
        <v>5054</v>
      </c>
    </row>
    <row r="3574" spans="1:13" x14ac:dyDescent="0.3">
      <c r="A3574" s="1">
        <v>45319</v>
      </c>
      <c r="B3574" s="1" t="str">
        <f>TEXT(Tabla1[[#This Row],[Fecha]],"MMMM")</f>
        <v>enero</v>
      </c>
      <c r="C3574" t="s">
        <v>3584</v>
      </c>
      <c r="D3574" t="s">
        <v>5023</v>
      </c>
      <c r="E3574" t="s">
        <v>5032</v>
      </c>
      <c r="F3574" t="s">
        <v>5039</v>
      </c>
      <c r="G3574" s="3">
        <v>14611.14</v>
      </c>
      <c r="H3574" s="3">
        <v>0</v>
      </c>
      <c r="I3574" s="3">
        <f>SUM(Tabla1[[#This Row],[Monto_Base]],H3574)</f>
        <v>14611.14</v>
      </c>
      <c r="J3574" t="s">
        <v>5043</v>
      </c>
      <c r="K3574" t="s">
        <v>5049</v>
      </c>
      <c r="L3574" t="s">
        <v>5051</v>
      </c>
      <c r="M3574" t="s">
        <v>5055</v>
      </c>
    </row>
    <row r="3575" spans="1:13" x14ac:dyDescent="0.3">
      <c r="A3575" s="1">
        <v>45301</v>
      </c>
      <c r="B3575" s="1" t="str">
        <f>TEXT(Tabla1[[#This Row],[Fecha]],"MMMM")</f>
        <v>enero</v>
      </c>
      <c r="C3575" t="s">
        <v>3585</v>
      </c>
      <c r="D3575" t="s">
        <v>5012</v>
      </c>
      <c r="E3575" t="s">
        <v>5033</v>
      </c>
      <c r="F3575" t="s">
        <v>5036</v>
      </c>
      <c r="G3575" s="3">
        <v>7666</v>
      </c>
      <c r="H3575" s="3">
        <v>996.58</v>
      </c>
      <c r="I3575" s="3">
        <f>SUM(Tabla1[[#This Row],[Monto_Base]],H3575)</f>
        <v>8662.58</v>
      </c>
      <c r="J3575" t="s">
        <v>5046</v>
      </c>
      <c r="K3575" t="s">
        <v>5049</v>
      </c>
      <c r="L3575" t="s">
        <v>5050</v>
      </c>
      <c r="M3575" t="s">
        <v>5055</v>
      </c>
    </row>
    <row r="3576" spans="1:13" x14ac:dyDescent="0.3">
      <c r="A3576" s="1">
        <v>45548</v>
      </c>
      <c r="B3576" s="1" t="str">
        <f>TEXT(Tabla1[[#This Row],[Fecha]],"MMMM")</f>
        <v>septiembre</v>
      </c>
      <c r="C3576" t="s">
        <v>3586</v>
      </c>
      <c r="D3576" t="s">
        <v>5030</v>
      </c>
      <c r="E3576" t="s">
        <v>5033</v>
      </c>
      <c r="F3576" t="s">
        <v>5035</v>
      </c>
      <c r="G3576" s="3">
        <v>1978.39</v>
      </c>
      <c r="H3576" s="3">
        <v>257.19</v>
      </c>
      <c r="I3576" s="3">
        <f>SUM(Tabla1[[#This Row],[Monto_Base]],H3576)</f>
        <v>2235.58</v>
      </c>
      <c r="J3576" t="s">
        <v>5046</v>
      </c>
      <c r="K3576" t="s">
        <v>5048</v>
      </c>
      <c r="L3576" t="s">
        <v>5053</v>
      </c>
      <c r="M3576" t="s">
        <v>5055</v>
      </c>
    </row>
    <row r="3577" spans="1:13" x14ac:dyDescent="0.3">
      <c r="A3577" s="1">
        <v>45557</v>
      </c>
      <c r="B3577" s="1" t="str">
        <f>TEXT(Tabla1[[#This Row],[Fecha]],"MMMM")</f>
        <v>septiembre</v>
      </c>
      <c r="C3577" t="s">
        <v>3587</v>
      </c>
      <c r="D3577" t="s">
        <v>5023</v>
      </c>
      <c r="E3577" t="s">
        <v>5033</v>
      </c>
      <c r="F3577" t="s">
        <v>5041</v>
      </c>
      <c r="G3577" s="3">
        <v>730.84</v>
      </c>
      <c r="H3577" s="3">
        <v>95.01</v>
      </c>
      <c r="I3577" s="3">
        <f>SUM(Tabla1[[#This Row],[Monto_Base]],H3577)</f>
        <v>825.85</v>
      </c>
      <c r="J3577" t="s">
        <v>5044</v>
      </c>
      <c r="K3577" t="s">
        <v>5048</v>
      </c>
      <c r="L3577" t="s">
        <v>5053</v>
      </c>
      <c r="M3577" t="s">
        <v>5055</v>
      </c>
    </row>
    <row r="3578" spans="1:13" x14ac:dyDescent="0.3">
      <c r="A3578" s="1">
        <v>45324</v>
      </c>
      <c r="B3578" s="1" t="str">
        <f>TEXT(Tabla1[[#This Row],[Fecha]],"MMMM")</f>
        <v>febrero</v>
      </c>
      <c r="C3578" t="s">
        <v>3588</v>
      </c>
      <c r="D3578" t="s">
        <v>5016</v>
      </c>
      <c r="E3578" t="s">
        <v>5032</v>
      </c>
      <c r="F3578" t="s">
        <v>5034</v>
      </c>
      <c r="G3578" s="3">
        <v>2796.57</v>
      </c>
      <c r="H3578" s="3">
        <v>0</v>
      </c>
      <c r="I3578" s="3">
        <f>SUM(Tabla1[[#This Row],[Monto_Base]],H3578)</f>
        <v>2796.57</v>
      </c>
      <c r="J3578" t="s">
        <v>5044</v>
      </c>
      <c r="K3578" t="s">
        <v>5049</v>
      </c>
      <c r="L3578" t="s">
        <v>5050</v>
      </c>
      <c r="M3578" t="s">
        <v>5054</v>
      </c>
    </row>
    <row r="3579" spans="1:13" x14ac:dyDescent="0.3">
      <c r="A3579" s="1">
        <v>45451</v>
      </c>
      <c r="B3579" s="1" t="str">
        <f>TEXT(Tabla1[[#This Row],[Fecha]],"MMMM")</f>
        <v>junio</v>
      </c>
      <c r="C3579" t="s">
        <v>3589</v>
      </c>
      <c r="D3579" t="s">
        <v>5026</v>
      </c>
      <c r="E3579" t="s">
        <v>5033</v>
      </c>
      <c r="F3579" t="s">
        <v>5038</v>
      </c>
      <c r="G3579" s="3">
        <v>2856.23</v>
      </c>
      <c r="H3579" s="3">
        <v>371.31</v>
      </c>
      <c r="I3579" s="3">
        <f>SUM(Tabla1[[#This Row],[Monto_Base]],H3579)</f>
        <v>3227.54</v>
      </c>
      <c r="J3579" t="s">
        <v>5043</v>
      </c>
      <c r="K3579" t="s">
        <v>5048</v>
      </c>
      <c r="L3579" t="s">
        <v>5052</v>
      </c>
      <c r="M3579" t="s">
        <v>5054</v>
      </c>
    </row>
    <row r="3580" spans="1:13" x14ac:dyDescent="0.3">
      <c r="A3580" s="1">
        <v>45476</v>
      </c>
      <c r="B3580" s="1" t="str">
        <f>TEXT(Tabla1[[#This Row],[Fecha]],"MMMM")</f>
        <v>julio</v>
      </c>
      <c r="C3580" t="s">
        <v>3590</v>
      </c>
      <c r="D3580" t="s">
        <v>5029</v>
      </c>
      <c r="E3580" t="s">
        <v>5033</v>
      </c>
      <c r="F3580" t="s">
        <v>5036</v>
      </c>
      <c r="G3580" s="3">
        <v>698.65</v>
      </c>
      <c r="H3580" s="3">
        <v>90.82</v>
      </c>
      <c r="I3580" s="3">
        <f>SUM(Tabla1[[#This Row],[Monto_Base]],H3580)</f>
        <v>789.47</v>
      </c>
      <c r="J3580" t="s">
        <v>5045</v>
      </c>
      <c r="K3580" t="s">
        <v>5047</v>
      </c>
      <c r="L3580" t="s">
        <v>5053</v>
      </c>
      <c r="M3580" t="s">
        <v>5055</v>
      </c>
    </row>
    <row r="3581" spans="1:13" x14ac:dyDescent="0.3">
      <c r="A3581" s="1">
        <v>45348</v>
      </c>
      <c r="B3581" s="1" t="str">
        <f>TEXT(Tabla1[[#This Row],[Fecha]],"MMMM")</f>
        <v>febrero</v>
      </c>
      <c r="C3581" t="s">
        <v>3591</v>
      </c>
      <c r="D3581" t="s">
        <v>5022</v>
      </c>
      <c r="E3581" t="s">
        <v>5033</v>
      </c>
      <c r="F3581" t="s">
        <v>5035</v>
      </c>
      <c r="G3581" s="3">
        <v>9453.64</v>
      </c>
      <c r="H3581" s="3">
        <v>1228.97</v>
      </c>
      <c r="I3581" s="3">
        <f>SUM(Tabla1[[#This Row],[Monto_Base]],H3581)</f>
        <v>10682.609999999999</v>
      </c>
      <c r="J3581" t="s">
        <v>5046</v>
      </c>
      <c r="K3581" t="s">
        <v>5047</v>
      </c>
      <c r="L3581" t="s">
        <v>5052</v>
      </c>
      <c r="M3581" t="s">
        <v>5055</v>
      </c>
    </row>
    <row r="3582" spans="1:13" x14ac:dyDescent="0.3">
      <c r="A3582" s="1">
        <v>45533</v>
      </c>
      <c r="B3582" s="1" t="str">
        <f>TEXT(Tabla1[[#This Row],[Fecha]],"MMMM")</f>
        <v>agosto</v>
      </c>
      <c r="C3582" t="s">
        <v>3592</v>
      </c>
      <c r="D3582" t="s">
        <v>5020</v>
      </c>
      <c r="E3582" t="s">
        <v>5032</v>
      </c>
      <c r="F3582" t="s">
        <v>5038</v>
      </c>
      <c r="G3582" s="3">
        <v>2040.71</v>
      </c>
      <c r="H3582" s="3">
        <v>0</v>
      </c>
      <c r="I3582" s="3">
        <f>SUM(Tabla1[[#This Row],[Monto_Base]],H3582)</f>
        <v>2040.71</v>
      </c>
      <c r="J3582" t="s">
        <v>5046</v>
      </c>
      <c r="K3582" t="s">
        <v>5049</v>
      </c>
      <c r="L3582" t="s">
        <v>5052</v>
      </c>
      <c r="M3582" t="s">
        <v>5054</v>
      </c>
    </row>
    <row r="3583" spans="1:13" x14ac:dyDescent="0.3">
      <c r="A3583" s="1">
        <v>45542</v>
      </c>
      <c r="B3583" s="1" t="str">
        <f>TEXT(Tabla1[[#This Row],[Fecha]],"MMMM")</f>
        <v>septiembre</v>
      </c>
      <c r="C3583" t="s">
        <v>3593</v>
      </c>
      <c r="D3583" t="s">
        <v>5019</v>
      </c>
      <c r="E3583" t="s">
        <v>5032</v>
      </c>
      <c r="F3583" t="s">
        <v>5039</v>
      </c>
      <c r="G3583" s="3">
        <v>9871.2000000000007</v>
      </c>
      <c r="H3583" s="3">
        <v>0</v>
      </c>
      <c r="I3583" s="3">
        <f>SUM(Tabla1[[#This Row],[Monto_Base]],H3583)</f>
        <v>9871.2000000000007</v>
      </c>
      <c r="J3583" t="s">
        <v>5043</v>
      </c>
      <c r="K3583" t="s">
        <v>5047</v>
      </c>
      <c r="L3583" t="s">
        <v>5050</v>
      </c>
      <c r="M3583" t="s">
        <v>5055</v>
      </c>
    </row>
    <row r="3584" spans="1:13" x14ac:dyDescent="0.3">
      <c r="A3584" s="1">
        <v>45324</v>
      </c>
      <c r="B3584" s="1" t="str">
        <f>TEXT(Tabla1[[#This Row],[Fecha]],"MMMM")</f>
        <v>febrero</v>
      </c>
      <c r="C3584" t="s">
        <v>3594</v>
      </c>
      <c r="D3584" t="s">
        <v>5019</v>
      </c>
      <c r="E3584" t="s">
        <v>5032</v>
      </c>
      <c r="F3584" t="s">
        <v>5041</v>
      </c>
      <c r="G3584" s="3">
        <v>13771.48</v>
      </c>
      <c r="H3584" s="3">
        <v>0</v>
      </c>
      <c r="I3584" s="3">
        <f>SUM(Tabla1[[#This Row],[Monto_Base]],H3584)</f>
        <v>13771.48</v>
      </c>
      <c r="J3584" t="s">
        <v>5046</v>
      </c>
      <c r="K3584" t="s">
        <v>5049</v>
      </c>
      <c r="L3584" t="s">
        <v>5050</v>
      </c>
      <c r="M3584" t="s">
        <v>5055</v>
      </c>
    </row>
    <row r="3585" spans="1:13" x14ac:dyDescent="0.3">
      <c r="A3585" s="1">
        <v>45585</v>
      </c>
      <c r="B3585" s="1" t="str">
        <f>TEXT(Tabla1[[#This Row],[Fecha]],"MMMM")</f>
        <v>octubre</v>
      </c>
      <c r="C3585" t="s">
        <v>3595</v>
      </c>
      <c r="D3585" t="s">
        <v>5026</v>
      </c>
      <c r="E3585" t="s">
        <v>5033</v>
      </c>
      <c r="F3585" t="s">
        <v>5036</v>
      </c>
      <c r="G3585" s="3">
        <v>8018.81</v>
      </c>
      <c r="H3585" s="3">
        <v>1042.45</v>
      </c>
      <c r="I3585" s="3">
        <f>SUM(Tabla1[[#This Row],[Monto_Base]],H3585)</f>
        <v>9061.26</v>
      </c>
      <c r="J3585" t="s">
        <v>5046</v>
      </c>
      <c r="K3585" t="s">
        <v>5049</v>
      </c>
      <c r="L3585" t="s">
        <v>5050</v>
      </c>
      <c r="M3585" t="s">
        <v>5054</v>
      </c>
    </row>
    <row r="3586" spans="1:13" x14ac:dyDescent="0.3">
      <c r="A3586" s="1">
        <v>45476</v>
      </c>
      <c r="B3586" s="1" t="str">
        <f>TEXT(Tabla1[[#This Row],[Fecha]],"MMMM")</f>
        <v>julio</v>
      </c>
      <c r="C3586" t="s">
        <v>3596</v>
      </c>
      <c r="D3586" t="s">
        <v>5021</v>
      </c>
      <c r="E3586" t="s">
        <v>5032</v>
      </c>
      <c r="F3586" t="s">
        <v>5034</v>
      </c>
      <c r="G3586" s="3">
        <v>630.58000000000004</v>
      </c>
      <c r="H3586" s="3">
        <v>0</v>
      </c>
      <c r="I3586" s="3">
        <f>SUM(Tabla1[[#This Row],[Monto_Base]],H3586)</f>
        <v>630.58000000000004</v>
      </c>
      <c r="J3586" t="s">
        <v>5045</v>
      </c>
      <c r="K3586" t="s">
        <v>5049</v>
      </c>
      <c r="L3586" t="s">
        <v>5051</v>
      </c>
      <c r="M3586" t="s">
        <v>5055</v>
      </c>
    </row>
    <row r="3587" spans="1:13" x14ac:dyDescent="0.3">
      <c r="A3587" s="1">
        <v>45525</v>
      </c>
      <c r="B3587" s="1" t="str">
        <f>TEXT(Tabla1[[#This Row],[Fecha]],"MMMM")</f>
        <v>agosto</v>
      </c>
      <c r="C3587" t="s">
        <v>3597</v>
      </c>
      <c r="D3587" t="s">
        <v>5016</v>
      </c>
      <c r="E3587" t="s">
        <v>5032</v>
      </c>
      <c r="F3587" t="s">
        <v>5036</v>
      </c>
      <c r="G3587" s="3">
        <v>9695.75</v>
      </c>
      <c r="H3587" s="3">
        <v>0</v>
      </c>
      <c r="I3587" s="3">
        <f>SUM(Tabla1[[#This Row],[Monto_Base]],H3587)</f>
        <v>9695.75</v>
      </c>
      <c r="J3587" t="s">
        <v>5046</v>
      </c>
      <c r="K3587" t="s">
        <v>5048</v>
      </c>
      <c r="L3587" t="s">
        <v>5053</v>
      </c>
      <c r="M3587" t="s">
        <v>5054</v>
      </c>
    </row>
    <row r="3588" spans="1:13" x14ac:dyDescent="0.3">
      <c r="A3588" s="1">
        <v>45312</v>
      </c>
      <c r="B3588" s="1" t="str">
        <f>TEXT(Tabla1[[#This Row],[Fecha]],"MMMM")</f>
        <v>enero</v>
      </c>
      <c r="C3588" t="s">
        <v>3598</v>
      </c>
      <c r="D3588" t="s">
        <v>5014</v>
      </c>
      <c r="E3588" t="s">
        <v>5032</v>
      </c>
      <c r="F3588" t="s">
        <v>5038</v>
      </c>
      <c r="G3588" s="3">
        <v>10932.32</v>
      </c>
      <c r="H3588" s="3">
        <v>0</v>
      </c>
      <c r="I3588" s="3">
        <f>SUM(Tabla1[[#This Row],[Monto_Base]],H3588)</f>
        <v>10932.32</v>
      </c>
      <c r="J3588" t="s">
        <v>5046</v>
      </c>
      <c r="K3588" t="s">
        <v>5049</v>
      </c>
      <c r="L3588" t="s">
        <v>5053</v>
      </c>
      <c r="M3588" t="s">
        <v>5055</v>
      </c>
    </row>
    <row r="3589" spans="1:13" x14ac:dyDescent="0.3">
      <c r="A3589" s="1">
        <v>45346</v>
      </c>
      <c r="B3589" s="1" t="str">
        <f>TEXT(Tabla1[[#This Row],[Fecha]],"MMMM")</f>
        <v>febrero</v>
      </c>
      <c r="C3589" t="s">
        <v>3599</v>
      </c>
      <c r="D3589" t="s">
        <v>5020</v>
      </c>
      <c r="E3589" t="s">
        <v>5032</v>
      </c>
      <c r="F3589" t="s">
        <v>5034</v>
      </c>
      <c r="G3589" s="3">
        <v>13612.23</v>
      </c>
      <c r="H3589" s="3">
        <v>0</v>
      </c>
      <c r="I3589" s="3">
        <f>SUM(Tabla1[[#This Row],[Monto_Base]],H3589)</f>
        <v>13612.23</v>
      </c>
      <c r="J3589" t="s">
        <v>5042</v>
      </c>
      <c r="K3589" t="s">
        <v>5049</v>
      </c>
      <c r="L3589" t="s">
        <v>5051</v>
      </c>
      <c r="M3589" t="s">
        <v>5054</v>
      </c>
    </row>
    <row r="3590" spans="1:13" x14ac:dyDescent="0.3">
      <c r="A3590" s="1">
        <v>45448</v>
      </c>
      <c r="B3590" s="1" t="str">
        <f>TEXT(Tabla1[[#This Row],[Fecha]],"MMMM")</f>
        <v>junio</v>
      </c>
      <c r="C3590" t="s">
        <v>3600</v>
      </c>
      <c r="D3590" t="s">
        <v>5028</v>
      </c>
      <c r="E3590" t="s">
        <v>5033</v>
      </c>
      <c r="F3590" t="s">
        <v>5040</v>
      </c>
      <c r="G3590" s="3">
        <v>13512.89</v>
      </c>
      <c r="H3590" s="3">
        <v>1756.68</v>
      </c>
      <c r="I3590" s="3">
        <f>SUM(Tabla1[[#This Row],[Monto_Base]],H3590)</f>
        <v>15269.57</v>
      </c>
      <c r="J3590" t="s">
        <v>5042</v>
      </c>
      <c r="K3590" t="s">
        <v>5047</v>
      </c>
      <c r="L3590" t="s">
        <v>5052</v>
      </c>
      <c r="M3590" t="s">
        <v>5054</v>
      </c>
    </row>
    <row r="3591" spans="1:13" x14ac:dyDescent="0.3">
      <c r="A3591" s="1">
        <v>45502</v>
      </c>
      <c r="B3591" s="1" t="str">
        <f>TEXT(Tabla1[[#This Row],[Fecha]],"MMMM")</f>
        <v>julio</v>
      </c>
      <c r="C3591" t="s">
        <v>3601</v>
      </c>
      <c r="D3591" t="s">
        <v>5030</v>
      </c>
      <c r="E3591" t="s">
        <v>5032</v>
      </c>
      <c r="F3591" t="s">
        <v>5038</v>
      </c>
      <c r="G3591" s="3">
        <v>514.9</v>
      </c>
      <c r="H3591" s="3">
        <v>0</v>
      </c>
      <c r="I3591" s="3">
        <f>SUM(Tabla1[[#This Row],[Monto_Base]],H3591)</f>
        <v>514.9</v>
      </c>
      <c r="J3591" t="s">
        <v>5046</v>
      </c>
      <c r="K3591" t="s">
        <v>5049</v>
      </c>
      <c r="L3591" t="s">
        <v>5051</v>
      </c>
      <c r="M3591" t="s">
        <v>5055</v>
      </c>
    </row>
    <row r="3592" spans="1:13" x14ac:dyDescent="0.3">
      <c r="A3592" s="1">
        <v>45617</v>
      </c>
      <c r="B3592" s="1" t="str">
        <f>TEXT(Tabla1[[#This Row],[Fecha]],"MMMM")</f>
        <v>noviembre</v>
      </c>
      <c r="C3592" t="s">
        <v>3602</v>
      </c>
      <c r="D3592" t="s">
        <v>5022</v>
      </c>
      <c r="E3592" t="s">
        <v>5033</v>
      </c>
      <c r="F3592" t="s">
        <v>5035</v>
      </c>
      <c r="G3592" s="3">
        <v>11096.28</v>
      </c>
      <c r="H3592" s="3">
        <v>1442.52</v>
      </c>
      <c r="I3592" s="3">
        <f>SUM(Tabla1[[#This Row],[Monto_Base]],H3592)</f>
        <v>12538.800000000001</v>
      </c>
      <c r="J3592" t="s">
        <v>5045</v>
      </c>
      <c r="K3592" t="s">
        <v>5048</v>
      </c>
      <c r="L3592" t="s">
        <v>5052</v>
      </c>
      <c r="M3592" t="s">
        <v>5055</v>
      </c>
    </row>
    <row r="3593" spans="1:13" x14ac:dyDescent="0.3">
      <c r="A3593" s="1">
        <v>45624</v>
      </c>
      <c r="B3593" s="1" t="str">
        <f>TEXT(Tabla1[[#This Row],[Fecha]],"MMMM")</f>
        <v>noviembre</v>
      </c>
      <c r="C3593" t="s">
        <v>3603</v>
      </c>
      <c r="D3593" t="s">
        <v>5028</v>
      </c>
      <c r="E3593" t="s">
        <v>5033</v>
      </c>
      <c r="F3593" t="s">
        <v>5040</v>
      </c>
      <c r="G3593" s="3">
        <v>5417.67</v>
      </c>
      <c r="H3593" s="3">
        <v>704.3</v>
      </c>
      <c r="I3593" s="3">
        <f>SUM(Tabla1[[#This Row],[Monto_Base]],H3593)</f>
        <v>6121.97</v>
      </c>
      <c r="J3593" t="s">
        <v>5044</v>
      </c>
      <c r="K3593" t="s">
        <v>5049</v>
      </c>
      <c r="L3593" t="s">
        <v>5051</v>
      </c>
      <c r="M3593" t="s">
        <v>5054</v>
      </c>
    </row>
    <row r="3594" spans="1:13" x14ac:dyDescent="0.3">
      <c r="A3594" s="1">
        <v>45556</v>
      </c>
      <c r="B3594" s="1" t="str">
        <f>TEXT(Tabla1[[#This Row],[Fecha]],"MMMM")</f>
        <v>septiembre</v>
      </c>
      <c r="C3594" t="s">
        <v>3604</v>
      </c>
      <c r="D3594" t="s">
        <v>5029</v>
      </c>
      <c r="E3594" t="s">
        <v>5032</v>
      </c>
      <c r="F3594" t="s">
        <v>5035</v>
      </c>
      <c r="G3594" s="3">
        <v>6780.13</v>
      </c>
      <c r="H3594" s="3">
        <v>0</v>
      </c>
      <c r="I3594" s="3">
        <f>SUM(Tabla1[[#This Row],[Monto_Base]],H3594)</f>
        <v>6780.13</v>
      </c>
      <c r="J3594" t="s">
        <v>5042</v>
      </c>
      <c r="K3594" t="s">
        <v>5049</v>
      </c>
      <c r="L3594" t="s">
        <v>5050</v>
      </c>
      <c r="M3594" t="s">
        <v>5055</v>
      </c>
    </row>
    <row r="3595" spans="1:13" x14ac:dyDescent="0.3">
      <c r="A3595" s="1">
        <v>45346</v>
      </c>
      <c r="B3595" s="1" t="str">
        <f>TEXT(Tabla1[[#This Row],[Fecha]],"MMMM")</f>
        <v>febrero</v>
      </c>
      <c r="C3595" t="s">
        <v>3605</v>
      </c>
      <c r="D3595" t="s">
        <v>5016</v>
      </c>
      <c r="E3595" t="s">
        <v>5033</v>
      </c>
      <c r="F3595" t="s">
        <v>5039</v>
      </c>
      <c r="G3595" s="3">
        <v>14625.57</v>
      </c>
      <c r="H3595" s="3">
        <v>1901.32</v>
      </c>
      <c r="I3595" s="3">
        <f>SUM(Tabla1[[#This Row],[Monto_Base]],H3595)</f>
        <v>16526.89</v>
      </c>
      <c r="J3595" t="s">
        <v>5045</v>
      </c>
      <c r="K3595" t="s">
        <v>5049</v>
      </c>
      <c r="L3595" t="s">
        <v>5053</v>
      </c>
      <c r="M3595" t="s">
        <v>5055</v>
      </c>
    </row>
    <row r="3596" spans="1:13" x14ac:dyDescent="0.3">
      <c r="A3596" s="1">
        <v>45608</v>
      </c>
      <c r="B3596" s="1" t="str">
        <f>TEXT(Tabla1[[#This Row],[Fecha]],"MMMM")</f>
        <v>noviembre</v>
      </c>
      <c r="C3596" t="s">
        <v>3606</v>
      </c>
      <c r="D3596" t="s">
        <v>5012</v>
      </c>
      <c r="E3596" t="s">
        <v>5032</v>
      </c>
      <c r="F3596" t="s">
        <v>5035</v>
      </c>
      <c r="G3596" s="3">
        <v>11546.98</v>
      </c>
      <c r="H3596" s="3">
        <v>0</v>
      </c>
      <c r="I3596" s="3">
        <f>SUM(Tabla1[[#This Row],[Monto_Base]],H3596)</f>
        <v>11546.98</v>
      </c>
      <c r="J3596" t="s">
        <v>5044</v>
      </c>
      <c r="K3596" t="s">
        <v>5048</v>
      </c>
      <c r="L3596" t="s">
        <v>5053</v>
      </c>
      <c r="M3596" t="s">
        <v>5054</v>
      </c>
    </row>
    <row r="3597" spans="1:13" x14ac:dyDescent="0.3">
      <c r="A3597" s="1">
        <v>45479</v>
      </c>
      <c r="B3597" s="1" t="str">
        <f>TEXT(Tabla1[[#This Row],[Fecha]],"MMMM")</f>
        <v>julio</v>
      </c>
      <c r="C3597" t="s">
        <v>3607</v>
      </c>
      <c r="D3597" t="s">
        <v>5021</v>
      </c>
      <c r="E3597" t="s">
        <v>5032</v>
      </c>
      <c r="F3597" t="s">
        <v>5036</v>
      </c>
      <c r="G3597" s="3">
        <v>10336.84</v>
      </c>
      <c r="H3597" s="3">
        <v>0</v>
      </c>
      <c r="I3597" s="3">
        <f>SUM(Tabla1[[#This Row],[Monto_Base]],H3597)</f>
        <v>10336.84</v>
      </c>
      <c r="J3597" t="s">
        <v>5043</v>
      </c>
      <c r="K3597" t="s">
        <v>5049</v>
      </c>
      <c r="L3597" t="s">
        <v>5053</v>
      </c>
      <c r="M3597" t="s">
        <v>5055</v>
      </c>
    </row>
    <row r="3598" spans="1:13" x14ac:dyDescent="0.3">
      <c r="A3598" s="1">
        <v>45333</v>
      </c>
      <c r="B3598" s="1" t="str">
        <f>TEXT(Tabla1[[#This Row],[Fecha]],"MMMM")</f>
        <v>febrero</v>
      </c>
      <c r="C3598" t="s">
        <v>3608</v>
      </c>
      <c r="D3598" t="s">
        <v>5012</v>
      </c>
      <c r="E3598" t="s">
        <v>5032</v>
      </c>
      <c r="F3598" t="s">
        <v>5037</v>
      </c>
      <c r="G3598" s="3">
        <v>6162.38</v>
      </c>
      <c r="H3598" s="3">
        <v>0</v>
      </c>
      <c r="I3598" s="3">
        <f>SUM(Tabla1[[#This Row],[Monto_Base]],H3598)</f>
        <v>6162.38</v>
      </c>
      <c r="J3598" t="s">
        <v>5042</v>
      </c>
      <c r="K3598" t="s">
        <v>5048</v>
      </c>
      <c r="L3598" t="s">
        <v>5051</v>
      </c>
      <c r="M3598" t="s">
        <v>5055</v>
      </c>
    </row>
    <row r="3599" spans="1:13" x14ac:dyDescent="0.3">
      <c r="A3599" s="1">
        <v>45546</v>
      </c>
      <c r="B3599" s="1" t="str">
        <f>TEXT(Tabla1[[#This Row],[Fecha]],"MMMM")</f>
        <v>septiembre</v>
      </c>
      <c r="C3599" t="s">
        <v>3609</v>
      </c>
      <c r="D3599" t="s">
        <v>5027</v>
      </c>
      <c r="E3599" t="s">
        <v>5033</v>
      </c>
      <c r="F3599" t="s">
        <v>5038</v>
      </c>
      <c r="G3599" s="3">
        <v>4544.25</v>
      </c>
      <c r="H3599" s="3">
        <v>590.75</v>
      </c>
      <c r="I3599" s="3">
        <f>SUM(Tabla1[[#This Row],[Monto_Base]],H3599)</f>
        <v>5135</v>
      </c>
      <c r="J3599" t="s">
        <v>5045</v>
      </c>
      <c r="K3599" t="s">
        <v>5049</v>
      </c>
      <c r="L3599" t="s">
        <v>5051</v>
      </c>
      <c r="M3599" t="s">
        <v>5055</v>
      </c>
    </row>
    <row r="3600" spans="1:13" x14ac:dyDescent="0.3">
      <c r="A3600" s="1">
        <v>45549</v>
      </c>
      <c r="B3600" s="1" t="str">
        <f>TEXT(Tabla1[[#This Row],[Fecha]],"MMMM")</f>
        <v>septiembre</v>
      </c>
      <c r="C3600" t="s">
        <v>3610</v>
      </c>
      <c r="D3600" t="s">
        <v>5030</v>
      </c>
      <c r="E3600" t="s">
        <v>5033</v>
      </c>
      <c r="F3600" t="s">
        <v>5035</v>
      </c>
      <c r="G3600" s="3">
        <v>14695.95</v>
      </c>
      <c r="H3600" s="3">
        <v>1910.47</v>
      </c>
      <c r="I3600" s="3">
        <f>SUM(Tabla1[[#This Row],[Monto_Base]],H3600)</f>
        <v>16606.420000000002</v>
      </c>
      <c r="J3600" t="s">
        <v>5043</v>
      </c>
      <c r="K3600" t="s">
        <v>5048</v>
      </c>
      <c r="L3600" t="s">
        <v>5053</v>
      </c>
      <c r="M3600" t="s">
        <v>5054</v>
      </c>
    </row>
    <row r="3601" spans="1:13" x14ac:dyDescent="0.3">
      <c r="A3601" s="1">
        <v>45646</v>
      </c>
      <c r="B3601" s="1" t="str">
        <f>TEXT(Tabla1[[#This Row],[Fecha]],"MMMM")</f>
        <v>diciembre</v>
      </c>
      <c r="C3601" t="s">
        <v>3611</v>
      </c>
      <c r="D3601" t="s">
        <v>5026</v>
      </c>
      <c r="E3601" t="s">
        <v>5032</v>
      </c>
      <c r="F3601" t="s">
        <v>5041</v>
      </c>
      <c r="G3601" s="3">
        <v>11659.54</v>
      </c>
      <c r="H3601" s="3">
        <v>0</v>
      </c>
      <c r="I3601" s="3">
        <f>SUM(Tabla1[[#This Row],[Monto_Base]],H3601)</f>
        <v>11659.54</v>
      </c>
      <c r="J3601" t="s">
        <v>5044</v>
      </c>
      <c r="K3601" t="s">
        <v>5049</v>
      </c>
      <c r="L3601" t="s">
        <v>5051</v>
      </c>
      <c r="M3601" t="s">
        <v>5054</v>
      </c>
    </row>
    <row r="3602" spans="1:13" x14ac:dyDescent="0.3">
      <c r="A3602" s="1">
        <v>45484</v>
      </c>
      <c r="B3602" s="1" t="str">
        <f>TEXT(Tabla1[[#This Row],[Fecha]],"MMMM")</f>
        <v>julio</v>
      </c>
      <c r="C3602" t="s">
        <v>3612</v>
      </c>
      <c r="D3602" t="s">
        <v>5018</v>
      </c>
      <c r="E3602" t="s">
        <v>5033</v>
      </c>
      <c r="F3602" t="s">
        <v>5039</v>
      </c>
      <c r="G3602" s="3">
        <v>4653.97</v>
      </c>
      <c r="H3602" s="3">
        <v>605.02</v>
      </c>
      <c r="I3602" s="3">
        <f>SUM(Tabla1[[#This Row],[Monto_Base]],H3602)</f>
        <v>5258.99</v>
      </c>
      <c r="J3602" t="s">
        <v>5043</v>
      </c>
      <c r="K3602" t="s">
        <v>5049</v>
      </c>
      <c r="L3602" t="s">
        <v>5050</v>
      </c>
      <c r="M3602" t="s">
        <v>5055</v>
      </c>
    </row>
    <row r="3603" spans="1:13" x14ac:dyDescent="0.3">
      <c r="A3603" s="1">
        <v>45408</v>
      </c>
      <c r="B3603" s="1" t="str">
        <f>TEXT(Tabla1[[#This Row],[Fecha]],"MMMM")</f>
        <v>abril</v>
      </c>
      <c r="C3603" t="s">
        <v>3613</v>
      </c>
      <c r="D3603" t="s">
        <v>5017</v>
      </c>
      <c r="E3603" t="s">
        <v>5033</v>
      </c>
      <c r="F3603" t="s">
        <v>5038</v>
      </c>
      <c r="G3603" s="3">
        <v>11981.52</v>
      </c>
      <c r="H3603" s="3">
        <v>1557.6</v>
      </c>
      <c r="I3603" s="3">
        <f>SUM(Tabla1[[#This Row],[Monto_Base]],H3603)</f>
        <v>13539.12</v>
      </c>
      <c r="J3603" t="s">
        <v>5042</v>
      </c>
      <c r="K3603" t="s">
        <v>5047</v>
      </c>
      <c r="L3603" t="s">
        <v>5050</v>
      </c>
      <c r="M3603" t="s">
        <v>5055</v>
      </c>
    </row>
    <row r="3604" spans="1:13" x14ac:dyDescent="0.3">
      <c r="A3604" s="1">
        <v>45303</v>
      </c>
      <c r="B3604" s="1" t="str">
        <f>TEXT(Tabla1[[#This Row],[Fecha]],"MMMM")</f>
        <v>enero</v>
      </c>
      <c r="C3604" t="s">
        <v>3614</v>
      </c>
      <c r="D3604" t="s">
        <v>5021</v>
      </c>
      <c r="E3604" t="s">
        <v>5032</v>
      </c>
      <c r="F3604" t="s">
        <v>5039</v>
      </c>
      <c r="G3604" s="3">
        <v>4290.2700000000004</v>
      </c>
      <c r="H3604" s="3">
        <v>0</v>
      </c>
      <c r="I3604" s="3">
        <f>SUM(Tabla1[[#This Row],[Monto_Base]],H3604)</f>
        <v>4290.2700000000004</v>
      </c>
      <c r="J3604" t="s">
        <v>5044</v>
      </c>
      <c r="K3604" t="s">
        <v>5049</v>
      </c>
      <c r="L3604" t="s">
        <v>5053</v>
      </c>
      <c r="M3604" t="s">
        <v>5054</v>
      </c>
    </row>
    <row r="3605" spans="1:13" x14ac:dyDescent="0.3">
      <c r="A3605" s="1">
        <v>45439</v>
      </c>
      <c r="B3605" s="1" t="str">
        <f>TEXT(Tabla1[[#This Row],[Fecha]],"MMMM")</f>
        <v>mayo</v>
      </c>
      <c r="C3605" t="s">
        <v>3615</v>
      </c>
      <c r="D3605" t="s">
        <v>5012</v>
      </c>
      <c r="E3605" t="s">
        <v>5033</v>
      </c>
      <c r="F3605" t="s">
        <v>5037</v>
      </c>
      <c r="G3605" s="3">
        <v>11528.67</v>
      </c>
      <c r="H3605" s="3">
        <v>1498.73</v>
      </c>
      <c r="I3605" s="3">
        <f>SUM(Tabla1[[#This Row],[Monto_Base]],H3605)</f>
        <v>13027.4</v>
      </c>
      <c r="J3605" t="s">
        <v>5046</v>
      </c>
      <c r="K3605" t="s">
        <v>5047</v>
      </c>
      <c r="L3605" t="s">
        <v>5052</v>
      </c>
      <c r="M3605" t="s">
        <v>5054</v>
      </c>
    </row>
    <row r="3606" spans="1:13" x14ac:dyDescent="0.3">
      <c r="A3606" s="1">
        <v>45355</v>
      </c>
      <c r="B3606" s="1" t="str">
        <f>TEXT(Tabla1[[#This Row],[Fecha]],"MMMM")</f>
        <v>marzo</v>
      </c>
      <c r="C3606" t="s">
        <v>3616</v>
      </c>
      <c r="D3606" t="s">
        <v>5020</v>
      </c>
      <c r="E3606" t="s">
        <v>5032</v>
      </c>
      <c r="F3606" t="s">
        <v>5040</v>
      </c>
      <c r="G3606" s="3">
        <v>1498.62</v>
      </c>
      <c r="H3606" s="3">
        <v>0</v>
      </c>
      <c r="I3606" s="3">
        <f>SUM(Tabla1[[#This Row],[Monto_Base]],H3606)</f>
        <v>1498.62</v>
      </c>
      <c r="J3606" t="s">
        <v>5046</v>
      </c>
      <c r="K3606" t="s">
        <v>5048</v>
      </c>
      <c r="L3606" t="s">
        <v>5051</v>
      </c>
      <c r="M3606" t="s">
        <v>5054</v>
      </c>
    </row>
    <row r="3607" spans="1:13" x14ac:dyDescent="0.3">
      <c r="A3607" s="1">
        <v>45527</v>
      </c>
      <c r="B3607" s="1" t="str">
        <f>TEXT(Tabla1[[#This Row],[Fecha]],"MMMM")</f>
        <v>agosto</v>
      </c>
      <c r="C3607" t="s">
        <v>3617</v>
      </c>
      <c r="D3607" t="s">
        <v>5022</v>
      </c>
      <c r="E3607" t="s">
        <v>5033</v>
      </c>
      <c r="F3607" t="s">
        <v>5034</v>
      </c>
      <c r="G3607" s="3">
        <v>4104.8500000000004</v>
      </c>
      <c r="H3607" s="3">
        <v>533.63</v>
      </c>
      <c r="I3607" s="3">
        <f>SUM(Tabla1[[#This Row],[Monto_Base]],H3607)</f>
        <v>4638.4800000000005</v>
      </c>
      <c r="J3607" t="s">
        <v>5044</v>
      </c>
      <c r="K3607" t="s">
        <v>5047</v>
      </c>
      <c r="L3607" t="s">
        <v>5052</v>
      </c>
      <c r="M3607" t="s">
        <v>5055</v>
      </c>
    </row>
    <row r="3608" spans="1:13" x14ac:dyDescent="0.3">
      <c r="A3608" s="1">
        <v>45644</v>
      </c>
      <c r="B3608" s="1" t="str">
        <f>TEXT(Tabla1[[#This Row],[Fecha]],"MMMM")</f>
        <v>diciembre</v>
      </c>
      <c r="C3608" t="s">
        <v>3618</v>
      </c>
      <c r="D3608" t="s">
        <v>5025</v>
      </c>
      <c r="E3608" t="s">
        <v>5032</v>
      </c>
      <c r="F3608" t="s">
        <v>5035</v>
      </c>
      <c r="G3608" s="3">
        <v>14588.95</v>
      </c>
      <c r="H3608" s="3">
        <v>0</v>
      </c>
      <c r="I3608" s="3">
        <f>SUM(Tabla1[[#This Row],[Monto_Base]],H3608)</f>
        <v>14588.95</v>
      </c>
      <c r="J3608" t="s">
        <v>5044</v>
      </c>
      <c r="K3608" t="s">
        <v>5047</v>
      </c>
      <c r="L3608" t="s">
        <v>5050</v>
      </c>
      <c r="M3608" t="s">
        <v>5054</v>
      </c>
    </row>
    <row r="3609" spans="1:13" x14ac:dyDescent="0.3">
      <c r="A3609" s="1">
        <v>45464</v>
      </c>
      <c r="B3609" s="1" t="str">
        <f>TEXT(Tabla1[[#This Row],[Fecha]],"MMMM")</f>
        <v>junio</v>
      </c>
      <c r="C3609" t="s">
        <v>3619</v>
      </c>
      <c r="D3609" t="s">
        <v>5030</v>
      </c>
      <c r="E3609" t="s">
        <v>5033</v>
      </c>
      <c r="F3609" t="s">
        <v>5034</v>
      </c>
      <c r="G3609" s="3">
        <v>1895.91</v>
      </c>
      <c r="H3609" s="3">
        <v>246.47</v>
      </c>
      <c r="I3609" s="3">
        <f>SUM(Tabla1[[#This Row],[Monto_Base]],H3609)</f>
        <v>2142.38</v>
      </c>
      <c r="J3609" t="s">
        <v>5044</v>
      </c>
      <c r="K3609" t="s">
        <v>5047</v>
      </c>
      <c r="L3609" t="s">
        <v>5053</v>
      </c>
      <c r="M3609" t="s">
        <v>5054</v>
      </c>
    </row>
    <row r="3610" spans="1:13" x14ac:dyDescent="0.3">
      <c r="A3610" s="1">
        <v>45344</v>
      </c>
      <c r="B3610" s="1" t="str">
        <f>TEXT(Tabla1[[#This Row],[Fecha]],"MMMM")</f>
        <v>febrero</v>
      </c>
      <c r="C3610" t="s">
        <v>3620</v>
      </c>
      <c r="D3610" t="s">
        <v>5026</v>
      </c>
      <c r="E3610" t="s">
        <v>5033</v>
      </c>
      <c r="F3610" t="s">
        <v>5037</v>
      </c>
      <c r="G3610" s="3">
        <v>223.13</v>
      </c>
      <c r="H3610" s="3">
        <v>29.01</v>
      </c>
      <c r="I3610" s="3">
        <f>SUM(Tabla1[[#This Row],[Monto_Base]],H3610)</f>
        <v>252.14</v>
      </c>
      <c r="J3610" t="s">
        <v>5046</v>
      </c>
      <c r="K3610" t="s">
        <v>5049</v>
      </c>
      <c r="L3610" t="s">
        <v>5050</v>
      </c>
      <c r="M3610" t="s">
        <v>5054</v>
      </c>
    </row>
    <row r="3611" spans="1:13" x14ac:dyDescent="0.3">
      <c r="A3611" s="1">
        <v>45637</v>
      </c>
      <c r="B3611" s="1" t="str">
        <f>TEXT(Tabla1[[#This Row],[Fecha]],"MMMM")</f>
        <v>diciembre</v>
      </c>
      <c r="C3611" t="s">
        <v>3621</v>
      </c>
      <c r="D3611" t="s">
        <v>5012</v>
      </c>
      <c r="E3611" t="s">
        <v>5032</v>
      </c>
      <c r="F3611" t="s">
        <v>5039</v>
      </c>
      <c r="G3611" s="3">
        <v>2689.22</v>
      </c>
      <c r="H3611" s="3">
        <v>0</v>
      </c>
      <c r="I3611" s="3">
        <f>SUM(Tabla1[[#This Row],[Monto_Base]],H3611)</f>
        <v>2689.22</v>
      </c>
      <c r="J3611" t="s">
        <v>5044</v>
      </c>
      <c r="K3611" t="s">
        <v>5048</v>
      </c>
      <c r="L3611" t="s">
        <v>5052</v>
      </c>
      <c r="M3611" t="s">
        <v>5055</v>
      </c>
    </row>
    <row r="3612" spans="1:13" x14ac:dyDescent="0.3">
      <c r="A3612" s="1">
        <v>45634</v>
      </c>
      <c r="B3612" s="1" t="str">
        <f>TEXT(Tabla1[[#This Row],[Fecha]],"MMMM")</f>
        <v>diciembre</v>
      </c>
      <c r="C3612" t="s">
        <v>3622</v>
      </c>
      <c r="D3612" t="s">
        <v>5024</v>
      </c>
      <c r="E3612" t="s">
        <v>5032</v>
      </c>
      <c r="F3612" t="s">
        <v>5034</v>
      </c>
      <c r="G3612" s="3">
        <v>8430.0499999999993</v>
      </c>
      <c r="H3612" s="3">
        <v>0</v>
      </c>
      <c r="I3612" s="3">
        <f>SUM(Tabla1[[#This Row],[Monto_Base]],H3612)</f>
        <v>8430.0499999999993</v>
      </c>
      <c r="J3612" t="s">
        <v>5046</v>
      </c>
      <c r="K3612" t="s">
        <v>5048</v>
      </c>
      <c r="L3612" t="s">
        <v>5050</v>
      </c>
      <c r="M3612" t="s">
        <v>5054</v>
      </c>
    </row>
    <row r="3613" spans="1:13" x14ac:dyDescent="0.3">
      <c r="A3613" s="1">
        <v>45610</v>
      </c>
      <c r="B3613" s="1" t="str">
        <f>TEXT(Tabla1[[#This Row],[Fecha]],"MMMM")</f>
        <v>noviembre</v>
      </c>
      <c r="C3613" t="s">
        <v>3623</v>
      </c>
      <c r="D3613" t="s">
        <v>5027</v>
      </c>
      <c r="E3613" t="s">
        <v>5033</v>
      </c>
      <c r="F3613" t="s">
        <v>5040</v>
      </c>
      <c r="G3613" s="3">
        <v>10037.73</v>
      </c>
      <c r="H3613" s="3">
        <v>1304.9000000000001</v>
      </c>
      <c r="I3613" s="3">
        <f>SUM(Tabla1[[#This Row],[Monto_Base]],H3613)</f>
        <v>11342.63</v>
      </c>
      <c r="J3613" t="s">
        <v>5042</v>
      </c>
      <c r="K3613" t="s">
        <v>5049</v>
      </c>
      <c r="L3613" t="s">
        <v>5051</v>
      </c>
      <c r="M3613" t="s">
        <v>5055</v>
      </c>
    </row>
    <row r="3614" spans="1:13" x14ac:dyDescent="0.3">
      <c r="A3614" s="1">
        <v>45460</v>
      </c>
      <c r="B3614" s="1" t="str">
        <f>TEXT(Tabla1[[#This Row],[Fecha]],"MMMM")</f>
        <v>junio</v>
      </c>
      <c r="C3614" t="s">
        <v>3624</v>
      </c>
      <c r="D3614" t="s">
        <v>5027</v>
      </c>
      <c r="E3614" t="s">
        <v>5033</v>
      </c>
      <c r="F3614" t="s">
        <v>5038</v>
      </c>
      <c r="G3614" s="3">
        <v>12772.73</v>
      </c>
      <c r="H3614" s="3">
        <v>1660.45</v>
      </c>
      <c r="I3614" s="3">
        <f>SUM(Tabla1[[#This Row],[Monto_Base]],H3614)</f>
        <v>14433.18</v>
      </c>
      <c r="J3614" t="s">
        <v>5044</v>
      </c>
      <c r="K3614" t="s">
        <v>5047</v>
      </c>
      <c r="L3614" t="s">
        <v>5050</v>
      </c>
      <c r="M3614" t="s">
        <v>5055</v>
      </c>
    </row>
    <row r="3615" spans="1:13" x14ac:dyDescent="0.3">
      <c r="A3615" s="1">
        <v>45346</v>
      </c>
      <c r="B3615" s="1" t="str">
        <f>TEXT(Tabla1[[#This Row],[Fecha]],"MMMM")</f>
        <v>febrero</v>
      </c>
      <c r="C3615" t="s">
        <v>3625</v>
      </c>
      <c r="D3615" t="s">
        <v>5027</v>
      </c>
      <c r="E3615" t="s">
        <v>5033</v>
      </c>
      <c r="F3615" t="s">
        <v>5040</v>
      </c>
      <c r="G3615" s="3">
        <v>947.39</v>
      </c>
      <c r="H3615" s="3">
        <v>123.16</v>
      </c>
      <c r="I3615" s="3">
        <f>SUM(Tabla1[[#This Row],[Monto_Base]],H3615)</f>
        <v>1070.55</v>
      </c>
      <c r="J3615" t="s">
        <v>5044</v>
      </c>
      <c r="K3615" t="s">
        <v>5049</v>
      </c>
      <c r="L3615" t="s">
        <v>5051</v>
      </c>
      <c r="M3615" t="s">
        <v>5054</v>
      </c>
    </row>
    <row r="3616" spans="1:13" x14ac:dyDescent="0.3">
      <c r="A3616" s="1">
        <v>45481</v>
      </c>
      <c r="B3616" s="1" t="str">
        <f>TEXT(Tabla1[[#This Row],[Fecha]],"MMMM")</f>
        <v>julio</v>
      </c>
      <c r="C3616" t="s">
        <v>3626</v>
      </c>
      <c r="D3616" t="s">
        <v>5017</v>
      </c>
      <c r="E3616" t="s">
        <v>5033</v>
      </c>
      <c r="F3616" t="s">
        <v>5034</v>
      </c>
      <c r="G3616" s="3">
        <v>5242.6899999999996</v>
      </c>
      <c r="H3616" s="3">
        <v>681.55</v>
      </c>
      <c r="I3616" s="3">
        <f>SUM(Tabla1[[#This Row],[Monto_Base]],H3616)</f>
        <v>5924.24</v>
      </c>
      <c r="J3616" t="s">
        <v>5042</v>
      </c>
      <c r="K3616" t="s">
        <v>5047</v>
      </c>
      <c r="L3616" t="s">
        <v>5051</v>
      </c>
      <c r="M3616" t="s">
        <v>5054</v>
      </c>
    </row>
    <row r="3617" spans="1:13" x14ac:dyDescent="0.3">
      <c r="A3617" s="1">
        <v>45545</v>
      </c>
      <c r="B3617" s="1" t="str">
        <f>TEXT(Tabla1[[#This Row],[Fecha]],"MMMM")</f>
        <v>septiembre</v>
      </c>
      <c r="C3617" t="s">
        <v>3627</v>
      </c>
      <c r="D3617" t="s">
        <v>5015</v>
      </c>
      <c r="E3617" t="s">
        <v>5033</v>
      </c>
      <c r="F3617" t="s">
        <v>5035</v>
      </c>
      <c r="G3617" s="3">
        <v>5074.1499999999996</v>
      </c>
      <c r="H3617" s="3">
        <v>659.64</v>
      </c>
      <c r="I3617" s="3">
        <f>SUM(Tabla1[[#This Row],[Monto_Base]],H3617)</f>
        <v>5733.79</v>
      </c>
      <c r="J3617" t="s">
        <v>5044</v>
      </c>
      <c r="K3617" t="s">
        <v>5047</v>
      </c>
      <c r="L3617" t="s">
        <v>5050</v>
      </c>
      <c r="M3617" t="s">
        <v>5054</v>
      </c>
    </row>
    <row r="3618" spans="1:13" x14ac:dyDescent="0.3">
      <c r="A3618" s="1">
        <v>45442</v>
      </c>
      <c r="B3618" s="1" t="str">
        <f>TEXT(Tabla1[[#This Row],[Fecha]],"MMMM")</f>
        <v>mayo</v>
      </c>
      <c r="C3618" t="s">
        <v>3628</v>
      </c>
      <c r="D3618" t="s">
        <v>5024</v>
      </c>
      <c r="E3618" t="s">
        <v>5032</v>
      </c>
      <c r="F3618" t="s">
        <v>5038</v>
      </c>
      <c r="G3618" s="3">
        <v>11836.02</v>
      </c>
      <c r="H3618" s="3">
        <v>0</v>
      </c>
      <c r="I3618" s="3">
        <f>SUM(Tabla1[[#This Row],[Monto_Base]],H3618)</f>
        <v>11836.02</v>
      </c>
      <c r="J3618" t="s">
        <v>5046</v>
      </c>
      <c r="K3618" t="s">
        <v>5048</v>
      </c>
      <c r="L3618" t="s">
        <v>5052</v>
      </c>
      <c r="M3618" t="s">
        <v>5055</v>
      </c>
    </row>
    <row r="3619" spans="1:13" x14ac:dyDescent="0.3">
      <c r="A3619" s="1">
        <v>45432</v>
      </c>
      <c r="B3619" s="1" t="str">
        <f>TEXT(Tabla1[[#This Row],[Fecha]],"MMMM")</f>
        <v>mayo</v>
      </c>
      <c r="C3619" t="s">
        <v>3629</v>
      </c>
      <c r="D3619" t="s">
        <v>5025</v>
      </c>
      <c r="E3619" t="s">
        <v>5032</v>
      </c>
      <c r="F3619" t="s">
        <v>5041</v>
      </c>
      <c r="G3619" s="3">
        <v>3834.02</v>
      </c>
      <c r="H3619" s="3">
        <v>0</v>
      </c>
      <c r="I3619" s="3">
        <f>SUM(Tabla1[[#This Row],[Monto_Base]],H3619)</f>
        <v>3834.02</v>
      </c>
      <c r="J3619" t="s">
        <v>5042</v>
      </c>
      <c r="K3619" t="s">
        <v>5048</v>
      </c>
      <c r="L3619" t="s">
        <v>5051</v>
      </c>
      <c r="M3619" t="s">
        <v>5054</v>
      </c>
    </row>
    <row r="3620" spans="1:13" x14ac:dyDescent="0.3">
      <c r="A3620" s="1">
        <v>45316</v>
      </c>
      <c r="B3620" s="1" t="str">
        <f>TEXT(Tabla1[[#This Row],[Fecha]],"MMMM")</f>
        <v>enero</v>
      </c>
      <c r="C3620" t="s">
        <v>3630</v>
      </c>
      <c r="D3620" t="s">
        <v>5021</v>
      </c>
      <c r="E3620" t="s">
        <v>5032</v>
      </c>
      <c r="F3620" t="s">
        <v>5038</v>
      </c>
      <c r="G3620" s="3">
        <v>12110.65</v>
      </c>
      <c r="H3620" s="3">
        <v>0</v>
      </c>
      <c r="I3620" s="3">
        <f>SUM(Tabla1[[#This Row],[Monto_Base]],H3620)</f>
        <v>12110.65</v>
      </c>
      <c r="J3620" t="s">
        <v>5043</v>
      </c>
      <c r="K3620" t="s">
        <v>5047</v>
      </c>
      <c r="L3620" t="s">
        <v>5050</v>
      </c>
      <c r="M3620" t="s">
        <v>5054</v>
      </c>
    </row>
    <row r="3621" spans="1:13" x14ac:dyDescent="0.3">
      <c r="A3621" s="1">
        <v>45635</v>
      </c>
      <c r="B3621" s="1" t="str">
        <f>TEXT(Tabla1[[#This Row],[Fecha]],"MMMM")</f>
        <v>diciembre</v>
      </c>
      <c r="C3621" t="s">
        <v>3631</v>
      </c>
      <c r="D3621" t="s">
        <v>5029</v>
      </c>
      <c r="E3621" t="s">
        <v>5032</v>
      </c>
      <c r="F3621" t="s">
        <v>5039</v>
      </c>
      <c r="G3621" s="3">
        <v>14406.22</v>
      </c>
      <c r="H3621" s="3">
        <v>0</v>
      </c>
      <c r="I3621" s="3">
        <f>SUM(Tabla1[[#This Row],[Monto_Base]],H3621)</f>
        <v>14406.22</v>
      </c>
      <c r="J3621" t="s">
        <v>5043</v>
      </c>
      <c r="K3621" t="s">
        <v>5048</v>
      </c>
      <c r="L3621" t="s">
        <v>5051</v>
      </c>
      <c r="M3621" t="s">
        <v>5054</v>
      </c>
    </row>
    <row r="3622" spans="1:13" x14ac:dyDescent="0.3">
      <c r="A3622" s="1">
        <v>45440</v>
      </c>
      <c r="B3622" s="1" t="str">
        <f>TEXT(Tabla1[[#This Row],[Fecha]],"MMMM")</f>
        <v>mayo</v>
      </c>
      <c r="C3622" t="s">
        <v>3632</v>
      </c>
      <c r="D3622" t="s">
        <v>5025</v>
      </c>
      <c r="E3622" t="s">
        <v>5033</v>
      </c>
      <c r="F3622" t="s">
        <v>5040</v>
      </c>
      <c r="G3622" s="3">
        <v>13553.02</v>
      </c>
      <c r="H3622" s="3">
        <v>1761.89</v>
      </c>
      <c r="I3622" s="3">
        <f>SUM(Tabla1[[#This Row],[Monto_Base]],H3622)</f>
        <v>15314.91</v>
      </c>
      <c r="J3622" t="s">
        <v>5043</v>
      </c>
      <c r="K3622" t="s">
        <v>5047</v>
      </c>
      <c r="L3622" t="s">
        <v>5053</v>
      </c>
      <c r="M3622" t="s">
        <v>5054</v>
      </c>
    </row>
    <row r="3623" spans="1:13" x14ac:dyDescent="0.3">
      <c r="A3623" s="1">
        <v>45476</v>
      </c>
      <c r="B3623" s="1" t="str">
        <f>TEXT(Tabla1[[#This Row],[Fecha]],"MMMM")</f>
        <v>julio</v>
      </c>
      <c r="C3623" t="s">
        <v>3633</v>
      </c>
      <c r="D3623" t="s">
        <v>5012</v>
      </c>
      <c r="E3623" t="s">
        <v>5032</v>
      </c>
      <c r="F3623" t="s">
        <v>5035</v>
      </c>
      <c r="G3623" s="3">
        <v>7043.44</v>
      </c>
      <c r="H3623" s="3">
        <v>0</v>
      </c>
      <c r="I3623" s="3">
        <f>SUM(Tabla1[[#This Row],[Monto_Base]],H3623)</f>
        <v>7043.44</v>
      </c>
      <c r="J3623" t="s">
        <v>5044</v>
      </c>
      <c r="K3623" t="s">
        <v>5048</v>
      </c>
      <c r="L3623" t="s">
        <v>5052</v>
      </c>
      <c r="M3623" t="s">
        <v>5055</v>
      </c>
    </row>
    <row r="3624" spans="1:13" x14ac:dyDescent="0.3">
      <c r="A3624" s="1">
        <v>45606</v>
      </c>
      <c r="B3624" s="1" t="str">
        <f>TEXT(Tabla1[[#This Row],[Fecha]],"MMMM")</f>
        <v>noviembre</v>
      </c>
      <c r="C3624" t="s">
        <v>3634</v>
      </c>
      <c r="D3624" t="s">
        <v>5013</v>
      </c>
      <c r="E3624" t="s">
        <v>5032</v>
      </c>
      <c r="F3624" t="s">
        <v>5035</v>
      </c>
      <c r="G3624" s="3">
        <v>8623.89</v>
      </c>
      <c r="H3624" s="3">
        <v>0</v>
      </c>
      <c r="I3624" s="3">
        <f>SUM(Tabla1[[#This Row],[Monto_Base]],H3624)</f>
        <v>8623.89</v>
      </c>
      <c r="J3624" t="s">
        <v>5046</v>
      </c>
      <c r="K3624" t="s">
        <v>5047</v>
      </c>
      <c r="L3624" t="s">
        <v>5051</v>
      </c>
      <c r="M3624" t="s">
        <v>5055</v>
      </c>
    </row>
    <row r="3625" spans="1:13" x14ac:dyDescent="0.3">
      <c r="A3625" s="1">
        <v>45476</v>
      </c>
      <c r="B3625" s="1" t="str">
        <f>TEXT(Tabla1[[#This Row],[Fecha]],"MMMM")</f>
        <v>julio</v>
      </c>
      <c r="C3625" t="s">
        <v>3635</v>
      </c>
      <c r="D3625" t="s">
        <v>5018</v>
      </c>
      <c r="E3625" t="s">
        <v>5033</v>
      </c>
      <c r="F3625" t="s">
        <v>5037</v>
      </c>
      <c r="G3625" s="3">
        <v>14285.38</v>
      </c>
      <c r="H3625" s="3">
        <v>1857.1</v>
      </c>
      <c r="I3625" s="3">
        <f>SUM(Tabla1[[#This Row],[Monto_Base]],H3625)</f>
        <v>16142.48</v>
      </c>
      <c r="J3625" t="s">
        <v>5045</v>
      </c>
      <c r="K3625" t="s">
        <v>5049</v>
      </c>
      <c r="L3625" t="s">
        <v>5050</v>
      </c>
      <c r="M3625" t="s">
        <v>5055</v>
      </c>
    </row>
    <row r="3626" spans="1:13" x14ac:dyDescent="0.3">
      <c r="A3626" s="1">
        <v>45482</v>
      </c>
      <c r="B3626" s="1" t="str">
        <f>TEXT(Tabla1[[#This Row],[Fecha]],"MMMM")</f>
        <v>julio</v>
      </c>
      <c r="C3626" t="s">
        <v>3636</v>
      </c>
      <c r="D3626" t="s">
        <v>5013</v>
      </c>
      <c r="E3626" t="s">
        <v>5032</v>
      </c>
      <c r="F3626" t="s">
        <v>5035</v>
      </c>
      <c r="G3626" s="3">
        <v>3303.22</v>
      </c>
      <c r="H3626" s="3">
        <v>0</v>
      </c>
      <c r="I3626" s="3">
        <f>SUM(Tabla1[[#This Row],[Monto_Base]],H3626)</f>
        <v>3303.22</v>
      </c>
      <c r="J3626" t="s">
        <v>5045</v>
      </c>
      <c r="K3626" t="s">
        <v>5049</v>
      </c>
      <c r="L3626" t="s">
        <v>5052</v>
      </c>
      <c r="M3626" t="s">
        <v>5055</v>
      </c>
    </row>
    <row r="3627" spans="1:13" x14ac:dyDescent="0.3">
      <c r="A3627" s="1">
        <v>45527</v>
      </c>
      <c r="B3627" s="1" t="str">
        <f>TEXT(Tabla1[[#This Row],[Fecha]],"MMMM")</f>
        <v>agosto</v>
      </c>
      <c r="C3627" t="s">
        <v>3637</v>
      </c>
      <c r="D3627" t="s">
        <v>5031</v>
      </c>
      <c r="E3627" t="s">
        <v>5032</v>
      </c>
      <c r="F3627" t="s">
        <v>5038</v>
      </c>
      <c r="G3627" s="3">
        <v>14070.57</v>
      </c>
      <c r="H3627" s="3">
        <v>0</v>
      </c>
      <c r="I3627" s="3">
        <f>SUM(Tabla1[[#This Row],[Monto_Base]],H3627)</f>
        <v>14070.57</v>
      </c>
      <c r="J3627" t="s">
        <v>5042</v>
      </c>
      <c r="K3627" t="s">
        <v>5049</v>
      </c>
      <c r="L3627" t="s">
        <v>5051</v>
      </c>
      <c r="M3627" t="s">
        <v>5054</v>
      </c>
    </row>
    <row r="3628" spans="1:13" x14ac:dyDescent="0.3">
      <c r="A3628" s="1">
        <v>45427</v>
      </c>
      <c r="B3628" s="1" t="str">
        <f>TEXT(Tabla1[[#This Row],[Fecha]],"MMMM")</f>
        <v>mayo</v>
      </c>
      <c r="C3628" t="s">
        <v>3638</v>
      </c>
      <c r="D3628" t="s">
        <v>5027</v>
      </c>
      <c r="E3628" t="s">
        <v>5033</v>
      </c>
      <c r="F3628" t="s">
        <v>5041</v>
      </c>
      <c r="G3628" s="3">
        <v>8893.3799999999992</v>
      </c>
      <c r="H3628" s="3">
        <v>1156.1400000000001</v>
      </c>
      <c r="I3628" s="3">
        <f>SUM(Tabla1[[#This Row],[Monto_Base]],H3628)</f>
        <v>10049.519999999999</v>
      </c>
      <c r="J3628" t="s">
        <v>5042</v>
      </c>
      <c r="K3628" t="s">
        <v>5048</v>
      </c>
      <c r="L3628" t="s">
        <v>5051</v>
      </c>
      <c r="M3628" t="s">
        <v>5055</v>
      </c>
    </row>
    <row r="3629" spans="1:13" x14ac:dyDescent="0.3">
      <c r="A3629" s="1">
        <v>45551</v>
      </c>
      <c r="B3629" s="1" t="str">
        <f>TEXT(Tabla1[[#This Row],[Fecha]],"MMMM")</f>
        <v>septiembre</v>
      </c>
      <c r="C3629" t="s">
        <v>3639</v>
      </c>
      <c r="D3629" t="s">
        <v>5014</v>
      </c>
      <c r="E3629" t="s">
        <v>5032</v>
      </c>
      <c r="F3629" t="s">
        <v>5040</v>
      </c>
      <c r="G3629" s="3">
        <v>12648.72</v>
      </c>
      <c r="H3629" s="3">
        <v>0</v>
      </c>
      <c r="I3629" s="3">
        <f>SUM(Tabla1[[#This Row],[Monto_Base]],H3629)</f>
        <v>12648.72</v>
      </c>
      <c r="J3629" t="s">
        <v>5045</v>
      </c>
      <c r="K3629" t="s">
        <v>5047</v>
      </c>
      <c r="L3629" t="s">
        <v>5050</v>
      </c>
      <c r="M3629" t="s">
        <v>5054</v>
      </c>
    </row>
    <row r="3630" spans="1:13" x14ac:dyDescent="0.3">
      <c r="A3630" s="1">
        <v>45346</v>
      </c>
      <c r="B3630" s="1" t="str">
        <f>TEXT(Tabla1[[#This Row],[Fecha]],"MMMM")</f>
        <v>febrero</v>
      </c>
      <c r="C3630" t="s">
        <v>3640</v>
      </c>
      <c r="D3630" t="s">
        <v>5018</v>
      </c>
      <c r="E3630" t="s">
        <v>5032</v>
      </c>
      <c r="F3630" t="s">
        <v>5039</v>
      </c>
      <c r="G3630" s="3">
        <v>6619.76</v>
      </c>
      <c r="H3630" s="3">
        <v>0</v>
      </c>
      <c r="I3630" s="3">
        <f>SUM(Tabla1[[#This Row],[Monto_Base]],H3630)</f>
        <v>6619.76</v>
      </c>
      <c r="J3630" t="s">
        <v>5042</v>
      </c>
      <c r="K3630" t="s">
        <v>5047</v>
      </c>
      <c r="L3630" t="s">
        <v>5052</v>
      </c>
      <c r="M3630" t="s">
        <v>5054</v>
      </c>
    </row>
    <row r="3631" spans="1:13" x14ac:dyDescent="0.3">
      <c r="A3631" s="1">
        <v>45398</v>
      </c>
      <c r="B3631" s="1" t="str">
        <f>TEXT(Tabla1[[#This Row],[Fecha]],"MMMM")</f>
        <v>abril</v>
      </c>
      <c r="C3631" t="s">
        <v>3641</v>
      </c>
      <c r="D3631" t="s">
        <v>5022</v>
      </c>
      <c r="E3631" t="s">
        <v>5033</v>
      </c>
      <c r="F3631" t="s">
        <v>5034</v>
      </c>
      <c r="G3631" s="3">
        <v>9015.5300000000007</v>
      </c>
      <c r="H3631" s="3">
        <v>1172.02</v>
      </c>
      <c r="I3631" s="3">
        <f>SUM(Tabla1[[#This Row],[Monto_Base]],H3631)</f>
        <v>10187.550000000001</v>
      </c>
      <c r="J3631" t="s">
        <v>5043</v>
      </c>
      <c r="K3631" t="s">
        <v>5049</v>
      </c>
      <c r="L3631" t="s">
        <v>5052</v>
      </c>
      <c r="M3631" t="s">
        <v>5055</v>
      </c>
    </row>
    <row r="3632" spans="1:13" x14ac:dyDescent="0.3">
      <c r="A3632" s="1">
        <v>45430</v>
      </c>
      <c r="B3632" s="1" t="str">
        <f>TEXT(Tabla1[[#This Row],[Fecha]],"MMMM")</f>
        <v>mayo</v>
      </c>
      <c r="C3632" t="s">
        <v>3642</v>
      </c>
      <c r="D3632" t="s">
        <v>5030</v>
      </c>
      <c r="E3632" t="s">
        <v>5032</v>
      </c>
      <c r="F3632" t="s">
        <v>5037</v>
      </c>
      <c r="G3632" s="3">
        <v>13775.92</v>
      </c>
      <c r="H3632" s="3">
        <v>0</v>
      </c>
      <c r="I3632" s="3">
        <f>SUM(Tabla1[[#This Row],[Monto_Base]],H3632)</f>
        <v>13775.92</v>
      </c>
      <c r="J3632" t="s">
        <v>5045</v>
      </c>
      <c r="K3632" t="s">
        <v>5049</v>
      </c>
      <c r="L3632" t="s">
        <v>5051</v>
      </c>
      <c r="M3632" t="s">
        <v>5054</v>
      </c>
    </row>
    <row r="3633" spans="1:13" x14ac:dyDescent="0.3">
      <c r="A3633" s="1">
        <v>45375</v>
      </c>
      <c r="B3633" s="1" t="str">
        <f>TEXT(Tabla1[[#This Row],[Fecha]],"MMMM")</f>
        <v>marzo</v>
      </c>
      <c r="C3633" t="s">
        <v>3643</v>
      </c>
      <c r="D3633" t="s">
        <v>5019</v>
      </c>
      <c r="E3633" t="s">
        <v>5032</v>
      </c>
      <c r="F3633" t="s">
        <v>5040</v>
      </c>
      <c r="G3633" s="3">
        <v>1534.52</v>
      </c>
      <c r="H3633" s="3">
        <v>0</v>
      </c>
      <c r="I3633" s="3">
        <f>SUM(Tabla1[[#This Row],[Monto_Base]],H3633)</f>
        <v>1534.52</v>
      </c>
      <c r="J3633" t="s">
        <v>5042</v>
      </c>
      <c r="K3633" t="s">
        <v>5048</v>
      </c>
      <c r="L3633" t="s">
        <v>5052</v>
      </c>
      <c r="M3633" t="s">
        <v>5054</v>
      </c>
    </row>
    <row r="3634" spans="1:13" x14ac:dyDescent="0.3">
      <c r="A3634" s="1">
        <v>45654</v>
      </c>
      <c r="B3634" s="1" t="str">
        <f>TEXT(Tabla1[[#This Row],[Fecha]],"MMMM")</f>
        <v>diciembre</v>
      </c>
      <c r="C3634" t="s">
        <v>3644</v>
      </c>
      <c r="D3634" t="s">
        <v>5012</v>
      </c>
      <c r="E3634" t="s">
        <v>5032</v>
      </c>
      <c r="F3634" t="s">
        <v>5035</v>
      </c>
      <c r="G3634" s="3">
        <v>14068.96</v>
      </c>
      <c r="H3634" s="3">
        <v>0</v>
      </c>
      <c r="I3634" s="3">
        <f>SUM(Tabla1[[#This Row],[Monto_Base]],H3634)</f>
        <v>14068.96</v>
      </c>
      <c r="J3634" t="s">
        <v>5046</v>
      </c>
      <c r="K3634" t="s">
        <v>5049</v>
      </c>
      <c r="L3634" t="s">
        <v>5052</v>
      </c>
      <c r="M3634" t="s">
        <v>5054</v>
      </c>
    </row>
    <row r="3635" spans="1:13" x14ac:dyDescent="0.3">
      <c r="A3635" s="1">
        <v>45561</v>
      </c>
      <c r="B3635" s="1" t="str">
        <f>TEXT(Tabla1[[#This Row],[Fecha]],"MMMM")</f>
        <v>septiembre</v>
      </c>
      <c r="C3635" t="s">
        <v>3645</v>
      </c>
      <c r="D3635" t="s">
        <v>5029</v>
      </c>
      <c r="E3635" t="s">
        <v>5032</v>
      </c>
      <c r="F3635" t="s">
        <v>5040</v>
      </c>
      <c r="G3635" s="3">
        <v>2587.14</v>
      </c>
      <c r="H3635" s="3">
        <v>0</v>
      </c>
      <c r="I3635" s="3">
        <f>SUM(Tabla1[[#This Row],[Monto_Base]],H3635)</f>
        <v>2587.14</v>
      </c>
      <c r="J3635" t="s">
        <v>5046</v>
      </c>
      <c r="K3635" t="s">
        <v>5048</v>
      </c>
      <c r="L3635" t="s">
        <v>5050</v>
      </c>
      <c r="M3635" t="s">
        <v>5055</v>
      </c>
    </row>
    <row r="3636" spans="1:13" x14ac:dyDescent="0.3">
      <c r="A3636" s="1">
        <v>45454</v>
      </c>
      <c r="B3636" s="1" t="str">
        <f>TEXT(Tabla1[[#This Row],[Fecha]],"MMMM")</f>
        <v>junio</v>
      </c>
      <c r="C3636" t="s">
        <v>3646</v>
      </c>
      <c r="D3636" t="s">
        <v>5029</v>
      </c>
      <c r="E3636" t="s">
        <v>5033</v>
      </c>
      <c r="F3636" t="s">
        <v>5034</v>
      </c>
      <c r="G3636" s="3">
        <v>9393.01</v>
      </c>
      <c r="H3636" s="3">
        <v>1221.0899999999999</v>
      </c>
      <c r="I3636" s="3">
        <f>SUM(Tabla1[[#This Row],[Monto_Base]],H3636)</f>
        <v>10614.1</v>
      </c>
      <c r="J3636" t="s">
        <v>5044</v>
      </c>
      <c r="K3636" t="s">
        <v>5047</v>
      </c>
      <c r="L3636" t="s">
        <v>5052</v>
      </c>
      <c r="M3636" t="s">
        <v>5055</v>
      </c>
    </row>
    <row r="3637" spans="1:13" x14ac:dyDescent="0.3">
      <c r="A3637" s="1">
        <v>45588</v>
      </c>
      <c r="B3637" s="1" t="str">
        <f>TEXT(Tabla1[[#This Row],[Fecha]],"MMMM")</f>
        <v>octubre</v>
      </c>
      <c r="C3637" t="s">
        <v>3647</v>
      </c>
      <c r="D3637" t="s">
        <v>5026</v>
      </c>
      <c r="E3637" t="s">
        <v>5032</v>
      </c>
      <c r="F3637" t="s">
        <v>5034</v>
      </c>
      <c r="G3637" s="3">
        <v>9138.27</v>
      </c>
      <c r="H3637" s="3">
        <v>0</v>
      </c>
      <c r="I3637" s="3">
        <f>SUM(Tabla1[[#This Row],[Monto_Base]],H3637)</f>
        <v>9138.27</v>
      </c>
      <c r="J3637" t="s">
        <v>5046</v>
      </c>
      <c r="K3637" t="s">
        <v>5047</v>
      </c>
      <c r="L3637" t="s">
        <v>5051</v>
      </c>
      <c r="M3637" t="s">
        <v>5054</v>
      </c>
    </row>
    <row r="3638" spans="1:13" x14ac:dyDescent="0.3">
      <c r="A3638" s="1">
        <v>45517</v>
      </c>
      <c r="B3638" s="1" t="str">
        <f>TEXT(Tabla1[[#This Row],[Fecha]],"MMMM")</f>
        <v>agosto</v>
      </c>
      <c r="C3638" t="s">
        <v>3648</v>
      </c>
      <c r="D3638" t="s">
        <v>5012</v>
      </c>
      <c r="E3638" t="s">
        <v>5033</v>
      </c>
      <c r="F3638" t="s">
        <v>5037</v>
      </c>
      <c r="G3638" s="3">
        <v>71.16</v>
      </c>
      <c r="H3638" s="3">
        <v>9.25</v>
      </c>
      <c r="I3638" s="3">
        <f>SUM(Tabla1[[#This Row],[Monto_Base]],H3638)</f>
        <v>80.41</v>
      </c>
      <c r="J3638" t="s">
        <v>5046</v>
      </c>
      <c r="K3638" t="s">
        <v>5047</v>
      </c>
      <c r="L3638" t="s">
        <v>5051</v>
      </c>
      <c r="M3638" t="s">
        <v>5054</v>
      </c>
    </row>
    <row r="3639" spans="1:13" x14ac:dyDescent="0.3">
      <c r="A3639" s="1">
        <v>45467</v>
      </c>
      <c r="B3639" s="1" t="str">
        <f>TEXT(Tabla1[[#This Row],[Fecha]],"MMMM")</f>
        <v>junio</v>
      </c>
      <c r="C3639" t="s">
        <v>3649</v>
      </c>
      <c r="D3639" t="s">
        <v>5016</v>
      </c>
      <c r="E3639" t="s">
        <v>5032</v>
      </c>
      <c r="F3639" t="s">
        <v>5037</v>
      </c>
      <c r="G3639" s="3">
        <v>14570.2</v>
      </c>
      <c r="H3639" s="3">
        <v>0</v>
      </c>
      <c r="I3639" s="3">
        <f>SUM(Tabla1[[#This Row],[Monto_Base]],H3639)</f>
        <v>14570.2</v>
      </c>
      <c r="J3639" t="s">
        <v>5046</v>
      </c>
      <c r="K3639" t="s">
        <v>5048</v>
      </c>
      <c r="L3639" t="s">
        <v>5053</v>
      </c>
      <c r="M3639" t="s">
        <v>5055</v>
      </c>
    </row>
    <row r="3640" spans="1:13" x14ac:dyDescent="0.3">
      <c r="A3640" s="1">
        <v>45474</v>
      </c>
      <c r="B3640" s="1" t="str">
        <f>TEXT(Tabla1[[#This Row],[Fecha]],"MMMM")</f>
        <v>julio</v>
      </c>
      <c r="C3640" t="s">
        <v>3650</v>
      </c>
      <c r="D3640" t="s">
        <v>5025</v>
      </c>
      <c r="E3640" t="s">
        <v>5033</v>
      </c>
      <c r="F3640" t="s">
        <v>5036</v>
      </c>
      <c r="G3640" s="3">
        <v>14545.4</v>
      </c>
      <c r="H3640" s="3">
        <v>1890.9</v>
      </c>
      <c r="I3640" s="3">
        <f>SUM(Tabla1[[#This Row],[Monto_Base]],H3640)</f>
        <v>16436.3</v>
      </c>
      <c r="J3640" t="s">
        <v>5046</v>
      </c>
      <c r="K3640" t="s">
        <v>5047</v>
      </c>
      <c r="L3640" t="s">
        <v>5052</v>
      </c>
      <c r="M3640" t="s">
        <v>5054</v>
      </c>
    </row>
    <row r="3641" spans="1:13" x14ac:dyDescent="0.3">
      <c r="A3641" s="1">
        <v>45610</v>
      </c>
      <c r="B3641" s="1" t="str">
        <f>TEXT(Tabla1[[#This Row],[Fecha]],"MMMM")</f>
        <v>noviembre</v>
      </c>
      <c r="C3641" t="s">
        <v>3651</v>
      </c>
      <c r="D3641" t="s">
        <v>5024</v>
      </c>
      <c r="E3641" t="s">
        <v>5033</v>
      </c>
      <c r="F3641" t="s">
        <v>5040</v>
      </c>
      <c r="G3641" s="3">
        <v>823.51</v>
      </c>
      <c r="H3641" s="3">
        <v>107.06</v>
      </c>
      <c r="I3641" s="3">
        <f>SUM(Tabla1[[#This Row],[Monto_Base]],H3641)</f>
        <v>930.56999999999994</v>
      </c>
      <c r="J3641" t="s">
        <v>5046</v>
      </c>
      <c r="K3641" t="s">
        <v>5047</v>
      </c>
      <c r="L3641" t="s">
        <v>5050</v>
      </c>
      <c r="M3641" t="s">
        <v>5055</v>
      </c>
    </row>
    <row r="3642" spans="1:13" x14ac:dyDescent="0.3">
      <c r="A3642" s="1">
        <v>45432</v>
      </c>
      <c r="B3642" s="1" t="str">
        <f>TEXT(Tabla1[[#This Row],[Fecha]],"MMMM")</f>
        <v>mayo</v>
      </c>
      <c r="C3642" t="s">
        <v>3652</v>
      </c>
      <c r="D3642" t="s">
        <v>5013</v>
      </c>
      <c r="E3642" t="s">
        <v>5033</v>
      </c>
      <c r="F3642" t="s">
        <v>5041</v>
      </c>
      <c r="G3642" s="3">
        <v>14834.12</v>
      </c>
      <c r="H3642" s="3">
        <v>1928.44</v>
      </c>
      <c r="I3642" s="3">
        <f>SUM(Tabla1[[#This Row],[Monto_Base]],H3642)</f>
        <v>16762.560000000001</v>
      </c>
      <c r="J3642" t="s">
        <v>5045</v>
      </c>
      <c r="K3642" t="s">
        <v>5049</v>
      </c>
      <c r="L3642" t="s">
        <v>5051</v>
      </c>
      <c r="M3642" t="s">
        <v>5055</v>
      </c>
    </row>
    <row r="3643" spans="1:13" x14ac:dyDescent="0.3">
      <c r="A3643" s="1">
        <v>45648</v>
      </c>
      <c r="B3643" s="1" t="str">
        <f>TEXT(Tabla1[[#This Row],[Fecha]],"MMMM")</f>
        <v>diciembre</v>
      </c>
      <c r="C3643" t="s">
        <v>3653</v>
      </c>
      <c r="D3643" t="s">
        <v>5026</v>
      </c>
      <c r="E3643" t="s">
        <v>5032</v>
      </c>
      <c r="F3643" t="s">
        <v>5040</v>
      </c>
      <c r="G3643" s="3">
        <v>9117.73</v>
      </c>
      <c r="H3643" s="3">
        <v>0</v>
      </c>
      <c r="I3643" s="3">
        <f>SUM(Tabla1[[#This Row],[Monto_Base]],H3643)</f>
        <v>9117.73</v>
      </c>
      <c r="J3643" t="s">
        <v>5045</v>
      </c>
      <c r="K3643" t="s">
        <v>5049</v>
      </c>
      <c r="L3643" t="s">
        <v>5052</v>
      </c>
      <c r="M3643" t="s">
        <v>5055</v>
      </c>
    </row>
    <row r="3644" spans="1:13" x14ac:dyDescent="0.3">
      <c r="A3644" s="1">
        <v>45306</v>
      </c>
      <c r="B3644" s="1" t="str">
        <f>TEXT(Tabla1[[#This Row],[Fecha]],"MMMM")</f>
        <v>enero</v>
      </c>
      <c r="C3644" t="s">
        <v>3654</v>
      </c>
      <c r="D3644" t="s">
        <v>5012</v>
      </c>
      <c r="E3644" t="s">
        <v>5033</v>
      </c>
      <c r="F3644" t="s">
        <v>5041</v>
      </c>
      <c r="G3644" s="3">
        <v>2303.61</v>
      </c>
      <c r="H3644" s="3">
        <v>299.47000000000003</v>
      </c>
      <c r="I3644" s="3">
        <f>SUM(Tabla1[[#This Row],[Monto_Base]],H3644)</f>
        <v>2603.08</v>
      </c>
      <c r="J3644" t="s">
        <v>5042</v>
      </c>
      <c r="K3644" t="s">
        <v>5049</v>
      </c>
      <c r="L3644" t="s">
        <v>5050</v>
      </c>
      <c r="M3644" t="s">
        <v>5054</v>
      </c>
    </row>
    <row r="3645" spans="1:13" x14ac:dyDescent="0.3">
      <c r="A3645" s="1">
        <v>45597</v>
      </c>
      <c r="B3645" s="1" t="str">
        <f>TEXT(Tabla1[[#This Row],[Fecha]],"MMMM")</f>
        <v>noviembre</v>
      </c>
      <c r="C3645" t="s">
        <v>3655</v>
      </c>
      <c r="D3645" t="s">
        <v>5013</v>
      </c>
      <c r="E3645" t="s">
        <v>5032</v>
      </c>
      <c r="F3645" t="s">
        <v>5040</v>
      </c>
      <c r="G3645" s="3">
        <v>2740.82</v>
      </c>
      <c r="H3645" s="3">
        <v>0</v>
      </c>
      <c r="I3645" s="3">
        <f>SUM(Tabla1[[#This Row],[Monto_Base]],H3645)</f>
        <v>2740.82</v>
      </c>
      <c r="J3645" t="s">
        <v>5044</v>
      </c>
      <c r="K3645" t="s">
        <v>5049</v>
      </c>
      <c r="L3645" t="s">
        <v>5050</v>
      </c>
      <c r="M3645" t="s">
        <v>5054</v>
      </c>
    </row>
    <row r="3646" spans="1:13" x14ac:dyDescent="0.3">
      <c r="A3646" s="1">
        <v>45609</v>
      </c>
      <c r="B3646" s="1" t="str">
        <f>TEXT(Tabla1[[#This Row],[Fecha]],"MMMM")</f>
        <v>noviembre</v>
      </c>
      <c r="C3646" t="s">
        <v>3656</v>
      </c>
      <c r="D3646" t="s">
        <v>5017</v>
      </c>
      <c r="E3646" t="s">
        <v>5033</v>
      </c>
      <c r="F3646" t="s">
        <v>5036</v>
      </c>
      <c r="G3646" s="3">
        <v>12202.25</v>
      </c>
      <c r="H3646" s="3">
        <v>1586.29</v>
      </c>
      <c r="I3646" s="3">
        <f>SUM(Tabla1[[#This Row],[Monto_Base]],H3646)</f>
        <v>13788.54</v>
      </c>
      <c r="J3646" t="s">
        <v>5042</v>
      </c>
      <c r="K3646" t="s">
        <v>5049</v>
      </c>
      <c r="L3646" t="s">
        <v>5050</v>
      </c>
      <c r="M3646" t="s">
        <v>5055</v>
      </c>
    </row>
    <row r="3647" spans="1:13" x14ac:dyDescent="0.3">
      <c r="A3647" s="1">
        <v>45307</v>
      </c>
      <c r="B3647" s="1" t="str">
        <f>TEXT(Tabla1[[#This Row],[Fecha]],"MMMM")</f>
        <v>enero</v>
      </c>
      <c r="C3647" t="s">
        <v>3657</v>
      </c>
      <c r="D3647" t="s">
        <v>5018</v>
      </c>
      <c r="E3647" t="s">
        <v>5032</v>
      </c>
      <c r="F3647" t="s">
        <v>5041</v>
      </c>
      <c r="G3647" s="3">
        <v>11853.92</v>
      </c>
      <c r="H3647" s="3">
        <v>0</v>
      </c>
      <c r="I3647" s="3">
        <f>SUM(Tabla1[[#This Row],[Monto_Base]],H3647)</f>
        <v>11853.92</v>
      </c>
      <c r="J3647" t="s">
        <v>5046</v>
      </c>
      <c r="K3647" t="s">
        <v>5047</v>
      </c>
      <c r="L3647" t="s">
        <v>5052</v>
      </c>
      <c r="M3647" t="s">
        <v>5054</v>
      </c>
    </row>
    <row r="3648" spans="1:13" x14ac:dyDescent="0.3">
      <c r="A3648" s="1">
        <v>45530</v>
      </c>
      <c r="B3648" s="1" t="str">
        <f>TEXT(Tabla1[[#This Row],[Fecha]],"MMMM")</f>
        <v>agosto</v>
      </c>
      <c r="C3648" t="s">
        <v>3658</v>
      </c>
      <c r="D3648" t="s">
        <v>5027</v>
      </c>
      <c r="E3648" t="s">
        <v>5033</v>
      </c>
      <c r="F3648" t="s">
        <v>5038</v>
      </c>
      <c r="G3648" s="3">
        <v>14087.44</v>
      </c>
      <c r="H3648" s="3">
        <v>1831.37</v>
      </c>
      <c r="I3648" s="3">
        <f>SUM(Tabla1[[#This Row],[Monto_Base]],H3648)</f>
        <v>15918.810000000001</v>
      </c>
      <c r="J3648" t="s">
        <v>5044</v>
      </c>
      <c r="K3648" t="s">
        <v>5047</v>
      </c>
      <c r="L3648" t="s">
        <v>5052</v>
      </c>
      <c r="M3648" t="s">
        <v>5055</v>
      </c>
    </row>
    <row r="3649" spans="1:13" x14ac:dyDescent="0.3">
      <c r="A3649" s="1">
        <v>45612</v>
      </c>
      <c r="B3649" s="1" t="str">
        <f>TEXT(Tabla1[[#This Row],[Fecha]],"MMMM")</f>
        <v>noviembre</v>
      </c>
      <c r="C3649" t="s">
        <v>3659</v>
      </c>
      <c r="D3649" t="s">
        <v>5017</v>
      </c>
      <c r="E3649" t="s">
        <v>5033</v>
      </c>
      <c r="F3649" t="s">
        <v>5035</v>
      </c>
      <c r="G3649" s="3">
        <v>6683.34</v>
      </c>
      <c r="H3649" s="3">
        <v>868.83</v>
      </c>
      <c r="I3649" s="3">
        <f>SUM(Tabla1[[#This Row],[Monto_Base]],H3649)</f>
        <v>7552.17</v>
      </c>
      <c r="J3649" t="s">
        <v>5042</v>
      </c>
      <c r="K3649" t="s">
        <v>5048</v>
      </c>
      <c r="L3649" t="s">
        <v>5050</v>
      </c>
      <c r="M3649" t="s">
        <v>5055</v>
      </c>
    </row>
    <row r="3650" spans="1:13" x14ac:dyDescent="0.3">
      <c r="A3650" s="1">
        <v>45294</v>
      </c>
      <c r="B3650" s="1" t="str">
        <f>TEXT(Tabla1[[#This Row],[Fecha]],"MMMM")</f>
        <v>enero</v>
      </c>
      <c r="C3650" t="s">
        <v>3660</v>
      </c>
      <c r="D3650" t="s">
        <v>5020</v>
      </c>
      <c r="E3650" t="s">
        <v>5032</v>
      </c>
      <c r="F3650" t="s">
        <v>5040</v>
      </c>
      <c r="G3650" s="3">
        <v>14244.92</v>
      </c>
      <c r="H3650" s="3">
        <v>0</v>
      </c>
      <c r="I3650" s="3">
        <f>SUM(Tabla1[[#This Row],[Monto_Base]],H3650)</f>
        <v>14244.92</v>
      </c>
      <c r="J3650" t="s">
        <v>5042</v>
      </c>
      <c r="K3650" t="s">
        <v>5048</v>
      </c>
      <c r="L3650" t="s">
        <v>5053</v>
      </c>
      <c r="M3650" t="s">
        <v>5055</v>
      </c>
    </row>
    <row r="3651" spans="1:13" x14ac:dyDescent="0.3">
      <c r="A3651" s="1">
        <v>45419</v>
      </c>
      <c r="B3651" s="1" t="str">
        <f>TEXT(Tabla1[[#This Row],[Fecha]],"MMMM")</f>
        <v>mayo</v>
      </c>
      <c r="C3651" t="s">
        <v>3661</v>
      </c>
      <c r="D3651" t="s">
        <v>5022</v>
      </c>
      <c r="E3651" t="s">
        <v>5032</v>
      </c>
      <c r="F3651" t="s">
        <v>5041</v>
      </c>
      <c r="G3651" s="3">
        <v>2680.83</v>
      </c>
      <c r="H3651" s="3">
        <v>0</v>
      </c>
      <c r="I3651" s="3">
        <f>SUM(Tabla1[[#This Row],[Monto_Base]],H3651)</f>
        <v>2680.83</v>
      </c>
      <c r="J3651" t="s">
        <v>5043</v>
      </c>
      <c r="K3651" t="s">
        <v>5048</v>
      </c>
      <c r="L3651" t="s">
        <v>5051</v>
      </c>
      <c r="M3651" t="s">
        <v>5055</v>
      </c>
    </row>
    <row r="3652" spans="1:13" x14ac:dyDescent="0.3">
      <c r="A3652" s="1">
        <v>45345</v>
      </c>
      <c r="B3652" s="1" t="str">
        <f>TEXT(Tabla1[[#This Row],[Fecha]],"MMMM")</f>
        <v>febrero</v>
      </c>
      <c r="C3652" t="s">
        <v>3662</v>
      </c>
      <c r="D3652" t="s">
        <v>5018</v>
      </c>
      <c r="E3652" t="s">
        <v>5033</v>
      </c>
      <c r="F3652" t="s">
        <v>5037</v>
      </c>
      <c r="G3652" s="3">
        <v>14333.75</v>
      </c>
      <c r="H3652" s="3">
        <v>1863.39</v>
      </c>
      <c r="I3652" s="3">
        <f>SUM(Tabla1[[#This Row],[Monto_Base]],H3652)</f>
        <v>16197.14</v>
      </c>
      <c r="J3652" t="s">
        <v>5042</v>
      </c>
      <c r="K3652" t="s">
        <v>5047</v>
      </c>
      <c r="L3652" t="s">
        <v>5051</v>
      </c>
      <c r="M3652" t="s">
        <v>5054</v>
      </c>
    </row>
    <row r="3653" spans="1:13" x14ac:dyDescent="0.3">
      <c r="A3653" s="1">
        <v>45457</v>
      </c>
      <c r="B3653" s="1" t="str">
        <f>TEXT(Tabla1[[#This Row],[Fecha]],"MMMM")</f>
        <v>junio</v>
      </c>
      <c r="C3653" t="s">
        <v>3663</v>
      </c>
      <c r="D3653" t="s">
        <v>5021</v>
      </c>
      <c r="E3653" t="s">
        <v>5033</v>
      </c>
      <c r="F3653" t="s">
        <v>5038</v>
      </c>
      <c r="G3653" s="3">
        <v>11493.22</v>
      </c>
      <c r="H3653" s="3">
        <v>1494.12</v>
      </c>
      <c r="I3653" s="3">
        <f>SUM(Tabla1[[#This Row],[Monto_Base]],H3653)</f>
        <v>12987.34</v>
      </c>
      <c r="J3653" t="s">
        <v>5045</v>
      </c>
      <c r="K3653" t="s">
        <v>5049</v>
      </c>
      <c r="L3653" t="s">
        <v>5051</v>
      </c>
      <c r="M3653" t="s">
        <v>5055</v>
      </c>
    </row>
    <row r="3654" spans="1:13" x14ac:dyDescent="0.3">
      <c r="A3654" s="1">
        <v>45391</v>
      </c>
      <c r="B3654" s="1" t="str">
        <f>TEXT(Tabla1[[#This Row],[Fecha]],"MMMM")</f>
        <v>abril</v>
      </c>
      <c r="C3654" t="s">
        <v>3664</v>
      </c>
      <c r="D3654" t="s">
        <v>5013</v>
      </c>
      <c r="E3654" t="s">
        <v>5032</v>
      </c>
      <c r="F3654" t="s">
        <v>5037</v>
      </c>
      <c r="G3654" s="3">
        <v>3948.82</v>
      </c>
      <c r="H3654" s="3">
        <v>0</v>
      </c>
      <c r="I3654" s="3">
        <f>SUM(Tabla1[[#This Row],[Monto_Base]],H3654)</f>
        <v>3948.82</v>
      </c>
      <c r="J3654" t="s">
        <v>5044</v>
      </c>
      <c r="K3654" t="s">
        <v>5049</v>
      </c>
      <c r="L3654" t="s">
        <v>5052</v>
      </c>
      <c r="M3654" t="s">
        <v>5055</v>
      </c>
    </row>
    <row r="3655" spans="1:13" x14ac:dyDescent="0.3">
      <c r="A3655" s="1">
        <v>45309</v>
      </c>
      <c r="B3655" s="1" t="str">
        <f>TEXT(Tabla1[[#This Row],[Fecha]],"MMMM")</f>
        <v>enero</v>
      </c>
      <c r="C3655" t="s">
        <v>3665</v>
      </c>
      <c r="D3655" t="s">
        <v>5027</v>
      </c>
      <c r="E3655" t="s">
        <v>5032</v>
      </c>
      <c r="F3655" t="s">
        <v>5041</v>
      </c>
      <c r="G3655" s="3">
        <v>3883.32</v>
      </c>
      <c r="H3655" s="3">
        <v>0</v>
      </c>
      <c r="I3655" s="3">
        <f>SUM(Tabla1[[#This Row],[Monto_Base]],H3655)</f>
        <v>3883.32</v>
      </c>
      <c r="J3655" t="s">
        <v>5043</v>
      </c>
      <c r="K3655" t="s">
        <v>5049</v>
      </c>
      <c r="L3655" t="s">
        <v>5050</v>
      </c>
      <c r="M3655" t="s">
        <v>5055</v>
      </c>
    </row>
    <row r="3656" spans="1:13" x14ac:dyDescent="0.3">
      <c r="A3656" s="1">
        <v>45336</v>
      </c>
      <c r="B3656" s="1" t="str">
        <f>TEXT(Tabla1[[#This Row],[Fecha]],"MMMM")</f>
        <v>febrero</v>
      </c>
      <c r="C3656" t="s">
        <v>3666</v>
      </c>
      <c r="D3656" t="s">
        <v>5025</v>
      </c>
      <c r="E3656" t="s">
        <v>5032</v>
      </c>
      <c r="F3656" t="s">
        <v>5036</v>
      </c>
      <c r="G3656" s="3">
        <v>14368.15</v>
      </c>
      <c r="H3656" s="3">
        <v>0</v>
      </c>
      <c r="I3656" s="3">
        <f>SUM(Tabla1[[#This Row],[Monto_Base]],H3656)</f>
        <v>14368.15</v>
      </c>
      <c r="J3656" t="s">
        <v>5045</v>
      </c>
      <c r="K3656" t="s">
        <v>5048</v>
      </c>
      <c r="L3656" t="s">
        <v>5050</v>
      </c>
      <c r="M3656" t="s">
        <v>5055</v>
      </c>
    </row>
    <row r="3657" spans="1:13" x14ac:dyDescent="0.3">
      <c r="A3657" s="1">
        <v>45611</v>
      </c>
      <c r="B3657" s="1" t="str">
        <f>TEXT(Tabla1[[#This Row],[Fecha]],"MMMM")</f>
        <v>noviembre</v>
      </c>
      <c r="C3657" t="s">
        <v>3667</v>
      </c>
      <c r="D3657" t="s">
        <v>5027</v>
      </c>
      <c r="E3657" t="s">
        <v>5032</v>
      </c>
      <c r="F3657" t="s">
        <v>5036</v>
      </c>
      <c r="G3657" s="3">
        <v>7584.86</v>
      </c>
      <c r="H3657" s="3">
        <v>0</v>
      </c>
      <c r="I3657" s="3">
        <f>SUM(Tabla1[[#This Row],[Monto_Base]],H3657)</f>
        <v>7584.86</v>
      </c>
      <c r="J3657" t="s">
        <v>5046</v>
      </c>
      <c r="K3657" t="s">
        <v>5049</v>
      </c>
      <c r="L3657" t="s">
        <v>5050</v>
      </c>
      <c r="M3657" t="s">
        <v>5055</v>
      </c>
    </row>
    <row r="3658" spans="1:13" x14ac:dyDescent="0.3">
      <c r="A3658" s="1">
        <v>45373</v>
      </c>
      <c r="B3658" s="1" t="str">
        <f>TEXT(Tabla1[[#This Row],[Fecha]],"MMMM")</f>
        <v>marzo</v>
      </c>
      <c r="C3658" t="s">
        <v>3668</v>
      </c>
      <c r="D3658" t="s">
        <v>5018</v>
      </c>
      <c r="E3658" t="s">
        <v>5032</v>
      </c>
      <c r="F3658" t="s">
        <v>5035</v>
      </c>
      <c r="G3658" s="3">
        <v>1133.57</v>
      </c>
      <c r="H3658" s="3">
        <v>0</v>
      </c>
      <c r="I3658" s="3">
        <f>SUM(Tabla1[[#This Row],[Monto_Base]],H3658)</f>
        <v>1133.57</v>
      </c>
      <c r="J3658" t="s">
        <v>5044</v>
      </c>
      <c r="K3658" t="s">
        <v>5049</v>
      </c>
      <c r="L3658" t="s">
        <v>5052</v>
      </c>
      <c r="M3658" t="s">
        <v>5054</v>
      </c>
    </row>
    <row r="3659" spans="1:13" x14ac:dyDescent="0.3">
      <c r="A3659" s="1">
        <v>45424</v>
      </c>
      <c r="B3659" s="1" t="str">
        <f>TEXT(Tabla1[[#This Row],[Fecha]],"MMMM")</f>
        <v>mayo</v>
      </c>
      <c r="C3659" t="s">
        <v>3669</v>
      </c>
      <c r="D3659" t="s">
        <v>5029</v>
      </c>
      <c r="E3659" t="s">
        <v>5032</v>
      </c>
      <c r="F3659" t="s">
        <v>5039</v>
      </c>
      <c r="G3659" s="3">
        <v>13898.22</v>
      </c>
      <c r="H3659" s="3">
        <v>0</v>
      </c>
      <c r="I3659" s="3">
        <f>SUM(Tabla1[[#This Row],[Monto_Base]],H3659)</f>
        <v>13898.22</v>
      </c>
      <c r="J3659" t="s">
        <v>5046</v>
      </c>
      <c r="K3659" t="s">
        <v>5048</v>
      </c>
      <c r="L3659" t="s">
        <v>5053</v>
      </c>
      <c r="M3659" t="s">
        <v>5055</v>
      </c>
    </row>
    <row r="3660" spans="1:13" x14ac:dyDescent="0.3">
      <c r="A3660" s="1">
        <v>45593</v>
      </c>
      <c r="B3660" s="1" t="str">
        <f>TEXT(Tabla1[[#This Row],[Fecha]],"MMMM")</f>
        <v>octubre</v>
      </c>
      <c r="C3660" t="s">
        <v>3670</v>
      </c>
      <c r="D3660" t="s">
        <v>5022</v>
      </c>
      <c r="E3660" t="s">
        <v>5032</v>
      </c>
      <c r="F3660" t="s">
        <v>5035</v>
      </c>
      <c r="G3660" s="3">
        <v>7262.97</v>
      </c>
      <c r="H3660" s="3">
        <v>0</v>
      </c>
      <c r="I3660" s="3">
        <f>SUM(Tabla1[[#This Row],[Monto_Base]],H3660)</f>
        <v>7262.97</v>
      </c>
      <c r="J3660" t="s">
        <v>5046</v>
      </c>
      <c r="K3660" t="s">
        <v>5048</v>
      </c>
      <c r="L3660" t="s">
        <v>5051</v>
      </c>
      <c r="M3660" t="s">
        <v>5054</v>
      </c>
    </row>
    <row r="3661" spans="1:13" x14ac:dyDescent="0.3">
      <c r="A3661" s="1">
        <v>45648</v>
      </c>
      <c r="B3661" s="1" t="str">
        <f>TEXT(Tabla1[[#This Row],[Fecha]],"MMMM")</f>
        <v>diciembre</v>
      </c>
      <c r="C3661" t="s">
        <v>3671</v>
      </c>
      <c r="D3661" t="s">
        <v>5020</v>
      </c>
      <c r="E3661" t="s">
        <v>5032</v>
      </c>
      <c r="F3661" t="s">
        <v>5039</v>
      </c>
      <c r="G3661" s="3">
        <v>14786.97</v>
      </c>
      <c r="H3661" s="3">
        <v>0</v>
      </c>
      <c r="I3661" s="3">
        <f>SUM(Tabla1[[#This Row],[Monto_Base]],H3661)</f>
        <v>14786.97</v>
      </c>
      <c r="J3661" t="s">
        <v>5042</v>
      </c>
      <c r="K3661" t="s">
        <v>5047</v>
      </c>
      <c r="L3661" t="s">
        <v>5053</v>
      </c>
      <c r="M3661" t="s">
        <v>5054</v>
      </c>
    </row>
    <row r="3662" spans="1:13" x14ac:dyDescent="0.3">
      <c r="A3662" s="1">
        <v>45352</v>
      </c>
      <c r="B3662" s="1" t="str">
        <f>TEXT(Tabla1[[#This Row],[Fecha]],"MMMM")</f>
        <v>marzo</v>
      </c>
      <c r="C3662" t="s">
        <v>3672</v>
      </c>
      <c r="D3662" t="s">
        <v>5018</v>
      </c>
      <c r="E3662" t="s">
        <v>5033</v>
      </c>
      <c r="F3662" t="s">
        <v>5040</v>
      </c>
      <c r="G3662" s="3">
        <v>11655.9</v>
      </c>
      <c r="H3662" s="3">
        <v>1515.27</v>
      </c>
      <c r="I3662" s="3">
        <f>SUM(Tabla1[[#This Row],[Monto_Base]],H3662)</f>
        <v>13171.17</v>
      </c>
      <c r="J3662" t="s">
        <v>5046</v>
      </c>
      <c r="K3662" t="s">
        <v>5048</v>
      </c>
      <c r="L3662" t="s">
        <v>5050</v>
      </c>
      <c r="M3662" t="s">
        <v>5055</v>
      </c>
    </row>
    <row r="3663" spans="1:13" x14ac:dyDescent="0.3">
      <c r="A3663" s="1">
        <v>45574</v>
      </c>
      <c r="B3663" s="1" t="str">
        <f>TEXT(Tabla1[[#This Row],[Fecha]],"MMMM")</f>
        <v>octubre</v>
      </c>
      <c r="C3663" t="s">
        <v>3673</v>
      </c>
      <c r="D3663" t="s">
        <v>5013</v>
      </c>
      <c r="E3663" t="s">
        <v>5033</v>
      </c>
      <c r="F3663" t="s">
        <v>5034</v>
      </c>
      <c r="G3663" s="3">
        <v>122.65</v>
      </c>
      <c r="H3663" s="3">
        <v>15.94</v>
      </c>
      <c r="I3663" s="3">
        <f>SUM(Tabla1[[#This Row],[Monto_Base]],H3663)</f>
        <v>138.59</v>
      </c>
      <c r="J3663" t="s">
        <v>5044</v>
      </c>
      <c r="K3663" t="s">
        <v>5048</v>
      </c>
      <c r="L3663" t="s">
        <v>5051</v>
      </c>
      <c r="M3663" t="s">
        <v>5054</v>
      </c>
    </row>
    <row r="3664" spans="1:13" x14ac:dyDescent="0.3">
      <c r="A3664" s="1">
        <v>45490</v>
      </c>
      <c r="B3664" s="1" t="str">
        <f>TEXT(Tabla1[[#This Row],[Fecha]],"MMMM")</f>
        <v>julio</v>
      </c>
      <c r="C3664" t="s">
        <v>3674</v>
      </c>
      <c r="D3664" t="s">
        <v>5024</v>
      </c>
      <c r="E3664" t="s">
        <v>5033</v>
      </c>
      <c r="F3664" t="s">
        <v>5038</v>
      </c>
      <c r="G3664" s="3">
        <v>2765.35</v>
      </c>
      <c r="H3664" s="3">
        <v>359.5</v>
      </c>
      <c r="I3664" s="3">
        <f>SUM(Tabla1[[#This Row],[Monto_Base]],H3664)</f>
        <v>3124.85</v>
      </c>
      <c r="J3664" t="s">
        <v>5043</v>
      </c>
      <c r="K3664" t="s">
        <v>5047</v>
      </c>
      <c r="L3664" t="s">
        <v>5053</v>
      </c>
      <c r="M3664" t="s">
        <v>5054</v>
      </c>
    </row>
    <row r="3665" spans="1:13" x14ac:dyDescent="0.3">
      <c r="A3665" s="1">
        <v>45315</v>
      </c>
      <c r="B3665" s="1" t="str">
        <f>TEXT(Tabla1[[#This Row],[Fecha]],"MMMM")</f>
        <v>enero</v>
      </c>
      <c r="C3665" t="s">
        <v>3675</v>
      </c>
      <c r="D3665" t="s">
        <v>5025</v>
      </c>
      <c r="E3665" t="s">
        <v>5033</v>
      </c>
      <c r="F3665" t="s">
        <v>5037</v>
      </c>
      <c r="G3665" s="3">
        <v>9817.7800000000007</v>
      </c>
      <c r="H3665" s="3">
        <v>1276.31</v>
      </c>
      <c r="I3665" s="3">
        <f>SUM(Tabla1[[#This Row],[Monto_Base]],H3665)</f>
        <v>11094.09</v>
      </c>
      <c r="J3665" t="s">
        <v>5046</v>
      </c>
      <c r="K3665" t="s">
        <v>5047</v>
      </c>
      <c r="L3665" t="s">
        <v>5052</v>
      </c>
      <c r="M3665" t="s">
        <v>5055</v>
      </c>
    </row>
    <row r="3666" spans="1:13" x14ac:dyDescent="0.3">
      <c r="A3666" s="1">
        <v>45356</v>
      </c>
      <c r="B3666" s="1" t="str">
        <f>TEXT(Tabla1[[#This Row],[Fecha]],"MMMM")</f>
        <v>marzo</v>
      </c>
      <c r="C3666" t="s">
        <v>3676</v>
      </c>
      <c r="D3666" t="s">
        <v>5017</v>
      </c>
      <c r="E3666" t="s">
        <v>5032</v>
      </c>
      <c r="F3666" t="s">
        <v>5040</v>
      </c>
      <c r="G3666" s="3">
        <v>9830.83</v>
      </c>
      <c r="H3666" s="3">
        <v>0</v>
      </c>
      <c r="I3666" s="3">
        <f>SUM(Tabla1[[#This Row],[Monto_Base]],H3666)</f>
        <v>9830.83</v>
      </c>
      <c r="J3666" t="s">
        <v>5042</v>
      </c>
      <c r="K3666" t="s">
        <v>5049</v>
      </c>
      <c r="L3666" t="s">
        <v>5051</v>
      </c>
      <c r="M3666" t="s">
        <v>5055</v>
      </c>
    </row>
    <row r="3667" spans="1:13" x14ac:dyDescent="0.3">
      <c r="A3667" s="1">
        <v>45306</v>
      </c>
      <c r="B3667" s="1" t="str">
        <f>TEXT(Tabla1[[#This Row],[Fecha]],"MMMM")</f>
        <v>enero</v>
      </c>
      <c r="C3667" t="s">
        <v>3677</v>
      </c>
      <c r="D3667" t="s">
        <v>5014</v>
      </c>
      <c r="E3667" t="s">
        <v>5032</v>
      </c>
      <c r="F3667" t="s">
        <v>5041</v>
      </c>
      <c r="G3667" s="3">
        <v>12254.69</v>
      </c>
      <c r="H3667" s="3">
        <v>0</v>
      </c>
      <c r="I3667" s="3">
        <f>SUM(Tabla1[[#This Row],[Monto_Base]],H3667)</f>
        <v>12254.69</v>
      </c>
      <c r="J3667" t="s">
        <v>5043</v>
      </c>
      <c r="K3667" t="s">
        <v>5047</v>
      </c>
      <c r="L3667" t="s">
        <v>5050</v>
      </c>
      <c r="M3667" t="s">
        <v>5054</v>
      </c>
    </row>
    <row r="3668" spans="1:13" x14ac:dyDescent="0.3">
      <c r="A3668" s="1">
        <v>45434</v>
      </c>
      <c r="B3668" s="1" t="str">
        <f>TEXT(Tabla1[[#This Row],[Fecha]],"MMMM")</f>
        <v>mayo</v>
      </c>
      <c r="C3668" t="s">
        <v>3678</v>
      </c>
      <c r="D3668" t="s">
        <v>5018</v>
      </c>
      <c r="E3668" t="s">
        <v>5032</v>
      </c>
      <c r="F3668" t="s">
        <v>5037</v>
      </c>
      <c r="G3668" s="3">
        <v>1534.73</v>
      </c>
      <c r="H3668" s="3">
        <v>0</v>
      </c>
      <c r="I3668" s="3">
        <f>SUM(Tabla1[[#This Row],[Monto_Base]],H3668)</f>
        <v>1534.73</v>
      </c>
      <c r="J3668" t="s">
        <v>5046</v>
      </c>
      <c r="K3668" t="s">
        <v>5047</v>
      </c>
      <c r="L3668" t="s">
        <v>5050</v>
      </c>
      <c r="M3668" t="s">
        <v>5054</v>
      </c>
    </row>
    <row r="3669" spans="1:13" x14ac:dyDescent="0.3">
      <c r="A3669" s="1">
        <v>45437</v>
      </c>
      <c r="B3669" s="1" t="str">
        <f>TEXT(Tabla1[[#This Row],[Fecha]],"MMMM")</f>
        <v>mayo</v>
      </c>
      <c r="C3669" t="s">
        <v>3679</v>
      </c>
      <c r="D3669" t="s">
        <v>5021</v>
      </c>
      <c r="E3669" t="s">
        <v>5033</v>
      </c>
      <c r="F3669" t="s">
        <v>5041</v>
      </c>
      <c r="G3669" s="3">
        <v>14877.9</v>
      </c>
      <c r="H3669" s="3">
        <v>1934.13</v>
      </c>
      <c r="I3669" s="3">
        <f>SUM(Tabla1[[#This Row],[Monto_Base]],H3669)</f>
        <v>16812.03</v>
      </c>
      <c r="J3669" t="s">
        <v>5046</v>
      </c>
      <c r="K3669" t="s">
        <v>5048</v>
      </c>
      <c r="L3669" t="s">
        <v>5050</v>
      </c>
      <c r="M3669" t="s">
        <v>5054</v>
      </c>
    </row>
    <row r="3670" spans="1:13" x14ac:dyDescent="0.3">
      <c r="A3670" s="1">
        <v>45332</v>
      </c>
      <c r="B3670" s="1" t="str">
        <f>TEXT(Tabla1[[#This Row],[Fecha]],"MMMM")</f>
        <v>febrero</v>
      </c>
      <c r="C3670" t="s">
        <v>3680</v>
      </c>
      <c r="D3670" t="s">
        <v>5024</v>
      </c>
      <c r="E3670" t="s">
        <v>5032</v>
      </c>
      <c r="F3670" t="s">
        <v>5037</v>
      </c>
      <c r="G3670" s="3">
        <v>2837.56</v>
      </c>
      <c r="H3670" s="3">
        <v>0</v>
      </c>
      <c r="I3670" s="3">
        <f>SUM(Tabla1[[#This Row],[Monto_Base]],H3670)</f>
        <v>2837.56</v>
      </c>
      <c r="J3670" t="s">
        <v>5044</v>
      </c>
      <c r="K3670" t="s">
        <v>5048</v>
      </c>
      <c r="L3670" t="s">
        <v>5050</v>
      </c>
      <c r="M3670" t="s">
        <v>5055</v>
      </c>
    </row>
    <row r="3671" spans="1:13" x14ac:dyDescent="0.3">
      <c r="A3671" s="1">
        <v>45515</v>
      </c>
      <c r="B3671" s="1" t="str">
        <f>TEXT(Tabla1[[#This Row],[Fecha]],"MMMM")</f>
        <v>agosto</v>
      </c>
      <c r="C3671" t="s">
        <v>3681</v>
      </c>
      <c r="D3671" t="s">
        <v>5015</v>
      </c>
      <c r="E3671" t="s">
        <v>5032</v>
      </c>
      <c r="F3671" t="s">
        <v>5040</v>
      </c>
      <c r="G3671" s="3">
        <v>12508.43</v>
      </c>
      <c r="H3671" s="3">
        <v>0</v>
      </c>
      <c r="I3671" s="3">
        <f>SUM(Tabla1[[#This Row],[Monto_Base]],H3671)</f>
        <v>12508.43</v>
      </c>
      <c r="J3671" t="s">
        <v>5043</v>
      </c>
      <c r="K3671" t="s">
        <v>5047</v>
      </c>
      <c r="L3671" t="s">
        <v>5052</v>
      </c>
      <c r="M3671" t="s">
        <v>5055</v>
      </c>
    </row>
    <row r="3672" spans="1:13" x14ac:dyDescent="0.3">
      <c r="A3672" s="1">
        <v>45551</v>
      </c>
      <c r="B3672" s="1" t="str">
        <f>TEXT(Tabla1[[#This Row],[Fecha]],"MMMM")</f>
        <v>septiembre</v>
      </c>
      <c r="C3672" t="s">
        <v>3682</v>
      </c>
      <c r="D3672" t="s">
        <v>5029</v>
      </c>
      <c r="E3672" t="s">
        <v>5033</v>
      </c>
      <c r="F3672" t="s">
        <v>5038</v>
      </c>
      <c r="G3672" s="3">
        <v>2596.58</v>
      </c>
      <c r="H3672" s="3">
        <v>337.56</v>
      </c>
      <c r="I3672" s="3">
        <f>SUM(Tabla1[[#This Row],[Monto_Base]],H3672)</f>
        <v>2934.14</v>
      </c>
      <c r="J3672" t="s">
        <v>5044</v>
      </c>
      <c r="K3672" t="s">
        <v>5047</v>
      </c>
      <c r="L3672" t="s">
        <v>5053</v>
      </c>
      <c r="M3672" t="s">
        <v>5055</v>
      </c>
    </row>
    <row r="3673" spans="1:13" x14ac:dyDescent="0.3">
      <c r="A3673" s="1">
        <v>45654</v>
      </c>
      <c r="B3673" s="1" t="str">
        <f>TEXT(Tabla1[[#This Row],[Fecha]],"MMMM")</f>
        <v>diciembre</v>
      </c>
      <c r="C3673" t="s">
        <v>3683</v>
      </c>
      <c r="D3673" t="s">
        <v>5031</v>
      </c>
      <c r="E3673" t="s">
        <v>5032</v>
      </c>
      <c r="F3673" t="s">
        <v>5039</v>
      </c>
      <c r="G3673" s="3">
        <v>6303.06</v>
      </c>
      <c r="H3673" s="3">
        <v>0</v>
      </c>
      <c r="I3673" s="3">
        <f>SUM(Tabla1[[#This Row],[Monto_Base]],H3673)</f>
        <v>6303.06</v>
      </c>
      <c r="J3673" t="s">
        <v>5044</v>
      </c>
      <c r="K3673" t="s">
        <v>5049</v>
      </c>
      <c r="L3673" t="s">
        <v>5052</v>
      </c>
      <c r="M3673" t="s">
        <v>5054</v>
      </c>
    </row>
    <row r="3674" spans="1:13" x14ac:dyDescent="0.3">
      <c r="A3674" s="1">
        <v>45591</v>
      </c>
      <c r="B3674" s="1" t="str">
        <f>TEXT(Tabla1[[#This Row],[Fecha]],"MMMM")</f>
        <v>octubre</v>
      </c>
      <c r="C3674" t="s">
        <v>3684</v>
      </c>
      <c r="D3674" t="s">
        <v>5026</v>
      </c>
      <c r="E3674" t="s">
        <v>5033</v>
      </c>
      <c r="F3674" t="s">
        <v>5034</v>
      </c>
      <c r="G3674" s="3">
        <v>8664.82</v>
      </c>
      <c r="H3674" s="3">
        <v>1126.43</v>
      </c>
      <c r="I3674" s="3">
        <f>SUM(Tabla1[[#This Row],[Monto_Base]],H3674)</f>
        <v>9791.25</v>
      </c>
      <c r="J3674" t="s">
        <v>5042</v>
      </c>
      <c r="K3674" t="s">
        <v>5047</v>
      </c>
      <c r="L3674" t="s">
        <v>5053</v>
      </c>
      <c r="M3674" t="s">
        <v>5055</v>
      </c>
    </row>
    <row r="3675" spans="1:13" x14ac:dyDescent="0.3">
      <c r="A3675" s="1">
        <v>45362</v>
      </c>
      <c r="B3675" s="1" t="str">
        <f>TEXT(Tabla1[[#This Row],[Fecha]],"MMMM")</f>
        <v>marzo</v>
      </c>
      <c r="C3675" t="s">
        <v>3685</v>
      </c>
      <c r="D3675" t="s">
        <v>5012</v>
      </c>
      <c r="E3675" t="s">
        <v>5032</v>
      </c>
      <c r="F3675" t="s">
        <v>5036</v>
      </c>
      <c r="G3675" s="3">
        <v>3213.75</v>
      </c>
      <c r="H3675" s="3">
        <v>0</v>
      </c>
      <c r="I3675" s="3">
        <f>SUM(Tabla1[[#This Row],[Monto_Base]],H3675)</f>
        <v>3213.75</v>
      </c>
      <c r="J3675" t="s">
        <v>5045</v>
      </c>
      <c r="K3675" t="s">
        <v>5048</v>
      </c>
      <c r="L3675" t="s">
        <v>5051</v>
      </c>
      <c r="M3675" t="s">
        <v>5055</v>
      </c>
    </row>
    <row r="3676" spans="1:13" x14ac:dyDescent="0.3">
      <c r="A3676" s="1">
        <v>45633</v>
      </c>
      <c r="B3676" s="1" t="str">
        <f>TEXT(Tabla1[[#This Row],[Fecha]],"MMMM")</f>
        <v>diciembre</v>
      </c>
      <c r="C3676" t="s">
        <v>3686</v>
      </c>
      <c r="D3676" t="s">
        <v>5019</v>
      </c>
      <c r="E3676" t="s">
        <v>5032</v>
      </c>
      <c r="F3676" t="s">
        <v>5041</v>
      </c>
      <c r="G3676" s="3">
        <v>1112.51</v>
      </c>
      <c r="H3676" s="3">
        <v>0</v>
      </c>
      <c r="I3676" s="3">
        <f>SUM(Tabla1[[#This Row],[Monto_Base]],H3676)</f>
        <v>1112.51</v>
      </c>
      <c r="J3676" t="s">
        <v>5044</v>
      </c>
      <c r="K3676" t="s">
        <v>5047</v>
      </c>
      <c r="L3676" t="s">
        <v>5050</v>
      </c>
      <c r="M3676" t="s">
        <v>5055</v>
      </c>
    </row>
    <row r="3677" spans="1:13" x14ac:dyDescent="0.3">
      <c r="A3677" s="1">
        <v>45593</v>
      </c>
      <c r="B3677" s="1" t="str">
        <f>TEXT(Tabla1[[#This Row],[Fecha]],"MMMM")</f>
        <v>octubre</v>
      </c>
      <c r="C3677" t="s">
        <v>3687</v>
      </c>
      <c r="D3677" t="s">
        <v>5022</v>
      </c>
      <c r="E3677" t="s">
        <v>5032</v>
      </c>
      <c r="F3677" t="s">
        <v>5040</v>
      </c>
      <c r="G3677" s="3">
        <v>6294.46</v>
      </c>
      <c r="H3677" s="3">
        <v>0</v>
      </c>
      <c r="I3677" s="3">
        <f>SUM(Tabla1[[#This Row],[Monto_Base]],H3677)</f>
        <v>6294.46</v>
      </c>
      <c r="J3677" t="s">
        <v>5046</v>
      </c>
      <c r="K3677" t="s">
        <v>5049</v>
      </c>
      <c r="L3677" t="s">
        <v>5053</v>
      </c>
      <c r="M3677" t="s">
        <v>5054</v>
      </c>
    </row>
    <row r="3678" spans="1:13" x14ac:dyDescent="0.3">
      <c r="A3678" s="1">
        <v>45543</v>
      </c>
      <c r="B3678" s="1" t="str">
        <f>TEXT(Tabla1[[#This Row],[Fecha]],"MMMM")</f>
        <v>septiembre</v>
      </c>
      <c r="C3678" t="s">
        <v>3688</v>
      </c>
      <c r="D3678" t="s">
        <v>5029</v>
      </c>
      <c r="E3678" t="s">
        <v>5032</v>
      </c>
      <c r="F3678" t="s">
        <v>5041</v>
      </c>
      <c r="G3678" s="3">
        <v>9810.9699999999993</v>
      </c>
      <c r="H3678" s="3">
        <v>0</v>
      </c>
      <c r="I3678" s="3">
        <f>SUM(Tabla1[[#This Row],[Monto_Base]],H3678)</f>
        <v>9810.9699999999993</v>
      </c>
      <c r="J3678" t="s">
        <v>5043</v>
      </c>
      <c r="K3678" t="s">
        <v>5048</v>
      </c>
      <c r="L3678" t="s">
        <v>5051</v>
      </c>
      <c r="M3678" t="s">
        <v>5055</v>
      </c>
    </row>
    <row r="3679" spans="1:13" x14ac:dyDescent="0.3">
      <c r="A3679" s="1">
        <v>45493</v>
      </c>
      <c r="B3679" s="1" t="str">
        <f>TEXT(Tabla1[[#This Row],[Fecha]],"MMMM")</f>
        <v>julio</v>
      </c>
      <c r="C3679" t="s">
        <v>3689</v>
      </c>
      <c r="D3679" t="s">
        <v>5019</v>
      </c>
      <c r="E3679" t="s">
        <v>5032</v>
      </c>
      <c r="F3679" t="s">
        <v>5038</v>
      </c>
      <c r="G3679" s="3">
        <v>7235.84</v>
      </c>
      <c r="H3679" s="3">
        <v>0</v>
      </c>
      <c r="I3679" s="3">
        <f>SUM(Tabla1[[#This Row],[Monto_Base]],H3679)</f>
        <v>7235.84</v>
      </c>
      <c r="J3679" t="s">
        <v>5045</v>
      </c>
      <c r="K3679" t="s">
        <v>5049</v>
      </c>
      <c r="L3679" t="s">
        <v>5051</v>
      </c>
      <c r="M3679" t="s">
        <v>5054</v>
      </c>
    </row>
    <row r="3680" spans="1:13" x14ac:dyDescent="0.3">
      <c r="A3680" s="1">
        <v>45451</v>
      </c>
      <c r="B3680" s="1" t="str">
        <f>TEXT(Tabla1[[#This Row],[Fecha]],"MMMM")</f>
        <v>junio</v>
      </c>
      <c r="C3680" t="s">
        <v>3690</v>
      </c>
      <c r="D3680" t="s">
        <v>5023</v>
      </c>
      <c r="E3680" t="s">
        <v>5032</v>
      </c>
      <c r="F3680" t="s">
        <v>5039</v>
      </c>
      <c r="G3680" s="3">
        <v>8812.43</v>
      </c>
      <c r="H3680" s="3">
        <v>0</v>
      </c>
      <c r="I3680" s="3">
        <f>SUM(Tabla1[[#This Row],[Monto_Base]],H3680)</f>
        <v>8812.43</v>
      </c>
      <c r="J3680" t="s">
        <v>5044</v>
      </c>
      <c r="K3680" t="s">
        <v>5048</v>
      </c>
      <c r="L3680" t="s">
        <v>5052</v>
      </c>
      <c r="M3680" t="s">
        <v>5054</v>
      </c>
    </row>
    <row r="3681" spans="1:13" x14ac:dyDescent="0.3">
      <c r="A3681" s="1">
        <v>45567</v>
      </c>
      <c r="B3681" s="1" t="str">
        <f>TEXT(Tabla1[[#This Row],[Fecha]],"MMMM")</f>
        <v>octubre</v>
      </c>
      <c r="C3681" t="s">
        <v>3691</v>
      </c>
      <c r="D3681" t="s">
        <v>5020</v>
      </c>
      <c r="E3681" t="s">
        <v>5033</v>
      </c>
      <c r="F3681" t="s">
        <v>5038</v>
      </c>
      <c r="G3681" s="3">
        <v>8619.73</v>
      </c>
      <c r="H3681" s="3">
        <v>1120.56</v>
      </c>
      <c r="I3681" s="3">
        <f>SUM(Tabla1[[#This Row],[Monto_Base]],H3681)</f>
        <v>9740.2899999999991</v>
      </c>
      <c r="J3681" t="s">
        <v>5042</v>
      </c>
      <c r="K3681" t="s">
        <v>5048</v>
      </c>
      <c r="L3681" t="s">
        <v>5052</v>
      </c>
      <c r="M3681" t="s">
        <v>5055</v>
      </c>
    </row>
    <row r="3682" spans="1:13" x14ac:dyDescent="0.3">
      <c r="A3682" s="1">
        <v>45364</v>
      </c>
      <c r="B3682" s="1" t="str">
        <f>TEXT(Tabla1[[#This Row],[Fecha]],"MMMM")</f>
        <v>marzo</v>
      </c>
      <c r="C3682" t="s">
        <v>3692</v>
      </c>
      <c r="D3682" t="s">
        <v>5018</v>
      </c>
      <c r="E3682" t="s">
        <v>5032</v>
      </c>
      <c r="F3682" t="s">
        <v>5038</v>
      </c>
      <c r="G3682" s="3">
        <v>11118.99</v>
      </c>
      <c r="H3682" s="3">
        <v>0</v>
      </c>
      <c r="I3682" s="3">
        <f>SUM(Tabla1[[#This Row],[Monto_Base]],H3682)</f>
        <v>11118.99</v>
      </c>
      <c r="J3682" t="s">
        <v>5046</v>
      </c>
      <c r="K3682" t="s">
        <v>5047</v>
      </c>
      <c r="L3682" t="s">
        <v>5050</v>
      </c>
      <c r="M3682" t="s">
        <v>5054</v>
      </c>
    </row>
    <row r="3683" spans="1:13" x14ac:dyDescent="0.3">
      <c r="A3683" s="1">
        <v>45566</v>
      </c>
      <c r="B3683" s="1" t="str">
        <f>TEXT(Tabla1[[#This Row],[Fecha]],"MMMM")</f>
        <v>octubre</v>
      </c>
      <c r="C3683" t="s">
        <v>3693</v>
      </c>
      <c r="D3683" t="s">
        <v>5022</v>
      </c>
      <c r="E3683" t="s">
        <v>5032</v>
      </c>
      <c r="F3683" t="s">
        <v>5039</v>
      </c>
      <c r="G3683" s="3">
        <v>8943.93</v>
      </c>
      <c r="H3683" s="3">
        <v>0</v>
      </c>
      <c r="I3683" s="3">
        <f>SUM(Tabla1[[#This Row],[Monto_Base]],H3683)</f>
        <v>8943.93</v>
      </c>
      <c r="J3683" t="s">
        <v>5043</v>
      </c>
      <c r="K3683" t="s">
        <v>5049</v>
      </c>
      <c r="L3683" t="s">
        <v>5052</v>
      </c>
      <c r="M3683" t="s">
        <v>5055</v>
      </c>
    </row>
    <row r="3684" spans="1:13" x14ac:dyDescent="0.3">
      <c r="A3684" s="1">
        <v>45363</v>
      </c>
      <c r="B3684" s="1" t="str">
        <f>TEXT(Tabla1[[#This Row],[Fecha]],"MMMM")</f>
        <v>marzo</v>
      </c>
      <c r="C3684" t="s">
        <v>3694</v>
      </c>
      <c r="D3684" t="s">
        <v>5022</v>
      </c>
      <c r="E3684" t="s">
        <v>5033</v>
      </c>
      <c r="F3684" t="s">
        <v>5037</v>
      </c>
      <c r="G3684" s="3">
        <v>12016.08</v>
      </c>
      <c r="H3684" s="3">
        <v>1562.09</v>
      </c>
      <c r="I3684" s="3">
        <f>SUM(Tabla1[[#This Row],[Monto_Base]],H3684)</f>
        <v>13578.17</v>
      </c>
      <c r="J3684" t="s">
        <v>5044</v>
      </c>
      <c r="K3684" t="s">
        <v>5048</v>
      </c>
      <c r="L3684" t="s">
        <v>5050</v>
      </c>
      <c r="M3684" t="s">
        <v>5054</v>
      </c>
    </row>
    <row r="3685" spans="1:13" x14ac:dyDescent="0.3">
      <c r="A3685" s="1">
        <v>45320</v>
      </c>
      <c r="B3685" s="1" t="str">
        <f>TEXT(Tabla1[[#This Row],[Fecha]],"MMMM")</f>
        <v>enero</v>
      </c>
      <c r="C3685" t="s">
        <v>3695</v>
      </c>
      <c r="D3685" t="s">
        <v>5017</v>
      </c>
      <c r="E3685" t="s">
        <v>5033</v>
      </c>
      <c r="F3685" t="s">
        <v>5036</v>
      </c>
      <c r="G3685" s="3">
        <v>3891.3</v>
      </c>
      <c r="H3685" s="3">
        <v>505.87</v>
      </c>
      <c r="I3685" s="3">
        <f>SUM(Tabla1[[#This Row],[Monto_Base]],H3685)</f>
        <v>4397.17</v>
      </c>
      <c r="J3685" t="s">
        <v>5046</v>
      </c>
      <c r="K3685" t="s">
        <v>5047</v>
      </c>
      <c r="L3685" t="s">
        <v>5052</v>
      </c>
      <c r="M3685" t="s">
        <v>5054</v>
      </c>
    </row>
    <row r="3686" spans="1:13" x14ac:dyDescent="0.3">
      <c r="A3686" s="1">
        <v>45552</v>
      </c>
      <c r="B3686" s="1" t="str">
        <f>TEXT(Tabla1[[#This Row],[Fecha]],"MMMM")</f>
        <v>septiembre</v>
      </c>
      <c r="C3686" t="s">
        <v>3696</v>
      </c>
      <c r="D3686" t="s">
        <v>5012</v>
      </c>
      <c r="E3686" t="s">
        <v>5033</v>
      </c>
      <c r="F3686" t="s">
        <v>5036</v>
      </c>
      <c r="G3686" s="3">
        <v>13830.61</v>
      </c>
      <c r="H3686" s="3">
        <v>1797.98</v>
      </c>
      <c r="I3686" s="3">
        <f>SUM(Tabla1[[#This Row],[Monto_Base]],H3686)</f>
        <v>15628.59</v>
      </c>
      <c r="J3686" t="s">
        <v>5044</v>
      </c>
      <c r="K3686" t="s">
        <v>5049</v>
      </c>
      <c r="L3686" t="s">
        <v>5053</v>
      </c>
      <c r="M3686" t="s">
        <v>5055</v>
      </c>
    </row>
    <row r="3687" spans="1:13" x14ac:dyDescent="0.3">
      <c r="A3687" s="1">
        <v>45455</v>
      </c>
      <c r="B3687" s="1" t="str">
        <f>TEXT(Tabla1[[#This Row],[Fecha]],"MMMM")</f>
        <v>junio</v>
      </c>
      <c r="C3687" t="s">
        <v>3697</v>
      </c>
      <c r="D3687" t="s">
        <v>5029</v>
      </c>
      <c r="E3687" t="s">
        <v>5032</v>
      </c>
      <c r="F3687" t="s">
        <v>5040</v>
      </c>
      <c r="G3687" s="3">
        <v>7869.9</v>
      </c>
      <c r="H3687" s="3">
        <v>0</v>
      </c>
      <c r="I3687" s="3">
        <f>SUM(Tabla1[[#This Row],[Monto_Base]],H3687)</f>
        <v>7869.9</v>
      </c>
      <c r="J3687" t="s">
        <v>5044</v>
      </c>
      <c r="K3687" t="s">
        <v>5047</v>
      </c>
      <c r="L3687" t="s">
        <v>5051</v>
      </c>
      <c r="M3687" t="s">
        <v>5055</v>
      </c>
    </row>
    <row r="3688" spans="1:13" x14ac:dyDescent="0.3">
      <c r="A3688" s="1">
        <v>45433</v>
      </c>
      <c r="B3688" s="1" t="str">
        <f>TEXT(Tabla1[[#This Row],[Fecha]],"MMMM")</f>
        <v>mayo</v>
      </c>
      <c r="C3688" t="s">
        <v>3698</v>
      </c>
      <c r="D3688" t="s">
        <v>5031</v>
      </c>
      <c r="E3688" t="s">
        <v>5032</v>
      </c>
      <c r="F3688" t="s">
        <v>5036</v>
      </c>
      <c r="G3688" s="3">
        <v>5186.8599999999997</v>
      </c>
      <c r="H3688" s="3">
        <v>0</v>
      </c>
      <c r="I3688" s="3">
        <f>SUM(Tabla1[[#This Row],[Monto_Base]],H3688)</f>
        <v>5186.8599999999997</v>
      </c>
      <c r="J3688" t="s">
        <v>5046</v>
      </c>
      <c r="K3688" t="s">
        <v>5048</v>
      </c>
      <c r="L3688" t="s">
        <v>5050</v>
      </c>
      <c r="M3688" t="s">
        <v>5055</v>
      </c>
    </row>
    <row r="3689" spans="1:13" x14ac:dyDescent="0.3">
      <c r="A3689" s="1">
        <v>45523</v>
      </c>
      <c r="B3689" s="1" t="str">
        <f>TEXT(Tabla1[[#This Row],[Fecha]],"MMMM")</f>
        <v>agosto</v>
      </c>
      <c r="C3689" t="s">
        <v>3699</v>
      </c>
      <c r="D3689" t="s">
        <v>5025</v>
      </c>
      <c r="E3689" t="s">
        <v>5033</v>
      </c>
      <c r="F3689" t="s">
        <v>5040</v>
      </c>
      <c r="G3689" s="3">
        <v>1139.23</v>
      </c>
      <c r="H3689" s="3">
        <v>148.1</v>
      </c>
      <c r="I3689" s="3">
        <f>SUM(Tabla1[[#This Row],[Monto_Base]],H3689)</f>
        <v>1287.33</v>
      </c>
      <c r="J3689" t="s">
        <v>5042</v>
      </c>
      <c r="K3689" t="s">
        <v>5049</v>
      </c>
      <c r="L3689" t="s">
        <v>5052</v>
      </c>
      <c r="M3689" t="s">
        <v>5055</v>
      </c>
    </row>
    <row r="3690" spans="1:13" x14ac:dyDescent="0.3">
      <c r="A3690" s="1">
        <v>45509</v>
      </c>
      <c r="B3690" s="1" t="str">
        <f>TEXT(Tabla1[[#This Row],[Fecha]],"MMMM")</f>
        <v>agosto</v>
      </c>
      <c r="C3690" t="s">
        <v>3700</v>
      </c>
      <c r="D3690" t="s">
        <v>5017</v>
      </c>
      <c r="E3690" t="s">
        <v>5032</v>
      </c>
      <c r="F3690" t="s">
        <v>5040</v>
      </c>
      <c r="G3690" s="3">
        <v>14534.75</v>
      </c>
      <c r="H3690" s="3">
        <v>0</v>
      </c>
      <c r="I3690" s="3">
        <f>SUM(Tabla1[[#This Row],[Monto_Base]],H3690)</f>
        <v>14534.75</v>
      </c>
      <c r="J3690" t="s">
        <v>5042</v>
      </c>
      <c r="K3690" t="s">
        <v>5048</v>
      </c>
      <c r="L3690" t="s">
        <v>5052</v>
      </c>
      <c r="M3690" t="s">
        <v>5054</v>
      </c>
    </row>
    <row r="3691" spans="1:13" x14ac:dyDescent="0.3">
      <c r="A3691" s="1">
        <v>45626</v>
      </c>
      <c r="B3691" s="1" t="str">
        <f>TEXT(Tabla1[[#This Row],[Fecha]],"MMMM")</f>
        <v>noviembre</v>
      </c>
      <c r="C3691" t="s">
        <v>3701</v>
      </c>
      <c r="D3691" t="s">
        <v>5016</v>
      </c>
      <c r="E3691" t="s">
        <v>5032</v>
      </c>
      <c r="F3691" t="s">
        <v>5038</v>
      </c>
      <c r="G3691" s="3">
        <v>1070.96</v>
      </c>
      <c r="H3691" s="3">
        <v>0</v>
      </c>
      <c r="I3691" s="3">
        <f>SUM(Tabla1[[#This Row],[Monto_Base]],H3691)</f>
        <v>1070.96</v>
      </c>
      <c r="J3691" t="s">
        <v>5042</v>
      </c>
      <c r="K3691" t="s">
        <v>5047</v>
      </c>
      <c r="L3691" t="s">
        <v>5051</v>
      </c>
      <c r="M3691" t="s">
        <v>5055</v>
      </c>
    </row>
    <row r="3692" spans="1:13" x14ac:dyDescent="0.3">
      <c r="A3692" s="1">
        <v>45509</v>
      </c>
      <c r="B3692" s="1" t="str">
        <f>TEXT(Tabla1[[#This Row],[Fecha]],"MMMM")</f>
        <v>agosto</v>
      </c>
      <c r="C3692" t="s">
        <v>3702</v>
      </c>
      <c r="D3692" t="s">
        <v>5013</v>
      </c>
      <c r="E3692" t="s">
        <v>5033</v>
      </c>
      <c r="F3692" t="s">
        <v>5037</v>
      </c>
      <c r="G3692" s="3">
        <v>1977.19</v>
      </c>
      <c r="H3692" s="3">
        <v>257.02999999999997</v>
      </c>
      <c r="I3692" s="3">
        <f>SUM(Tabla1[[#This Row],[Monto_Base]],H3692)</f>
        <v>2234.2200000000003</v>
      </c>
      <c r="J3692" t="s">
        <v>5042</v>
      </c>
      <c r="K3692" t="s">
        <v>5048</v>
      </c>
      <c r="L3692" t="s">
        <v>5050</v>
      </c>
      <c r="M3692" t="s">
        <v>5055</v>
      </c>
    </row>
    <row r="3693" spans="1:13" x14ac:dyDescent="0.3">
      <c r="A3693" s="1">
        <v>45642</v>
      </c>
      <c r="B3693" s="1" t="str">
        <f>TEXT(Tabla1[[#This Row],[Fecha]],"MMMM")</f>
        <v>diciembre</v>
      </c>
      <c r="C3693" t="s">
        <v>3703</v>
      </c>
      <c r="D3693" t="s">
        <v>5031</v>
      </c>
      <c r="E3693" t="s">
        <v>5033</v>
      </c>
      <c r="F3693" t="s">
        <v>5037</v>
      </c>
      <c r="G3693" s="3">
        <v>12035.53</v>
      </c>
      <c r="H3693" s="3">
        <v>1564.62</v>
      </c>
      <c r="I3693" s="3">
        <f>SUM(Tabla1[[#This Row],[Monto_Base]],H3693)</f>
        <v>13600.150000000001</v>
      </c>
      <c r="J3693" t="s">
        <v>5042</v>
      </c>
      <c r="K3693" t="s">
        <v>5048</v>
      </c>
      <c r="L3693" t="s">
        <v>5052</v>
      </c>
      <c r="M3693" t="s">
        <v>5055</v>
      </c>
    </row>
    <row r="3694" spans="1:13" x14ac:dyDescent="0.3">
      <c r="A3694" s="1">
        <v>45538</v>
      </c>
      <c r="B3694" s="1" t="str">
        <f>TEXT(Tabla1[[#This Row],[Fecha]],"MMMM")</f>
        <v>septiembre</v>
      </c>
      <c r="C3694" t="s">
        <v>3704</v>
      </c>
      <c r="D3694" t="s">
        <v>5030</v>
      </c>
      <c r="E3694" t="s">
        <v>5032</v>
      </c>
      <c r="F3694" t="s">
        <v>5041</v>
      </c>
      <c r="G3694" s="3">
        <v>2909.03</v>
      </c>
      <c r="H3694" s="3">
        <v>0</v>
      </c>
      <c r="I3694" s="3">
        <f>SUM(Tabla1[[#This Row],[Monto_Base]],H3694)</f>
        <v>2909.03</v>
      </c>
      <c r="J3694" t="s">
        <v>5042</v>
      </c>
      <c r="K3694" t="s">
        <v>5049</v>
      </c>
      <c r="L3694" t="s">
        <v>5053</v>
      </c>
      <c r="M3694" t="s">
        <v>5054</v>
      </c>
    </row>
    <row r="3695" spans="1:13" x14ac:dyDescent="0.3">
      <c r="A3695" s="1">
        <v>45321</v>
      </c>
      <c r="B3695" s="1" t="str">
        <f>TEXT(Tabla1[[#This Row],[Fecha]],"MMMM")</f>
        <v>enero</v>
      </c>
      <c r="C3695" t="s">
        <v>3705</v>
      </c>
      <c r="D3695" t="s">
        <v>5026</v>
      </c>
      <c r="E3695" t="s">
        <v>5032</v>
      </c>
      <c r="F3695" t="s">
        <v>5036</v>
      </c>
      <c r="G3695" s="3">
        <v>9120.43</v>
      </c>
      <c r="H3695" s="3">
        <v>0</v>
      </c>
      <c r="I3695" s="3">
        <f>SUM(Tabla1[[#This Row],[Monto_Base]],H3695)</f>
        <v>9120.43</v>
      </c>
      <c r="J3695" t="s">
        <v>5042</v>
      </c>
      <c r="K3695" t="s">
        <v>5048</v>
      </c>
      <c r="L3695" t="s">
        <v>5052</v>
      </c>
      <c r="M3695" t="s">
        <v>5054</v>
      </c>
    </row>
    <row r="3696" spans="1:13" x14ac:dyDescent="0.3">
      <c r="A3696" s="1">
        <v>45357</v>
      </c>
      <c r="B3696" s="1" t="str">
        <f>TEXT(Tabla1[[#This Row],[Fecha]],"MMMM")</f>
        <v>marzo</v>
      </c>
      <c r="C3696" t="s">
        <v>3706</v>
      </c>
      <c r="D3696" t="s">
        <v>5023</v>
      </c>
      <c r="E3696" t="s">
        <v>5032</v>
      </c>
      <c r="F3696" t="s">
        <v>5039</v>
      </c>
      <c r="G3696" s="3">
        <v>1557.85</v>
      </c>
      <c r="H3696" s="3">
        <v>0</v>
      </c>
      <c r="I3696" s="3">
        <f>SUM(Tabla1[[#This Row],[Monto_Base]],H3696)</f>
        <v>1557.85</v>
      </c>
      <c r="J3696" t="s">
        <v>5045</v>
      </c>
      <c r="K3696" t="s">
        <v>5048</v>
      </c>
      <c r="L3696" t="s">
        <v>5053</v>
      </c>
      <c r="M3696" t="s">
        <v>5054</v>
      </c>
    </row>
    <row r="3697" spans="1:13" x14ac:dyDescent="0.3">
      <c r="A3697" s="1">
        <v>45430</v>
      </c>
      <c r="B3697" s="1" t="str">
        <f>TEXT(Tabla1[[#This Row],[Fecha]],"MMMM")</f>
        <v>mayo</v>
      </c>
      <c r="C3697" t="s">
        <v>3707</v>
      </c>
      <c r="D3697" t="s">
        <v>5020</v>
      </c>
      <c r="E3697" t="s">
        <v>5032</v>
      </c>
      <c r="F3697" t="s">
        <v>5039</v>
      </c>
      <c r="G3697" s="3">
        <v>12402.58</v>
      </c>
      <c r="H3697" s="3">
        <v>0</v>
      </c>
      <c r="I3697" s="3">
        <f>SUM(Tabla1[[#This Row],[Monto_Base]],H3697)</f>
        <v>12402.58</v>
      </c>
      <c r="J3697" t="s">
        <v>5043</v>
      </c>
      <c r="K3697" t="s">
        <v>5049</v>
      </c>
      <c r="L3697" t="s">
        <v>5052</v>
      </c>
      <c r="M3697" t="s">
        <v>5054</v>
      </c>
    </row>
    <row r="3698" spans="1:13" x14ac:dyDescent="0.3">
      <c r="A3698" s="1">
        <v>45403</v>
      </c>
      <c r="B3698" s="1" t="str">
        <f>TEXT(Tabla1[[#This Row],[Fecha]],"MMMM")</f>
        <v>abril</v>
      </c>
      <c r="C3698" t="s">
        <v>3708</v>
      </c>
      <c r="D3698" t="s">
        <v>5013</v>
      </c>
      <c r="E3698" t="s">
        <v>5032</v>
      </c>
      <c r="F3698" t="s">
        <v>5040</v>
      </c>
      <c r="G3698" s="3">
        <v>6404.09</v>
      </c>
      <c r="H3698" s="3">
        <v>0</v>
      </c>
      <c r="I3698" s="3">
        <f>SUM(Tabla1[[#This Row],[Monto_Base]],H3698)</f>
        <v>6404.09</v>
      </c>
      <c r="J3698" t="s">
        <v>5046</v>
      </c>
      <c r="K3698" t="s">
        <v>5049</v>
      </c>
      <c r="L3698" t="s">
        <v>5052</v>
      </c>
      <c r="M3698" t="s">
        <v>5055</v>
      </c>
    </row>
    <row r="3699" spans="1:13" x14ac:dyDescent="0.3">
      <c r="A3699" s="1">
        <v>45359</v>
      </c>
      <c r="B3699" s="1" t="str">
        <f>TEXT(Tabla1[[#This Row],[Fecha]],"MMMM")</f>
        <v>marzo</v>
      </c>
      <c r="C3699" t="s">
        <v>3709</v>
      </c>
      <c r="D3699" t="s">
        <v>5023</v>
      </c>
      <c r="E3699" t="s">
        <v>5033</v>
      </c>
      <c r="F3699" t="s">
        <v>5038</v>
      </c>
      <c r="G3699" s="3">
        <v>2869.73</v>
      </c>
      <c r="H3699" s="3">
        <v>373.06</v>
      </c>
      <c r="I3699" s="3">
        <f>SUM(Tabla1[[#This Row],[Monto_Base]],H3699)</f>
        <v>3242.79</v>
      </c>
      <c r="J3699" t="s">
        <v>5043</v>
      </c>
      <c r="K3699" t="s">
        <v>5047</v>
      </c>
      <c r="L3699" t="s">
        <v>5051</v>
      </c>
      <c r="M3699" t="s">
        <v>5054</v>
      </c>
    </row>
    <row r="3700" spans="1:13" x14ac:dyDescent="0.3">
      <c r="A3700" s="1">
        <v>45545</v>
      </c>
      <c r="B3700" s="1" t="str">
        <f>TEXT(Tabla1[[#This Row],[Fecha]],"MMMM")</f>
        <v>septiembre</v>
      </c>
      <c r="C3700" t="s">
        <v>3710</v>
      </c>
      <c r="D3700" t="s">
        <v>5021</v>
      </c>
      <c r="E3700" t="s">
        <v>5033</v>
      </c>
      <c r="F3700" t="s">
        <v>5034</v>
      </c>
      <c r="G3700" s="3">
        <v>852.13</v>
      </c>
      <c r="H3700" s="3">
        <v>110.78</v>
      </c>
      <c r="I3700" s="3">
        <f>SUM(Tabla1[[#This Row],[Monto_Base]],H3700)</f>
        <v>962.91</v>
      </c>
      <c r="J3700" t="s">
        <v>5044</v>
      </c>
      <c r="K3700" t="s">
        <v>5048</v>
      </c>
      <c r="L3700" t="s">
        <v>5051</v>
      </c>
      <c r="M3700" t="s">
        <v>5054</v>
      </c>
    </row>
    <row r="3701" spans="1:13" x14ac:dyDescent="0.3">
      <c r="A3701" s="1">
        <v>45562</v>
      </c>
      <c r="B3701" s="1" t="str">
        <f>TEXT(Tabla1[[#This Row],[Fecha]],"MMMM")</f>
        <v>septiembre</v>
      </c>
      <c r="C3701" t="s">
        <v>3711</v>
      </c>
      <c r="D3701" t="s">
        <v>5028</v>
      </c>
      <c r="E3701" t="s">
        <v>5033</v>
      </c>
      <c r="F3701" t="s">
        <v>5039</v>
      </c>
      <c r="G3701" s="3">
        <v>13267.97</v>
      </c>
      <c r="H3701" s="3">
        <v>1724.84</v>
      </c>
      <c r="I3701" s="3">
        <f>SUM(Tabla1[[#This Row],[Monto_Base]],H3701)</f>
        <v>14992.81</v>
      </c>
      <c r="J3701" t="s">
        <v>5044</v>
      </c>
      <c r="K3701" t="s">
        <v>5047</v>
      </c>
      <c r="L3701" t="s">
        <v>5051</v>
      </c>
      <c r="M3701" t="s">
        <v>5054</v>
      </c>
    </row>
    <row r="3702" spans="1:13" x14ac:dyDescent="0.3">
      <c r="A3702" s="1">
        <v>45599</v>
      </c>
      <c r="B3702" s="1" t="str">
        <f>TEXT(Tabla1[[#This Row],[Fecha]],"MMMM")</f>
        <v>noviembre</v>
      </c>
      <c r="C3702" t="s">
        <v>3712</v>
      </c>
      <c r="D3702" t="s">
        <v>5029</v>
      </c>
      <c r="E3702" t="s">
        <v>5032</v>
      </c>
      <c r="F3702" t="s">
        <v>5035</v>
      </c>
      <c r="G3702" s="3">
        <v>11411.5</v>
      </c>
      <c r="H3702" s="3">
        <v>0</v>
      </c>
      <c r="I3702" s="3">
        <f>SUM(Tabla1[[#This Row],[Monto_Base]],H3702)</f>
        <v>11411.5</v>
      </c>
      <c r="J3702" t="s">
        <v>5046</v>
      </c>
      <c r="K3702" t="s">
        <v>5049</v>
      </c>
      <c r="L3702" t="s">
        <v>5052</v>
      </c>
      <c r="M3702" t="s">
        <v>5054</v>
      </c>
    </row>
    <row r="3703" spans="1:13" x14ac:dyDescent="0.3">
      <c r="A3703" s="1">
        <v>45430</v>
      </c>
      <c r="B3703" s="1" t="str">
        <f>TEXT(Tabla1[[#This Row],[Fecha]],"MMMM")</f>
        <v>mayo</v>
      </c>
      <c r="C3703" t="s">
        <v>3713</v>
      </c>
      <c r="D3703" t="s">
        <v>5031</v>
      </c>
      <c r="E3703" t="s">
        <v>5032</v>
      </c>
      <c r="F3703" t="s">
        <v>5035</v>
      </c>
      <c r="G3703" s="3">
        <v>2138.7199999999998</v>
      </c>
      <c r="H3703" s="3">
        <v>0</v>
      </c>
      <c r="I3703" s="3">
        <f>SUM(Tabla1[[#This Row],[Monto_Base]],H3703)</f>
        <v>2138.7199999999998</v>
      </c>
      <c r="J3703" t="s">
        <v>5045</v>
      </c>
      <c r="K3703" t="s">
        <v>5048</v>
      </c>
      <c r="L3703" t="s">
        <v>5052</v>
      </c>
      <c r="M3703" t="s">
        <v>5054</v>
      </c>
    </row>
    <row r="3704" spans="1:13" x14ac:dyDescent="0.3">
      <c r="A3704" s="1">
        <v>45634</v>
      </c>
      <c r="B3704" s="1" t="str">
        <f>TEXT(Tabla1[[#This Row],[Fecha]],"MMMM")</f>
        <v>diciembre</v>
      </c>
      <c r="C3704" t="s">
        <v>3714</v>
      </c>
      <c r="D3704" t="s">
        <v>5031</v>
      </c>
      <c r="E3704" t="s">
        <v>5033</v>
      </c>
      <c r="F3704" t="s">
        <v>5041</v>
      </c>
      <c r="G3704" s="3">
        <v>7289.04</v>
      </c>
      <c r="H3704" s="3">
        <v>947.58</v>
      </c>
      <c r="I3704" s="3">
        <f>SUM(Tabla1[[#This Row],[Monto_Base]],H3704)</f>
        <v>8236.6200000000008</v>
      </c>
      <c r="J3704" t="s">
        <v>5042</v>
      </c>
      <c r="K3704" t="s">
        <v>5047</v>
      </c>
      <c r="L3704" t="s">
        <v>5052</v>
      </c>
      <c r="M3704" t="s">
        <v>5055</v>
      </c>
    </row>
    <row r="3705" spans="1:13" x14ac:dyDescent="0.3">
      <c r="A3705" s="1">
        <v>45404</v>
      </c>
      <c r="B3705" s="1" t="str">
        <f>TEXT(Tabla1[[#This Row],[Fecha]],"MMMM")</f>
        <v>abril</v>
      </c>
      <c r="C3705" t="s">
        <v>3715</v>
      </c>
      <c r="D3705" t="s">
        <v>5026</v>
      </c>
      <c r="E3705" t="s">
        <v>5032</v>
      </c>
      <c r="F3705" t="s">
        <v>5041</v>
      </c>
      <c r="G3705" s="3">
        <v>9462.52</v>
      </c>
      <c r="H3705" s="3">
        <v>0</v>
      </c>
      <c r="I3705" s="3">
        <f>SUM(Tabla1[[#This Row],[Monto_Base]],H3705)</f>
        <v>9462.52</v>
      </c>
      <c r="J3705" t="s">
        <v>5043</v>
      </c>
      <c r="K3705" t="s">
        <v>5048</v>
      </c>
      <c r="L3705" t="s">
        <v>5051</v>
      </c>
      <c r="M3705" t="s">
        <v>5055</v>
      </c>
    </row>
    <row r="3706" spans="1:13" x14ac:dyDescent="0.3">
      <c r="A3706" s="1">
        <v>45519</v>
      </c>
      <c r="B3706" s="1" t="str">
        <f>TEXT(Tabla1[[#This Row],[Fecha]],"MMMM")</f>
        <v>agosto</v>
      </c>
      <c r="C3706" t="s">
        <v>3716</v>
      </c>
      <c r="D3706" t="s">
        <v>5025</v>
      </c>
      <c r="E3706" t="s">
        <v>5032</v>
      </c>
      <c r="F3706" t="s">
        <v>5036</v>
      </c>
      <c r="G3706" s="3">
        <v>6591.69</v>
      </c>
      <c r="H3706" s="3">
        <v>0</v>
      </c>
      <c r="I3706" s="3">
        <f>SUM(Tabla1[[#This Row],[Monto_Base]],H3706)</f>
        <v>6591.69</v>
      </c>
      <c r="J3706" t="s">
        <v>5044</v>
      </c>
      <c r="K3706" t="s">
        <v>5048</v>
      </c>
      <c r="L3706" t="s">
        <v>5052</v>
      </c>
      <c r="M3706" t="s">
        <v>5055</v>
      </c>
    </row>
    <row r="3707" spans="1:13" x14ac:dyDescent="0.3">
      <c r="A3707" s="1">
        <v>45341</v>
      </c>
      <c r="B3707" s="1" t="str">
        <f>TEXT(Tabla1[[#This Row],[Fecha]],"MMMM")</f>
        <v>febrero</v>
      </c>
      <c r="C3707" t="s">
        <v>3717</v>
      </c>
      <c r="D3707" t="s">
        <v>5029</v>
      </c>
      <c r="E3707" t="s">
        <v>5033</v>
      </c>
      <c r="F3707" t="s">
        <v>5038</v>
      </c>
      <c r="G3707" s="3">
        <v>7048.88</v>
      </c>
      <c r="H3707" s="3">
        <v>916.35</v>
      </c>
      <c r="I3707" s="3">
        <f>SUM(Tabla1[[#This Row],[Monto_Base]],H3707)</f>
        <v>7965.2300000000005</v>
      </c>
      <c r="J3707" t="s">
        <v>5046</v>
      </c>
      <c r="K3707" t="s">
        <v>5048</v>
      </c>
      <c r="L3707" t="s">
        <v>5050</v>
      </c>
      <c r="M3707" t="s">
        <v>5055</v>
      </c>
    </row>
    <row r="3708" spans="1:13" x14ac:dyDescent="0.3">
      <c r="A3708" s="1">
        <v>45587</v>
      </c>
      <c r="B3708" s="1" t="str">
        <f>TEXT(Tabla1[[#This Row],[Fecha]],"MMMM")</f>
        <v>octubre</v>
      </c>
      <c r="C3708" t="s">
        <v>3718</v>
      </c>
      <c r="D3708" t="s">
        <v>5015</v>
      </c>
      <c r="E3708" t="s">
        <v>5033</v>
      </c>
      <c r="F3708" t="s">
        <v>5034</v>
      </c>
      <c r="G3708" s="3">
        <v>11989.63</v>
      </c>
      <c r="H3708" s="3">
        <v>1558.65</v>
      </c>
      <c r="I3708" s="3">
        <f>SUM(Tabla1[[#This Row],[Monto_Base]],H3708)</f>
        <v>13548.279999999999</v>
      </c>
      <c r="J3708" t="s">
        <v>5046</v>
      </c>
      <c r="K3708" t="s">
        <v>5049</v>
      </c>
      <c r="L3708" t="s">
        <v>5051</v>
      </c>
      <c r="M3708" t="s">
        <v>5054</v>
      </c>
    </row>
    <row r="3709" spans="1:13" x14ac:dyDescent="0.3">
      <c r="A3709" s="1">
        <v>45620</v>
      </c>
      <c r="B3709" s="1" t="str">
        <f>TEXT(Tabla1[[#This Row],[Fecha]],"MMMM")</f>
        <v>noviembre</v>
      </c>
      <c r="C3709" t="s">
        <v>3719</v>
      </c>
      <c r="D3709" t="s">
        <v>5022</v>
      </c>
      <c r="E3709" t="s">
        <v>5033</v>
      </c>
      <c r="F3709" t="s">
        <v>5036</v>
      </c>
      <c r="G3709" s="3">
        <v>5218.8999999999996</v>
      </c>
      <c r="H3709" s="3">
        <v>678.46</v>
      </c>
      <c r="I3709" s="3">
        <f>SUM(Tabla1[[#This Row],[Monto_Base]],H3709)</f>
        <v>5897.36</v>
      </c>
      <c r="J3709" t="s">
        <v>5045</v>
      </c>
      <c r="K3709" t="s">
        <v>5047</v>
      </c>
      <c r="L3709" t="s">
        <v>5051</v>
      </c>
      <c r="M3709" t="s">
        <v>5054</v>
      </c>
    </row>
    <row r="3710" spans="1:13" x14ac:dyDescent="0.3">
      <c r="A3710" s="1">
        <v>45608</v>
      </c>
      <c r="B3710" s="1" t="str">
        <f>TEXT(Tabla1[[#This Row],[Fecha]],"MMMM")</f>
        <v>noviembre</v>
      </c>
      <c r="C3710" t="s">
        <v>3720</v>
      </c>
      <c r="D3710" t="s">
        <v>5031</v>
      </c>
      <c r="E3710" t="s">
        <v>5033</v>
      </c>
      <c r="F3710" t="s">
        <v>5037</v>
      </c>
      <c r="G3710" s="3">
        <v>2406.08</v>
      </c>
      <c r="H3710" s="3">
        <v>312.79000000000002</v>
      </c>
      <c r="I3710" s="3">
        <f>SUM(Tabla1[[#This Row],[Monto_Base]],H3710)</f>
        <v>2718.87</v>
      </c>
      <c r="J3710" t="s">
        <v>5042</v>
      </c>
      <c r="K3710" t="s">
        <v>5049</v>
      </c>
      <c r="L3710" t="s">
        <v>5051</v>
      </c>
      <c r="M3710" t="s">
        <v>5054</v>
      </c>
    </row>
    <row r="3711" spans="1:13" x14ac:dyDescent="0.3">
      <c r="A3711" s="1">
        <v>45581</v>
      </c>
      <c r="B3711" s="1" t="str">
        <f>TEXT(Tabla1[[#This Row],[Fecha]],"MMMM")</f>
        <v>octubre</v>
      </c>
      <c r="C3711" t="s">
        <v>3721</v>
      </c>
      <c r="D3711" t="s">
        <v>5025</v>
      </c>
      <c r="E3711" t="s">
        <v>5032</v>
      </c>
      <c r="F3711" t="s">
        <v>5034</v>
      </c>
      <c r="G3711" s="3">
        <v>3267.51</v>
      </c>
      <c r="H3711" s="3">
        <v>0</v>
      </c>
      <c r="I3711" s="3">
        <f>SUM(Tabla1[[#This Row],[Monto_Base]],H3711)</f>
        <v>3267.51</v>
      </c>
      <c r="J3711" t="s">
        <v>5045</v>
      </c>
      <c r="K3711" t="s">
        <v>5047</v>
      </c>
      <c r="L3711" t="s">
        <v>5053</v>
      </c>
      <c r="M3711" t="s">
        <v>5054</v>
      </c>
    </row>
    <row r="3712" spans="1:13" x14ac:dyDescent="0.3">
      <c r="A3712" s="1">
        <v>45469</v>
      </c>
      <c r="B3712" s="1" t="str">
        <f>TEXT(Tabla1[[#This Row],[Fecha]],"MMMM")</f>
        <v>junio</v>
      </c>
      <c r="C3712" t="s">
        <v>3722</v>
      </c>
      <c r="D3712" t="s">
        <v>5030</v>
      </c>
      <c r="E3712" t="s">
        <v>5033</v>
      </c>
      <c r="F3712" t="s">
        <v>5039</v>
      </c>
      <c r="G3712" s="3">
        <v>14796.63</v>
      </c>
      <c r="H3712" s="3">
        <v>1923.56</v>
      </c>
      <c r="I3712" s="3">
        <f>SUM(Tabla1[[#This Row],[Monto_Base]],H3712)</f>
        <v>16720.189999999999</v>
      </c>
      <c r="J3712" t="s">
        <v>5042</v>
      </c>
      <c r="K3712" t="s">
        <v>5047</v>
      </c>
      <c r="L3712" t="s">
        <v>5051</v>
      </c>
      <c r="M3712" t="s">
        <v>5055</v>
      </c>
    </row>
    <row r="3713" spans="1:13" x14ac:dyDescent="0.3">
      <c r="A3713" s="1">
        <v>45337</v>
      </c>
      <c r="B3713" s="1" t="str">
        <f>TEXT(Tabla1[[#This Row],[Fecha]],"MMMM")</f>
        <v>febrero</v>
      </c>
      <c r="C3713" t="s">
        <v>3723</v>
      </c>
      <c r="D3713" t="s">
        <v>5030</v>
      </c>
      <c r="E3713" t="s">
        <v>5032</v>
      </c>
      <c r="F3713" t="s">
        <v>5039</v>
      </c>
      <c r="G3713" s="3">
        <v>1309.92</v>
      </c>
      <c r="H3713" s="3">
        <v>0</v>
      </c>
      <c r="I3713" s="3">
        <f>SUM(Tabla1[[#This Row],[Monto_Base]],H3713)</f>
        <v>1309.92</v>
      </c>
      <c r="J3713" t="s">
        <v>5043</v>
      </c>
      <c r="K3713" t="s">
        <v>5049</v>
      </c>
      <c r="L3713" t="s">
        <v>5052</v>
      </c>
      <c r="M3713" t="s">
        <v>5054</v>
      </c>
    </row>
    <row r="3714" spans="1:13" x14ac:dyDescent="0.3">
      <c r="A3714" s="1">
        <v>45433</v>
      </c>
      <c r="B3714" s="1" t="str">
        <f>TEXT(Tabla1[[#This Row],[Fecha]],"MMMM")</f>
        <v>mayo</v>
      </c>
      <c r="C3714" t="s">
        <v>3724</v>
      </c>
      <c r="D3714" t="s">
        <v>5027</v>
      </c>
      <c r="E3714" t="s">
        <v>5032</v>
      </c>
      <c r="F3714" t="s">
        <v>5036</v>
      </c>
      <c r="G3714" s="3">
        <v>735.58</v>
      </c>
      <c r="H3714" s="3">
        <v>0</v>
      </c>
      <c r="I3714" s="3">
        <f>SUM(Tabla1[[#This Row],[Monto_Base]],H3714)</f>
        <v>735.58</v>
      </c>
      <c r="J3714" t="s">
        <v>5044</v>
      </c>
      <c r="K3714" t="s">
        <v>5047</v>
      </c>
      <c r="L3714" t="s">
        <v>5050</v>
      </c>
      <c r="M3714" t="s">
        <v>5055</v>
      </c>
    </row>
    <row r="3715" spans="1:13" x14ac:dyDescent="0.3">
      <c r="A3715" s="1">
        <v>45374</v>
      </c>
      <c r="B3715" s="1" t="str">
        <f>TEXT(Tabla1[[#This Row],[Fecha]],"MMMM")</f>
        <v>marzo</v>
      </c>
      <c r="C3715" t="s">
        <v>3725</v>
      </c>
      <c r="D3715" t="s">
        <v>5027</v>
      </c>
      <c r="E3715" t="s">
        <v>5032</v>
      </c>
      <c r="F3715" t="s">
        <v>5038</v>
      </c>
      <c r="G3715" s="3">
        <v>3802.15</v>
      </c>
      <c r="H3715" s="3">
        <v>0</v>
      </c>
      <c r="I3715" s="3">
        <f>SUM(Tabla1[[#This Row],[Monto_Base]],H3715)</f>
        <v>3802.15</v>
      </c>
      <c r="J3715" t="s">
        <v>5042</v>
      </c>
      <c r="K3715" t="s">
        <v>5048</v>
      </c>
      <c r="L3715" t="s">
        <v>5053</v>
      </c>
      <c r="M3715" t="s">
        <v>5055</v>
      </c>
    </row>
    <row r="3716" spans="1:13" x14ac:dyDescent="0.3">
      <c r="A3716" s="1">
        <v>45368</v>
      </c>
      <c r="B3716" s="1" t="str">
        <f>TEXT(Tabla1[[#This Row],[Fecha]],"MMMM")</f>
        <v>marzo</v>
      </c>
      <c r="C3716" t="s">
        <v>3726</v>
      </c>
      <c r="D3716" t="s">
        <v>5026</v>
      </c>
      <c r="E3716" t="s">
        <v>5033</v>
      </c>
      <c r="F3716" t="s">
        <v>5035</v>
      </c>
      <c r="G3716" s="3">
        <v>6977.66</v>
      </c>
      <c r="H3716" s="3">
        <v>907.1</v>
      </c>
      <c r="I3716" s="3">
        <f>SUM(Tabla1[[#This Row],[Monto_Base]],H3716)</f>
        <v>7884.76</v>
      </c>
      <c r="J3716" t="s">
        <v>5046</v>
      </c>
      <c r="K3716" t="s">
        <v>5048</v>
      </c>
      <c r="L3716" t="s">
        <v>5050</v>
      </c>
      <c r="M3716" t="s">
        <v>5054</v>
      </c>
    </row>
    <row r="3717" spans="1:13" x14ac:dyDescent="0.3">
      <c r="A3717" s="1">
        <v>45551</v>
      </c>
      <c r="B3717" s="1" t="str">
        <f>TEXT(Tabla1[[#This Row],[Fecha]],"MMMM")</f>
        <v>septiembre</v>
      </c>
      <c r="C3717" t="s">
        <v>3727</v>
      </c>
      <c r="D3717" t="s">
        <v>5028</v>
      </c>
      <c r="E3717" t="s">
        <v>5032</v>
      </c>
      <c r="F3717" t="s">
        <v>5035</v>
      </c>
      <c r="G3717" s="3">
        <v>12715.32</v>
      </c>
      <c r="H3717" s="3">
        <v>0</v>
      </c>
      <c r="I3717" s="3">
        <f>SUM(Tabla1[[#This Row],[Monto_Base]],H3717)</f>
        <v>12715.32</v>
      </c>
      <c r="J3717" t="s">
        <v>5043</v>
      </c>
      <c r="K3717" t="s">
        <v>5049</v>
      </c>
      <c r="L3717" t="s">
        <v>5051</v>
      </c>
      <c r="M3717" t="s">
        <v>5055</v>
      </c>
    </row>
    <row r="3718" spans="1:13" x14ac:dyDescent="0.3">
      <c r="A3718" s="1">
        <v>45482</v>
      </c>
      <c r="B3718" s="1" t="str">
        <f>TEXT(Tabla1[[#This Row],[Fecha]],"MMMM")</f>
        <v>julio</v>
      </c>
      <c r="C3718" t="s">
        <v>3728</v>
      </c>
      <c r="D3718" t="s">
        <v>5012</v>
      </c>
      <c r="E3718" t="s">
        <v>5033</v>
      </c>
      <c r="F3718" t="s">
        <v>5034</v>
      </c>
      <c r="G3718" s="3">
        <v>8129.08</v>
      </c>
      <c r="H3718" s="3">
        <v>1056.78</v>
      </c>
      <c r="I3718" s="3">
        <f>SUM(Tabla1[[#This Row],[Monto_Base]],H3718)</f>
        <v>9185.86</v>
      </c>
      <c r="J3718" t="s">
        <v>5046</v>
      </c>
      <c r="K3718" t="s">
        <v>5047</v>
      </c>
      <c r="L3718" t="s">
        <v>5053</v>
      </c>
      <c r="M3718" t="s">
        <v>5054</v>
      </c>
    </row>
    <row r="3719" spans="1:13" x14ac:dyDescent="0.3">
      <c r="A3719" s="1">
        <v>45363</v>
      </c>
      <c r="B3719" s="1" t="str">
        <f>TEXT(Tabla1[[#This Row],[Fecha]],"MMMM")</f>
        <v>marzo</v>
      </c>
      <c r="C3719" t="s">
        <v>3729</v>
      </c>
      <c r="D3719" t="s">
        <v>5012</v>
      </c>
      <c r="E3719" t="s">
        <v>5032</v>
      </c>
      <c r="F3719" t="s">
        <v>5034</v>
      </c>
      <c r="G3719" s="3">
        <v>9530.34</v>
      </c>
      <c r="H3719" s="3">
        <v>0</v>
      </c>
      <c r="I3719" s="3">
        <f>SUM(Tabla1[[#This Row],[Monto_Base]],H3719)</f>
        <v>9530.34</v>
      </c>
      <c r="J3719" t="s">
        <v>5044</v>
      </c>
      <c r="K3719" t="s">
        <v>5049</v>
      </c>
      <c r="L3719" t="s">
        <v>5050</v>
      </c>
      <c r="M3719" t="s">
        <v>5055</v>
      </c>
    </row>
    <row r="3720" spans="1:13" x14ac:dyDescent="0.3">
      <c r="A3720" s="1">
        <v>45503</v>
      </c>
      <c r="B3720" s="1" t="str">
        <f>TEXT(Tabla1[[#This Row],[Fecha]],"MMMM")</f>
        <v>julio</v>
      </c>
      <c r="C3720" t="s">
        <v>3730</v>
      </c>
      <c r="D3720" t="s">
        <v>5020</v>
      </c>
      <c r="E3720" t="s">
        <v>5032</v>
      </c>
      <c r="F3720" t="s">
        <v>5037</v>
      </c>
      <c r="G3720" s="3">
        <v>5576.66</v>
      </c>
      <c r="H3720" s="3">
        <v>0</v>
      </c>
      <c r="I3720" s="3">
        <f>SUM(Tabla1[[#This Row],[Monto_Base]],H3720)</f>
        <v>5576.66</v>
      </c>
      <c r="J3720" t="s">
        <v>5045</v>
      </c>
      <c r="K3720" t="s">
        <v>5048</v>
      </c>
      <c r="L3720" t="s">
        <v>5052</v>
      </c>
      <c r="M3720" t="s">
        <v>5055</v>
      </c>
    </row>
    <row r="3721" spans="1:13" x14ac:dyDescent="0.3">
      <c r="A3721" s="1">
        <v>45507</v>
      </c>
      <c r="B3721" s="1" t="str">
        <f>TEXT(Tabla1[[#This Row],[Fecha]],"MMMM")</f>
        <v>agosto</v>
      </c>
      <c r="C3721" t="s">
        <v>3731</v>
      </c>
      <c r="D3721" t="s">
        <v>5022</v>
      </c>
      <c r="E3721" t="s">
        <v>5033</v>
      </c>
      <c r="F3721" t="s">
        <v>5038</v>
      </c>
      <c r="G3721" s="3">
        <v>4149.55</v>
      </c>
      <c r="H3721" s="3">
        <v>539.44000000000005</v>
      </c>
      <c r="I3721" s="3">
        <f>SUM(Tabla1[[#This Row],[Monto_Base]],H3721)</f>
        <v>4688.99</v>
      </c>
      <c r="J3721" t="s">
        <v>5046</v>
      </c>
      <c r="K3721" t="s">
        <v>5047</v>
      </c>
      <c r="L3721" t="s">
        <v>5052</v>
      </c>
      <c r="M3721" t="s">
        <v>5055</v>
      </c>
    </row>
    <row r="3722" spans="1:13" x14ac:dyDescent="0.3">
      <c r="A3722" s="1">
        <v>45325</v>
      </c>
      <c r="B3722" s="1" t="str">
        <f>TEXT(Tabla1[[#This Row],[Fecha]],"MMMM")</f>
        <v>febrero</v>
      </c>
      <c r="C3722" t="s">
        <v>3732</v>
      </c>
      <c r="D3722" t="s">
        <v>5020</v>
      </c>
      <c r="E3722" t="s">
        <v>5032</v>
      </c>
      <c r="F3722" t="s">
        <v>5038</v>
      </c>
      <c r="G3722" s="3">
        <v>14077.2</v>
      </c>
      <c r="H3722" s="3">
        <v>0</v>
      </c>
      <c r="I3722" s="3">
        <f>SUM(Tabla1[[#This Row],[Monto_Base]],H3722)</f>
        <v>14077.2</v>
      </c>
      <c r="J3722" t="s">
        <v>5044</v>
      </c>
      <c r="K3722" t="s">
        <v>5048</v>
      </c>
      <c r="L3722" t="s">
        <v>5050</v>
      </c>
      <c r="M3722" t="s">
        <v>5054</v>
      </c>
    </row>
    <row r="3723" spans="1:13" x14ac:dyDescent="0.3">
      <c r="A3723" s="1">
        <v>45452</v>
      </c>
      <c r="B3723" s="1" t="str">
        <f>TEXT(Tabla1[[#This Row],[Fecha]],"MMMM")</f>
        <v>junio</v>
      </c>
      <c r="C3723" t="s">
        <v>3733</v>
      </c>
      <c r="D3723" t="s">
        <v>5030</v>
      </c>
      <c r="E3723" t="s">
        <v>5032</v>
      </c>
      <c r="F3723" t="s">
        <v>5040</v>
      </c>
      <c r="G3723" s="3">
        <v>7451.45</v>
      </c>
      <c r="H3723" s="3">
        <v>0</v>
      </c>
      <c r="I3723" s="3">
        <f>SUM(Tabla1[[#This Row],[Monto_Base]],H3723)</f>
        <v>7451.45</v>
      </c>
      <c r="J3723" t="s">
        <v>5045</v>
      </c>
      <c r="K3723" t="s">
        <v>5049</v>
      </c>
      <c r="L3723" t="s">
        <v>5051</v>
      </c>
      <c r="M3723" t="s">
        <v>5054</v>
      </c>
    </row>
    <row r="3724" spans="1:13" x14ac:dyDescent="0.3">
      <c r="A3724" s="1">
        <v>45581</v>
      </c>
      <c r="B3724" s="1" t="str">
        <f>TEXT(Tabla1[[#This Row],[Fecha]],"MMMM")</f>
        <v>octubre</v>
      </c>
      <c r="C3724" t="s">
        <v>3734</v>
      </c>
      <c r="D3724" t="s">
        <v>5019</v>
      </c>
      <c r="E3724" t="s">
        <v>5032</v>
      </c>
      <c r="F3724" t="s">
        <v>5040</v>
      </c>
      <c r="G3724" s="3">
        <v>10569.35</v>
      </c>
      <c r="H3724" s="3">
        <v>0</v>
      </c>
      <c r="I3724" s="3">
        <f>SUM(Tabla1[[#This Row],[Monto_Base]],H3724)</f>
        <v>10569.35</v>
      </c>
      <c r="J3724" t="s">
        <v>5044</v>
      </c>
      <c r="K3724" t="s">
        <v>5049</v>
      </c>
      <c r="L3724" t="s">
        <v>5050</v>
      </c>
      <c r="M3724" t="s">
        <v>5055</v>
      </c>
    </row>
    <row r="3725" spans="1:13" x14ac:dyDescent="0.3">
      <c r="A3725" s="1">
        <v>45521</v>
      </c>
      <c r="B3725" s="1" t="str">
        <f>TEXT(Tabla1[[#This Row],[Fecha]],"MMMM")</f>
        <v>agosto</v>
      </c>
      <c r="C3725" t="s">
        <v>3735</v>
      </c>
      <c r="D3725" t="s">
        <v>5022</v>
      </c>
      <c r="E3725" t="s">
        <v>5033</v>
      </c>
      <c r="F3725" t="s">
        <v>5034</v>
      </c>
      <c r="G3725" s="3">
        <v>10594.82</v>
      </c>
      <c r="H3725" s="3">
        <v>1377.33</v>
      </c>
      <c r="I3725" s="3">
        <f>SUM(Tabla1[[#This Row],[Monto_Base]],H3725)</f>
        <v>11972.15</v>
      </c>
      <c r="J3725" t="s">
        <v>5044</v>
      </c>
      <c r="K3725" t="s">
        <v>5047</v>
      </c>
      <c r="L3725" t="s">
        <v>5052</v>
      </c>
      <c r="M3725" t="s">
        <v>5055</v>
      </c>
    </row>
    <row r="3726" spans="1:13" x14ac:dyDescent="0.3">
      <c r="A3726" s="1">
        <v>45580</v>
      </c>
      <c r="B3726" s="1" t="str">
        <f>TEXT(Tabla1[[#This Row],[Fecha]],"MMMM")</f>
        <v>octubre</v>
      </c>
      <c r="C3726" t="s">
        <v>3736</v>
      </c>
      <c r="D3726" t="s">
        <v>5016</v>
      </c>
      <c r="E3726" t="s">
        <v>5032</v>
      </c>
      <c r="F3726" t="s">
        <v>5039</v>
      </c>
      <c r="G3726" s="3">
        <v>1369.72</v>
      </c>
      <c r="H3726" s="3">
        <v>0</v>
      </c>
      <c r="I3726" s="3">
        <f>SUM(Tabla1[[#This Row],[Monto_Base]],H3726)</f>
        <v>1369.72</v>
      </c>
      <c r="J3726" t="s">
        <v>5046</v>
      </c>
      <c r="K3726" t="s">
        <v>5047</v>
      </c>
      <c r="L3726" t="s">
        <v>5052</v>
      </c>
      <c r="M3726" t="s">
        <v>5055</v>
      </c>
    </row>
    <row r="3727" spans="1:13" x14ac:dyDescent="0.3">
      <c r="A3727" s="1">
        <v>45592</v>
      </c>
      <c r="B3727" s="1" t="str">
        <f>TEXT(Tabla1[[#This Row],[Fecha]],"MMMM")</f>
        <v>octubre</v>
      </c>
      <c r="C3727" t="s">
        <v>3737</v>
      </c>
      <c r="D3727" t="s">
        <v>5021</v>
      </c>
      <c r="E3727" t="s">
        <v>5032</v>
      </c>
      <c r="F3727" t="s">
        <v>5040</v>
      </c>
      <c r="G3727" s="3">
        <v>7225.36</v>
      </c>
      <c r="H3727" s="3">
        <v>0</v>
      </c>
      <c r="I3727" s="3">
        <f>SUM(Tabla1[[#This Row],[Monto_Base]],H3727)</f>
        <v>7225.36</v>
      </c>
      <c r="J3727" t="s">
        <v>5044</v>
      </c>
      <c r="K3727" t="s">
        <v>5049</v>
      </c>
      <c r="L3727" t="s">
        <v>5052</v>
      </c>
      <c r="M3727" t="s">
        <v>5055</v>
      </c>
    </row>
    <row r="3728" spans="1:13" x14ac:dyDescent="0.3">
      <c r="A3728" s="1">
        <v>45431</v>
      </c>
      <c r="B3728" s="1" t="str">
        <f>TEXT(Tabla1[[#This Row],[Fecha]],"MMMM")</f>
        <v>mayo</v>
      </c>
      <c r="C3728" t="s">
        <v>3738</v>
      </c>
      <c r="D3728" t="s">
        <v>5017</v>
      </c>
      <c r="E3728" t="s">
        <v>5032</v>
      </c>
      <c r="F3728" t="s">
        <v>5037</v>
      </c>
      <c r="G3728" s="3">
        <v>6227.53</v>
      </c>
      <c r="H3728" s="3">
        <v>0</v>
      </c>
      <c r="I3728" s="3">
        <f>SUM(Tabla1[[#This Row],[Monto_Base]],H3728)</f>
        <v>6227.53</v>
      </c>
      <c r="J3728" t="s">
        <v>5045</v>
      </c>
      <c r="K3728" t="s">
        <v>5048</v>
      </c>
      <c r="L3728" t="s">
        <v>5052</v>
      </c>
      <c r="M3728" t="s">
        <v>5055</v>
      </c>
    </row>
    <row r="3729" spans="1:13" x14ac:dyDescent="0.3">
      <c r="A3729" s="1">
        <v>45533</v>
      </c>
      <c r="B3729" s="1" t="str">
        <f>TEXT(Tabla1[[#This Row],[Fecha]],"MMMM")</f>
        <v>agosto</v>
      </c>
      <c r="C3729" t="s">
        <v>3739</v>
      </c>
      <c r="D3729" t="s">
        <v>5024</v>
      </c>
      <c r="E3729" t="s">
        <v>5033</v>
      </c>
      <c r="F3729" t="s">
        <v>5039</v>
      </c>
      <c r="G3729" s="3">
        <v>9301.4699999999993</v>
      </c>
      <c r="H3729" s="3">
        <v>1209.19</v>
      </c>
      <c r="I3729" s="3">
        <f>SUM(Tabla1[[#This Row],[Monto_Base]],H3729)</f>
        <v>10510.66</v>
      </c>
      <c r="J3729" t="s">
        <v>5045</v>
      </c>
      <c r="K3729" t="s">
        <v>5049</v>
      </c>
      <c r="L3729" t="s">
        <v>5053</v>
      </c>
      <c r="M3729" t="s">
        <v>5054</v>
      </c>
    </row>
    <row r="3730" spans="1:13" x14ac:dyDescent="0.3">
      <c r="A3730" s="1">
        <v>45609</v>
      </c>
      <c r="B3730" s="1" t="str">
        <f>TEXT(Tabla1[[#This Row],[Fecha]],"MMMM")</f>
        <v>noviembre</v>
      </c>
      <c r="C3730" t="s">
        <v>3740</v>
      </c>
      <c r="D3730" t="s">
        <v>5028</v>
      </c>
      <c r="E3730" t="s">
        <v>5033</v>
      </c>
      <c r="F3730" t="s">
        <v>5039</v>
      </c>
      <c r="G3730" s="3">
        <v>1871.8</v>
      </c>
      <c r="H3730" s="3">
        <v>243.33</v>
      </c>
      <c r="I3730" s="3">
        <f>SUM(Tabla1[[#This Row],[Monto_Base]],H3730)</f>
        <v>2115.13</v>
      </c>
      <c r="J3730" t="s">
        <v>5046</v>
      </c>
      <c r="K3730" t="s">
        <v>5048</v>
      </c>
      <c r="L3730" t="s">
        <v>5052</v>
      </c>
      <c r="M3730" t="s">
        <v>5055</v>
      </c>
    </row>
    <row r="3731" spans="1:13" x14ac:dyDescent="0.3">
      <c r="A3731" s="1">
        <v>45481</v>
      </c>
      <c r="B3731" s="1" t="str">
        <f>TEXT(Tabla1[[#This Row],[Fecha]],"MMMM")</f>
        <v>julio</v>
      </c>
      <c r="C3731" t="s">
        <v>3741</v>
      </c>
      <c r="D3731" t="s">
        <v>5031</v>
      </c>
      <c r="E3731" t="s">
        <v>5033</v>
      </c>
      <c r="F3731" t="s">
        <v>5039</v>
      </c>
      <c r="G3731" s="3">
        <v>9129.9699999999993</v>
      </c>
      <c r="H3731" s="3">
        <v>1186.9000000000001</v>
      </c>
      <c r="I3731" s="3">
        <f>SUM(Tabla1[[#This Row],[Monto_Base]],H3731)</f>
        <v>10316.869999999999</v>
      </c>
      <c r="J3731" t="s">
        <v>5045</v>
      </c>
      <c r="K3731" t="s">
        <v>5047</v>
      </c>
      <c r="L3731" t="s">
        <v>5051</v>
      </c>
      <c r="M3731" t="s">
        <v>5055</v>
      </c>
    </row>
    <row r="3732" spans="1:13" x14ac:dyDescent="0.3">
      <c r="A3732" s="1">
        <v>45513</v>
      </c>
      <c r="B3732" s="1" t="str">
        <f>TEXT(Tabla1[[#This Row],[Fecha]],"MMMM")</f>
        <v>agosto</v>
      </c>
      <c r="C3732" t="s">
        <v>3742</v>
      </c>
      <c r="D3732" t="s">
        <v>5023</v>
      </c>
      <c r="E3732" t="s">
        <v>5032</v>
      </c>
      <c r="F3732" t="s">
        <v>5035</v>
      </c>
      <c r="G3732" s="3">
        <v>6939.94</v>
      </c>
      <c r="H3732" s="3">
        <v>0</v>
      </c>
      <c r="I3732" s="3">
        <f>SUM(Tabla1[[#This Row],[Monto_Base]],H3732)</f>
        <v>6939.94</v>
      </c>
      <c r="J3732" t="s">
        <v>5042</v>
      </c>
      <c r="K3732" t="s">
        <v>5048</v>
      </c>
      <c r="L3732" t="s">
        <v>5052</v>
      </c>
      <c r="M3732" t="s">
        <v>5054</v>
      </c>
    </row>
    <row r="3733" spans="1:13" x14ac:dyDescent="0.3">
      <c r="A3733" s="1">
        <v>45498</v>
      </c>
      <c r="B3733" s="1" t="str">
        <f>TEXT(Tabla1[[#This Row],[Fecha]],"MMMM")</f>
        <v>julio</v>
      </c>
      <c r="C3733" t="s">
        <v>3743</v>
      </c>
      <c r="D3733" t="s">
        <v>5016</v>
      </c>
      <c r="E3733" t="s">
        <v>5033</v>
      </c>
      <c r="F3733" t="s">
        <v>5038</v>
      </c>
      <c r="G3733" s="3">
        <v>11285.29</v>
      </c>
      <c r="H3733" s="3">
        <v>1467.09</v>
      </c>
      <c r="I3733" s="3">
        <f>SUM(Tabla1[[#This Row],[Monto_Base]],H3733)</f>
        <v>12752.380000000001</v>
      </c>
      <c r="J3733" t="s">
        <v>5043</v>
      </c>
      <c r="K3733" t="s">
        <v>5049</v>
      </c>
      <c r="L3733" t="s">
        <v>5053</v>
      </c>
      <c r="M3733" t="s">
        <v>5054</v>
      </c>
    </row>
    <row r="3734" spans="1:13" x14ac:dyDescent="0.3">
      <c r="A3734" s="1">
        <v>45512</v>
      </c>
      <c r="B3734" s="1" t="str">
        <f>TEXT(Tabla1[[#This Row],[Fecha]],"MMMM")</f>
        <v>agosto</v>
      </c>
      <c r="C3734" t="s">
        <v>3744</v>
      </c>
      <c r="D3734" t="s">
        <v>5016</v>
      </c>
      <c r="E3734" t="s">
        <v>5033</v>
      </c>
      <c r="F3734" t="s">
        <v>5038</v>
      </c>
      <c r="G3734" s="3">
        <v>4586.55</v>
      </c>
      <c r="H3734" s="3">
        <v>596.25</v>
      </c>
      <c r="I3734" s="3">
        <f>SUM(Tabla1[[#This Row],[Monto_Base]],H3734)</f>
        <v>5182.8</v>
      </c>
      <c r="J3734" t="s">
        <v>5043</v>
      </c>
      <c r="K3734" t="s">
        <v>5048</v>
      </c>
      <c r="L3734" t="s">
        <v>5051</v>
      </c>
      <c r="M3734" t="s">
        <v>5054</v>
      </c>
    </row>
    <row r="3735" spans="1:13" x14ac:dyDescent="0.3">
      <c r="A3735" s="1">
        <v>45550</v>
      </c>
      <c r="B3735" s="1" t="str">
        <f>TEXT(Tabla1[[#This Row],[Fecha]],"MMMM")</f>
        <v>septiembre</v>
      </c>
      <c r="C3735" t="s">
        <v>3745</v>
      </c>
      <c r="D3735" t="s">
        <v>5022</v>
      </c>
      <c r="E3735" t="s">
        <v>5032</v>
      </c>
      <c r="F3735" t="s">
        <v>5034</v>
      </c>
      <c r="G3735" s="3">
        <v>7794.71</v>
      </c>
      <c r="H3735" s="3">
        <v>0</v>
      </c>
      <c r="I3735" s="3">
        <f>SUM(Tabla1[[#This Row],[Monto_Base]],H3735)</f>
        <v>7794.71</v>
      </c>
      <c r="J3735" t="s">
        <v>5046</v>
      </c>
      <c r="K3735" t="s">
        <v>5049</v>
      </c>
      <c r="L3735" t="s">
        <v>5051</v>
      </c>
      <c r="M3735" t="s">
        <v>5054</v>
      </c>
    </row>
    <row r="3736" spans="1:13" x14ac:dyDescent="0.3">
      <c r="A3736" s="1">
        <v>45510</v>
      </c>
      <c r="B3736" s="1" t="str">
        <f>TEXT(Tabla1[[#This Row],[Fecha]],"MMMM")</f>
        <v>agosto</v>
      </c>
      <c r="C3736" t="s">
        <v>3746</v>
      </c>
      <c r="D3736" t="s">
        <v>5020</v>
      </c>
      <c r="E3736" t="s">
        <v>5033</v>
      </c>
      <c r="F3736" t="s">
        <v>5040</v>
      </c>
      <c r="G3736" s="3">
        <v>11817.59</v>
      </c>
      <c r="H3736" s="3">
        <v>1536.29</v>
      </c>
      <c r="I3736" s="3">
        <f>SUM(Tabla1[[#This Row],[Monto_Base]],H3736)</f>
        <v>13353.880000000001</v>
      </c>
      <c r="J3736" t="s">
        <v>5046</v>
      </c>
      <c r="K3736" t="s">
        <v>5049</v>
      </c>
      <c r="L3736" t="s">
        <v>5050</v>
      </c>
      <c r="M3736" t="s">
        <v>5054</v>
      </c>
    </row>
    <row r="3737" spans="1:13" x14ac:dyDescent="0.3">
      <c r="A3737" s="1">
        <v>45365</v>
      </c>
      <c r="B3737" s="1" t="str">
        <f>TEXT(Tabla1[[#This Row],[Fecha]],"MMMM")</f>
        <v>marzo</v>
      </c>
      <c r="C3737" t="s">
        <v>3747</v>
      </c>
      <c r="D3737" t="s">
        <v>5019</v>
      </c>
      <c r="E3737" t="s">
        <v>5033</v>
      </c>
      <c r="F3737" t="s">
        <v>5034</v>
      </c>
      <c r="G3737" s="3">
        <v>12117.55</v>
      </c>
      <c r="H3737" s="3">
        <v>1575.28</v>
      </c>
      <c r="I3737" s="3">
        <f>SUM(Tabla1[[#This Row],[Monto_Base]],H3737)</f>
        <v>13692.83</v>
      </c>
      <c r="J3737" t="s">
        <v>5044</v>
      </c>
      <c r="K3737" t="s">
        <v>5048</v>
      </c>
      <c r="L3737" t="s">
        <v>5052</v>
      </c>
      <c r="M3737" t="s">
        <v>5055</v>
      </c>
    </row>
    <row r="3738" spans="1:13" x14ac:dyDescent="0.3">
      <c r="A3738" s="1">
        <v>45320</v>
      </c>
      <c r="B3738" s="1" t="str">
        <f>TEXT(Tabla1[[#This Row],[Fecha]],"MMMM")</f>
        <v>enero</v>
      </c>
      <c r="C3738" t="s">
        <v>3748</v>
      </c>
      <c r="D3738" t="s">
        <v>5021</v>
      </c>
      <c r="E3738" t="s">
        <v>5032</v>
      </c>
      <c r="F3738" t="s">
        <v>5039</v>
      </c>
      <c r="G3738" s="3">
        <v>7129.97</v>
      </c>
      <c r="H3738" s="3">
        <v>0</v>
      </c>
      <c r="I3738" s="3">
        <f>SUM(Tabla1[[#This Row],[Monto_Base]],H3738)</f>
        <v>7129.97</v>
      </c>
      <c r="J3738" t="s">
        <v>5044</v>
      </c>
      <c r="K3738" t="s">
        <v>5048</v>
      </c>
      <c r="L3738" t="s">
        <v>5052</v>
      </c>
      <c r="M3738" t="s">
        <v>5054</v>
      </c>
    </row>
    <row r="3739" spans="1:13" x14ac:dyDescent="0.3">
      <c r="A3739" s="1">
        <v>45345</v>
      </c>
      <c r="B3739" s="1" t="str">
        <f>TEXT(Tabla1[[#This Row],[Fecha]],"MMMM")</f>
        <v>febrero</v>
      </c>
      <c r="C3739" t="s">
        <v>3749</v>
      </c>
      <c r="D3739" t="s">
        <v>5021</v>
      </c>
      <c r="E3739" t="s">
        <v>5032</v>
      </c>
      <c r="F3739" t="s">
        <v>5037</v>
      </c>
      <c r="G3739" s="3">
        <v>6272</v>
      </c>
      <c r="H3739" s="3">
        <v>0</v>
      </c>
      <c r="I3739" s="3">
        <f>SUM(Tabla1[[#This Row],[Monto_Base]],H3739)</f>
        <v>6272</v>
      </c>
      <c r="J3739" t="s">
        <v>5045</v>
      </c>
      <c r="K3739" t="s">
        <v>5048</v>
      </c>
      <c r="L3739" t="s">
        <v>5053</v>
      </c>
      <c r="M3739" t="s">
        <v>5055</v>
      </c>
    </row>
    <row r="3740" spans="1:13" x14ac:dyDescent="0.3">
      <c r="A3740" s="1">
        <v>45494</v>
      </c>
      <c r="B3740" s="1" t="str">
        <f>TEXT(Tabla1[[#This Row],[Fecha]],"MMMM")</f>
        <v>julio</v>
      </c>
      <c r="C3740" t="s">
        <v>3750</v>
      </c>
      <c r="D3740" t="s">
        <v>5030</v>
      </c>
      <c r="E3740" t="s">
        <v>5033</v>
      </c>
      <c r="F3740" t="s">
        <v>5037</v>
      </c>
      <c r="G3740" s="3">
        <v>13057.83</v>
      </c>
      <c r="H3740" s="3">
        <v>1697.52</v>
      </c>
      <c r="I3740" s="3">
        <f>SUM(Tabla1[[#This Row],[Monto_Base]],H3740)</f>
        <v>14755.35</v>
      </c>
      <c r="J3740" t="s">
        <v>5046</v>
      </c>
      <c r="K3740" t="s">
        <v>5049</v>
      </c>
      <c r="L3740" t="s">
        <v>5050</v>
      </c>
      <c r="M3740" t="s">
        <v>5055</v>
      </c>
    </row>
    <row r="3741" spans="1:13" x14ac:dyDescent="0.3">
      <c r="A3741" s="1">
        <v>45417</v>
      </c>
      <c r="B3741" s="1" t="str">
        <f>TEXT(Tabla1[[#This Row],[Fecha]],"MMMM")</f>
        <v>mayo</v>
      </c>
      <c r="C3741" t="s">
        <v>3751</v>
      </c>
      <c r="D3741" t="s">
        <v>5021</v>
      </c>
      <c r="E3741" t="s">
        <v>5032</v>
      </c>
      <c r="F3741" t="s">
        <v>5038</v>
      </c>
      <c r="G3741" s="3">
        <v>13347.93</v>
      </c>
      <c r="H3741" s="3">
        <v>0</v>
      </c>
      <c r="I3741" s="3">
        <f>SUM(Tabla1[[#This Row],[Monto_Base]],H3741)</f>
        <v>13347.93</v>
      </c>
      <c r="J3741" t="s">
        <v>5042</v>
      </c>
      <c r="K3741" t="s">
        <v>5048</v>
      </c>
      <c r="L3741" t="s">
        <v>5053</v>
      </c>
      <c r="M3741" t="s">
        <v>5055</v>
      </c>
    </row>
    <row r="3742" spans="1:13" x14ac:dyDescent="0.3">
      <c r="A3742" s="1">
        <v>45431</v>
      </c>
      <c r="B3742" s="1" t="str">
        <f>TEXT(Tabla1[[#This Row],[Fecha]],"MMMM")</f>
        <v>mayo</v>
      </c>
      <c r="C3742" t="s">
        <v>3752</v>
      </c>
      <c r="D3742" t="s">
        <v>5019</v>
      </c>
      <c r="E3742" t="s">
        <v>5033</v>
      </c>
      <c r="F3742" t="s">
        <v>5034</v>
      </c>
      <c r="G3742" s="3">
        <v>10024.950000000001</v>
      </c>
      <c r="H3742" s="3">
        <v>1303.24</v>
      </c>
      <c r="I3742" s="3">
        <f>SUM(Tabla1[[#This Row],[Monto_Base]],H3742)</f>
        <v>11328.19</v>
      </c>
      <c r="J3742" t="s">
        <v>5045</v>
      </c>
      <c r="K3742" t="s">
        <v>5049</v>
      </c>
      <c r="L3742" t="s">
        <v>5052</v>
      </c>
      <c r="M3742" t="s">
        <v>5054</v>
      </c>
    </row>
    <row r="3743" spans="1:13" x14ac:dyDescent="0.3">
      <c r="A3743" s="1">
        <v>45588</v>
      </c>
      <c r="B3743" s="1" t="str">
        <f>TEXT(Tabla1[[#This Row],[Fecha]],"MMMM")</f>
        <v>octubre</v>
      </c>
      <c r="C3743" t="s">
        <v>3753</v>
      </c>
      <c r="D3743" t="s">
        <v>5023</v>
      </c>
      <c r="E3743" t="s">
        <v>5033</v>
      </c>
      <c r="F3743" t="s">
        <v>5035</v>
      </c>
      <c r="G3743" s="3">
        <v>1863.51</v>
      </c>
      <c r="H3743" s="3">
        <v>242.26</v>
      </c>
      <c r="I3743" s="3">
        <f>SUM(Tabla1[[#This Row],[Monto_Base]],H3743)</f>
        <v>2105.77</v>
      </c>
      <c r="J3743" t="s">
        <v>5046</v>
      </c>
      <c r="K3743" t="s">
        <v>5048</v>
      </c>
      <c r="L3743" t="s">
        <v>5050</v>
      </c>
      <c r="M3743" t="s">
        <v>5055</v>
      </c>
    </row>
    <row r="3744" spans="1:13" x14ac:dyDescent="0.3">
      <c r="A3744" s="1">
        <v>45600</v>
      </c>
      <c r="B3744" s="1" t="str">
        <f>TEXT(Tabla1[[#This Row],[Fecha]],"MMMM")</f>
        <v>noviembre</v>
      </c>
      <c r="C3744" t="s">
        <v>3754</v>
      </c>
      <c r="D3744" t="s">
        <v>5026</v>
      </c>
      <c r="E3744" t="s">
        <v>5033</v>
      </c>
      <c r="F3744" t="s">
        <v>5041</v>
      </c>
      <c r="G3744" s="3">
        <v>14485.06</v>
      </c>
      <c r="H3744" s="3">
        <v>1883.06</v>
      </c>
      <c r="I3744" s="3">
        <f>SUM(Tabla1[[#This Row],[Monto_Base]],H3744)</f>
        <v>16368.119999999999</v>
      </c>
      <c r="J3744" t="s">
        <v>5046</v>
      </c>
      <c r="K3744" t="s">
        <v>5049</v>
      </c>
      <c r="L3744" t="s">
        <v>5053</v>
      </c>
      <c r="M3744" t="s">
        <v>5054</v>
      </c>
    </row>
    <row r="3745" spans="1:13" x14ac:dyDescent="0.3">
      <c r="A3745" s="1">
        <v>45341</v>
      </c>
      <c r="B3745" s="1" t="str">
        <f>TEXT(Tabla1[[#This Row],[Fecha]],"MMMM")</f>
        <v>febrero</v>
      </c>
      <c r="C3745" t="s">
        <v>3755</v>
      </c>
      <c r="D3745" t="s">
        <v>5026</v>
      </c>
      <c r="E3745" t="s">
        <v>5033</v>
      </c>
      <c r="F3745" t="s">
        <v>5036</v>
      </c>
      <c r="G3745" s="3">
        <v>5814.06</v>
      </c>
      <c r="H3745" s="3">
        <v>755.83</v>
      </c>
      <c r="I3745" s="3">
        <f>SUM(Tabla1[[#This Row],[Monto_Base]],H3745)</f>
        <v>6569.89</v>
      </c>
      <c r="J3745" t="s">
        <v>5042</v>
      </c>
      <c r="K3745" t="s">
        <v>5048</v>
      </c>
      <c r="L3745" t="s">
        <v>5052</v>
      </c>
      <c r="M3745" t="s">
        <v>5054</v>
      </c>
    </row>
    <row r="3746" spans="1:13" x14ac:dyDescent="0.3">
      <c r="A3746" s="1">
        <v>45402</v>
      </c>
      <c r="B3746" s="1" t="str">
        <f>TEXT(Tabla1[[#This Row],[Fecha]],"MMMM")</f>
        <v>abril</v>
      </c>
      <c r="C3746" t="s">
        <v>3756</v>
      </c>
      <c r="D3746" t="s">
        <v>5026</v>
      </c>
      <c r="E3746" t="s">
        <v>5033</v>
      </c>
      <c r="F3746" t="s">
        <v>5036</v>
      </c>
      <c r="G3746" s="3">
        <v>5489</v>
      </c>
      <c r="H3746" s="3">
        <v>713.57</v>
      </c>
      <c r="I3746" s="3">
        <f>SUM(Tabla1[[#This Row],[Monto_Base]],H3746)</f>
        <v>6202.57</v>
      </c>
      <c r="J3746" t="s">
        <v>5045</v>
      </c>
      <c r="K3746" t="s">
        <v>5047</v>
      </c>
      <c r="L3746" t="s">
        <v>5052</v>
      </c>
      <c r="M3746" t="s">
        <v>5055</v>
      </c>
    </row>
    <row r="3747" spans="1:13" x14ac:dyDescent="0.3">
      <c r="A3747" s="1">
        <v>45382</v>
      </c>
      <c r="B3747" s="1" t="str">
        <f>TEXT(Tabla1[[#This Row],[Fecha]],"MMMM")</f>
        <v>marzo</v>
      </c>
      <c r="C3747" t="s">
        <v>3757</v>
      </c>
      <c r="D3747" t="s">
        <v>5013</v>
      </c>
      <c r="E3747" t="s">
        <v>5032</v>
      </c>
      <c r="F3747" t="s">
        <v>5035</v>
      </c>
      <c r="G3747" s="3">
        <v>8925.02</v>
      </c>
      <c r="H3747" s="3">
        <v>0</v>
      </c>
      <c r="I3747" s="3">
        <f>SUM(Tabla1[[#This Row],[Monto_Base]],H3747)</f>
        <v>8925.02</v>
      </c>
      <c r="J3747" t="s">
        <v>5045</v>
      </c>
      <c r="K3747" t="s">
        <v>5047</v>
      </c>
      <c r="L3747" t="s">
        <v>5050</v>
      </c>
      <c r="M3747" t="s">
        <v>5054</v>
      </c>
    </row>
    <row r="3748" spans="1:13" x14ac:dyDescent="0.3">
      <c r="A3748" s="1">
        <v>45309</v>
      </c>
      <c r="B3748" s="1" t="str">
        <f>TEXT(Tabla1[[#This Row],[Fecha]],"MMMM")</f>
        <v>enero</v>
      </c>
      <c r="C3748" t="s">
        <v>3758</v>
      </c>
      <c r="D3748" t="s">
        <v>5017</v>
      </c>
      <c r="E3748" t="s">
        <v>5033</v>
      </c>
      <c r="F3748" t="s">
        <v>5037</v>
      </c>
      <c r="G3748" s="3">
        <v>7284.4</v>
      </c>
      <c r="H3748" s="3">
        <v>946.97</v>
      </c>
      <c r="I3748" s="3">
        <f>SUM(Tabla1[[#This Row],[Monto_Base]],H3748)</f>
        <v>8231.369999999999</v>
      </c>
      <c r="J3748" t="s">
        <v>5045</v>
      </c>
      <c r="K3748" t="s">
        <v>5047</v>
      </c>
      <c r="L3748" t="s">
        <v>5051</v>
      </c>
      <c r="M3748" t="s">
        <v>5054</v>
      </c>
    </row>
    <row r="3749" spans="1:13" x14ac:dyDescent="0.3">
      <c r="A3749" s="1">
        <v>45496</v>
      </c>
      <c r="B3749" s="1" t="str">
        <f>TEXT(Tabla1[[#This Row],[Fecha]],"MMMM")</f>
        <v>julio</v>
      </c>
      <c r="C3749" t="s">
        <v>3759</v>
      </c>
      <c r="D3749" t="s">
        <v>5013</v>
      </c>
      <c r="E3749" t="s">
        <v>5032</v>
      </c>
      <c r="F3749" t="s">
        <v>5041</v>
      </c>
      <c r="G3749" s="3">
        <v>9552.2800000000007</v>
      </c>
      <c r="H3749" s="3">
        <v>0</v>
      </c>
      <c r="I3749" s="3">
        <f>SUM(Tabla1[[#This Row],[Monto_Base]],H3749)</f>
        <v>9552.2800000000007</v>
      </c>
      <c r="J3749" t="s">
        <v>5042</v>
      </c>
      <c r="K3749" t="s">
        <v>5049</v>
      </c>
      <c r="L3749" t="s">
        <v>5053</v>
      </c>
      <c r="M3749" t="s">
        <v>5054</v>
      </c>
    </row>
    <row r="3750" spans="1:13" x14ac:dyDescent="0.3">
      <c r="A3750" s="1">
        <v>45467</v>
      </c>
      <c r="B3750" s="1" t="str">
        <f>TEXT(Tabla1[[#This Row],[Fecha]],"MMMM")</f>
        <v>junio</v>
      </c>
      <c r="C3750" t="s">
        <v>3760</v>
      </c>
      <c r="D3750" t="s">
        <v>5013</v>
      </c>
      <c r="E3750" t="s">
        <v>5033</v>
      </c>
      <c r="F3750" t="s">
        <v>5041</v>
      </c>
      <c r="G3750" s="3">
        <v>5674.46</v>
      </c>
      <c r="H3750" s="3">
        <v>737.68</v>
      </c>
      <c r="I3750" s="3">
        <f>SUM(Tabla1[[#This Row],[Monto_Base]],H3750)</f>
        <v>6412.14</v>
      </c>
      <c r="J3750" t="s">
        <v>5046</v>
      </c>
      <c r="K3750" t="s">
        <v>5047</v>
      </c>
      <c r="L3750" t="s">
        <v>5051</v>
      </c>
      <c r="M3750" t="s">
        <v>5055</v>
      </c>
    </row>
    <row r="3751" spans="1:13" x14ac:dyDescent="0.3">
      <c r="A3751" s="1">
        <v>45329</v>
      </c>
      <c r="B3751" s="1" t="str">
        <f>TEXT(Tabla1[[#This Row],[Fecha]],"MMMM")</f>
        <v>febrero</v>
      </c>
      <c r="C3751" t="s">
        <v>3761</v>
      </c>
      <c r="D3751" t="s">
        <v>5021</v>
      </c>
      <c r="E3751" t="s">
        <v>5033</v>
      </c>
      <c r="F3751" t="s">
        <v>5041</v>
      </c>
      <c r="G3751" s="3">
        <v>1750.3</v>
      </c>
      <c r="H3751" s="3">
        <v>227.54</v>
      </c>
      <c r="I3751" s="3">
        <f>SUM(Tabla1[[#This Row],[Monto_Base]],H3751)</f>
        <v>1977.84</v>
      </c>
      <c r="J3751" t="s">
        <v>5044</v>
      </c>
      <c r="K3751" t="s">
        <v>5048</v>
      </c>
      <c r="L3751" t="s">
        <v>5050</v>
      </c>
      <c r="M3751" t="s">
        <v>5055</v>
      </c>
    </row>
    <row r="3752" spans="1:13" x14ac:dyDescent="0.3">
      <c r="A3752" s="1">
        <v>45612</v>
      </c>
      <c r="B3752" s="1" t="str">
        <f>TEXT(Tabla1[[#This Row],[Fecha]],"MMMM")</f>
        <v>noviembre</v>
      </c>
      <c r="C3752" t="s">
        <v>3762</v>
      </c>
      <c r="D3752" t="s">
        <v>5014</v>
      </c>
      <c r="E3752" t="s">
        <v>5033</v>
      </c>
      <c r="F3752" t="s">
        <v>5036</v>
      </c>
      <c r="G3752" s="3">
        <v>7004.68</v>
      </c>
      <c r="H3752" s="3">
        <v>910.61</v>
      </c>
      <c r="I3752" s="3">
        <f>SUM(Tabla1[[#This Row],[Monto_Base]],H3752)</f>
        <v>7915.29</v>
      </c>
      <c r="J3752" t="s">
        <v>5045</v>
      </c>
      <c r="K3752" t="s">
        <v>5049</v>
      </c>
      <c r="L3752" t="s">
        <v>5050</v>
      </c>
      <c r="M3752" t="s">
        <v>5054</v>
      </c>
    </row>
    <row r="3753" spans="1:13" x14ac:dyDescent="0.3">
      <c r="A3753" s="1">
        <v>45422</v>
      </c>
      <c r="B3753" s="1" t="str">
        <f>TEXT(Tabla1[[#This Row],[Fecha]],"MMMM")</f>
        <v>mayo</v>
      </c>
      <c r="C3753" t="s">
        <v>3763</v>
      </c>
      <c r="D3753" t="s">
        <v>5018</v>
      </c>
      <c r="E3753" t="s">
        <v>5033</v>
      </c>
      <c r="F3753" t="s">
        <v>5039</v>
      </c>
      <c r="G3753" s="3">
        <v>13596.4</v>
      </c>
      <c r="H3753" s="3">
        <v>1767.53</v>
      </c>
      <c r="I3753" s="3">
        <f>SUM(Tabla1[[#This Row],[Monto_Base]],H3753)</f>
        <v>15363.93</v>
      </c>
      <c r="J3753" t="s">
        <v>5045</v>
      </c>
      <c r="K3753" t="s">
        <v>5047</v>
      </c>
      <c r="L3753" t="s">
        <v>5052</v>
      </c>
      <c r="M3753" t="s">
        <v>5054</v>
      </c>
    </row>
    <row r="3754" spans="1:13" x14ac:dyDescent="0.3">
      <c r="A3754" s="1">
        <v>45377</v>
      </c>
      <c r="B3754" s="1" t="str">
        <f>TEXT(Tabla1[[#This Row],[Fecha]],"MMMM")</f>
        <v>marzo</v>
      </c>
      <c r="C3754" t="s">
        <v>3764</v>
      </c>
      <c r="D3754" t="s">
        <v>5021</v>
      </c>
      <c r="E3754" t="s">
        <v>5033</v>
      </c>
      <c r="F3754" t="s">
        <v>5039</v>
      </c>
      <c r="G3754" s="3">
        <v>12568.76</v>
      </c>
      <c r="H3754" s="3">
        <v>1633.94</v>
      </c>
      <c r="I3754" s="3">
        <f>SUM(Tabla1[[#This Row],[Monto_Base]],H3754)</f>
        <v>14202.7</v>
      </c>
      <c r="J3754" t="s">
        <v>5045</v>
      </c>
      <c r="K3754" t="s">
        <v>5048</v>
      </c>
      <c r="L3754" t="s">
        <v>5053</v>
      </c>
      <c r="M3754" t="s">
        <v>5054</v>
      </c>
    </row>
    <row r="3755" spans="1:13" x14ac:dyDescent="0.3">
      <c r="A3755" s="1">
        <v>45330</v>
      </c>
      <c r="B3755" s="1" t="str">
        <f>TEXT(Tabla1[[#This Row],[Fecha]],"MMMM")</f>
        <v>febrero</v>
      </c>
      <c r="C3755" t="s">
        <v>3765</v>
      </c>
      <c r="D3755" t="s">
        <v>5014</v>
      </c>
      <c r="E3755" t="s">
        <v>5033</v>
      </c>
      <c r="F3755" t="s">
        <v>5039</v>
      </c>
      <c r="G3755" s="3">
        <v>4016.21</v>
      </c>
      <c r="H3755" s="3">
        <v>522.11</v>
      </c>
      <c r="I3755" s="3">
        <f>SUM(Tabla1[[#This Row],[Monto_Base]],H3755)</f>
        <v>4538.32</v>
      </c>
      <c r="J3755" t="s">
        <v>5042</v>
      </c>
      <c r="K3755" t="s">
        <v>5047</v>
      </c>
      <c r="L3755" t="s">
        <v>5052</v>
      </c>
      <c r="M3755" t="s">
        <v>5055</v>
      </c>
    </row>
    <row r="3756" spans="1:13" x14ac:dyDescent="0.3">
      <c r="A3756" s="1">
        <v>45627</v>
      </c>
      <c r="B3756" s="1" t="str">
        <f>TEXT(Tabla1[[#This Row],[Fecha]],"MMMM")</f>
        <v>diciembre</v>
      </c>
      <c r="C3756" t="s">
        <v>3766</v>
      </c>
      <c r="D3756" t="s">
        <v>5018</v>
      </c>
      <c r="E3756" t="s">
        <v>5032</v>
      </c>
      <c r="F3756" t="s">
        <v>5039</v>
      </c>
      <c r="G3756" s="3">
        <v>5446.14</v>
      </c>
      <c r="H3756" s="3">
        <v>0</v>
      </c>
      <c r="I3756" s="3">
        <f>SUM(Tabla1[[#This Row],[Monto_Base]],H3756)</f>
        <v>5446.14</v>
      </c>
      <c r="J3756" t="s">
        <v>5045</v>
      </c>
      <c r="K3756" t="s">
        <v>5047</v>
      </c>
      <c r="L3756" t="s">
        <v>5053</v>
      </c>
      <c r="M3756" t="s">
        <v>5054</v>
      </c>
    </row>
    <row r="3757" spans="1:13" x14ac:dyDescent="0.3">
      <c r="A3757" s="1">
        <v>45440</v>
      </c>
      <c r="B3757" s="1" t="str">
        <f>TEXT(Tabla1[[#This Row],[Fecha]],"MMMM")</f>
        <v>mayo</v>
      </c>
      <c r="C3757" t="s">
        <v>3767</v>
      </c>
      <c r="D3757" t="s">
        <v>5013</v>
      </c>
      <c r="E3757" t="s">
        <v>5032</v>
      </c>
      <c r="F3757" t="s">
        <v>5041</v>
      </c>
      <c r="G3757" s="3">
        <v>8481.7900000000009</v>
      </c>
      <c r="H3757" s="3">
        <v>0</v>
      </c>
      <c r="I3757" s="3">
        <f>SUM(Tabla1[[#This Row],[Monto_Base]],H3757)</f>
        <v>8481.7900000000009</v>
      </c>
      <c r="J3757" t="s">
        <v>5046</v>
      </c>
      <c r="K3757" t="s">
        <v>5049</v>
      </c>
      <c r="L3757" t="s">
        <v>5052</v>
      </c>
      <c r="M3757" t="s">
        <v>5054</v>
      </c>
    </row>
    <row r="3758" spans="1:13" x14ac:dyDescent="0.3">
      <c r="A3758" s="1">
        <v>45334</v>
      </c>
      <c r="B3758" s="1" t="str">
        <f>TEXT(Tabla1[[#This Row],[Fecha]],"MMMM")</f>
        <v>febrero</v>
      </c>
      <c r="C3758" t="s">
        <v>3768</v>
      </c>
      <c r="D3758" t="s">
        <v>5025</v>
      </c>
      <c r="E3758" t="s">
        <v>5033</v>
      </c>
      <c r="F3758" t="s">
        <v>5036</v>
      </c>
      <c r="G3758" s="3">
        <v>11252.03</v>
      </c>
      <c r="H3758" s="3">
        <v>1462.76</v>
      </c>
      <c r="I3758" s="3">
        <f>SUM(Tabla1[[#This Row],[Monto_Base]],H3758)</f>
        <v>12714.79</v>
      </c>
      <c r="J3758" t="s">
        <v>5043</v>
      </c>
      <c r="K3758" t="s">
        <v>5048</v>
      </c>
      <c r="L3758" t="s">
        <v>5053</v>
      </c>
      <c r="M3758" t="s">
        <v>5054</v>
      </c>
    </row>
    <row r="3759" spans="1:13" x14ac:dyDescent="0.3">
      <c r="A3759" s="1">
        <v>45295</v>
      </c>
      <c r="B3759" s="1" t="str">
        <f>TEXT(Tabla1[[#This Row],[Fecha]],"MMMM")</f>
        <v>enero</v>
      </c>
      <c r="C3759" t="s">
        <v>3769</v>
      </c>
      <c r="D3759" t="s">
        <v>5025</v>
      </c>
      <c r="E3759" t="s">
        <v>5032</v>
      </c>
      <c r="F3759" t="s">
        <v>5039</v>
      </c>
      <c r="G3759" s="3">
        <v>14298.62</v>
      </c>
      <c r="H3759" s="3">
        <v>0</v>
      </c>
      <c r="I3759" s="3">
        <f>SUM(Tabla1[[#This Row],[Monto_Base]],H3759)</f>
        <v>14298.62</v>
      </c>
      <c r="J3759" t="s">
        <v>5046</v>
      </c>
      <c r="K3759" t="s">
        <v>5048</v>
      </c>
      <c r="L3759" t="s">
        <v>5053</v>
      </c>
      <c r="M3759" t="s">
        <v>5055</v>
      </c>
    </row>
    <row r="3760" spans="1:13" x14ac:dyDescent="0.3">
      <c r="A3760" s="1">
        <v>45513</v>
      </c>
      <c r="B3760" s="1" t="str">
        <f>TEXT(Tabla1[[#This Row],[Fecha]],"MMMM")</f>
        <v>agosto</v>
      </c>
      <c r="C3760" t="s">
        <v>3770</v>
      </c>
      <c r="D3760" t="s">
        <v>5023</v>
      </c>
      <c r="E3760" t="s">
        <v>5032</v>
      </c>
      <c r="F3760" t="s">
        <v>5038</v>
      </c>
      <c r="G3760" s="3">
        <v>11322.49</v>
      </c>
      <c r="H3760" s="3">
        <v>0</v>
      </c>
      <c r="I3760" s="3">
        <f>SUM(Tabla1[[#This Row],[Monto_Base]],H3760)</f>
        <v>11322.49</v>
      </c>
      <c r="J3760" t="s">
        <v>5043</v>
      </c>
      <c r="K3760" t="s">
        <v>5047</v>
      </c>
      <c r="L3760" t="s">
        <v>5053</v>
      </c>
      <c r="M3760" t="s">
        <v>5054</v>
      </c>
    </row>
    <row r="3761" spans="1:13" x14ac:dyDescent="0.3">
      <c r="A3761" s="1">
        <v>45465</v>
      </c>
      <c r="B3761" s="1" t="str">
        <f>TEXT(Tabla1[[#This Row],[Fecha]],"MMMM")</f>
        <v>junio</v>
      </c>
      <c r="C3761" t="s">
        <v>3771</v>
      </c>
      <c r="D3761" t="s">
        <v>5012</v>
      </c>
      <c r="E3761" t="s">
        <v>5032</v>
      </c>
      <c r="F3761" t="s">
        <v>5036</v>
      </c>
      <c r="G3761" s="3">
        <v>7275.75</v>
      </c>
      <c r="H3761" s="3">
        <v>0</v>
      </c>
      <c r="I3761" s="3">
        <f>SUM(Tabla1[[#This Row],[Monto_Base]],H3761)</f>
        <v>7275.75</v>
      </c>
      <c r="J3761" t="s">
        <v>5046</v>
      </c>
      <c r="K3761" t="s">
        <v>5049</v>
      </c>
      <c r="L3761" t="s">
        <v>5053</v>
      </c>
      <c r="M3761" t="s">
        <v>5055</v>
      </c>
    </row>
    <row r="3762" spans="1:13" x14ac:dyDescent="0.3">
      <c r="A3762" s="1">
        <v>45435</v>
      </c>
      <c r="B3762" s="1" t="str">
        <f>TEXT(Tabla1[[#This Row],[Fecha]],"MMMM")</f>
        <v>mayo</v>
      </c>
      <c r="C3762" t="s">
        <v>3772</v>
      </c>
      <c r="D3762" t="s">
        <v>5015</v>
      </c>
      <c r="E3762" t="s">
        <v>5033</v>
      </c>
      <c r="F3762" t="s">
        <v>5036</v>
      </c>
      <c r="G3762" s="3">
        <v>9144.6</v>
      </c>
      <c r="H3762" s="3">
        <v>1188.8</v>
      </c>
      <c r="I3762" s="3">
        <f>SUM(Tabla1[[#This Row],[Monto_Base]],H3762)</f>
        <v>10333.4</v>
      </c>
      <c r="J3762" t="s">
        <v>5045</v>
      </c>
      <c r="K3762" t="s">
        <v>5047</v>
      </c>
      <c r="L3762" t="s">
        <v>5051</v>
      </c>
      <c r="M3762" t="s">
        <v>5054</v>
      </c>
    </row>
    <row r="3763" spans="1:13" x14ac:dyDescent="0.3">
      <c r="A3763" s="1">
        <v>45548</v>
      </c>
      <c r="B3763" s="1" t="str">
        <f>TEXT(Tabla1[[#This Row],[Fecha]],"MMMM")</f>
        <v>septiembre</v>
      </c>
      <c r="C3763" t="s">
        <v>3773</v>
      </c>
      <c r="D3763" t="s">
        <v>5020</v>
      </c>
      <c r="E3763" t="s">
        <v>5032</v>
      </c>
      <c r="F3763" t="s">
        <v>5035</v>
      </c>
      <c r="G3763" s="3">
        <v>7937.89</v>
      </c>
      <c r="H3763" s="3">
        <v>0</v>
      </c>
      <c r="I3763" s="3">
        <f>SUM(Tabla1[[#This Row],[Monto_Base]],H3763)</f>
        <v>7937.89</v>
      </c>
      <c r="J3763" t="s">
        <v>5044</v>
      </c>
      <c r="K3763" t="s">
        <v>5047</v>
      </c>
      <c r="L3763" t="s">
        <v>5051</v>
      </c>
      <c r="M3763" t="s">
        <v>5055</v>
      </c>
    </row>
    <row r="3764" spans="1:13" x14ac:dyDescent="0.3">
      <c r="A3764" s="1">
        <v>45550</v>
      </c>
      <c r="B3764" s="1" t="str">
        <f>TEXT(Tabla1[[#This Row],[Fecha]],"MMMM")</f>
        <v>septiembre</v>
      </c>
      <c r="C3764" t="s">
        <v>3774</v>
      </c>
      <c r="D3764" t="s">
        <v>5025</v>
      </c>
      <c r="E3764" t="s">
        <v>5033</v>
      </c>
      <c r="F3764" t="s">
        <v>5034</v>
      </c>
      <c r="G3764" s="3">
        <v>11735.95</v>
      </c>
      <c r="H3764" s="3">
        <v>1525.67</v>
      </c>
      <c r="I3764" s="3">
        <f>SUM(Tabla1[[#This Row],[Monto_Base]],H3764)</f>
        <v>13261.62</v>
      </c>
      <c r="J3764" t="s">
        <v>5044</v>
      </c>
      <c r="K3764" t="s">
        <v>5048</v>
      </c>
      <c r="L3764" t="s">
        <v>5050</v>
      </c>
      <c r="M3764" t="s">
        <v>5055</v>
      </c>
    </row>
    <row r="3765" spans="1:13" x14ac:dyDescent="0.3">
      <c r="A3765" s="1">
        <v>45493</v>
      </c>
      <c r="B3765" s="1" t="str">
        <f>TEXT(Tabla1[[#This Row],[Fecha]],"MMMM")</f>
        <v>julio</v>
      </c>
      <c r="C3765" t="s">
        <v>3775</v>
      </c>
      <c r="D3765" t="s">
        <v>5012</v>
      </c>
      <c r="E3765" t="s">
        <v>5033</v>
      </c>
      <c r="F3765" t="s">
        <v>5035</v>
      </c>
      <c r="G3765" s="3">
        <v>9773.65</v>
      </c>
      <c r="H3765" s="3">
        <v>1270.57</v>
      </c>
      <c r="I3765" s="3">
        <f>SUM(Tabla1[[#This Row],[Monto_Base]],H3765)</f>
        <v>11044.22</v>
      </c>
      <c r="J3765" t="s">
        <v>5044</v>
      </c>
      <c r="K3765" t="s">
        <v>5049</v>
      </c>
      <c r="L3765" t="s">
        <v>5051</v>
      </c>
      <c r="M3765" t="s">
        <v>5054</v>
      </c>
    </row>
    <row r="3766" spans="1:13" x14ac:dyDescent="0.3">
      <c r="A3766" s="1">
        <v>45295</v>
      </c>
      <c r="B3766" s="1" t="str">
        <f>TEXT(Tabla1[[#This Row],[Fecha]],"MMMM")</f>
        <v>enero</v>
      </c>
      <c r="C3766" t="s">
        <v>3776</v>
      </c>
      <c r="D3766" t="s">
        <v>5016</v>
      </c>
      <c r="E3766" t="s">
        <v>5033</v>
      </c>
      <c r="F3766" t="s">
        <v>5040</v>
      </c>
      <c r="G3766" s="3">
        <v>4948.71</v>
      </c>
      <c r="H3766" s="3">
        <v>643.33000000000004</v>
      </c>
      <c r="I3766" s="3">
        <f>SUM(Tabla1[[#This Row],[Monto_Base]],H3766)</f>
        <v>5592.04</v>
      </c>
      <c r="J3766" t="s">
        <v>5045</v>
      </c>
      <c r="K3766" t="s">
        <v>5048</v>
      </c>
      <c r="L3766" t="s">
        <v>5052</v>
      </c>
      <c r="M3766" t="s">
        <v>5055</v>
      </c>
    </row>
    <row r="3767" spans="1:13" x14ac:dyDescent="0.3">
      <c r="A3767" s="1">
        <v>45362</v>
      </c>
      <c r="B3767" s="1" t="str">
        <f>TEXT(Tabla1[[#This Row],[Fecha]],"MMMM")</f>
        <v>marzo</v>
      </c>
      <c r="C3767" t="s">
        <v>3777</v>
      </c>
      <c r="D3767" t="s">
        <v>5018</v>
      </c>
      <c r="E3767" t="s">
        <v>5032</v>
      </c>
      <c r="F3767" t="s">
        <v>5034</v>
      </c>
      <c r="G3767" s="3">
        <v>13951.22</v>
      </c>
      <c r="H3767" s="3">
        <v>0</v>
      </c>
      <c r="I3767" s="3">
        <f>SUM(Tabla1[[#This Row],[Monto_Base]],H3767)</f>
        <v>13951.22</v>
      </c>
      <c r="J3767" t="s">
        <v>5042</v>
      </c>
      <c r="K3767" t="s">
        <v>5047</v>
      </c>
      <c r="L3767" t="s">
        <v>5053</v>
      </c>
      <c r="M3767" t="s">
        <v>5054</v>
      </c>
    </row>
    <row r="3768" spans="1:13" x14ac:dyDescent="0.3">
      <c r="A3768" s="1">
        <v>45372</v>
      </c>
      <c r="B3768" s="1" t="str">
        <f>TEXT(Tabla1[[#This Row],[Fecha]],"MMMM")</f>
        <v>marzo</v>
      </c>
      <c r="C3768" t="s">
        <v>3778</v>
      </c>
      <c r="D3768" t="s">
        <v>5026</v>
      </c>
      <c r="E3768" t="s">
        <v>5033</v>
      </c>
      <c r="F3768" t="s">
        <v>5040</v>
      </c>
      <c r="G3768" s="3">
        <v>1663.7</v>
      </c>
      <c r="H3768" s="3">
        <v>216.28</v>
      </c>
      <c r="I3768" s="3">
        <f>SUM(Tabla1[[#This Row],[Monto_Base]],H3768)</f>
        <v>1879.98</v>
      </c>
      <c r="J3768" t="s">
        <v>5045</v>
      </c>
      <c r="K3768" t="s">
        <v>5047</v>
      </c>
      <c r="L3768" t="s">
        <v>5051</v>
      </c>
      <c r="M3768" t="s">
        <v>5054</v>
      </c>
    </row>
    <row r="3769" spans="1:13" x14ac:dyDescent="0.3">
      <c r="A3769" s="1">
        <v>45608</v>
      </c>
      <c r="B3769" s="1" t="str">
        <f>TEXT(Tabla1[[#This Row],[Fecha]],"MMMM")</f>
        <v>noviembre</v>
      </c>
      <c r="C3769" t="s">
        <v>3779</v>
      </c>
      <c r="D3769" t="s">
        <v>5024</v>
      </c>
      <c r="E3769" t="s">
        <v>5032</v>
      </c>
      <c r="F3769" t="s">
        <v>5035</v>
      </c>
      <c r="G3769" s="3">
        <v>1141.29</v>
      </c>
      <c r="H3769" s="3">
        <v>0</v>
      </c>
      <c r="I3769" s="3">
        <f>SUM(Tabla1[[#This Row],[Monto_Base]],H3769)</f>
        <v>1141.29</v>
      </c>
      <c r="J3769" t="s">
        <v>5042</v>
      </c>
      <c r="K3769" t="s">
        <v>5047</v>
      </c>
      <c r="L3769" t="s">
        <v>5051</v>
      </c>
      <c r="M3769" t="s">
        <v>5054</v>
      </c>
    </row>
    <row r="3770" spans="1:13" x14ac:dyDescent="0.3">
      <c r="A3770" s="1">
        <v>45325</v>
      </c>
      <c r="B3770" s="1" t="str">
        <f>TEXT(Tabla1[[#This Row],[Fecha]],"MMMM")</f>
        <v>febrero</v>
      </c>
      <c r="C3770" t="s">
        <v>3780</v>
      </c>
      <c r="D3770" t="s">
        <v>5021</v>
      </c>
      <c r="E3770" t="s">
        <v>5033</v>
      </c>
      <c r="F3770" t="s">
        <v>5037</v>
      </c>
      <c r="G3770" s="3">
        <v>4756.2299999999996</v>
      </c>
      <c r="H3770" s="3">
        <v>618.30999999999995</v>
      </c>
      <c r="I3770" s="3">
        <f>SUM(Tabla1[[#This Row],[Monto_Base]],H3770)</f>
        <v>5374.5399999999991</v>
      </c>
      <c r="J3770" t="s">
        <v>5043</v>
      </c>
      <c r="K3770" t="s">
        <v>5049</v>
      </c>
      <c r="L3770" t="s">
        <v>5051</v>
      </c>
      <c r="M3770" t="s">
        <v>5055</v>
      </c>
    </row>
    <row r="3771" spans="1:13" x14ac:dyDescent="0.3">
      <c r="A3771" s="1">
        <v>45431</v>
      </c>
      <c r="B3771" s="1" t="str">
        <f>TEXT(Tabla1[[#This Row],[Fecha]],"MMMM")</f>
        <v>mayo</v>
      </c>
      <c r="C3771" t="s">
        <v>3781</v>
      </c>
      <c r="D3771" t="s">
        <v>5013</v>
      </c>
      <c r="E3771" t="s">
        <v>5032</v>
      </c>
      <c r="F3771" t="s">
        <v>5035</v>
      </c>
      <c r="G3771" s="3">
        <v>10040.99</v>
      </c>
      <c r="H3771" s="3">
        <v>0</v>
      </c>
      <c r="I3771" s="3">
        <f>SUM(Tabla1[[#This Row],[Monto_Base]],H3771)</f>
        <v>10040.99</v>
      </c>
      <c r="J3771" t="s">
        <v>5042</v>
      </c>
      <c r="K3771" t="s">
        <v>5048</v>
      </c>
      <c r="L3771" t="s">
        <v>5050</v>
      </c>
      <c r="M3771" t="s">
        <v>5055</v>
      </c>
    </row>
    <row r="3772" spans="1:13" x14ac:dyDescent="0.3">
      <c r="A3772" s="1">
        <v>45422</v>
      </c>
      <c r="B3772" s="1" t="str">
        <f>TEXT(Tabla1[[#This Row],[Fecha]],"MMMM")</f>
        <v>mayo</v>
      </c>
      <c r="C3772" t="s">
        <v>3782</v>
      </c>
      <c r="D3772" t="s">
        <v>5024</v>
      </c>
      <c r="E3772" t="s">
        <v>5033</v>
      </c>
      <c r="F3772" t="s">
        <v>5039</v>
      </c>
      <c r="G3772" s="3">
        <v>13418.8</v>
      </c>
      <c r="H3772" s="3">
        <v>1744.44</v>
      </c>
      <c r="I3772" s="3">
        <f>SUM(Tabla1[[#This Row],[Monto_Base]],H3772)</f>
        <v>15163.24</v>
      </c>
      <c r="J3772" t="s">
        <v>5045</v>
      </c>
      <c r="K3772" t="s">
        <v>5048</v>
      </c>
      <c r="L3772" t="s">
        <v>5053</v>
      </c>
      <c r="M3772" t="s">
        <v>5055</v>
      </c>
    </row>
    <row r="3773" spans="1:13" x14ac:dyDescent="0.3">
      <c r="A3773" s="1">
        <v>45628</v>
      </c>
      <c r="B3773" s="1" t="str">
        <f>TEXT(Tabla1[[#This Row],[Fecha]],"MMMM")</f>
        <v>diciembre</v>
      </c>
      <c r="C3773" t="s">
        <v>3783</v>
      </c>
      <c r="D3773" t="s">
        <v>5016</v>
      </c>
      <c r="E3773" t="s">
        <v>5033</v>
      </c>
      <c r="F3773" t="s">
        <v>5034</v>
      </c>
      <c r="G3773" s="3">
        <v>8159.01</v>
      </c>
      <c r="H3773" s="3">
        <v>1060.67</v>
      </c>
      <c r="I3773" s="3">
        <f>SUM(Tabla1[[#This Row],[Monto_Base]],H3773)</f>
        <v>9219.68</v>
      </c>
      <c r="J3773" t="s">
        <v>5042</v>
      </c>
      <c r="K3773" t="s">
        <v>5047</v>
      </c>
      <c r="L3773" t="s">
        <v>5053</v>
      </c>
      <c r="M3773" t="s">
        <v>5054</v>
      </c>
    </row>
    <row r="3774" spans="1:13" x14ac:dyDescent="0.3">
      <c r="A3774" s="1">
        <v>45647</v>
      </c>
      <c r="B3774" s="1" t="str">
        <f>TEXT(Tabla1[[#This Row],[Fecha]],"MMMM")</f>
        <v>diciembre</v>
      </c>
      <c r="C3774" t="s">
        <v>3784</v>
      </c>
      <c r="D3774" t="s">
        <v>5021</v>
      </c>
      <c r="E3774" t="s">
        <v>5032</v>
      </c>
      <c r="F3774" t="s">
        <v>5037</v>
      </c>
      <c r="G3774" s="3">
        <v>7522.72</v>
      </c>
      <c r="H3774" s="3">
        <v>0</v>
      </c>
      <c r="I3774" s="3">
        <f>SUM(Tabla1[[#This Row],[Monto_Base]],H3774)</f>
        <v>7522.72</v>
      </c>
      <c r="J3774" t="s">
        <v>5043</v>
      </c>
      <c r="K3774" t="s">
        <v>5048</v>
      </c>
      <c r="L3774" t="s">
        <v>5050</v>
      </c>
      <c r="M3774" t="s">
        <v>5055</v>
      </c>
    </row>
    <row r="3775" spans="1:13" x14ac:dyDescent="0.3">
      <c r="A3775" s="1">
        <v>45496</v>
      </c>
      <c r="B3775" s="1" t="str">
        <f>TEXT(Tabla1[[#This Row],[Fecha]],"MMMM")</f>
        <v>julio</v>
      </c>
      <c r="C3775" t="s">
        <v>3785</v>
      </c>
      <c r="D3775" t="s">
        <v>5031</v>
      </c>
      <c r="E3775" t="s">
        <v>5032</v>
      </c>
      <c r="F3775" t="s">
        <v>5039</v>
      </c>
      <c r="G3775" s="3">
        <v>4056.22</v>
      </c>
      <c r="H3775" s="3">
        <v>0</v>
      </c>
      <c r="I3775" s="3">
        <f>SUM(Tabla1[[#This Row],[Monto_Base]],H3775)</f>
        <v>4056.22</v>
      </c>
      <c r="J3775" t="s">
        <v>5045</v>
      </c>
      <c r="K3775" t="s">
        <v>5047</v>
      </c>
      <c r="L3775" t="s">
        <v>5050</v>
      </c>
      <c r="M3775" t="s">
        <v>5054</v>
      </c>
    </row>
    <row r="3776" spans="1:13" x14ac:dyDescent="0.3">
      <c r="A3776" s="1">
        <v>45330</v>
      </c>
      <c r="B3776" s="1" t="str">
        <f>TEXT(Tabla1[[#This Row],[Fecha]],"MMMM")</f>
        <v>febrero</v>
      </c>
      <c r="C3776" t="s">
        <v>3786</v>
      </c>
      <c r="D3776" t="s">
        <v>5013</v>
      </c>
      <c r="E3776" t="s">
        <v>5032</v>
      </c>
      <c r="F3776" t="s">
        <v>5037</v>
      </c>
      <c r="G3776" s="3">
        <v>4631.03</v>
      </c>
      <c r="H3776" s="3">
        <v>0</v>
      </c>
      <c r="I3776" s="3">
        <f>SUM(Tabla1[[#This Row],[Monto_Base]],H3776)</f>
        <v>4631.03</v>
      </c>
      <c r="J3776" t="s">
        <v>5043</v>
      </c>
      <c r="K3776" t="s">
        <v>5048</v>
      </c>
      <c r="L3776" t="s">
        <v>5053</v>
      </c>
      <c r="M3776" t="s">
        <v>5054</v>
      </c>
    </row>
    <row r="3777" spans="1:13" x14ac:dyDescent="0.3">
      <c r="A3777" s="1">
        <v>45471</v>
      </c>
      <c r="B3777" s="1" t="str">
        <f>TEXT(Tabla1[[#This Row],[Fecha]],"MMMM")</f>
        <v>junio</v>
      </c>
      <c r="C3777" t="s">
        <v>3787</v>
      </c>
      <c r="D3777" t="s">
        <v>5017</v>
      </c>
      <c r="E3777" t="s">
        <v>5033</v>
      </c>
      <c r="F3777" t="s">
        <v>5038</v>
      </c>
      <c r="G3777" s="3">
        <v>10574.33</v>
      </c>
      <c r="H3777" s="3">
        <v>1374.66</v>
      </c>
      <c r="I3777" s="3">
        <f>SUM(Tabla1[[#This Row],[Monto_Base]],H3777)</f>
        <v>11948.99</v>
      </c>
      <c r="J3777" t="s">
        <v>5046</v>
      </c>
      <c r="K3777" t="s">
        <v>5048</v>
      </c>
      <c r="L3777" t="s">
        <v>5050</v>
      </c>
      <c r="M3777" t="s">
        <v>5054</v>
      </c>
    </row>
    <row r="3778" spans="1:13" x14ac:dyDescent="0.3">
      <c r="A3778" s="1">
        <v>45368</v>
      </c>
      <c r="B3778" s="1" t="str">
        <f>TEXT(Tabla1[[#This Row],[Fecha]],"MMMM")</f>
        <v>marzo</v>
      </c>
      <c r="C3778" t="s">
        <v>3788</v>
      </c>
      <c r="D3778" t="s">
        <v>5025</v>
      </c>
      <c r="E3778" t="s">
        <v>5033</v>
      </c>
      <c r="F3778" t="s">
        <v>5040</v>
      </c>
      <c r="G3778" s="3">
        <v>12937.46</v>
      </c>
      <c r="H3778" s="3">
        <v>1681.87</v>
      </c>
      <c r="I3778" s="3">
        <f>SUM(Tabla1[[#This Row],[Monto_Base]],H3778)</f>
        <v>14619.329999999998</v>
      </c>
      <c r="J3778" t="s">
        <v>5045</v>
      </c>
      <c r="K3778" t="s">
        <v>5049</v>
      </c>
      <c r="L3778" t="s">
        <v>5051</v>
      </c>
      <c r="M3778" t="s">
        <v>5054</v>
      </c>
    </row>
    <row r="3779" spans="1:13" x14ac:dyDescent="0.3">
      <c r="A3779" s="1">
        <v>45549</v>
      </c>
      <c r="B3779" s="1" t="str">
        <f>TEXT(Tabla1[[#This Row],[Fecha]],"MMMM")</f>
        <v>septiembre</v>
      </c>
      <c r="C3779" t="s">
        <v>3789</v>
      </c>
      <c r="D3779" t="s">
        <v>5016</v>
      </c>
      <c r="E3779" t="s">
        <v>5032</v>
      </c>
      <c r="F3779" t="s">
        <v>5034</v>
      </c>
      <c r="G3779" s="3">
        <v>5443.38</v>
      </c>
      <c r="H3779" s="3">
        <v>0</v>
      </c>
      <c r="I3779" s="3">
        <f>SUM(Tabla1[[#This Row],[Monto_Base]],H3779)</f>
        <v>5443.38</v>
      </c>
      <c r="J3779" t="s">
        <v>5043</v>
      </c>
      <c r="K3779" t="s">
        <v>5047</v>
      </c>
      <c r="L3779" t="s">
        <v>5050</v>
      </c>
      <c r="M3779" t="s">
        <v>5054</v>
      </c>
    </row>
    <row r="3780" spans="1:13" x14ac:dyDescent="0.3">
      <c r="A3780" s="1">
        <v>45613</v>
      </c>
      <c r="B3780" s="1" t="str">
        <f>TEXT(Tabla1[[#This Row],[Fecha]],"MMMM")</f>
        <v>noviembre</v>
      </c>
      <c r="C3780" t="s">
        <v>3790</v>
      </c>
      <c r="D3780" t="s">
        <v>5017</v>
      </c>
      <c r="E3780" t="s">
        <v>5032</v>
      </c>
      <c r="F3780" t="s">
        <v>5041</v>
      </c>
      <c r="G3780" s="3">
        <v>13381.65</v>
      </c>
      <c r="H3780" s="3">
        <v>0</v>
      </c>
      <c r="I3780" s="3">
        <f>SUM(Tabla1[[#This Row],[Monto_Base]],H3780)</f>
        <v>13381.65</v>
      </c>
      <c r="J3780" t="s">
        <v>5045</v>
      </c>
      <c r="K3780" t="s">
        <v>5047</v>
      </c>
      <c r="L3780" t="s">
        <v>5051</v>
      </c>
      <c r="M3780" t="s">
        <v>5054</v>
      </c>
    </row>
    <row r="3781" spans="1:13" x14ac:dyDescent="0.3">
      <c r="A3781" s="1">
        <v>45602</v>
      </c>
      <c r="B3781" s="1" t="str">
        <f>TEXT(Tabla1[[#This Row],[Fecha]],"MMMM")</f>
        <v>noviembre</v>
      </c>
      <c r="C3781" t="s">
        <v>3791</v>
      </c>
      <c r="D3781" t="s">
        <v>5031</v>
      </c>
      <c r="E3781" t="s">
        <v>5032</v>
      </c>
      <c r="F3781" t="s">
        <v>5037</v>
      </c>
      <c r="G3781" s="3">
        <v>2971.95</v>
      </c>
      <c r="H3781" s="3">
        <v>0</v>
      </c>
      <c r="I3781" s="3">
        <f>SUM(Tabla1[[#This Row],[Monto_Base]],H3781)</f>
        <v>2971.95</v>
      </c>
      <c r="J3781" t="s">
        <v>5042</v>
      </c>
      <c r="K3781" t="s">
        <v>5048</v>
      </c>
      <c r="L3781" t="s">
        <v>5050</v>
      </c>
      <c r="M3781" t="s">
        <v>5055</v>
      </c>
    </row>
    <row r="3782" spans="1:13" x14ac:dyDescent="0.3">
      <c r="A3782" s="1">
        <v>45577</v>
      </c>
      <c r="B3782" s="1" t="str">
        <f>TEXT(Tabla1[[#This Row],[Fecha]],"MMMM")</f>
        <v>octubre</v>
      </c>
      <c r="C3782" t="s">
        <v>3792</v>
      </c>
      <c r="D3782" t="s">
        <v>5029</v>
      </c>
      <c r="E3782" t="s">
        <v>5033</v>
      </c>
      <c r="F3782" t="s">
        <v>5041</v>
      </c>
      <c r="G3782" s="3">
        <v>3764.51</v>
      </c>
      <c r="H3782" s="3">
        <v>489.39</v>
      </c>
      <c r="I3782" s="3">
        <f>SUM(Tabla1[[#This Row],[Monto_Base]],H3782)</f>
        <v>4253.9000000000005</v>
      </c>
      <c r="J3782" t="s">
        <v>5046</v>
      </c>
      <c r="K3782" t="s">
        <v>5048</v>
      </c>
      <c r="L3782" t="s">
        <v>5050</v>
      </c>
      <c r="M3782" t="s">
        <v>5055</v>
      </c>
    </row>
    <row r="3783" spans="1:13" x14ac:dyDescent="0.3">
      <c r="A3783" s="1">
        <v>45499</v>
      </c>
      <c r="B3783" s="1" t="str">
        <f>TEXT(Tabla1[[#This Row],[Fecha]],"MMMM")</f>
        <v>julio</v>
      </c>
      <c r="C3783" t="s">
        <v>3793</v>
      </c>
      <c r="D3783" t="s">
        <v>5017</v>
      </c>
      <c r="E3783" t="s">
        <v>5033</v>
      </c>
      <c r="F3783" t="s">
        <v>5037</v>
      </c>
      <c r="G3783" s="3">
        <v>9939.6299999999992</v>
      </c>
      <c r="H3783" s="3">
        <v>1292.1500000000001</v>
      </c>
      <c r="I3783" s="3">
        <f>SUM(Tabla1[[#This Row],[Monto_Base]],H3783)</f>
        <v>11231.779999999999</v>
      </c>
      <c r="J3783" t="s">
        <v>5046</v>
      </c>
      <c r="K3783" t="s">
        <v>5047</v>
      </c>
      <c r="L3783" t="s">
        <v>5050</v>
      </c>
      <c r="M3783" t="s">
        <v>5054</v>
      </c>
    </row>
    <row r="3784" spans="1:13" x14ac:dyDescent="0.3">
      <c r="A3784" s="1">
        <v>45491</v>
      </c>
      <c r="B3784" s="1" t="str">
        <f>TEXT(Tabla1[[#This Row],[Fecha]],"MMMM")</f>
        <v>julio</v>
      </c>
      <c r="C3784" t="s">
        <v>3794</v>
      </c>
      <c r="D3784" t="s">
        <v>5024</v>
      </c>
      <c r="E3784" t="s">
        <v>5033</v>
      </c>
      <c r="F3784" t="s">
        <v>5038</v>
      </c>
      <c r="G3784" s="3">
        <v>13429.56</v>
      </c>
      <c r="H3784" s="3">
        <v>1745.84</v>
      </c>
      <c r="I3784" s="3">
        <f>SUM(Tabla1[[#This Row],[Monto_Base]],H3784)</f>
        <v>15175.4</v>
      </c>
      <c r="J3784" t="s">
        <v>5046</v>
      </c>
      <c r="K3784" t="s">
        <v>5047</v>
      </c>
      <c r="L3784" t="s">
        <v>5053</v>
      </c>
      <c r="M3784" t="s">
        <v>5055</v>
      </c>
    </row>
    <row r="3785" spans="1:13" x14ac:dyDescent="0.3">
      <c r="A3785" s="1">
        <v>45351</v>
      </c>
      <c r="B3785" s="1" t="str">
        <f>TEXT(Tabla1[[#This Row],[Fecha]],"MMMM")</f>
        <v>febrero</v>
      </c>
      <c r="C3785" t="s">
        <v>3795</v>
      </c>
      <c r="D3785" t="s">
        <v>5024</v>
      </c>
      <c r="E3785" t="s">
        <v>5033</v>
      </c>
      <c r="F3785" t="s">
        <v>5038</v>
      </c>
      <c r="G3785" s="3">
        <v>11704.19</v>
      </c>
      <c r="H3785" s="3">
        <v>1521.54</v>
      </c>
      <c r="I3785" s="3">
        <f>SUM(Tabla1[[#This Row],[Monto_Base]],H3785)</f>
        <v>13225.73</v>
      </c>
      <c r="J3785" t="s">
        <v>5044</v>
      </c>
      <c r="K3785" t="s">
        <v>5049</v>
      </c>
      <c r="L3785" t="s">
        <v>5052</v>
      </c>
      <c r="M3785" t="s">
        <v>5054</v>
      </c>
    </row>
    <row r="3786" spans="1:13" x14ac:dyDescent="0.3">
      <c r="A3786" s="1">
        <v>45467</v>
      </c>
      <c r="B3786" s="1" t="str">
        <f>TEXT(Tabla1[[#This Row],[Fecha]],"MMMM")</f>
        <v>junio</v>
      </c>
      <c r="C3786" t="s">
        <v>3796</v>
      </c>
      <c r="D3786" t="s">
        <v>5019</v>
      </c>
      <c r="E3786" t="s">
        <v>5033</v>
      </c>
      <c r="F3786" t="s">
        <v>5038</v>
      </c>
      <c r="G3786" s="3">
        <v>13239.47</v>
      </c>
      <c r="H3786" s="3">
        <v>1721.13</v>
      </c>
      <c r="I3786" s="3">
        <f>SUM(Tabla1[[#This Row],[Monto_Base]],H3786)</f>
        <v>14960.599999999999</v>
      </c>
      <c r="J3786" t="s">
        <v>5046</v>
      </c>
      <c r="K3786" t="s">
        <v>5048</v>
      </c>
      <c r="L3786" t="s">
        <v>5052</v>
      </c>
      <c r="M3786" t="s">
        <v>5055</v>
      </c>
    </row>
    <row r="3787" spans="1:13" x14ac:dyDescent="0.3">
      <c r="A3787" s="1">
        <v>45391</v>
      </c>
      <c r="B3787" s="1" t="str">
        <f>TEXT(Tabla1[[#This Row],[Fecha]],"MMMM")</f>
        <v>abril</v>
      </c>
      <c r="C3787" t="s">
        <v>3797</v>
      </c>
      <c r="D3787" t="s">
        <v>5023</v>
      </c>
      <c r="E3787" t="s">
        <v>5032</v>
      </c>
      <c r="F3787" t="s">
        <v>5039</v>
      </c>
      <c r="G3787" s="3">
        <v>13309.07</v>
      </c>
      <c r="H3787" s="3">
        <v>0</v>
      </c>
      <c r="I3787" s="3">
        <f>SUM(Tabla1[[#This Row],[Monto_Base]],H3787)</f>
        <v>13309.07</v>
      </c>
      <c r="J3787" t="s">
        <v>5044</v>
      </c>
      <c r="K3787" t="s">
        <v>5048</v>
      </c>
      <c r="L3787" t="s">
        <v>5053</v>
      </c>
      <c r="M3787" t="s">
        <v>5055</v>
      </c>
    </row>
    <row r="3788" spans="1:13" x14ac:dyDescent="0.3">
      <c r="A3788" s="1">
        <v>45352</v>
      </c>
      <c r="B3788" s="1" t="str">
        <f>TEXT(Tabla1[[#This Row],[Fecha]],"MMMM")</f>
        <v>marzo</v>
      </c>
      <c r="C3788" t="s">
        <v>3798</v>
      </c>
      <c r="D3788" t="s">
        <v>5029</v>
      </c>
      <c r="E3788" t="s">
        <v>5032</v>
      </c>
      <c r="F3788" t="s">
        <v>5040</v>
      </c>
      <c r="G3788" s="3">
        <v>11998.23</v>
      </c>
      <c r="H3788" s="3">
        <v>0</v>
      </c>
      <c r="I3788" s="3">
        <f>SUM(Tabla1[[#This Row],[Monto_Base]],H3788)</f>
        <v>11998.23</v>
      </c>
      <c r="J3788" t="s">
        <v>5044</v>
      </c>
      <c r="K3788" t="s">
        <v>5047</v>
      </c>
      <c r="L3788" t="s">
        <v>5051</v>
      </c>
      <c r="M3788" t="s">
        <v>5055</v>
      </c>
    </row>
    <row r="3789" spans="1:13" x14ac:dyDescent="0.3">
      <c r="A3789" s="1">
        <v>45427</v>
      </c>
      <c r="B3789" s="1" t="str">
        <f>TEXT(Tabla1[[#This Row],[Fecha]],"MMMM")</f>
        <v>mayo</v>
      </c>
      <c r="C3789" t="s">
        <v>3799</v>
      </c>
      <c r="D3789" t="s">
        <v>5013</v>
      </c>
      <c r="E3789" t="s">
        <v>5033</v>
      </c>
      <c r="F3789" t="s">
        <v>5036</v>
      </c>
      <c r="G3789" s="3">
        <v>7034.47</v>
      </c>
      <c r="H3789" s="3">
        <v>914.48</v>
      </c>
      <c r="I3789" s="3">
        <f>SUM(Tabla1[[#This Row],[Monto_Base]],H3789)</f>
        <v>7948.9500000000007</v>
      </c>
      <c r="J3789" t="s">
        <v>5042</v>
      </c>
      <c r="K3789" t="s">
        <v>5048</v>
      </c>
      <c r="L3789" t="s">
        <v>5051</v>
      </c>
      <c r="M3789" t="s">
        <v>5055</v>
      </c>
    </row>
    <row r="3790" spans="1:13" x14ac:dyDescent="0.3">
      <c r="A3790" s="1">
        <v>45564</v>
      </c>
      <c r="B3790" s="1" t="str">
        <f>TEXT(Tabla1[[#This Row],[Fecha]],"MMMM")</f>
        <v>septiembre</v>
      </c>
      <c r="C3790" t="s">
        <v>3800</v>
      </c>
      <c r="D3790" t="s">
        <v>5029</v>
      </c>
      <c r="E3790" t="s">
        <v>5033</v>
      </c>
      <c r="F3790" t="s">
        <v>5036</v>
      </c>
      <c r="G3790" s="3">
        <v>9495.06</v>
      </c>
      <c r="H3790" s="3">
        <v>1234.3599999999999</v>
      </c>
      <c r="I3790" s="3">
        <f>SUM(Tabla1[[#This Row],[Monto_Base]],H3790)</f>
        <v>10729.42</v>
      </c>
      <c r="J3790" t="s">
        <v>5044</v>
      </c>
      <c r="K3790" t="s">
        <v>5047</v>
      </c>
      <c r="L3790" t="s">
        <v>5051</v>
      </c>
      <c r="M3790" t="s">
        <v>5055</v>
      </c>
    </row>
    <row r="3791" spans="1:13" x14ac:dyDescent="0.3">
      <c r="A3791" s="1">
        <v>45611</v>
      </c>
      <c r="B3791" s="1" t="str">
        <f>TEXT(Tabla1[[#This Row],[Fecha]],"MMMM")</f>
        <v>noviembre</v>
      </c>
      <c r="C3791" t="s">
        <v>3801</v>
      </c>
      <c r="D3791" t="s">
        <v>5023</v>
      </c>
      <c r="E3791" t="s">
        <v>5033</v>
      </c>
      <c r="F3791" t="s">
        <v>5040</v>
      </c>
      <c r="G3791" s="3">
        <v>1165.19</v>
      </c>
      <c r="H3791" s="3">
        <v>151.47</v>
      </c>
      <c r="I3791" s="3">
        <f>SUM(Tabla1[[#This Row],[Monto_Base]],H3791)</f>
        <v>1316.66</v>
      </c>
      <c r="J3791" t="s">
        <v>5045</v>
      </c>
      <c r="K3791" t="s">
        <v>5047</v>
      </c>
      <c r="L3791" t="s">
        <v>5050</v>
      </c>
      <c r="M3791" t="s">
        <v>5055</v>
      </c>
    </row>
    <row r="3792" spans="1:13" x14ac:dyDescent="0.3">
      <c r="A3792" s="1">
        <v>45439</v>
      </c>
      <c r="B3792" s="1" t="str">
        <f>TEXT(Tabla1[[#This Row],[Fecha]],"MMMM")</f>
        <v>mayo</v>
      </c>
      <c r="C3792" t="s">
        <v>3802</v>
      </c>
      <c r="D3792" t="s">
        <v>5014</v>
      </c>
      <c r="E3792" t="s">
        <v>5033</v>
      </c>
      <c r="F3792" t="s">
        <v>5038</v>
      </c>
      <c r="G3792" s="3">
        <v>9926.3799999999992</v>
      </c>
      <c r="H3792" s="3">
        <v>1290.43</v>
      </c>
      <c r="I3792" s="3">
        <f>SUM(Tabla1[[#This Row],[Monto_Base]],H3792)</f>
        <v>11216.81</v>
      </c>
      <c r="J3792" t="s">
        <v>5046</v>
      </c>
      <c r="K3792" t="s">
        <v>5049</v>
      </c>
      <c r="L3792" t="s">
        <v>5050</v>
      </c>
      <c r="M3792" t="s">
        <v>5054</v>
      </c>
    </row>
    <row r="3793" spans="1:13" x14ac:dyDescent="0.3">
      <c r="A3793" s="1">
        <v>45610</v>
      </c>
      <c r="B3793" s="1" t="str">
        <f>TEXT(Tabla1[[#This Row],[Fecha]],"MMMM")</f>
        <v>noviembre</v>
      </c>
      <c r="C3793" t="s">
        <v>3803</v>
      </c>
      <c r="D3793" t="s">
        <v>5025</v>
      </c>
      <c r="E3793" t="s">
        <v>5033</v>
      </c>
      <c r="F3793" t="s">
        <v>5040</v>
      </c>
      <c r="G3793" s="3">
        <v>3255.39</v>
      </c>
      <c r="H3793" s="3">
        <v>423.2</v>
      </c>
      <c r="I3793" s="3">
        <f>SUM(Tabla1[[#This Row],[Monto_Base]],H3793)</f>
        <v>3678.5899999999997</v>
      </c>
      <c r="J3793" t="s">
        <v>5042</v>
      </c>
      <c r="K3793" t="s">
        <v>5049</v>
      </c>
      <c r="L3793" t="s">
        <v>5050</v>
      </c>
      <c r="M3793" t="s">
        <v>5055</v>
      </c>
    </row>
    <row r="3794" spans="1:13" x14ac:dyDescent="0.3">
      <c r="A3794" s="1">
        <v>45453</v>
      </c>
      <c r="B3794" s="1" t="str">
        <f>TEXT(Tabla1[[#This Row],[Fecha]],"MMMM")</f>
        <v>junio</v>
      </c>
      <c r="C3794" t="s">
        <v>3804</v>
      </c>
      <c r="D3794" t="s">
        <v>5015</v>
      </c>
      <c r="E3794" t="s">
        <v>5033</v>
      </c>
      <c r="F3794" t="s">
        <v>5035</v>
      </c>
      <c r="G3794" s="3">
        <v>964.27</v>
      </c>
      <c r="H3794" s="3">
        <v>125.36</v>
      </c>
      <c r="I3794" s="3">
        <f>SUM(Tabla1[[#This Row],[Monto_Base]],H3794)</f>
        <v>1089.6299999999999</v>
      </c>
      <c r="J3794" t="s">
        <v>5045</v>
      </c>
      <c r="K3794" t="s">
        <v>5048</v>
      </c>
      <c r="L3794" t="s">
        <v>5051</v>
      </c>
      <c r="M3794" t="s">
        <v>5054</v>
      </c>
    </row>
    <row r="3795" spans="1:13" x14ac:dyDescent="0.3">
      <c r="A3795" s="1">
        <v>45412</v>
      </c>
      <c r="B3795" s="1" t="str">
        <f>TEXT(Tabla1[[#This Row],[Fecha]],"MMMM")</f>
        <v>abril</v>
      </c>
      <c r="C3795" t="s">
        <v>3805</v>
      </c>
      <c r="D3795" t="s">
        <v>5021</v>
      </c>
      <c r="E3795" t="s">
        <v>5032</v>
      </c>
      <c r="F3795" t="s">
        <v>5039</v>
      </c>
      <c r="G3795" s="3">
        <v>13765.15</v>
      </c>
      <c r="H3795" s="3">
        <v>0</v>
      </c>
      <c r="I3795" s="3">
        <f>SUM(Tabla1[[#This Row],[Monto_Base]],H3795)</f>
        <v>13765.15</v>
      </c>
      <c r="J3795" t="s">
        <v>5045</v>
      </c>
      <c r="K3795" t="s">
        <v>5048</v>
      </c>
      <c r="L3795" t="s">
        <v>5050</v>
      </c>
      <c r="M3795" t="s">
        <v>5054</v>
      </c>
    </row>
    <row r="3796" spans="1:13" x14ac:dyDescent="0.3">
      <c r="A3796" s="1">
        <v>45549</v>
      </c>
      <c r="B3796" s="1" t="str">
        <f>TEXT(Tabla1[[#This Row],[Fecha]],"MMMM")</f>
        <v>septiembre</v>
      </c>
      <c r="C3796" t="s">
        <v>3806</v>
      </c>
      <c r="D3796" t="s">
        <v>5020</v>
      </c>
      <c r="E3796" t="s">
        <v>5033</v>
      </c>
      <c r="F3796" t="s">
        <v>5036</v>
      </c>
      <c r="G3796" s="3">
        <v>434.38</v>
      </c>
      <c r="H3796" s="3">
        <v>56.47</v>
      </c>
      <c r="I3796" s="3">
        <f>SUM(Tabla1[[#This Row],[Monto_Base]],H3796)</f>
        <v>490.85</v>
      </c>
      <c r="J3796" t="s">
        <v>5045</v>
      </c>
      <c r="K3796" t="s">
        <v>5047</v>
      </c>
      <c r="L3796" t="s">
        <v>5051</v>
      </c>
      <c r="M3796" t="s">
        <v>5055</v>
      </c>
    </row>
    <row r="3797" spans="1:13" x14ac:dyDescent="0.3">
      <c r="A3797" s="1">
        <v>45449</v>
      </c>
      <c r="B3797" s="1" t="str">
        <f>TEXT(Tabla1[[#This Row],[Fecha]],"MMMM")</f>
        <v>junio</v>
      </c>
      <c r="C3797" t="s">
        <v>3807</v>
      </c>
      <c r="D3797" t="s">
        <v>5024</v>
      </c>
      <c r="E3797" t="s">
        <v>5032</v>
      </c>
      <c r="F3797" t="s">
        <v>5037</v>
      </c>
      <c r="G3797" s="3">
        <v>14099.56</v>
      </c>
      <c r="H3797" s="3">
        <v>0</v>
      </c>
      <c r="I3797" s="3">
        <f>SUM(Tabla1[[#This Row],[Monto_Base]],H3797)</f>
        <v>14099.56</v>
      </c>
      <c r="J3797" t="s">
        <v>5046</v>
      </c>
      <c r="K3797" t="s">
        <v>5049</v>
      </c>
      <c r="L3797" t="s">
        <v>5053</v>
      </c>
      <c r="M3797" t="s">
        <v>5054</v>
      </c>
    </row>
    <row r="3798" spans="1:13" x14ac:dyDescent="0.3">
      <c r="A3798" s="1">
        <v>45594</v>
      </c>
      <c r="B3798" s="1" t="str">
        <f>TEXT(Tabla1[[#This Row],[Fecha]],"MMMM")</f>
        <v>octubre</v>
      </c>
      <c r="C3798" t="s">
        <v>3808</v>
      </c>
      <c r="D3798" t="s">
        <v>5019</v>
      </c>
      <c r="E3798" t="s">
        <v>5033</v>
      </c>
      <c r="F3798" t="s">
        <v>5037</v>
      </c>
      <c r="G3798" s="3">
        <v>6339.74</v>
      </c>
      <c r="H3798" s="3">
        <v>824.17</v>
      </c>
      <c r="I3798" s="3">
        <f>SUM(Tabla1[[#This Row],[Monto_Base]],H3798)</f>
        <v>7163.91</v>
      </c>
      <c r="J3798" t="s">
        <v>5043</v>
      </c>
      <c r="K3798" t="s">
        <v>5047</v>
      </c>
      <c r="L3798" t="s">
        <v>5053</v>
      </c>
      <c r="M3798" t="s">
        <v>5055</v>
      </c>
    </row>
    <row r="3799" spans="1:13" x14ac:dyDescent="0.3">
      <c r="A3799" s="1">
        <v>45367</v>
      </c>
      <c r="B3799" s="1" t="str">
        <f>TEXT(Tabla1[[#This Row],[Fecha]],"MMMM")</f>
        <v>marzo</v>
      </c>
      <c r="C3799" t="s">
        <v>3809</v>
      </c>
      <c r="D3799" t="s">
        <v>5024</v>
      </c>
      <c r="E3799" t="s">
        <v>5032</v>
      </c>
      <c r="F3799" t="s">
        <v>5038</v>
      </c>
      <c r="G3799" s="3">
        <v>9126.68</v>
      </c>
      <c r="H3799" s="3">
        <v>0</v>
      </c>
      <c r="I3799" s="3">
        <f>SUM(Tabla1[[#This Row],[Monto_Base]],H3799)</f>
        <v>9126.68</v>
      </c>
      <c r="J3799" t="s">
        <v>5045</v>
      </c>
      <c r="K3799" t="s">
        <v>5049</v>
      </c>
      <c r="L3799" t="s">
        <v>5050</v>
      </c>
      <c r="M3799" t="s">
        <v>5054</v>
      </c>
    </row>
    <row r="3800" spans="1:13" x14ac:dyDescent="0.3">
      <c r="A3800" s="1">
        <v>45428</v>
      </c>
      <c r="B3800" s="1" t="str">
        <f>TEXT(Tabla1[[#This Row],[Fecha]],"MMMM")</f>
        <v>mayo</v>
      </c>
      <c r="C3800" t="s">
        <v>3810</v>
      </c>
      <c r="D3800" t="s">
        <v>5020</v>
      </c>
      <c r="E3800" t="s">
        <v>5033</v>
      </c>
      <c r="F3800" t="s">
        <v>5037</v>
      </c>
      <c r="G3800" s="3">
        <v>1209.02</v>
      </c>
      <c r="H3800" s="3">
        <v>157.16999999999999</v>
      </c>
      <c r="I3800" s="3">
        <f>SUM(Tabla1[[#This Row],[Monto_Base]],H3800)</f>
        <v>1366.19</v>
      </c>
      <c r="J3800" t="s">
        <v>5043</v>
      </c>
      <c r="K3800" t="s">
        <v>5047</v>
      </c>
      <c r="L3800" t="s">
        <v>5051</v>
      </c>
      <c r="M3800" t="s">
        <v>5054</v>
      </c>
    </row>
    <row r="3801" spans="1:13" x14ac:dyDescent="0.3">
      <c r="A3801" s="1">
        <v>45389</v>
      </c>
      <c r="B3801" s="1" t="str">
        <f>TEXT(Tabla1[[#This Row],[Fecha]],"MMMM")</f>
        <v>abril</v>
      </c>
      <c r="C3801" t="s">
        <v>3811</v>
      </c>
      <c r="D3801" t="s">
        <v>5013</v>
      </c>
      <c r="E3801" t="s">
        <v>5033</v>
      </c>
      <c r="F3801" t="s">
        <v>5040</v>
      </c>
      <c r="G3801" s="3">
        <v>83.27</v>
      </c>
      <c r="H3801" s="3">
        <v>10.83</v>
      </c>
      <c r="I3801" s="3">
        <f>SUM(Tabla1[[#This Row],[Monto_Base]],H3801)</f>
        <v>94.1</v>
      </c>
      <c r="J3801" t="s">
        <v>5045</v>
      </c>
      <c r="K3801" t="s">
        <v>5048</v>
      </c>
      <c r="L3801" t="s">
        <v>5053</v>
      </c>
      <c r="M3801" t="s">
        <v>5054</v>
      </c>
    </row>
    <row r="3802" spans="1:13" x14ac:dyDescent="0.3">
      <c r="A3802" s="1">
        <v>45609</v>
      </c>
      <c r="B3802" s="1" t="str">
        <f>TEXT(Tabla1[[#This Row],[Fecha]],"MMMM")</f>
        <v>noviembre</v>
      </c>
      <c r="C3802" t="s">
        <v>3812</v>
      </c>
      <c r="D3802" t="s">
        <v>5022</v>
      </c>
      <c r="E3802" t="s">
        <v>5033</v>
      </c>
      <c r="F3802" t="s">
        <v>5041</v>
      </c>
      <c r="G3802" s="3">
        <v>2517.61</v>
      </c>
      <c r="H3802" s="3">
        <v>327.29000000000002</v>
      </c>
      <c r="I3802" s="3">
        <f>SUM(Tabla1[[#This Row],[Monto_Base]],H3802)</f>
        <v>2844.9</v>
      </c>
      <c r="J3802" t="s">
        <v>5042</v>
      </c>
      <c r="K3802" t="s">
        <v>5048</v>
      </c>
      <c r="L3802" t="s">
        <v>5052</v>
      </c>
      <c r="M3802" t="s">
        <v>5054</v>
      </c>
    </row>
    <row r="3803" spans="1:13" x14ac:dyDescent="0.3">
      <c r="A3803" s="1">
        <v>45427</v>
      </c>
      <c r="B3803" s="1" t="str">
        <f>TEXT(Tabla1[[#This Row],[Fecha]],"MMMM")</f>
        <v>mayo</v>
      </c>
      <c r="C3803" t="s">
        <v>3813</v>
      </c>
      <c r="D3803" t="s">
        <v>5026</v>
      </c>
      <c r="E3803" t="s">
        <v>5033</v>
      </c>
      <c r="F3803" t="s">
        <v>5037</v>
      </c>
      <c r="G3803" s="3">
        <v>13334.03</v>
      </c>
      <c r="H3803" s="3">
        <v>1733.42</v>
      </c>
      <c r="I3803" s="3">
        <f>SUM(Tabla1[[#This Row],[Monto_Base]],H3803)</f>
        <v>15067.45</v>
      </c>
      <c r="J3803" t="s">
        <v>5042</v>
      </c>
      <c r="K3803" t="s">
        <v>5049</v>
      </c>
      <c r="L3803" t="s">
        <v>5051</v>
      </c>
      <c r="M3803" t="s">
        <v>5054</v>
      </c>
    </row>
    <row r="3804" spans="1:13" x14ac:dyDescent="0.3">
      <c r="A3804" s="1">
        <v>45608</v>
      </c>
      <c r="B3804" s="1" t="str">
        <f>TEXT(Tabla1[[#This Row],[Fecha]],"MMMM")</f>
        <v>noviembre</v>
      </c>
      <c r="C3804" t="s">
        <v>3814</v>
      </c>
      <c r="D3804" t="s">
        <v>5022</v>
      </c>
      <c r="E3804" t="s">
        <v>5032</v>
      </c>
      <c r="F3804" t="s">
        <v>5037</v>
      </c>
      <c r="G3804" s="3">
        <v>11454.76</v>
      </c>
      <c r="H3804" s="3">
        <v>0</v>
      </c>
      <c r="I3804" s="3">
        <f>SUM(Tabla1[[#This Row],[Monto_Base]],H3804)</f>
        <v>11454.76</v>
      </c>
      <c r="J3804" t="s">
        <v>5042</v>
      </c>
      <c r="K3804" t="s">
        <v>5049</v>
      </c>
      <c r="L3804" t="s">
        <v>5050</v>
      </c>
      <c r="M3804" t="s">
        <v>5055</v>
      </c>
    </row>
    <row r="3805" spans="1:13" x14ac:dyDescent="0.3">
      <c r="A3805" s="1">
        <v>45434</v>
      </c>
      <c r="B3805" s="1" t="str">
        <f>TEXT(Tabla1[[#This Row],[Fecha]],"MMMM")</f>
        <v>mayo</v>
      </c>
      <c r="C3805" t="s">
        <v>3815</v>
      </c>
      <c r="D3805" t="s">
        <v>5012</v>
      </c>
      <c r="E3805" t="s">
        <v>5033</v>
      </c>
      <c r="F3805" t="s">
        <v>5036</v>
      </c>
      <c r="G3805" s="3">
        <v>4324.47</v>
      </c>
      <c r="H3805" s="3">
        <v>562.17999999999995</v>
      </c>
      <c r="I3805" s="3">
        <f>SUM(Tabla1[[#This Row],[Monto_Base]],H3805)</f>
        <v>4886.6500000000005</v>
      </c>
      <c r="J3805" t="s">
        <v>5044</v>
      </c>
      <c r="K3805" t="s">
        <v>5047</v>
      </c>
      <c r="L3805" t="s">
        <v>5051</v>
      </c>
      <c r="M3805" t="s">
        <v>5055</v>
      </c>
    </row>
    <row r="3806" spans="1:13" x14ac:dyDescent="0.3">
      <c r="A3806" s="1">
        <v>45653</v>
      </c>
      <c r="B3806" s="1" t="str">
        <f>TEXT(Tabla1[[#This Row],[Fecha]],"MMMM")</f>
        <v>diciembre</v>
      </c>
      <c r="C3806" t="s">
        <v>3816</v>
      </c>
      <c r="D3806" t="s">
        <v>5018</v>
      </c>
      <c r="E3806" t="s">
        <v>5033</v>
      </c>
      <c r="F3806" t="s">
        <v>5041</v>
      </c>
      <c r="G3806" s="3">
        <v>2585.2199999999998</v>
      </c>
      <c r="H3806" s="3">
        <v>336.08</v>
      </c>
      <c r="I3806" s="3">
        <f>SUM(Tabla1[[#This Row],[Monto_Base]],H3806)</f>
        <v>2921.2999999999997</v>
      </c>
      <c r="J3806" t="s">
        <v>5042</v>
      </c>
      <c r="K3806" t="s">
        <v>5048</v>
      </c>
      <c r="L3806" t="s">
        <v>5053</v>
      </c>
      <c r="M3806" t="s">
        <v>5055</v>
      </c>
    </row>
    <row r="3807" spans="1:13" x14ac:dyDescent="0.3">
      <c r="A3807" s="1">
        <v>45457</v>
      </c>
      <c r="B3807" s="1" t="str">
        <f>TEXT(Tabla1[[#This Row],[Fecha]],"MMMM")</f>
        <v>junio</v>
      </c>
      <c r="C3807" t="s">
        <v>3817</v>
      </c>
      <c r="D3807" t="s">
        <v>5028</v>
      </c>
      <c r="E3807" t="s">
        <v>5032</v>
      </c>
      <c r="F3807" t="s">
        <v>5038</v>
      </c>
      <c r="G3807" s="3">
        <v>6881.51</v>
      </c>
      <c r="H3807" s="3">
        <v>0</v>
      </c>
      <c r="I3807" s="3">
        <f>SUM(Tabla1[[#This Row],[Monto_Base]],H3807)</f>
        <v>6881.51</v>
      </c>
      <c r="J3807" t="s">
        <v>5043</v>
      </c>
      <c r="K3807" t="s">
        <v>5049</v>
      </c>
      <c r="L3807" t="s">
        <v>5050</v>
      </c>
      <c r="M3807" t="s">
        <v>5054</v>
      </c>
    </row>
    <row r="3808" spans="1:13" x14ac:dyDescent="0.3">
      <c r="A3808" s="1">
        <v>45452</v>
      </c>
      <c r="B3808" s="1" t="str">
        <f>TEXT(Tabla1[[#This Row],[Fecha]],"MMMM")</f>
        <v>junio</v>
      </c>
      <c r="C3808" t="s">
        <v>3818</v>
      </c>
      <c r="D3808" t="s">
        <v>5014</v>
      </c>
      <c r="E3808" t="s">
        <v>5033</v>
      </c>
      <c r="F3808" t="s">
        <v>5034</v>
      </c>
      <c r="G3808" s="3">
        <v>479.29</v>
      </c>
      <c r="H3808" s="3">
        <v>62.31</v>
      </c>
      <c r="I3808" s="3">
        <f>SUM(Tabla1[[#This Row],[Monto_Base]],H3808)</f>
        <v>541.6</v>
      </c>
      <c r="J3808" t="s">
        <v>5043</v>
      </c>
      <c r="K3808" t="s">
        <v>5048</v>
      </c>
      <c r="L3808" t="s">
        <v>5050</v>
      </c>
      <c r="M3808" t="s">
        <v>5054</v>
      </c>
    </row>
    <row r="3809" spans="1:13" x14ac:dyDescent="0.3">
      <c r="A3809" s="1">
        <v>45612</v>
      </c>
      <c r="B3809" s="1" t="str">
        <f>TEXT(Tabla1[[#This Row],[Fecha]],"MMMM")</f>
        <v>noviembre</v>
      </c>
      <c r="C3809" t="s">
        <v>3819</v>
      </c>
      <c r="D3809" t="s">
        <v>5025</v>
      </c>
      <c r="E3809" t="s">
        <v>5032</v>
      </c>
      <c r="F3809" t="s">
        <v>5035</v>
      </c>
      <c r="G3809" s="3">
        <v>7062.24</v>
      </c>
      <c r="H3809" s="3">
        <v>0</v>
      </c>
      <c r="I3809" s="3">
        <f>SUM(Tabla1[[#This Row],[Monto_Base]],H3809)</f>
        <v>7062.24</v>
      </c>
      <c r="J3809" t="s">
        <v>5045</v>
      </c>
      <c r="K3809" t="s">
        <v>5047</v>
      </c>
      <c r="L3809" t="s">
        <v>5051</v>
      </c>
      <c r="M3809" t="s">
        <v>5054</v>
      </c>
    </row>
    <row r="3810" spans="1:13" x14ac:dyDescent="0.3">
      <c r="A3810" s="1">
        <v>45435</v>
      </c>
      <c r="B3810" s="1" t="str">
        <f>TEXT(Tabla1[[#This Row],[Fecha]],"MMMM")</f>
        <v>mayo</v>
      </c>
      <c r="C3810" t="s">
        <v>3820</v>
      </c>
      <c r="D3810" t="s">
        <v>5016</v>
      </c>
      <c r="E3810" t="s">
        <v>5033</v>
      </c>
      <c r="F3810" t="s">
        <v>5040</v>
      </c>
      <c r="G3810" s="3">
        <v>116.41</v>
      </c>
      <c r="H3810" s="3">
        <v>15.13</v>
      </c>
      <c r="I3810" s="3">
        <f>SUM(Tabla1[[#This Row],[Monto_Base]],H3810)</f>
        <v>131.54</v>
      </c>
      <c r="J3810" t="s">
        <v>5046</v>
      </c>
      <c r="K3810" t="s">
        <v>5049</v>
      </c>
      <c r="L3810" t="s">
        <v>5053</v>
      </c>
      <c r="M3810" t="s">
        <v>5054</v>
      </c>
    </row>
    <row r="3811" spans="1:13" x14ac:dyDescent="0.3">
      <c r="A3811" s="1">
        <v>45574</v>
      </c>
      <c r="B3811" s="1" t="str">
        <f>TEXT(Tabla1[[#This Row],[Fecha]],"MMMM")</f>
        <v>octubre</v>
      </c>
      <c r="C3811" t="s">
        <v>3821</v>
      </c>
      <c r="D3811" t="s">
        <v>5019</v>
      </c>
      <c r="E3811" t="s">
        <v>5033</v>
      </c>
      <c r="F3811" t="s">
        <v>5039</v>
      </c>
      <c r="G3811" s="3">
        <v>7984.55</v>
      </c>
      <c r="H3811" s="3">
        <v>1037.99</v>
      </c>
      <c r="I3811" s="3">
        <f>SUM(Tabla1[[#This Row],[Monto_Base]],H3811)</f>
        <v>9022.5400000000009</v>
      </c>
      <c r="J3811" t="s">
        <v>5043</v>
      </c>
      <c r="K3811" t="s">
        <v>5049</v>
      </c>
      <c r="L3811" t="s">
        <v>5050</v>
      </c>
      <c r="M3811" t="s">
        <v>5055</v>
      </c>
    </row>
    <row r="3812" spans="1:13" x14ac:dyDescent="0.3">
      <c r="A3812" s="1">
        <v>45638</v>
      </c>
      <c r="B3812" s="1" t="str">
        <f>TEXT(Tabla1[[#This Row],[Fecha]],"MMMM")</f>
        <v>diciembre</v>
      </c>
      <c r="C3812" t="s">
        <v>3822</v>
      </c>
      <c r="D3812" t="s">
        <v>5031</v>
      </c>
      <c r="E3812" t="s">
        <v>5032</v>
      </c>
      <c r="F3812" t="s">
        <v>5034</v>
      </c>
      <c r="G3812" s="3">
        <v>5390.53</v>
      </c>
      <c r="H3812" s="3">
        <v>0</v>
      </c>
      <c r="I3812" s="3">
        <f>SUM(Tabla1[[#This Row],[Monto_Base]],H3812)</f>
        <v>5390.53</v>
      </c>
      <c r="J3812" t="s">
        <v>5043</v>
      </c>
      <c r="K3812" t="s">
        <v>5048</v>
      </c>
      <c r="L3812" t="s">
        <v>5053</v>
      </c>
      <c r="M3812" t="s">
        <v>5055</v>
      </c>
    </row>
    <row r="3813" spans="1:13" x14ac:dyDescent="0.3">
      <c r="A3813" s="1">
        <v>45548</v>
      </c>
      <c r="B3813" s="1" t="str">
        <f>TEXT(Tabla1[[#This Row],[Fecha]],"MMMM")</f>
        <v>septiembre</v>
      </c>
      <c r="C3813" t="s">
        <v>3823</v>
      </c>
      <c r="D3813" t="s">
        <v>5030</v>
      </c>
      <c r="E3813" t="s">
        <v>5033</v>
      </c>
      <c r="F3813" t="s">
        <v>5036</v>
      </c>
      <c r="G3813" s="3">
        <v>901.26</v>
      </c>
      <c r="H3813" s="3">
        <v>117.16</v>
      </c>
      <c r="I3813" s="3">
        <f>SUM(Tabla1[[#This Row],[Monto_Base]],H3813)</f>
        <v>1018.42</v>
      </c>
      <c r="J3813" t="s">
        <v>5044</v>
      </c>
      <c r="K3813" t="s">
        <v>5047</v>
      </c>
      <c r="L3813" t="s">
        <v>5050</v>
      </c>
      <c r="M3813" t="s">
        <v>5054</v>
      </c>
    </row>
    <row r="3814" spans="1:13" x14ac:dyDescent="0.3">
      <c r="A3814" s="1">
        <v>45561</v>
      </c>
      <c r="B3814" s="1" t="str">
        <f>TEXT(Tabla1[[#This Row],[Fecha]],"MMMM")</f>
        <v>septiembre</v>
      </c>
      <c r="C3814" t="s">
        <v>3824</v>
      </c>
      <c r="D3814" t="s">
        <v>5027</v>
      </c>
      <c r="E3814" t="s">
        <v>5032</v>
      </c>
      <c r="F3814" t="s">
        <v>5038</v>
      </c>
      <c r="G3814" s="3">
        <v>13727.4</v>
      </c>
      <c r="H3814" s="3">
        <v>0</v>
      </c>
      <c r="I3814" s="3">
        <f>SUM(Tabla1[[#This Row],[Monto_Base]],H3814)</f>
        <v>13727.4</v>
      </c>
      <c r="J3814" t="s">
        <v>5045</v>
      </c>
      <c r="K3814" t="s">
        <v>5047</v>
      </c>
      <c r="L3814" t="s">
        <v>5051</v>
      </c>
      <c r="M3814" t="s">
        <v>5055</v>
      </c>
    </row>
    <row r="3815" spans="1:13" x14ac:dyDescent="0.3">
      <c r="A3815" s="1">
        <v>45483</v>
      </c>
      <c r="B3815" s="1" t="str">
        <f>TEXT(Tabla1[[#This Row],[Fecha]],"MMMM")</f>
        <v>julio</v>
      </c>
      <c r="C3815" t="s">
        <v>3825</v>
      </c>
      <c r="D3815" t="s">
        <v>5022</v>
      </c>
      <c r="E3815" t="s">
        <v>5032</v>
      </c>
      <c r="F3815" t="s">
        <v>5034</v>
      </c>
      <c r="G3815" s="3">
        <v>4858.67</v>
      </c>
      <c r="H3815" s="3">
        <v>0</v>
      </c>
      <c r="I3815" s="3">
        <f>SUM(Tabla1[[#This Row],[Monto_Base]],H3815)</f>
        <v>4858.67</v>
      </c>
      <c r="J3815" t="s">
        <v>5046</v>
      </c>
      <c r="K3815" t="s">
        <v>5048</v>
      </c>
      <c r="L3815" t="s">
        <v>5052</v>
      </c>
      <c r="M3815" t="s">
        <v>5055</v>
      </c>
    </row>
    <row r="3816" spans="1:13" x14ac:dyDescent="0.3">
      <c r="A3816" s="1">
        <v>45520</v>
      </c>
      <c r="B3816" s="1" t="str">
        <f>TEXT(Tabla1[[#This Row],[Fecha]],"MMMM")</f>
        <v>agosto</v>
      </c>
      <c r="C3816" t="s">
        <v>3826</v>
      </c>
      <c r="D3816" t="s">
        <v>5018</v>
      </c>
      <c r="E3816" t="s">
        <v>5032</v>
      </c>
      <c r="F3816" t="s">
        <v>5040</v>
      </c>
      <c r="G3816" s="3">
        <v>619.11</v>
      </c>
      <c r="H3816" s="3">
        <v>0</v>
      </c>
      <c r="I3816" s="3">
        <f>SUM(Tabla1[[#This Row],[Monto_Base]],H3816)</f>
        <v>619.11</v>
      </c>
      <c r="J3816" t="s">
        <v>5043</v>
      </c>
      <c r="K3816" t="s">
        <v>5049</v>
      </c>
      <c r="L3816" t="s">
        <v>5051</v>
      </c>
      <c r="M3816" t="s">
        <v>5055</v>
      </c>
    </row>
    <row r="3817" spans="1:13" x14ac:dyDescent="0.3">
      <c r="A3817" s="1">
        <v>45472</v>
      </c>
      <c r="B3817" s="1" t="str">
        <f>TEXT(Tabla1[[#This Row],[Fecha]],"MMMM")</f>
        <v>junio</v>
      </c>
      <c r="C3817" t="s">
        <v>3827</v>
      </c>
      <c r="D3817" t="s">
        <v>5024</v>
      </c>
      <c r="E3817" t="s">
        <v>5032</v>
      </c>
      <c r="F3817" t="s">
        <v>5038</v>
      </c>
      <c r="G3817" s="3">
        <v>8423.9599999999991</v>
      </c>
      <c r="H3817" s="3">
        <v>0</v>
      </c>
      <c r="I3817" s="3">
        <f>SUM(Tabla1[[#This Row],[Monto_Base]],H3817)</f>
        <v>8423.9599999999991</v>
      </c>
      <c r="J3817" t="s">
        <v>5046</v>
      </c>
      <c r="K3817" t="s">
        <v>5048</v>
      </c>
      <c r="L3817" t="s">
        <v>5053</v>
      </c>
      <c r="M3817" t="s">
        <v>5054</v>
      </c>
    </row>
    <row r="3818" spans="1:13" x14ac:dyDescent="0.3">
      <c r="A3818" s="1">
        <v>45595</v>
      </c>
      <c r="B3818" s="1" t="str">
        <f>TEXT(Tabla1[[#This Row],[Fecha]],"MMMM")</f>
        <v>octubre</v>
      </c>
      <c r="C3818" t="s">
        <v>3828</v>
      </c>
      <c r="D3818" t="s">
        <v>5015</v>
      </c>
      <c r="E3818" t="s">
        <v>5032</v>
      </c>
      <c r="F3818" t="s">
        <v>5037</v>
      </c>
      <c r="G3818" s="3">
        <v>6896.58</v>
      </c>
      <c r="H3818" s="3">
        <v>0</v>
      </c>
      <c r="I3818" s="3">
        <f>SUM(Tabla1[[#This Row],[Monto_Base]],H3818)</f>
        <v>6896.58</v>
      </c>
      <c r="J3818" t="s">
        <v>5045</v>
      </c>
      <c r="K3818" t="s">
        <v>5047</v>
      </c>
      <c r="L3818" t="s">
        <v>5050</v>
      </c>
      <c r="M3818" t="s">
        <v>5055</v>
      </c>
    </row>
    <row r="3819" spans="1:13" x14ac:dyDescent="0.3">
      <c r="A3819" s="1">
        <v>45580</v>
      </c>
      <c r="B3819" s="1" t="str">
        <f>TEXT(Tabla1[[#This Row],[Fecha]],"MMMM")</f>
        <v>octubre</v>
      </c>
      <c r="C3819" t="s">
        <v>3829</v>
      </c>
      <c r="D3819" t="s">
        <v>5026</v>
      </c>
      <c r="E3819" t="s">
        <v>5032</v>
      </c>
      <c r="F3819" t="s">
        <v>5039</v>
      </c>
      <c r="G3819" s="3">
        <v>9336.43</v>
      </c>
      <c r="H3819" s="3">
        <v>0</v>
      </c>
      <c r="I3819" s="3">
        <f>SUM(Tabla1[[#This Row],[Monto_Base]],H3819)</f>
        <v>9336.43</v>
      </c>
      <c r="J3819" t="s">
        <v>5043</v>
      </c>
      <c r="K3819" t="s">
        <v>5048</v>
      </c>
      <c r="L3819" t="s">
        <v>5052</v>
      </c>
      <c r="M3819" t="s">
        <v>5054</v>
      </c>
    </row>
    <row r="3820" spans="1:13" x14ac:dyDescent="0.3">
      <c r="A3820" s="1">
        <v>45406</v>
      </c>
      <c r="B3820" s="1" t="str">
        <f>TEXT(Tabla1[[#This Row],[Fecha]],"MMMM")</f>
        <v>abril</v>
      </c>
      <c r="C3820" t="s">
        <v>3830</v>
      </c>
      <c r="D3820" t="s">
        <v>5025</v>
      </c>
      <c r="E3820" t="s">
        <v>5032</v>
      </c>
      <c r="F3820" t="s">
        <v>5035</v>
      </c>
      <c r="G3820" s="3">
        <v>2176.0300000000002</v>
      </c>
      <c r="H3820" s="3">
        <v>0</v>
      </c>
      <c r="I3820" s="3">
        <f>SUM(Tabla1[[#This Row],[Monto_Base]],H3820)</f>
        <v>2176.0300000000002</v>
      </c>
      <c r="J3820" t="s">
        <v>5042</v>
      </c>
      <c r="K3820" t="s">
        <v>5048</v>
      </c>
      <c r="L3820" t="s">
        <v>5051</v>
      </c>
      <c r="M3820" t="s">
        <v>5054</v>
      </c>
    </row>
    <row r="3821" spans="1:13" x14ac:dyDescent="0.3">
      <c r="A3821" s="1">
        <v>45467</v>
      </c>
      <c r="B3821" s="1" t="str">
        <f>TEXT(Tabla1[[#This Row],[Fecha]],"MMMM")</f>
        <v>junio</v>
      </c>
      <c r="C3821" t="s">
        <v>3831</v>
      </c>
      <c r="D3821" t="s">
        <v>5022</v>
      </c>
      <c r="E3821" t="s">
        <v>5033</v>
      </c>
      <c r="F3821" t="s">
        <v>5038</v>
      </c>
      <c r="G3821" s="3">
        <v>11406.14</v>
      </c>
      <c r="H3821" s="3">
        <v>1482.8</v>
      </c>
      <c r="I3821" s="3">
        <f>SUM(Tabla1[[#This Row],[Monto_Base]],H3821)</f>
        <v>12888.939999999999</v>
      </c>
      <c r="J3821" t="s">
        <v>5042</v>
      </c>
      <c r="K3821" t="s">
        <v>5049</v>
      </c>
      <c r="L3821" t="s">
        <v>5053</v>
      </c>
      <c r="M3821" t="s">
        <v>5054</v>
      </c>
    </row>
    <row r="3822" spans="1:13" x14ac:dyDescent="0.3">
      <c r="A3822" s="1">
        <v>45455</v>
      </c>
      <c r="B3822" s="1" t="str">
        <f>TEXT(Tabla1[[#This Row],[Fecha]],"MMMM")</f>
        <v>junio</v>
      </c>
      <c r="C3822" t="s">
        <v>3832</v>
      </c>
      <c r="D3822" t="s">
        <v>5028</v>
      </c>
      <c r="E3822" t="s">
        <v>5032</v>
      </c>
      <c r="F3822" t="s">
        <v>5040</v>
      </c>
      <c r="G3822" s="3">
        <v>7073.29</v>
      </c>
      <c r="H3822" s="3">
        <v>0</v>
      </c>
      <c r="I3822" s="3">
        <f>SUM(Tabla1[[#This Row],[Monto_Base]],H3822)</f>
        <v>7073.29</v>
      </c>
      <c r="J3822" t="s">
        <v>5046</v>
      </c>
      <c r="K3822" t="s">
        <v>5049</v>
      </c>
      <c r="L3822" t="s">
        <v>5051</v>
      </c>
      <c r="M3822" t="s">
        <v>5054</v>
      </c>
    </row>
    <row r="3823" spans="1:13" x14ac:dyDescent="0.3">
      <c r="A3823" s="1">
        <v>45462</v>
      </c>
      <c r="B3823" s="1" t="str">
        <f>TEXT(Tabla1[[#This Row],[Fecha]],"MMMM")</f>
        <v>junio</v>
      </c>
      <c r="C3823" t="s">
        <v>3833</v>
      </c>
      <c r="D3823" t="s">
        <v>5031</v>
      </c>
      <c r="E3823" t="s">
        <v>5032</v>
      </c>
      <c r="F3823" t="s">
        <v>5037</v>
      </c>
      <c r="G3823" s="3">
        <v>10596.22</v>
      </c>
      <c r="H3823" s="3">
        <v>0</v>
      </c>
      <c r="I3823" s="3">
        <f>SUM(Tabla1[[#This Row],[Monto_Base]],H3823)</f>
        <v>10596.22</v>
      </c>
      <c r="J3823" t="s">
        <v>5046</v>
      </c>
      <c r="K3823" t="s">
        <v>5049</v>
      </c>
      <c r="L3823" t="s">
        <v>5051</v>
      </c>
      <c r="M3823" t="s">
        <v>5055</v>
      </c>
    </row>
    <row r="3824" spans="1:13" x14ac:dyDescent="0.3">
      <c r="A3824" s="1">
        <v>45303</v>
      </c>
      <c r="B3824" s="1" t="str">
        <f>TEXT(Tabla1[[#This Row],[Fecha]],"MMMM")</f>
        <v>enero</v>
      </c>
      <c r="C3824" t="s">
        <v>3834</v>
      </c>
      <c r="D3824" t="s">
        <v>5021</v>
      </c>
      <c r="E3824" t="s">
        <v>5033</v>
      </c>
      <c r="F3824" t="s">
        <v>5037</v>
      </c>
      <c r="G3824" s="3">
        <v>11230.16</v>
      </c>
      <c r="H3824" s="3">
        <v>1459.92</v>
      </c>
      <c r="I3824" s="3">
        <f>SUM(Tabla1[[#This Row],[Monto_Base]],H3824)</f>
        <v>12690.08</v>
      </c>
      <c r="J3824" t="s">
        <v>5044</v>
      </c>
      <c r="K3824" t="s">
        <v>5047</v>
      </c>
      <c r="L3824" t="s">
        <v>5051</v>
      </c>
      <c r="M3824" t="s">
        <v>5054</v>
      </c>
    </row>
    <row r="3825" spans="1:13" x14ac:dyDescent="0.3">
      <c r="A3825" s="1">
        <v>45500</v>
      </c>
      <c r="B3825" s="1" t="str">
        <f>TEXT(Tabla1[[#This Row],[Fecha]],"MMMM")</f>
        <v>julio</v>
      </c>
      <c r="C3825" t="s">
        <v>3835</v>
      </c>
      <c r="D3825" t="s">
        <v>5027</v>
      </c>
      <c r="E3825" t="s">
        <v>5033</v>
      </c>
      <c r="F3825" t="s">
        <v>5034</v>
      </c>
      <c r="G3825" s="3">
        <v>3988.75</v>
      </c>
      <c r="H3825" s="3">
        <v>518.54</v>
      </c>
      <c r="I3825" s="3">
        <f>SUM(Tabla1[[#This Row],[Monto_Base]],H3825)</f>
        <v>4507.29</v>
      </c>
      <c r="J3825" t="s">
        <v>5045</v>
      </c>
      <c r="K3825" t="s">
        <v>5047</v>
      </c>
      <c r="L3825" t="s">
        <v>5050</v>
      </c>
      <c r="M3825" t="s">
        <v>5055</v>
      </c>
    </row>
    <row r="3826" spans="1:13" x14ac:dyDescent="0.3">
      <c r="A3826" s="1">
        <v>45470</v>
      </c>
      <c r="B3826" s="1" t="str">
        <f>TEXT(Tabla1[[#This Row],[Fecha]],"MMMM")</f>
        <v>junio</v>
      </c>
      <c r="C3826" t="s">
        <v>3836</v>
      </c>
      <c r="D3826" t="s">
        <v>5018</v>
      </c>
      <c r="E3826" t="s">
        <v>5033</v>
      </c>
      <c r="F3826" t="s">
        <v>5039</v>
      </c>
      <c r="G3826" s="3">
        <v>9778.07</v>
      </c>
      <c r="H3826" s="3">
        <v>1271.1500000000001</v>
      </c>
      <c r="I3826" s="3">
        <f>SUM(Tabla1[[#This Row],[Monto_Base]],H3826)</f>
        <v>11049.22</v>
      </c>
      <c r="J3826" t="s">
        <v>5042</v>
      </c>
      <c r="K3826" t="s">
        <v>5047</v>
      </c>
      <c r="L3826" t="s">
        <v>5052</v>
      </c>
      <c r="M3826" t="s">
        <v>5054</v>
      </c>
    </row>
    <row r="3827" spans="1:13" x14ac:dyDescent="0.3">
      <c r="A3827" s="1">
        <v>45488</v>
      </c>
      <c r="B3827" s="1" t="str">
        <f>TEXT(Tabla1[[#This Row],[Fecha]],"MMMM")</f>
        <v>julio</v>
      </c>
      <c r="C3827" t="s">
        <v>3837</v>
      </c>
      <c r="D3827" t="s">
        <v>5030</v>
      </c>
      <c r="E3827" t="s">
        <v>5033</v>
      </c>
      <c r="F3827" t="s">
        <v>5041</v>
      </c>
      <c r="G3827" s="3">
        <v>1321.18</v>
      </c>
      <c r="H3827" s="3">
        <v>171.75</v>
      </c>
      <c r="I3827" s="3">
        <f>SUM(Tabla1[[#This Row],[Monto_Base]],H3827)</f>
        <v>1492.93</v>
      </c>
      <c r="J3827" t="s">
        <v>5045</v>
      </c>
      <c r="K3827" t="s">
        <v>5047</v>
      </c>
      <c r="L3827" t="s">
        <v>5052</v>
      </c>
      <c r="M3827" t="s">
        <v>5054</v>
      </c>
    </row>
    <row r="3828" spans="1:13" x14ac:dyDescent="0.3">
      <c r="A3828" s="1">
        <v>45562</v>
      </c>
      <c r="B3828" s="1" t="str">
        <f>TEXT(Tabla1[[#This Row],[Fecha]],"MMMM")</f>
        <v>septiembre</v>
      </c>
      <c r="C3828" t="s">
        <v>3838</v>
      </c>
      <c r="D3828" t="s">
        <v>5023</v>
      </c>
      <c r="E3828" t="s">
        <v>5032</v>
      </c>
      <c r="F3828" t="s">
        <v>5038</v>
      </c>
      <c r="G3828" s="3">
        <v>4256.5</v>
      </c>
      <c r="H3828" s="3">
        <v>0</v>
      </c>
      <c r="I3828" s="3">
        <f>SUM(Tabla1[[#This Row],[Monto_Base]],H3828)</f>
        <v>4256.5</v>
      </c>
      <c r="J3828" t="s">
        <v>5044</v>
      </c>
      <c r="K3828" t="s">
        <v>5047</v>
      </c>
      <c r="L3828" t="s">
        <v>5050</v>
      </c>
      <c r="M3828" t="s">
        <v>5055</v>
      </c>
    </row>
    <row r="3829" spans="1:13" x14ac:dyDescent="0.3">
      <c r="A3829" s="1">
        <v>45533</v>
      </c>
      <c r="B3829" s="1" t="str">
        <f>TEXT(Tabla1[[#This Row],[Fecha]],"MMMM")</f>
        <v>agosto</v>
      </c>
      <c r="C3829" t="s">
        <v>3839</v>
      </c>
      <c r="D3829" t="s">
        <v>5026</v>
      </c>
      <c r="E3829" t="s">
        <v>5033</v>
      </c>
      <c r="F3829" t="s">
        <v>5034</v>
      </c>
      <c r="G3829" s="3">
        <v>1353.07</v>
      </c>
      <c r="H3829" s="3">
        <v>175.9</v>
      </c>
      <c r="I3829" s="3">
        <f>SUM(Tabla1[[#This Row],[Monto_Base]],H3829)</f>
        <v>1528.97</v>
      </c>
      <c r="J3829" t="s">
        <v>5042</v>
      </c>
      <c r="K3829" t="s">
        <v>5049</v>
      </c>
      <c r="L3829" t="s">
        <v>5053</v>
      </c>
      <c r="M3829" t="s">
        <v>5054</v>
      </c>
    </row>
    <row r="3830" spans="1:13" x14ac:dyDescent="0.3">
      <c r="A3830" s="1">
        <v>45503</v>
      </c>
      <c r="B3830" s="1" t="str">
        <f>TEXT(Tabla1[[#This Row],[Fecha]],"MMMM")</f>
        <v>julio</v>
      </c>
      <c r="C3830" t="s">
        <v>3840</v>
      </c>
      <c r="D3830" t="s">
        <v>5012</v>
      </c>
      <c r="E3830" t="s">
        <v>5033</v>
      </c>
      <c r="F3830" t="s">
        <v>5037</v>
      </c>
      <c r="G3830" s="3">
        <v>7308.57</v>
      </c>
      <c r="H3830" s="3">
        <v>950.11</v>
      </c>
      <c r="I3830" s="3">
        <f>SUM(Tabla1[[#This Row],[Monto_Base]],H3830)</f>
        <v>8258.68</v>
      </c>
      <c r="J3830" t="s">
        <v>5043</v>
      </c>
      <c r="K3830" t="s">
        <v>5048</v>
      </c>
      <c r="L3830" t="s">
        <v>5050</v>
      </c>
      <c r="M3830" t="s">
        <v>5055</v>
      </c>
    </row>
    <row r="3831" spans="1:13" x14ac:dyDescent="0.3">
      <c r="A3831" s="1">
        <v>45474</v>
      </c>
      <c r="B3831" s="1" t="str">
        <f>TEXT(Tabla1[[#This Row],[Fecha]],"MMMM")</f>
        <v>julio</v>
      </c>
      <c r="C3831" t="s">
        <v>3841</v>
      </c>
      <c r="D3831" t="s">
        <v>5027</v>
      </c>
      <c r="E3831" t="s">
        <v>5032</v>
      </c>
      <c r="F3831" t="s">
        <v>5041</v>
      </c>
      <c r="G3831" s="3">
        <v>5693.25</v>
      </c>
      <c r="H3831" s="3">
        <v>0</v>
      </c>
      <c r="I3831" s="3">
        <f>SUM(Tabla1[[#This Row],[Monto_Base]],H3831)</f>
        <v>5693.25</v>
      </c>
      <c r="J3831" t="s">
        <v>5044</v>
      </c>
      <c r="K3831" t="s">
        <v>5048</v>
      </c>
      <c r="L3831" t="s">
        <v>5051</v>
      </c>
      <c r="M3831" t="s">
        <v>5054</v>
      </c>
    </row>
    <row r="3832" spans="1:13" x14ac:dyDescent="0.3">
      <c r="A3832" s="1">
        <v>45648</v>
      </c>
      <c r="B3832" s="1" t="str">
        <f>TEXT(Tabla1[[#This Row],[Fecha]],"MMMM")</f>
        <v>diciembre</v>
      </c>
      <c r="C3832" t="s">
        <v>3842</v>
      </c>
      <c r="D3832" t="s">
        <v>5021</v>
      </c>
      <c r="E3832" t="s">
        <v>5033</v>
      </c>
      <c r="F3832" t="s">
        <v>5040</v>
      </c>
      <c r="G3832" s="3">
        <v>12098.54</v>
      </c>
      <c r="H3832" s="3">
        <v>1572.81</v>
      </c>
      <c r="I3832" s="3">
        <f>SUM(Tabla1[[#This Row],[Monto_Base]],H3832)</f>
        <v>13671.35</v>
      </c>
      <c r="J3832" t="s">
        <v>5044</v>
      </c>
      <c r="K3832" t="s">
        <v>5047</v>
      </c>
      <c r="L3832" t="s">
        <v>5051</v>
      </c>
      <c r="M3832" t="s">
        <v>5054</v>
      </c>
    </row>
    <row r="3833" spans="1:13" x14ac:dyDescent="0.3">
      <c r="A3833" s="1">
        <v>45585</v>
      </c>
      <c r="B3833" s="1" t="str">
        <f>TEXT(Tabla1[[#This Row],[Fecha]],"MMMM")</f>
        <v>octubre</v>
      </c>
      <c r="C3833" t="s">
        <v>3843</v>
      </c>
      <c r="D3833" t="s">
        <v>5012</v>
      </c>
      <c r="E3833" t="s">
        <v>5033</v>
      </c>
      <c r="F3833" t="s">
        <v>5037</v>
      </c>
      <c r="G3833" s="3">
        <v>9382.7199999999993</v>
      </c>
      <c r="H3833" s="3">
        <v>1219.75</v>
      </c>
      <c r="I3833" s="3">
        <f>SUM(Tabla1[[#This Row],[Monto_Base]],H3833)</f>
        <v>10602.47</v>
      </c>
      <c r="J3833" t="s">
        <v>5044</v>
      </c>
      <c r="K3833" t="s">
        <v>5048</v>
      </c>
      <c r="L3833" t="s">
        <v>5052</v>
      </c>
      <c r="M3833" t="s">
        <v>5054</v>
      </c>
    </row>
    <row r="3834" spans="1:13" x14ac:dyDescent="0.3">
      <c r="A3834" s="1">
        <v>45388</v>
      </c>
      <c r="B3834" s="1" t="str">
        <f>TEXT(Tabla1[[#This Row],[Fecha]],"MMMM")</f>
        <v>abril</v>
      </c>
      <c r="C3834" t="s">
        <v>3844</v>
      </c>
      <c r="D3834" t="s">
        <v>5023</v>
      </c>
      <c r="E3834" t="s">
        <v>5033</v>
      </c>
      <c r="F3834" t="s">
        <v>5034</v>
      </c>
      <c r="G3834" s="3">
        <v>10382.65</v>
      </c>
      <c r="H3834" s="3">
        <v>1349.74</v>
      </c>
      <c r="I3834" s="3">
        <f>SUM(Tabla1[[#This Row],[Monto_Base]],H3834)</f>
        <v>11732.39</v>
      </c>
      <c r="J3834" t="s">
        <v>5045</v>
      </c>
      <c r="K3834" t="s">
        <v>5047</v>
      </c>
      <c r="L3834" t="s">
        <v>5051</v>
      </c>
      <c r="M3834" t="s">
        <v>5054</v>
      </c>
    </row>
    <row r="3835" spans="1:13" x14ac:dyDescent="0.3">
      <c r="A3835" s="1">
        <v>45306</v>
      </c>
      <c r="B3835" s="1" t="str">
        <f>TEXT(Tabla1[[#This Row],[Fecha]],"MMMM")</f>
        <v>enero</v>
      </c>
      <c r="C3835" t="s">
        <v>3845</v>
      </c>
      <c r="D3835" t="s">
        <v>5016</v>
      </c>
      <c r="E3835" t="s">
        <v>5032</v>
      </c>
      <c r="F3835" t="s">
        <v>5040</v>
      </c>
      <c r="G3835" s="3">
        <v>11213.34</v>
      </c>
      <c r="H3835" s="3">
        <v>0</v>
      </c>
      <c r="I3835" s="3">
        <f>SUM(Tabla1[[#This Row],[Monto_Base]],H3835)</f>
        <v>11213.34</v>
      </c>
      <c r="J3835" t="s">
        <v>5043</v>
      </c>
      <c r="K3835" t="s">
        <v>5047</v>
      </c>
      <c r="L3835" t="s">
        <v>5052</v>
      </c>
      <c r="M3835" t="s">
        <v>5055</v>
      </c>
    </row>
    <row r="3836" spans="1:13" x14ac:dyDescent="0.3">
      <c r="A3836" s="1">
        <v>45508</v>
      </c>
      <c r="B3836" s="1" t="str">
        <f>TEXT(Tabla1[[#This Row],[Fecha]],"MMMM")</f>
        <v>agosto</v>
      </c>
      <c r="C3836" t="s">
        <v>3846</v>
      </c>
      <c r="D3836" t="s">
        <v>5022</v>
      </c>
      <c r="E3836" t="s">
        <v>5032</v>
      </c>
      <c r="F3836" t="s">
        <v>5039</v>
      </c>
      <c r="G3836" s="3">
        <v>12014.2</v>
      </c>
      <c r="H3836" s="3">
        <v>0</v>
      </c>
      <c r="I3836" s="3">
        <f>SUM(Tabla1[[#This Row],[Monto_Base]],H3836)</f>
        <v>12014.2</v>
      </c>
      <c r="J3836" t="s">
        <v>5045</v>
      </c>
      <c r="K3836" t="s">
        <v>5048</v>
      </c>
      <c r="L3836" t="s">
        <v>5050</v>
      </c>
      <c r="M3836" t="s">
        <v>5055</v>
      </c>
    </row>
    <row r="3837" spans="1:13" x14ac:dyDescent="0.3">
      <c r="A3837" s="1">
        <v>45551</v>
      </c>
      <c r="B3837" s="1" t="str">
        <f>TEXT(Tabla1[[#This Row],[Fecha]],"MMMM")</f>
        <v>septiembre</v>
      </c>
      <c r="C3837" t="s">
        <v>3847</v>
      </c>
      <c r="D3837" t="s">
        <v>5015</v>
      </c>
      <c r="E3837" t="s">
        <v>5033</v>
      </c>
      <c r="F3837" t="s">
        <v>5038</v>
      </c>
      <c r="G3837" s="3">
        <v>4620.3599999999997</v>
      </c>
      <c r="H3837" s="3">
        <v>600.65</v>
      </c>
      <c r="I3837" s="3">
        <f>SUM(Tabla1[[#This Row],[Monto_Base]],H3837)</f>
        <v>5221.0099999999993</v>
      </c>
      <c r="J3837" t="s">
        <v>5043</v>
      </c>
      <c r="K3837" t="s">
        <v>5048</v>
      </c>
      <c r="L3837" t="s">
        <v>5052</v>
      </c>
      <c r="M3837" t="s">
        <v>5054</v>
      </c>
    </row>
    <row r="3838" spans="1:13" x14ac:dyDescent="0.3">
      <c r="A3838" s="1">
        <v>45524</v>
      </c>
      <c r="B3838" s="1" t="str">
        <f>TEXT(Tabla1[[#This Row],[Fecha]],"MMMM")</f>
        <v>agosto</v>
      </c>
      <c r="C3838" t="s">
        <v>3848</v>
      </c>
      <c r="D3838" t="s">
        <v>5029</v>
      </c>
      <c r="E3838" t="s">
        <v>5033</v>
      </c>
      <c r="F3838" t="s">
        <v>5038</v>
      </c>
      <c r="G3838" s="3">
        <v>9930.49</v>
      </c>
      <c r="H3838" s="3">
        <v>1290.96</v>
      </c>
      <c r="I3838" s="3">
        <f>SUM(Tabla1[[#This Row],[Monto_Base]],H3838)</f>
        <v>11221.45</v>
      </c>
      <c r="J3838" t="s">
        <v>5042</v>
      </c>
      <c r="K3838" t="s">
        <v>5048</v>
      </c>
      <c r="L3838" t="s">
        <v>5052</v>
      </c>
      <c r="M3838" t="s">
        <v>5054</v>
      </c>
    </row>
    <row r="3839" spans="1:13" x14ac:dyDescent="0.3">
      <c r="A3839" s="1">
        <v>45459</v>
      </c>
      <c r="B3839" s="1" t="str">
        <f>TEXT(Tabla1[[#This Row],[Fecha]],"MMMM")</f>
        <v>junio</v>
      </c>
      <c r="C3839" t="s">
        <v>3849</v>
      </c>
      <c r="D3839" t="s">
        <v>5031</v>
      </c>
      <c r="E3839" t="s">
        <v>5032</v>
      </c>
      <c r="F3839" t="s">
        <v>5035</v>
      </c>
      <c r="G3839" s="3">
        <v>6579.89</v>
      </c>
      <c r="H3839" s="3">
        <v>0</v>
      </c>
      <c r="I3839" s="3">
        <f>SUM(Tabla1[[#This Row],[Monto_Base]],H3839)</f>
        <v>6579.89</v>
      </c>
      <c r="J3839" t="s">
        <v>5043</v>
      </c>
      <c r="K3839" t="s">
        <v>5047</v>
      </c>
      <c r="L3839" t="s">
        <v>5051</v>
      </c>
      <c r="M3839" t="s">
        <v>5054</v>
      </c>
    </row>
    <row r="3840" spans="1:13" x14ac:dyDescent="0.3">
      <c r="A3840" s="1">
        <v>45397</v>
      </c>
      <c r="B3840" s="1" t="str">
        <f>TEXT(Tabla1[[#This Row],[Fecha]],"MMMM")</f>
        <v>abril</v>
      </c>
      <c r="C3840" t="s">
        <v>3850</v>
      </c>
      <c r="D3840" t="s">
        <v>5026</v>
      </c>
      <c r="E3840" t="s">
        <v>5033</v>
      </c>
      <c r="F3840" t="s">
        <v>5040</v>
      </c>
      <c r="G3840" s="3">
        <v>7633.35</v>
      </c>
      <c r="H3840" s="3">
        <v>992.34</v>
      </c>
      <c r="I3840" s="3">
        <f>SUM(Tabla1[[#This Row],[Monto_Base]],H3840)</f>
        <v>8625.69</v>
      </c>
      <c r="J3840" t="s">
        <v>5043</v>
      </c>
      <c r="K3840" t="s">
        <v>5048</v>
      </c>
      <c r="L3840" t="s">
        <v>5053</v>
      </c>
      <c r="M3840" t="s">
        <v>5054</v>
      </c>
    </row>
    <row r="3841" spans="1:13" x14ac:dyDescent="0.3">
      <c r="A3841" s="1">
        <v>45578</v>
      </c>
      <c r="B3841" s="1" t="str">
        <f>TEXT(Tabla1[[#This Row],[Fecha]],"MMMM")</f>
        <v>octubre</v>
      </c>
      <c r="C3841" t="s">
        <v>3851</v>
      </c>
      <c r="D3841" t="s">
        <v>5016</v>
      </c>
      <c r="E3841" t="s">
        <v>5033</v>
      </c>
      <c r="F3841" t="s">
        <v>5038</v>
      </c>
      <c r="G3841" s="3">
        <v>7984.29</v>
      </c>
      <c r="H3841" s="3">
        <v>1037.96</v>
      </c>
      <c r="I3841" s="3">
        <f>SUM(Tabla1[[#This Row],[Monto_Base]],H3841)</f>
        <v>9022.25</v>
      </c>
      <c r="J3841" t="s">
        <v>5042</v>
      </c>
      <c r="K3841" t="s">
        <v>5047</v>
      </c>
      <c r="L3841" t="s">
        <v>5051</v>
      </c>
      <c r="M3841" t="s">
        <v>5055</v>
      </c>
    </row>
    <row r="3842" spans="1:13" x14ac:dyDescent="0.3">
      <c r="A3842" s="1">
        <v>45650</v>
      </c>
      <c r="B3842" s="1" t="str">
        <f>TEXT(Tabla1[[#This Row],[Fecha]],"MMMM")</f>
        <v>diciembre</v>
      </c>
      <c r="C3842" t="s">
        <v>3852</v>
      </c>
      <c r="D3842" t="s">
        <v>5027</v>
      </c>
      <c r="E3842" t="s">
        <v>5032</v>
      </c>
      <c r="F3842" t="s">
        <v>5036</v>
      </c>
      <c r="G3842" s="3">
        <v>11249.64</v>
      </c>
      <c r="H3842" s="3">
        <v>0</v>
      </c>
      <c r="I3842" s="3">
        <f>SUM(Tabla1[[#This Row],[Monto_Base]],H3842)</f>
        <v>11249.64</v>
      </c>
      <c r="J3842" t="s">
        <v>5042</v>
      </c>
      <c r="K3842" t="s">
        <v>5048</v>
      </c>
      <c r="L3842" t="s">
        <v>5051</v>
      </c>
      <c r="M3842" t="s">
        <v>5055</v>
      </c>
    </row>
    <row r="3843" spans="1:13" x14ac:dyDescent="0.3">
      <c r="A3843" s="1">
        <v>45365</v>
      </c>
      <c r="B3843" s="1" t="str">
        <f>TEXT(Tabla1[[#This Row],[Fecha]],"MMMM")</f>
        <v>marzo</v>
      </c>
      <c r="C3843" t="s">
        <v>3853</v>
      </c>
      <c r="D3843" t="s">
        <v>5029</v>
      </c>
      <c r="E3843" t="s">
        <v>5032</v>
      </c>
      <c r="F3843" t="s">
        <v>5038</v>
      </c>
      <c r="G3843" s="3">
        <v>11523.46</v>
      </c>
      <c r="H3843" s="3">
        <v>0</v>
      </c>
      <c r="I3843" s="3">
        <f>SUM(Tabla1[[#This Row],[Monto_Base]],H3843)</f>
        <v>11523.46</v>
      </c>
      <c r="J3843" t="s">
        <v>5046</v>
      </c>
      <c r="K3843" t="s">
        <v>5049</v>
      </c>
      <c r="L3843" t="s">
        <v>5053</v>
      </c>
      <c r="M3843" t="s">
        <v>5054</v>
      </c>
    </row>
    <row r="3844" spans="1:13" x14ac:dyDescent="0.3">
      <c r="A3844" s="1">
        <v>45371</v>
      </c>
      <c r="B3844" s="1" t="str">
        <f>TEXT(Tabla1[[#This Row],[Fecha]],"MMMM")</f>
        <v>marzo</v>
      </c>
      <c r="C3844" t="s">
        <v>3854</v>
      </c>
      <c r="D3844" t="s">
        <v>5030</v>
      </c>
      <c r="E3844" t="s">
        <v>5032</v>
      </c>
      <c r="F3844" t="s">
        <v>5039</v>
      </c>
      <c r="G3844" s="3">
        <v>4582.2299999999996</v>
      </c>
      <c r="H3844" s="3">
        <v>0</v>
      </c>
      <c r="I3844" s="3">
        <f>SUM(Tabla1[[#This Row],[Monto_Base]],H3844)</f>
        <v>4582.2299999999996</v>
      </c>
      <c r="J3844" t="s">
        <v>5042</v>
      </c>
      <c r="K3844" t="s">
        <v>5048</v>
      </c>
      <c r="L3844" t="s">
        <v>5050</v>
      </c>
      <c r="M3844" t="s">
        <v>5055</v>
      </c>
    </row>
    <row r="3845" spans="1:13" x14ac:dyDescent="0.3">
      <c r="A3845" s="1">
        <v>45549</v>
      </c>
      <c r="B3845" s="1" t="str">
        <f>TEXT(Tabla1[[#This Row],[Fecha]],"MMMM")</f>
        <v>septiembre</v>
      </c>
      <c r="C3845" t="s">
        <v>3855</v>
      </c>
      <c r="D3845" t="s">
        <v>5029</v>
      </c>
      <c r="E3845" t="s">
        <v>5032</v>
      </c>
      <c r="F3845" t="s">
        <v>5035</v>
      </c>
      <c r="G3845" s="3">
        <v>11822.57</v>
      </c>
      <c r="H3845" s="3">
        <v>0</v>
      </c>
      <c r="I3845" s="3">
        <f>SUM(Tabla1[[#This Row],[Monto_Base]],H3845)</f>
        <v>11822.57</v>
      </c>
      <c r="J3845" t="s">
        <v>5042</v>
      </c>
      <c r="K3845" t="s">
        <v>5048</v>
      </c>
      <c r="L3845" t="s">
        <v>5050</v>
      </c>
      <c r="M3845" t="s">
        <v>5055</v>
      </c>
    </row>
    <row r="3846" spans="1:13" x14ac:dyDescent="0.3">
      <c r="A3846" s="1">
        <v>45314</v>
      </c>
      <c r="B3846" s="1" t="str">
        <f>TEXT(Tabla1[[#This Row],[Fecha]],"MMMM")</f>
        <v>enero</v>
      </c>
      <c r="C3846" t="s">
        <v>3856</v>
      </c>
      <c r="D3846" t="s">
        <v>5013</v>
      </c>
      <c r="E3846" t="s">
        <v>5032</v>
      </c>
      <c r="F3846" t="s">
        <v>5037</v>
      </c>
      <c r="G3846" s="3">
        <v>6798.83</v>
      </c>
      <c r="H3846" s="3">
        <v>0</v>
      </c>
      <c r="I3846" s="3">
        <f>SUM(Tabla1[[#This Row],[Monto_Base]],H3846)</f>
        <v>6798.83</v>
      </c>
      <c r="J3846" t="s">
        <v>5042</v>
      </c>
      <c r="K3846" t="s">
        <v>5049</v>
      </c>
      <c r="L3846" t="s">
        <v>5052</v>
      </c>
      <c r="M3846" t="s">
        <v>5055</v>
      </c>
    </row>
    <row r="3847" spans="1:13" x14ac:dyDescent="0.3">
      <c r="A3847" s="1">
        <v>45549</v>
      </c>
      <c r="B3847" s="1" t="str">
        <f>TEXT(Tabla1[[#This Row],[Fecha]],"MMMM")</f>
        <v>septiembre</v>
      </c>
      <c r="C3847" t="s">
        <v>3857</v>
      </c>
      <c r="D3847" t="s">
        <v>5028</v>
      </c>
      <c r="E3847" t="s">
        <v>5032</v>
      </c>
      <c r="F3847" t="s">
        <v>5035</v>
      </c>
      <c r="G3847" s="3">
        <v>11156.41</v>
      </c>
      <c r="H3847" s="3">
        <v>0</v>
      </c>
      <c r="I3847" s="3">
        <f>SUM(Tabla1[[#This Row],[Monto_Base]],H3847)</f>
        <v>11156.41</v>
      </c>
      <c r="J3847" t="s">
        <v>5045</v>
      </c>
      <c r="K3847" t="s">
        <v>5047</v>
      </c>
      <c r="L3847" t="s">
        <v>5051</v>
      </c>
      <c r="M3847" t="s">
        <v>5054</v>
      </c>
    </row>
    <row r="3848" spans="1:13" x14ac:dyDescent="0.3">
      <c r="A3848" s="1">
        <v>45650</v>
      </c>
      <c r="B3848" s="1" t="str">
        <f>TEXT(Tabla1[[#This Row],[Fecha]],"MMMM")</f>
        <v>diciembre</v>
      </c>
      <c r="C3848" t="s">
        <v>3858</v>
      </c>
      <c r="D3848" t="s">
        <v>5025</v>
      </c>
      <c r="E3848" t="s">
        <v>5033</v>
      </c>
      <c r="F3848" t="s">
        <v>5041</v>
      </c>
      <c r="G3848" s="3">
        <v>3657.64</v>
      </c>
      <c r="H3848" s="3">
        <v>475.49</v>
      </c>
      <c r="I3848" s="3">
        <f>SUM(Tabla1[[#This Row],[Monto_Base]],H3848)</f>
        <v>4133.13</v>
      </c>
      <c r="J3848" t="s">
        <v>5043</v>
      </c>
      <c r="K3848" t="s">
        <v>5047</v>
      </c>
      <c r="L3848" t="s">
        <v>5052</v>
      </c>
      <c r="M3848" t="s">
        <v>5054</v>
      </c>
    </row>
    <row r="3849" spans="1:13" x14ac:dyDescent="0.3">
      <c r="A3849" s="1">
        <v>45541</v>
      </c>
      <c r="B3849" s="1" t="str">
        <f>TEXT(Tabla1[[#This Row],[Fecha]],"MMMM")</f>
        <v>septiembre</v>
      </c>
      <c r="C3849" t="s">
        <v>3859</v>
      </c>
      <c r="D3849" t="s">
        <v>5030</v>
      </c>
      <c r="E3849" t="s">
        <v>5033</v>
      </c>
      <c r="F3849" t="s">
        <v>5038</v>
      </c>
      <c r="G3849" s="3">
        <v>238.02</v>
      </c>
      <c r="H3849" s="3">
        <v>30.94</v>
      </c>
      <c r="I3849" s="3">
        <f>SUM(Tabla1[[#This Row],[Monto_Base]],H3849)</f>
        <v>268.96000000000004</v>
      </c>
      <c r="J3849" t="s">
        <v>5042</v>
      </c>
      <c r="K3849" t="s">
        <v>5049</v>
      </c>
      <c r="L3849" t="s">
        <v>5052</v>
      </c>
      <c r="M3849" t="s">
        <v>5054</v>
      </c>
    </row>
    <row r="3850" spans="1:13" x14ac:dyDescent="0.3">
      <c r="A3850" s="1">
        <v>45382</v>
      </c>
      <c r="B3850" s="1" t="str">
        <f>TEXT(Tabla1[[#This Row],[Fecha]],"MMMM")</f>
        <v>marzo</v>
      </c>
      <c r="C3850" t="s">
        <v>3860</v>
      </c>
      <c r="D3850" t="s">
        <v>5029</v>
      </c>
      <c r="E3850" t="s">
        <v>5032</v>
      </c>
      <c r="F3850" t="s">
        <v>5041</v>
      </c>
      <c r="G3850" s="3">
        <v>4888.0200000000004</v>
      </c>
      <c r="H3850" s="3">
        <v>0</v>
      </c>
      <c r="I3850" s="3">
        <f>SUM(Tabla1[[#This Row],[Monto_Base]],H3850)</f>
        <v>4888.0200000000004</v>
      </c>
      <c r="J3850" t="s">
        <v>5043</v>
      </c>
      <c r="K3850" t="s">
        <v>5048</v>
      </c>
      <c r="L3850" t="s">
        <v>5051</v>
      </c>
      <c r="M3850" t="s">
        <v>5054</v>
      </c>
    </row>
    <row r="3851" spans="1:13" x14ac:dyDescent="0.3">
      <c r="A3851" s="1">
        <v>45549</v>
      </c>
      <c r="B3851" s="1" t="str">
        <f>TEXT(Tabla1[[#This Row],[Fecha]],"MMMM")</f>
        <v>septiembre</v>
      </c>
      <c r="C3851" t="s">
        <v>3861</v>
      </c>
      <c r="D3851" t="s">
        <v>5026</v>
      </c>
      <c r="E3851" t="s">
        <v>5032</v>
      </c>
      <c r="F3851" t="s">
        <v>5041</v>
      </c>
      <c r="G3851" s="3">
        <v>10324.629999999999</v>
      </c>
      <c r="H3851" s="3">
        <v>0</v>
      </c>
      <c r="I3851" s="3">
        <f>SUM(Tabla1[[#This Row],[Monto_Base]],H3851)</f>
        <v>10324.629999999999</v>
      </c>
      <c r="J3851" t="s">
        <v>5044</v>
      </c>
      <c r="K3851" t="s">
        <v>5047</v>
      </c>
      <c r="L3851" t="s">
        <v>5051</v>
      </c>
      <c r="M3851" t="s">
        <v>5054</v>
      </c>
    </row>
    <row r="3852" spans="1:13" x14ac:dyDescent="0.3">
      <c r="A3852" s="1">
        <v>45531</v>
      </c>
      <c r="B3852" s="1" t="str">
        <f>TEXT(Tabla1[[#This Row],[Fecha]],"MMMM")</f>
        <v>agosto</v>
      </c>
      <c r="C3852" t="s">
        <v>3862</v>
      </c>
      <c r="D3852" t="s">
        <v>5019</v>
      </c>
      <c r="E3852" t="s">
        <v>5033</v>
      </c>
      <c r="F3852" t="s">
        <v>5040</v>
      </c>
      <c r="G3852" s="3">
        <v>5410.68</v>
      </c>
      <c r="H3852" s="3">
        <v>703.39</v>
      </c>
      <c r="I3852" s="3">
        <f>SUM(Tabla1[[#This Row],[Monto_Base]],H3852)</f>
        <v>6114.0700000000006</v>
      </c>
      <c r="J3852" t="s">
        <v>5045</v>
      </c>
      <c r="K3852" t="s">
        <v>5049</v>
      </c>
      <c r="L3852" t="s">
        <v>5051</v>
      </c>
      <c r="M3852" t="s">
        <v>5055</v>
      </c>
    </row>
    <row r="3853" spans="1:13" x14ac:dyDescent="0.3">
      <c r="A3853" s="1">
        <v>45590</v>
      </c>
      <c r="B3853" s="1" t="str">
        <f>TEXT(Tabla1[[#This Row],[Fecha]],"MMMM")</f>
        <v>octubre</v>
      </c>
      <c r="C3853" t="s">
        <v>3863</v>
      </c>
      <c r="D3853" t="s">
        <v>5019</v>
      </c>
      <c r="E3853" t="s">
        <v>5033</v>
      </c>
      <c r="F3853" t="s">
        <v>5037</v>
      </c>
      <c r="G3853" s="3">
        <v>6248.02</v>
      </c>
      <c r="H3853" s="3">
        <v>812.24</v>
      </c>
      <c r="I3853" s="3">
        <f>SUM(Tabla1[[#This Row],[Monto_Base]],H3853)</f>
        <v>7060.26</v>
      </c>
      <c r="J3853" t="s">
        <v>5044</v>
      </c>
      <c r="K3853" t="s">
        <v>5047</v>
      </c>
      <c r="L3853" t="s">
        <v>5052</v>
      </c>
      <c r="M3853" t="s">
        <v>5055</v>
      </c>
    </row>
    <row r="3854" spans="1:13" x14ac:dyDescent="0.3">
      <c r="A3854" s="1">
        <v>45466</v>
      </c>
      <c r="B3854" s="1" t="str">
        <f>TEXT(Tabla1[[#This Row],[Fecha]],"MMMM")</f>
        <v>junio</v>
      </c>
      <c r="C3854" t="s">
        <v>3864</v>
      </c>
      <c r="D3854" t="s">
        <v>5027</v>
      </c>
      <c r="E3854" t="s">
        <v>5032</v>
      </c>
      <c r="F3854" t="s">
        <v>5037</v>
      </c>
      <c r="G3854" s="3">
        <v>9606.44</v>
      </c>
      <c r="H3854" s="3">
        <v>0</v>
      </c>
      <c r="I3854" s="3">
        <f>SUM(Tabla1[[#This Row],[Monto_Base]],H3854)</f>
        <v>9606.44</v>
      </c>
      <c r="J3854" t="s">
        <v>5042</v>
      </c>
      <c r="K3854" t="s">
        <v>5048</v>
      </c>
      <c r="L3854" t="s">
        <v>5051</v>
      </c>
      <c r="M3854" t="s">
        <v>5054</v>
      </c>
    </row>
    <row r="3855" spans="1:13" x14ac:dyDescent="0.3">
      <c r="A3855" s="1">
        <v>45463</v>
      </c>
      <c r="B3855" s="1" t="str">
        <f>TEXT(Tabla1[[#This Row],[Fecha]],"MMMM")</f>
        <v>junio</v>
      </c>
      <c r="C3855" t="s">
        <v>3865</v>
      </c>
      <c r="D3855" t="s">
        <v>5030</v>
      </c>
      <c r="E3855" t="s">
        <v>5033</v>
      </c>
      <c r="F3855" t="s">
        <v>5034</v>
      </c>
      <c r="G3855" s="3">
        <v>3145.4</v>
      </c>
      <c r="H3855" s="3">
        <v>408.9</v>
      </c>
      <c r="I3855" s="3">
        <f>SUM(Tabla1[[#This Row],[Monto_Base]],H3855)</f>
        <v>3554.3</v>
      </c>
      <c r="J3855" t="s">
        <v>5043</v>
      </c>
      <c r="K3855" t="s">
        <v>5047</v>
      </c>
      <c r="L3855" t="s">
        <v>5052</v>
      </c>
      <c r="M3855" t="s">
        <v>5054</v>
      </c>
    </row>
    <row r="3856" spans="1:13" x14ac:dyDescent="0.3">
      <c r="A3856" s="1">
        <v>45602</v>
      </c>
      <c r="B3856" s="1" t="str">
        <f>TEXT(Tabla1[[#This Row],[Fecha]],"MMMM")</f>
        <v>noviembre</v>
      </c>
      <c r="C3856" t="s">
        <v>3866</v>
      </c>
      <c r="D3856" t="s">
        <v>5020</v>
      </c>
      <c r="E3856" t="s">
        <v>5033</v>
      </c>
      <c r="F3856" t="s">
        <v>5039</v>
      </c>
      <c r="G3856" s="3">
        <v>5629.23</v>
      </c>
      <c r="H3856" s="3">
        <v>731.8</v>
      </c>
      <c r="I3856" s="3">
        <f>SUM(Tabla1[[#This Row],[Monto_Base]],H3856)</f>
        <v>6361.03</v>
      </c>
      <c r="J3856" t="s">
        <v>5043</v>
      </c>
      <c r="K3856" t="s">
        <v>5047</v>
      </c>
      <c r="L3856" t="s">
        <v>5052</v>
      </c>
      <c r="M3856" t="s">
        <v>5054</v>
      </c>
    </row>
    <row r="3857" spans="1:13" x14ac:dyDescent="0.3">
      <c r="A3857" s="1">
        <v>45650</v>
      </c>
      <c r="B3857" s="1" t="str">
        <f>TEXT(Tabla1[[#This Row],[Fecha]],"MMMM")</f>
        <v>diciembre</v>
      </c>
      <c r="C3857" t="s">
        <v>3867</v>
      </c>
      <c r="D3857" t="s">
        <v>5027</v>
      </c>
      <c r="E3857" t="s">
        <v>5032</v>
      </c>
      <c r="F3857" t="s">
        <v>5038</v>
      </c>
      <c r="G3857" s="3">
        <v>8392.74</v>
      </c>
      <c r="H3857" s="3">
        <v>0</v>
      </c>
      <c r="I3857" s="3">
        <f>SUM(Tabla1[[#This Row],[Monto_Base]],H3857)</f>
        <v>8392.74</v>
      </c>
      <c r="J3857" t="s">
        <v>5043</v>
      </c>
      <c r="K3857" t="s">
        <v>5049</v>
      </c>
      <c r="L3857" t="s">
        <v>5050</v>
      </c>
      <c r="M3857" t="s">
        <v>5055</v>
      </c>
    </row>
    <row r="3858" spans="1:13" x14ac:dyDescent="0.3">
      <c r="A3858" s="1">
        <v>45509</v>
      </c>
      <c r="B3858" s="1" t="str">
        <f>TEXT(Tabla1[[#This Row],[Fecha]],"MMMM")</f>
        <v>agosto</v>
      </c>
      <c r="C3858" t="s">
        <v>3868</v>
      </c>
      <c r="D3858" t="s">
        <v>5014</v>
      </c>
      <c r="E3858" t="s">
        <v>5032</v>
      </c>
      <c r="F3858" t="s">
        <v>5034</v>
      </c>
      <c r="G3858" s="3">
        <v>1324.86</v>
      </c>
      <c r="H3858" s="3">
        <v>0</v>
      </c>
      <c r="I3858" s="3">
        <f>SUM(Tabla1[[#This Row],[Monto_Base]],H3858)</f>
        <v>1324.86</v>
      </c>
      <c r="J3858" t="s">
        <v>5046</v>
      </c>
      <c r="K3858" t="s">
        <v>5047</v>
      </c>
      <c r="L3858" t="s">
        <v>5051</v>
      </c>
      <c r="M3858" t="s">
        <v>5054</v>
      </c>
    </row>
    <row r="3859" spans="1:13" x14ac:dyDescent="0.3">
      <c r="A3859" s="1">
        <v>45385</v>
      </c>
      <c r="B3859" s="1" t="str">
        <f>TEXT(Tabla1[[#This Row],[Fecha]],"MMMM")</f>
        <v>abril</v>
      </c>
      <c r="C3859" t="s">
        <v>3869</v>
      </c>
      <c r="D3859" t="s">
        <v>5022</v>
      </c>
      <c r="E3859" t="s">
        <v>5032</v>
      </c>
      <c r="F3859" t="s">
        <v>5034</v>
      </c>
      <c r="G3859" s="3">
        <v>5860.78</v>
      </c>
      <c r="H3859" s="3">
        <v>0</v>
      </c>
      <c r="I3859" s="3">
        <f>SUM(Tabla1[[#This Row],[Monto_Base]],H3859)</f>
        <v>5860.78</v>
      </c>
      <c r="J3859" t="s">
        <v>5046</v>
      </c>
      <c r="K3859" t="s">
        <v>5048</v>
      </c>
      <c r="L3859" t="s">
        <v>5053</v>
      </c>
      <c r="M3859" t="s">
        <v>5055</v>
      </c>
    </row>
    <row r="3860" spans="1:13" x14ac:dyDescent="0.3">
      <c r="A3860" s="1">
        <v>45360</v>
      </c>
      <c r="B3860" s="1" t="str">
        <f>TEXT(Tabla1[[#This Row],[Fecha]],"MMMM")</f>
        <v>marzo</v>
      </c>
      <c r="C3860" t="s">
        <v>3870</v>
      </c>
      <c r="D3860" t="s">
        <v>5028</v>
      </c>
      <c r="E3860" t="s">
        <v>5033</v>
      </c>
      <c r="F3860" t="s">
        <v>5035</v>
      </c>
      <c r="G3860" s="3">
        <v>14122.31</v>
      </c>
      <c r="H3860" s="3">
        <v>1835.9</v>
      </c>
      <c r="I3860" s="3">
        <f>SUM(Tabla1[[#This Row],[Monto_Base]],H3860)</f>
        <v>15958.21</v>
      </c>
      <c r="J3860" t="s">
        <v>5043</v>
      </c>
      <c r="K3860" t="s">
        <v>5048</v>
      </c>
      <c r="L3860" t="s">
        <v>5050</v>
      </c>
      <c r="M3860" t="s">
        <v>5054</v>
      </c>
    </row>
    <row r="3861" spans="1:13" x14ac:dyDescent="0.3">
      <c r="A3861" s="1">
        <v>45602</v>
      </c>
      <c r="B3861" s="1" t="str">
        <f>TEXT(Tabla1[[#This Row],[Fecha]],"MMMM")</f>
        <v>noviembre</v>
      </c>
      <c r="C3861" t="s">
        <v>3871</v>
      </c>
      <c r="D3861" t="s">
        <v>5018</v>
      </c>
      <c r="E3861" t="s">
        <v>5032</v>
      </c>
      <c r="F3861" t="s">
        <v>5034</v>
      </c>
      <c r="G3861" s="3">
        <v>14596.75</v>
      </c>
      <c r="H3861" s="3">
        <v>0</v>
      </c>
      <c r="I3861" s="3">
        <f>SUM(Tabla1[[#This Row],[Monto_Base]],H3861)</f>
        <v>14596.75</v>
      </c>
      <c r="J3861" t="s">
        <v>5045</v>
      </c>
      <c r="K3861" t="s">
        <v>5049</v>
      </c>
      <c r="L3861" t="s">
        <v>5050</v>
      </c>
      <c r="M3861" t="s">
        <v>5054</v>
      </c>
    </row>
    <row r="3862" spans="1:13" x14ac:dyDescent="0.3">
      <c r="A3862" s="1">
        <v>45490</v>
      </c>
      <c r="B3862" s="1" t="str">
        <f>TEXT(Tabla1[[#This Row],[Fecha]],"MMMM")</f>
        <v>julio</v>
      </c>
      <c r="C3862" t="s">
        <v>3872</v>
      </c>
      <c r="D3862" t="s">
        <v>5022</v>
      </c>
      <c r="E3862" t="s">
        <v>5032</v>
      </c>
      <c r="F3862" t="s">
        <v>5040</v>
      </c>
      <c r="G3862" s="3">
        <v>3432.02</v>
      </c>
      <c r="H3862" s="3">
        <v>0</v>
      </c>
      <c r="I3862" s="3">
        <f>SUM(Tabla1[[#This Row],[Monto_Base]],H3862)</f>
        <v>3432.02</v>
      </c>
      <c r="J3862" t="s">
        <v>5045</v>
      </c>
      <c r="K3862" t="s">
        <v>5048</v>
      </c>
      <c r="L3862" t="s">
        <v>5052</v>
      </c>
      <c r="M3862" t="s">
        <v>5054</v>
      </c>
    </row>
    <row r="3863" spans="1:13" x14ac:dyDescent="0.3">
      <c r="A3863" s="1">
        <v>45532</v>
      </c>
      <c r="B3863" s="1" t="str">
        <f>TEXT(Tabla1[[#This Row],[Fecha]],"MMMM")</f>
        <v>agosto</v>
      </c>
      <c r="C3863" t="s">
        <v>3873</v>
      </c>
      <c r="D3863" t="s">
        <v>5012</v>
      </c>
      <c r="E3863" t="s">
        <v>5032</v>
      </c>
      <c r="F3863" t="s">
        <v>5034</v>
      </c>
      <c r="G3863" s="3">
        <v>5257.06</v>
      </c>
      <c r="H3863" s="3">
        <v>0</v>
      </c>
      <c r="I3863" s="3">
        <f>SUM(Tabla1[[#This Row],[Monto_Base]],H3863)</f>
        <v>5257.06</v>
      </c>
      <c r="J3863" t="s">
        <v>5046</v>
      </c>
      <c r="K3863" t="s">
        <v>5049</v>
      </c>
      <c r="L3863" t="s">
        <v>5051</v>
      </c>
      <c r="M3863" t="s">
        <v>5055</v>
      </c>
    </row>
    <row r="3864" spans="1:13" x14ac:dyDescent="0.3">
      <c r="A3864" s="1">
        <v>45603</v>
      </c>
      <c r="B3864" s="1" t="str">
        <f>TEXT(Tabla1[[#This Row],[Fecha]],"MMMM")</f>
        <v>noviembre</v>
      </c>
      <c r="C3864" t="s">
        <v>3874</v>
      </c>
      <c r="D3864" t="s">
        <v>5020</v>
      </c>
      <c r="E3864" t="s">
        <v>5032</v>
      </c>
      <c r="F3864" t="s">
        <v>5038</v>
      </c>
      <c r="G3864" s="3">
        <v>2534.71</v>
      </c>
      <c r="H3864" s="3">
        <v>0</v>
      </c>
      <c r="I3864" s="3">
        <f>SUM(Tabla1[[#This Row],[Monto_Base]],H3864)</f>
        <v>2534.71</v>
      </c>
      <c r="J3864" t="s">
        <v>5042</v>
      </c>
      <c r="K3864" t="s">
        <v>5048</v>
      </c>
      <c r="L3864" t="s">
        <v>5053</v>
      </c>
      <c r="M3864" t="s">
        <v>5054</v>
      </c>
    </row>
    <row r="3865" spans="1:13" x14ac:dyDescent="0.3">
      <c r="A3865" s="1">
        <v>45373</v>
      </c>
      <c r="B3865" s="1" t="str">
        <f>TEXT(Tabla1[[#This Row],[Fecha]],"MMMM")</f>
        <v>marzo</v>
      </c>
      <c r="C3865" t="s">
        <v>3875</v>
      </c>
      <c r="D3865" t="s">
        <v>5022</v>
      </c>
      <c r="E3865" t="s">
        <v>5033</v>
      </c>
      <c r="F3865" t="s">
        <v>5034</v>
      </c>
      <c r="G3865" s="3">
        <v>12834.42</v>
      </c>
      <c r="H3865" s="3">
        <v>1668.47</v>
      </c>
      <c r="I3865" s="3">
        <f>SUM(Tabla1[[#This Row],[Monto_Base]],H3865)</f>
        <v>14502.89</v>
      </c>
      <c r="J3865" t="s">
        <v>5043</v>
      </c>
      <c r="K3865" t="s">
        <v>5047</v>
      </c>
      <c r="L3865" t="s">
        <v>5053</v>
      </c>
      <c r="M3865" t="s">
        <v>5054</v>
      </c>
    </row>
    <row r="3866" spans="1:13" x14ac:dyDescent="0.3">
      <c r="A3866" s="1">
        <v>45647</v>
      </c>
      <c r="B3866" s="1" t="str">
        <f>TEXT(Tabla1[[#This Row],[Fecha]],"MMMM")</f>
        <v>diciembre</v>
      </c>
      <c r="C3866" t="s">
        <v>3876</v>
      </c>
      <c r="D3866" t="s">
        <v>5021</v>
      </c>
      <c r="E3866" t="s">
        <v>5033</v>
      </c>
      <c r="F3866" t="s">
        <v>5041</v>
      </c>
      <c r="G3866" s="3">
        <v>4603.8599999999997</v>
      </c>
      <c r="H3866" s="3">
        <v>598.5</v>
      </c>
      <c r="I3866" s="3">
        <f>SUM(Tabla1[[#This Row],[Monto_Base]],H3866)</f>
        <v>5202.3599999999997</v>
      </c>
      <c r="J3866" t="s">
        <v>5043</v>
      </c>
      <c r="K3866" t="s">
        <v>5047</v>
      </c>
      <c r="L3866" t="s">
        <v>5051</v>
      </c>
      <c r="M3866" t="s">
        <v>5054</v>
      </c>
    </row>
    <row r="3867" spans="1:13" x14ac:dyDescent="0.3">
      <c r="A3867" s="1">
        <v>45555</v>
      </c>
      <c r="B3867" s="1" t="str">
        <f>TEXT(Tabla1[[#This Row],[Fecha]],"MMMM")</f>
        <v>septiembre</v>
      </c>
      <c r="C3867" t="s">
        <v>3877</v>
      </c>
      <c r="D3867" t="s">
        <v>5015</v>
      </c>
      <c r="E3867" t="s">
        <v>5032</v>
      </c>
      <c r="F3867" t="s">
        <v>5036</v>
      </c>
      <c r="G3867" s="3">
        <v>1783.24</v>
      </c>
      <c r="H3867" s="3">
        <v>0</v>
      </c>
      <c r="I3867" s="3">
        <f>SUM(Tabla1[[#This Row],[Monto_Base]],H3867)</f>
        <v>1783.24</v>
      </c>
      <c r="J3867" t="s">
        <v>5046</v>
      </c>
      <c r="K3867" t="s">
        <v>5047</v>
      </c>
      <c r="L3867" t="s">
        <v>5052</v>
      </c>
      <c r="M3867" t="s">
        <v>5054</v>
      </c>
    </row>
    <row r="3868" spans="1:13" x14ac:dyDescent="0.3">
      <c r="A3868" s="1">
        <v>45630</v>
      </c>
      <c r="B3868" s="1" t="str">
        <f>TEXT(Tabla1[[#This Row],[Fecha]],"MMMM")</f>
        <v>diciembre</v>
      </c>
      <c r="C3868" t="s">
        <v>3878</v>
      </c>
      <c r="D3868" t="s">
        <v>5014</v>
      </c>
      <c r="E3868" t="s">
        <v>5032</v>
      </c>
      <c r="F3868" t="s">
        <v>5037</v>
      </c>
      <c r="G3868" s="3">
        <v>14500.42</v>
      </c>
      <c r="H3868" s="3">
        <v>0</v>
      </c>
      <c r="I3868" s="3">
        <f>SUM(Tabla1[[#This Row],[Monto_Base]],H3868)</f>
        <v>14500.42</v>
      </c>
      <c r="J3868" t="s">
        <v>5045</v>
      </c>
      <c r="K3868" t="s">
        <v>5049</v>
      </c>
      <c r="L3868" t="s">
        <v>5051</v>
      </c>
      <c r="M3868" t="s">
        <v>5054</v>
      </c>
    </row>
    <row r="3869" spans="1:13" x14ac:dyDescent="0.3">
      <c r="A3869" s="1">
        <v>45332</v>
      </c>
      <c r="B3869" s="1" t="str">
        <f>TEXT(Tabla1[[#This Row],[Fecha]],"MMMM")</f>
        <v>febrero</v>
      </c>
      <c r="C3869" t="s">
        <v>3879</v>
      </c>
      <c r="D3869" t="s">
        <v>5013</v>
      </c>
      <c r="E3869" t="s">
        <v>5033</v>
      </c>
      <c r="F3869" t="s">
        <v>5039</v>
      </c>
      <c r="G3869" s="3">
        <v>7562.62</v>
      </c>
      <c r="H3869" s="3">
        <v>983.14</v>
      </c>
      <c r="I3869" s="3">
        <f>SUM(Tabla1[[#This Row],[Monto_Base]],H3869)</f>
        <v>8545.76</v>
      </c>
      <c r="J3869" t="s">
        <v>5043</v>
      </c>
      <c r="K3869" t="s">
        <v>5048</v>
      </c>
      <c r="L3869" t="s">
        <v>5053</v>
      </c>
      <c r="M3869" t="s">
        <v>5054</v>
      </c>
    </row>
    <row r="3870" spans="1:13" x14ac:dyDescent="0.3">
      <c r="A3870" s="1">
        <v>45625</v>
      </c>
      <c r="B3870" s="1" t="str">
        <f>TEXT(Tabla1[[#This Row],[Fecha]],"MMMM")</f>
        <v>noviembre</v>
      </c>
      <c r="C3870" t="s">
        <v>3880</v>
      </c>
      <c r="D3870" t="s">
        <v>5019</v>
      </c>
      <c r="E3870" t="s">
        <v>5032</v>
      </c>
      <c r="F3870" t="s">
        <v>5037</v>
      </c>
      <c r="G3870" s="3">
        <v>3466.6</v>
      </c>
      <c r="H3870" s="3">
        <v>0</v>
      </c>
      <c r="I3870" s="3">
        <f>SUM(Tabla1[[#This Row],[Monto_Base]],H3870)</f>
        <v>3466.6</v>
      </c>
      <c r="J3870" t="s">
        <v>5042</v>
      </c>
      <c r="K3870" t="s">
        <v>5048</v>
      </c>
      <c r="L3870" t="s">
        <v>5050</v>
      </c>
      <c r="M3870" t="s">
        <v>5054</v>
      </c>
    </row>
    <row r="3871" spans="1:13" x14ac:dyDescent="0.3">
      <c r="A3871" s="1">
        <v>45459</v>
      </c>
      <c r="B3871" s="1" t="str">
        <f>TEXT(Tabla1[[#This Row],[Fecha]],"MMMM")</f>
        <v>junio</v>
      </c>
      <c r="C3871" t="s">
        <v>3881</v>
      </c>
      <c r="D3871" t="s">
        <v>5017</v>
      </c>
      <c r="E3871" t="s">
        <v>5033</v>
      </c>
      <c r="F3871" t="s">
        <v>5037</v>
      </c>
      <c r="G3871" s="3">
        <v>14277.27</v>
      </c>
      <c r="H3871" s="3">
        <v>1856.05</v>
      </c>
      <c r="I3871" s="3">
        <f>SUM(Tabla1[[#This Row],[Monto_Base]],H3871)</f>
        <v>16133.32</v>
      </c>
      <c r="J3871" t="s">
        <v>5042</v>
      </c>
      <c r="K3871" t="s">
        <v>5049</v>
      </c>
      <c r="L3871" t="s">
        <v>5051</v>
      </c>
      <c r="M3871" t="s">
        <v>5055</v>
      </c>
    </row>
    <row r="3872" spans="1:13" x14ac:dyDescent="0.3">
      <c r="A3872" s="1">
        <v>45380</v>
      </c>
      <c r="B3872" s="1" t="str">
        <f>TEXT(Tabla1[[#This Row],[Fecha]],"MMMM")</f>
        <v>marzo</v>
      </c>
      <c r="C3872" t="s">
        <v>3882</v>
      </c>
      <c r="D3872" t="s">
        <v>5017</v>
      </c>
      <c r="E3872" t="s">
        <v>5033</v>
      </c>
      <c r="F3872" t="s">
        <v>5041</v>
      </c>
      <c r="G3872" s="3">
        <v>9186.1</v>
      </c>
      <c r="H3872" s="3">
        <v>1194.19</v>
      </c>
      <c r="I3872" s="3">
        <f>SUM(Tabla1[[#This Row],[Monto_Base]],H3872)</f>
        <v>10380.290000000001</v>
      </c>
      <c r="J3872" t="s">
        <v>5042</v>
      </c>
      <c r="K3872" t="s">
        <v>5048</v>
      </c>
      <c r="L3872" t="s">
        <v>5053</v>
      </c>
      <c r="M3872" t="s">
        <v>5054</v>
      </c>
    </row>
    <row r="3873" spans="1:13" x14ac:dyDescent="0.3">
      <c r="A3873" s="1">
        <v>45393</v>
      </c>
      <c r="B3873" s="1" t="str">
        <f>TEXT(Tabla1[[#This Row],[Fecha]],"MMMM")</f>
        <v>abril</v>
      </c>
      <c r="C3873" t="s">
        <v>3883</v>
      </c>
      <c r="D3873" t="s">
        <v>5020</v>
      </c>
      <c r="E3873" t="s">
        <v>5033</v>
      </c>
      <c r="F3873" t="s">
        <v>5040</v>
      </c>
      <c r="G3873" s="3">
        <v>9512.48</v>
      </c>
      <c r="H3873" s="3">
        <v>1236.6199999999999</v>
      </c>
      <c r="I3873" s="3">
        <f>SUM(Tabla1[[#This Row],[Monto_Base]],H3873)</f>
        <v>10749.099999999999</v>
      </c>
      <c r="J3873" t="s">
        <v>5045</v>
      </c>
      <c r="K3873" t="s">
        <v>5049</v>
      </c>
      <c r="L3873" t="s">
        <v>5052</v>
      </c>
      <c r="M3873" t="s">
        <v>5054</v>
      </c>
    </row>
    <row r="3874" spans="1:13" x14ac:dyDescent="0.3">
      <c r="A3874" s="1">
        <v>45460</v>
      </c>
      <c r="B3874" s="1" t="str">
        <f>TEXT(Tabla1[[#This Row],[Fecha]],"MMMM")</f>
        <v>junio</v>
      </c>
      <c r="C3874" t="s">
        <v>3884</v>
      </c>
      <c r="D3874" t="s">
        <v>5020</v>
      </c>
      <c r="E3874" t="s">
        <v>5033</v>
      </c>
      <c r="F3874" t="s">
        <v>5041</v>
      </c>
      <c r="G3874" s="3">
        <v>14295.17</v>
      </c>
      <c r="H3874" s="3">
        <v>1858.37</v>
      </c>
      <c r="I3874" s="3">
        <f>SUM(Tabla1[[#This Row],[Monto_Base]],H3874)</f>
        <v>16153.54</v>
      </c>
      <c r="J3874" t="s">
        <v>5043</v>
      </c>
      <c r="K3874" t="s">
        <v>5048</v>
      </c>
      <c r="L3874" t="s">
        <v>5053</v>
      </c>
      <c r="M3874" t="s">
        <v>5055</v>
      </c>
    </row>
    <row r="3875" spans="1:13" x14ac:dyDescent="0.3">
      <c r="A3875" s="1">
        <v>45524</v>
      </c>
      <c r="B3875" s="1" t="str">
        <f>TEXT(Tabla1[[#This Row],[Fecha]],"MMMM")</f>
        <v>agosto</v>
      </c>
      <c r="C3875" t="s">
        <v>3885</v>
      </c>
      <c r="D3875" t="s">
        <v>5017</v>
      </c>
      <c r="E3875" t="s">
        <v>5033</v>
      </c>
      <c r="F3875" t="s">
        <v>5040</v>
      </c>
      <c r="G3875" s="3">
        <v>6071.98</v>
      </c>
      <c r="H3875" s="3">
        <v>789.36</v>
      </c>
      <c r="I3875" s="3">
        <f>SUM(Tabla1[[#This Row],[Monto_Base]],H3875)</f>
        <v>6861.3399999999992</v>
      </c>
      <c r="J3875" t="s">
        <v>5042</v>
      </c>
      <c r="K3875" t="s">
        <v>5047</v>
      </c>
      <c r="L3875" t="s">
        <v>5050</v>
      </c>
      <c r="M3875" t="s">
        <v>5054</v>
      </c>
    </row>
    <row r="3876" spans="1:13" x14ac:dyDescent="0.3">
      <c r="A3876" s="1">
        <v>45610</v>
      </c>
      <c r="B3876" s="1" t="str">
        <f>TEXT(Tabla1[[#This Row],[Fecha]],"MMMM")</f>
        <v>noviembre</v>
      </c>
      <c r="C3876" t="s">
        <v>3886</v>
      </c>
      <c r="D3876" t="s">
        <v>5027</v>
      </c>
      <c r="E3876" t="s">
        <v>5032</v>
      </c>
      <c r="F3876" t="s">
        <v>5039</v>
      </c>
      <c r="G3876" s="3">
        <v>4296.38</v>
      </c>
      <c r="H3876" s="3">
        <v>0</v>
      </c>
      <c r="I3876" s="3">
        <f>SUM(Tabla1[[#This Row],[Monto_Base]],H3876)</f>
        <v>4296.38</v>
      </c>
      <c r="J3876" t="s">
        <v>5044</v>
      </c>
      <c r="K3876" t="s">
        <v>5049</v>
      </c>
      <c r="L3876" t="s">
        <v>5053</v>
      </c>
      <c r="M3876" t="s">
        <v>5055</v>
      </c>
    </row>
    <row r="3877" spans="1:13" x14ac:dyDescent="0.3">
      <c r="A3877" s="1">
        <v>45657</v>
      </c>
      <c r="B3877" s="1" t="str">
        <f>TEXT(Tabla1[[#This Row],[Fecha]],"MMMM")</f>
        <v>diciembre</v>
      </c>
      <c r="C3877" t="s">
        <v>3887</v>
      </c>
      <c r="D3877" t="s">
        <v>5031</v>
      </c>
      <c r="E3877" t="s">
        <v>5033</v>
      </c>
      <c r="F3877" t="s">
        <v>5039</v>
      </c>
      <c r="G3877" s="3">
        <v>13644.38</v>
      </c>
      <c r="H3877" s="3">
        <v>1773.77</v>
      </c>
      <c r="I3877" s="3">
        <f>SUM(Tabla1[[#This Row],[Monto_Base]],H3877)</f>
        <v>15418.15</v>
      </c>
      <c r="J3877" t="s">
        <v>5045</v>
      </c>
      <c r="K3877" t="s">
        <v>5048</v>
      </c>
      <c r="L3877" t="s">
        <v>5053</v>
      </c>
      <c r="M3877" t="s">
        <v>5055</v>
      </c>
    </row>
    <row r="3878" spans="1:13" x14ac:dyDescent="0.3">
      <c r="A3878" s="1">
        <v>45337</v>
      </c>
      <c r="B3878" s="1" t="str">
        <f>TEXT(Tabla1[[#This Row],[Fecha]],"MMMM")</f>
        <v>febrero</v>
      </c>
      <c r="C3878" t="s">
        <v>3888</v>
      </c>
      <c r="D3878" t="s">
        <v>5025</v>
      </c>
      <c r="E3878" t="s">
        <v>5032</v>
      </c>
      <c r="F3878" t="s">
        <v>5037</v>
      </c>
      <c r="G3878" s="3">
        <v>4060.29</v>
      </c>
      <c r="H3878" s="3">
        <v>0</v>
      </c>
      <c r="I3878" s="3">
        <f>SUM(Tabla1[[#This Row],[Monto_Base]],H3878)</f>
        <v>4060.29</v>
      </c>
      <c r="J3878" t="s">
        <v>5046</v>
      </c>
      <c r="K3878" t="s">
        <v>5048</v>
      </c>
      <c r="L3878" t="s">
        <v>5053</v>
      </c>
      <c r="M3878" t="s">
        <v>5055</v>
      </c>
    </row>
    <row r="3879" spans="1:13" x14ac:dyDescent="0.3">
      <c r="A3879" s="1">
        <v>45377</v>
      </c>
      <c r="B3879" s="1" t="str">
        <f>TEXT(Tabla1[[#This Row],[Fecha]],"MMMM")</f>
        <v>marzo</v>
      </c>
      <c r="C3879" t="s">
        <v>3889</v>
      </c>
      <c r="D3879" t="s">
        <v>5025</v>
      </c>
      <c r="E3879" t="s">
        <v>5032</v>
      </c>
      <c r="F3879" t="s">
        <v>5040</v>
      </c>
      <c r="G3879" s="3">
        <v>2108.11</v>
      </c>
      <c r="H3879" s="3">
        <v>0</v>
      </c>
      <c r="I3879" s="3">
        <f>SUM(Tabla1[[#This Row],[Monto_Base]],H3879)</f>
        <v>2108.11</v>
      </c>
      <c r="J3879" t="s">
        <v>5046</v>
      </c>
      <c r="K3879" t="s">
        <v>5049</v>
      </c>
      <c r="L3879" t="s">
        <v>5050</v>
      </c>
      <c r="M3879" t="s">
        <v>5054</v>
      </c>
    </row>
    <row r="3880" spans="1:13" x14ac:dyDescent="0.3">
      <c r="A3880" s="1">
        <v>45579</v>
      </c>
      <c r="B3880" s="1" t="str">
        <f>TEXT(Tabla1[[#This Row],[Fecha]],"MMMM")</f>
        <v>octubre</v>
      </c>
      <c r="C3880" t="s">
        <v>3890</v>
      </c>
      <c r="D3880" t="s">
        <v>5029</v>
      </c>
      <c r="E3880" t="s">
        <v>5033</v>
      </c>
      <c r="F3880" t="s">
        <v>5039</v>
      </c>
      <c r="G3880" s="3">
        <v>8462.7099999999991</v>
      </c>
      <c r="H3880" s="3">
        <v>1100.1500000000001</v>
      </c>
      <c r="I3880" s="3">
        <f>SUM(Tabla1[[#This Row],[Monto_Base]],H3880)</f>
        <v>9562.8599999999988</v>
      </c>
      <c r="J3880" t="s">
        <v>5044</v>
      </c>
      <c r="K3880" t="s">
        <v>5049</v>
      </c>
      <c r="L3880" t="s">
        <v>5051</v>
      </c>
      <c r="M3880" t="s">
        <v>5054</v>
      </c>
    </row>
    <row r="3881" spans="1:13" x14ac:dyDescent="0.3">
      <c r="A3881" s="1">
        <v>45501</v>
      </c>
      <c r="B3881" s="1" t="str">
        <f>TEXT(Tabla1[[#This Row],[Fecha]],"MMMM")</f>
        <v>julio</v>
      </c>
      <c r="C3881" t="s">
        <v>3891</v>
      </c>
      <c r="D3881" t="s">
        <v>5020</v>
      </c>
      <c r="E3881" t="s">
        <v>5032</v>
      </c>
      <c r="F3881" t="s">
        <v>5041</v>
      </c>
      <c r="G3881" s="3">
        <v>12513.15</v>
      </c>
      <c r="H3881" s="3">
        <v>0</v>
      </c>
      <c r="I3881" s="3">
        <f>SUM(Tabla1[[#This Row],[Monto_Base]],H3881)</f>
        <v>12513.15</v>
      </c>
      <c r="J3881" t="s">
        <v>5043</v>
      </c>
      <c r="K3881" t="s">
        <v>5047</v>
      </c>
      <c r="L3881" t="s">
        <v>5052</v>
      </c>
      <c r="M3881" t="s">
        <v>5055</v>
      </c>
    </row>
    <row r="3882" spans="1:13" x14ac:dyDescent="0.3">
      <c r="A3882" s="1">
        <v>45590</v>
      </c>
      <c r="B3882" s="1" t="str">
        <f>TEXT(Tabla1[[#This Row],[Fecha]],"MMMM")</f>
        <v>octubre</v>
      </c>
      <c r="C3882" t="s">
        <v>3892</v>
      </c>
      <c r="D3882" t="s">
        <v>5020</v>
      </c>
      <c r="E3882" t="s">
        <v>5033</v>
      </c>
      <c r="F3882" t="s">
        <v>5035</v>
      </c>
      <c r="G3882" s="3">
        <v>10620.16</v>
      </c>
      <c r="H3882" s="3">
        <v>1380.62</v>
      </c>
      <c r="I3882" s="3">
        <f>SUM(Tabla1[[#This Row],[Monto_Base]],H3882)</f>
        <v>12000.779999999999</v>
      </c>
      <c r="J3882" t="s">
        <v>5045</v>
      </c>
      <c r="K3882" t="s">
        <v>5049</v>
      </c>
      <c r="L3882" t="s">
        <v>5051</v>
      </c>
      <c r="M3882" t="s">
        <v>5055</v>
      </c>
    </row>
    <row r="3883" spans="1:13" x14ac:dyDescent="0.3">
      <c r="A3883" s="1">
        <v>45580</v>
      </c>
      <c r="B3883" s="1" t="str">
        <f>TEXT(Tabla1[[#This Row],[Fecha]],"MMMM")</f>
        <v>octubre</v>
      </c>
      <c r="C3883" t="s">
        <v>3893</v>
      </c>
      <c r="D3883" t="s">
        <v>5025</v>
      </c>
      <c r="E3883" t="s">
        <v>5033</v>
      </c>
      <c r="F3883" t="s">
        <v>5039</v>
      </c>
      <c r="G3883" s="3">
        <v>14194.04</v>
      </c>
      <c r="H3883" s="3">
        <v>1845.23</v>
      </c>
      <c r="I3883" s="3">
        <f>SUM(Tabla1[[#This Row],[Monto_Base]],H3883)</f>
        <v>16039.27</v>
      </c>
      <c r="J3883" t="s">
        <v>5044</v>
      </c>
      <c r="K3883" t="s">
        <v>5049</v>
      </c>
      <c r="L3883" t="s">
        <v>5052</v>
      </c>
      <c r="M3883" t="s">
        <v>5055</v>
      </c>
    </row>
    <row r="3884" spans="1:13" x14ac:dyDescent="0.3">
      <c r="A3884" s="1">
        <v>45527</v>
      </c>
      <c r="B3884" s="1" t="str">
        <f>TEXT(Tabla1[[#This Row],[Fecha]],"MMMM")</f>
        <v>agosto</v>
      </c>
      <c r="C3884" t="s">
        <v>3894</v>
      </c>
      <c r="D3884" t="s">
        <v>5013</v>
      </c>
      <c r="E3884" t="s">
        <v>5032</v>
      </c>
      <c r="F3884" t="s">
        <v>5036</v>
      </c>
      <c r="G3884" s="3">
        <v>2355.8000000000002</v>
      </c>
      <c r="H3884" s="3">
        <v>0</v>
      </c>
      <c r="I3884" s="3">
        <f>SUM(Tabla1[[#This Row],[Monto_Base]],H3884)</f>
        <v>2355.8000000000002</v>
      </c>
      <c r="J3884" t="s">
        <v>5045</v>
      </c>
      <c r="K3884" t="s">
        <v>5048</v>
      </c>
      <c r="L3884" t="s">
        <v>5050</v>
      </c>
      <c r="M3884" t="s">
        <v>5054</v>
      </c>
    </row>
    <row r="3885" spans="1:13" x14ac:dyDescent="0.3">
      <c r="A3885" s="1">
        <v>45544</v>
      </c>
      <c r="B3885" s="1" t="str">
        <f>TEXT(Tabla1[[#This Row],[Fecha]],"MMMM")</f>
        <v>septiembre</v>
      </c>
      <c r="C3885" t="s">
        <v>3895</v>
      </c>
      <c r="D3885" t="s">
        <v>5024</v>
      </c>
      <c r="E3885" t="s">
        <v>5032</v>
      </c>
      <c r="F3885" t="s">
        <v>5035</v>
      </c>
      <c r="G3885" s="3">
        <v>10596.82</v>
      </c>
      <c r="H3885" s="3">
        <v>0</v>
      </c>
      <c r="I3885" s="3">
        <f>SUM(Tabla1[[#This Row],[Monto_Base]],H3885)</f>
        <v>10596.82</v>
      </c>
      <c r="J3885" t="s">
        <v>5042</v>
      </c>
      <c r="K3885" t="s">
        <v>5047</v>
      </c>
      <c r="L3885" t="s">
        <v>5050</v>
      </c>
      <c r="M3885" t="s">
        <v>5054</v>
      </c>
    </row>
    <row r="3886" spans="1:13" x14ac:dyDescent="0.3">
      <c r="A3886" s="1">
        <v>45656</v>
      </c>
      <c r="B3886" s="1" t="str">
        <f>TEXT(Tabla1[[#This Row],[Fecha]],"MMMM")</f>
        <v>diciembre</v>
      </c>
      <c r="C3886" t="s">
        <v>3896</v>
      </c>
      <c r="D3886" t="s">
        <v>5026</v>
      </c>
      <c r="E3886" t="s">
        <v>5033</v>
      </c>
      <c r="F3886" t="s">
        <v>5034</v>
      </c>
      <c r="G3886" s="3">
        <v>13899.92</v>
      </c>
      <c r="H3886" s="3">
        <v>1806.99</v>
      </c>
      <c r="I3886" s="3">
        <f>SUM(Tabla1[[#This Row],[Monto_Base]],H3886)</f>
        <v>15706.91</v>
      </c>
      <c r="J3886" t="s">
        <v>5046</v>
      </c>
      <c r="K3886" t="s">
        <v>5049</v>
      </c>
      <c r="L3886" t="s">
        <v>5053</v>
      </c>
      <c r="M3886" t="s">
        <v>5054</v>
      </c>
    </row>
    <row r="3887" spans="1:13" x14ac:dyDescent="0.3">
      <c r="A3887" s="1">
        <v>45511</v>
      </c>
      <c r="B3887" s="1" t="str">
        <f>TEXT(Tabla1[[#This Row],[Fecha]],"MMMM")</f>
        <v>agosto</v>
      </c>
      <c r="C3887" t="s">
        <v>3897</v>
      </c>
      <c r="D3887" t="s">
        <v>5012</v>
      </c>
      <c r="E3887" t="s">
        <v>5032</v>
      </c>
      <c r="F3887" t="s">
        <v>5037</v>
      </c>
      <c r="G3887" s="3">
        <v>12793.79</v>
      </c>
      <c r="H3887" s="3">
        <v>0</v>
      </c>
      <c r="I3887" s="3">
        <f>SUM(Tabla1[[#This Row],[Monto_Base]],H3887)</f>
        <v>12793.79</v>
      </c>
      <c r="J3887" t="s">
        <v>5046</v>
      </c>
      <c r="K3887" t="s">
        <v>5048</v>
      </c>
      <c r="L3887" t="s">
        <v>5052</v>
      </c>
      <c r="M3887" t="s">
        <v>5054</v>
      </c>
    </row>
    <row r="3888" spans="1:13" x14ac:dyDescent="0.3">
      <c r="A3888" s="1">
        <v>45549</v>
      </c>
      <c r="B3888" s="1" t="str">
        <f>TEXT(Tabla1[[#This Row],[Fecha]],"MMMM")</f>
        <v>septiembre</v>
      </c>
      <c r="C3888" t="s">
        <v>3898</v>
      </c>
      <c r="D3888" t="s">
        <v>5018</v>
      </c>
      <c r="E3888" t="s">
        <v>5033</v>
      </c>
      <c r="F3888" t="s">
        <v>5038</v>
      </c>
      <c r="G3888" s="3">
        <v>11626.45</v>
      </c>
      <c r="H3888" s="3">
        <v>1511.44</v>
      </c>
      <c r="I3888" s="3">
        <f>SUM(Tabla1[[#This Row],[Monto_Base]],H3888)</f>
        <v>13137.890000000001</v>
      </c>
      <c r="J3888" t="s">
        <v>5046</v>
      </c>
      <c r="K3888" t="s">
        <v>5048</v>
      </c>
      <c r="L3888" t="s">
        <v>5051</v>
      </c>
      <c r="M3888" t="s">
        <v>5055</v>
      </c>
    </row>
    <row r="3889" spans="1:13" x14ac:dyDescent="0.3">
      <c r="A3889" s="1">
        <v>45648</v>
      </c>
      <c r="B3889" s="1" t="str">
        <f>TEXT(Tabla1[[#This Row],[Fecha]],"MMMM")</f>
        <v>diciembre</v>
      </c>
      <c r="C3889" t="s">
        <v>3899</v>
      </c>
      <c r="D3889" t="s">
        <v>5022</v>
      </c>
      <c r="E3889" t="s">
        <v>5032</v>
      </c>
      <c r="F3889" t="s">
        <v>5036</v>
      </c>
      <c r="G3889" s="3">
        <v>8710.61</v>
      </c>
      <c r="H3889" s="3">
        <v>0</v>
      </c>
      <c r="I3889" s="3">
        <f>SUM(Tabla1[[#This Row],[Monto_Base]],H3889)</f>
        <v>8710.61</v>
      </c>
      <c r="J3889" t="s">
        <v>5045</v>
      </c>
      <c r="K3889" t="s">
        <v>5048</v>
      </c>
      <c r="L3889" t="s">
        <v>5050</v>
      </c>
      <c r="M3889" t="s">
        <v>5055</v>
      </c>
    </row>
    <row r="3890" spans="1:13" x14ac:dyDescent="0.3">
      <c r="A3890" s="1">
        <v>45309</v>
      </c>
      <c r="B3890" s="1" t="str">
        <f>TEXT(Tabla1[[#This Row],[Fecha]],"MMMM")</f>
        <v>enero</v>
      </c>
      <c r="C3890" t="s">
        <v>3900</v>
      </c>
      <c r="D3890" t="s">
        <v>5029</v>
      </c>
      <c r="E3890" t="s">
        <v>5033</v>
      </c>
      <c r="F3890" t="s">
        <v>5037</v>
      </c>
      <c r="G3890" s="3">
        <v>7362.32</v>
      </c>
      <c r="H3890" s="3">
        <v>957.1</v>
      </c>
      <c r="I3890" s="3">
        <f>SUM(Tabla1[[#This Row],[Monto_Base]],H3890)</f>
        <v>8319.42</v>
      </c>
      <c r="J3890" t="s">
        <v>5044</v>
      </c>
      <c r="K3890" t="s">
        <v>5048</v>
      </c>
      <c r="L3890" t="s">
        <v>5050</v>
      </c>
      <c r="M3890" t="s">
        <v>5055</v>
      </c>
    </row>
    <row r="3891" spans="1:13" x14ac:dyDescent="0.3">
      <c r="A3891" s="1">
        <v>45597</v>
      </c>
      <c r="B3891" s="1" t="str">
        <f>TEXT(Tabla1[[#This Row],[Fecha]],"MMMM")</f>
        <v>noviembre</v>
      </c>
      <c r="C3891" t="s">
        <v>3901</v>
      </c>
      <c r="D3891" t="s">
        <v>5031</v>
      </c>
      <c r="E3891" t="s">
        <v>5033</v>
      </c>
      <c r="F3891" t="s">
        <v>5036</v>
      </c>
      <c r="G3891" s="3">
        <v>5917.43</v>
      </c>
      <c r="H3891" s="3">
        <v>769.27</v>
      </c>
      <c r="I3891" s="3">
        <f>SUM(Tabla1[[#This Row],[Monto_Base]],H3891)</f>
        <v>6686.7000000000007</v>
      </c>
      <c r="J3891" t="s">
        <v>5045</v>
      </c>
      <c r="K3891" t="s">
        <v>5049</v>
      </c>
      <c r="L3891" t="s">
        <v>5051</v>
      </c>
      <c r="M3891" t="s">
        <v>5055</v>
      </c>
    </row>
    <row r="3892" spans="1:13" x14ac:dyDescent="0.3">
      <c r="A3892" s="1">
        <v>45317</v>
      </c>
      <c r="B3892" s="1" t="str">
        <f>TEXT(Tabla1[[#This Row],[Fecha]],"MMMM")</f>
        <v>enero</v>
      </c>
      <c r="C3892" t="s">
        <v>3902</v>
      </c>
      <c r="D3892" t="s">
        <v>5016</v>
      </c>
      <c r="E3892" t="s">
        <v>5032</v>
      </c>
      <c r="F3892" t="s">
        <v>5034</v>
      </c>
      <c r="G3892" s="3">
        <v>10794.29</v>
      </c>
      <c r="H3892" s="3">
        <v>0</v>
      </c>
      <c r="I3892" s="3">
        <f>SUM(Tabla1[[#This Row],[Monto_Base]],H3892)</f>
        <v>10794.29</v>
      </c>
      <c r="J3892" t="s">
        <v>5044</v>
      </c>
      <c r="K3892" t="s">
        <v>5049</v>
      </c>
      <c r="L3892" t="s">
        <v>5050</v>
      </c>
      <c r="M3892" t="s">
        <v>5054</v>
      </c>
    </row>
    <row r="3893" spans="1:13" x14ac:dyDescent="0.3">
      <c r="A3893" s="1">
        <v>45361</v>
      </c>
      <c r="B3893" s="1" t="str">
        <f>TEXT(Tabla1[[#This Row],[Fecha]],"MMMM")</f>
        <v>marzo</v>
      </c>
      <c r="C3893" t="s">
        <v>3903</v>
      </c>
      <c r="D3893" t="s">
        <v>5026</v>
      </c>
      <c r="E3893" t="s">
        <v>5032</v>
      </c>
      <c r="F3893" t="s">
        <v>5034</v>
      </c>
      <c r="G3893" s="3">
        <v>14716.26</v>
      </c>
      <c r="H3893" s="3">
        <v>0</v>
      </c>
      <c r="I3893" s="3">
        <f>SUM(Tabla1[[#This Row],[Monto_Base]],H3893)</f>
        <v>14716.26</v>
      </c>
      <c r="J3893" t="s">
        <v>5042</v>
      </c>
      <c r="K3893" t="s">
        <v>5047</v>
      </c>
      <c r="L3893" t="s">
        <v>5050</v>
      </c>
      <c r="M3893" t="s">
        <v>5055</v>
      </c>
    </row>
    <row r="3894" spans="1:13" x14ac:dyDescent="0.3">
      <c r="A3894" s="1">
        <v>45316</v>
      </c>
      <c r="B3894" s="1" t="str">
        <f>TEXT(Tabla1[[#This Row],[Fecha]],"MMMM")</f>
        <v>enero</v>
      </c>
      <c r="C3894" t="s">
        <v>3904</v>
      </c>
      <c r="D3894" t="s">
        <v>5015</v>
      </c>
      <c r="E3894" t="s">
        <v>5032</v>
      </c>
      <c r="F3894" t="s">
        <v>5041</v>
      </c>
      <c r="G3894" s="3">
        <v>11671.46</v>
      </c>
      <c r="H3894" s="3">
        <v>0</v>
      </c>
      <c r="I3894" s="3">
        <f>SUM(Tabla1[[#This Row],[Monto_Base]],H3894)</f>
        <v>11671.46</v>
      </c>
      <c r="J3894" t="s">
        <v>5045</v>
      </c>
      <c r="K3894" t="s">
        <v>5049</v>
      </c>
      <c r="L3894" t="s">
        <v>5051</v>
      </c>
      <c r="M3894" t="s">
        <v>5054</v>
      </c>
    </row>
    <row r="3895" spans="1:13" x14ac:dyDescent="0.3">
      <c r="A3895" s="1">
        <v>45453</v>
      </c>
      <c r="B3895" s="1" t="str">
        <f>TEXT(Tabla1[[#This Row],[Fecha]],"MMMM")</f>
        <v>junio</v>
      </c>
      <c r="C3895" t="s">
        <v>3905</v>
      </c>
      <c r="D3895" t="s">
        <v>5022</v>
      </c>
      <c r="E3895" t="s">
        <v>5033</v>
      </c>
      <c r="F3895" t="s">
        <v>5038</v>
      </c>
      <c r="G3895" s="3">
        <v>5822.28</v>
      </c>
      <c r="H3895" s="3">
        <v>756.9</v>
      </c>
      <c r="I3895" s="3">
        <f>SUM(Tabla1[[#This Row],[Monto_Base]],H3895)</f>
        <v>6579.1799999999994</v>
      </c>
      <c r="J3895" t="s">
        <v>5042</v>
      </c>
      <c r="K3895" t="s">
        <v>5048</v>
      </c>
      <c r="L3895" t="s">
        <v>5053</v>
      </c>
      <c r="M3895" t="s">
        <v>5054</v>
      </c>
    </row>
    <row r="3896" spans="1:13" x14ac:dyDescent="0.3">
      <c r="A3896" s="1">
        <v>45557</v>
      </c>
      <c r="B3896" s="1" t="str">
        <f>TEXT(Tabla1[[#This Row],[Fecha]],"MMMM")</f>
        <v>septiembre</v>
      </c>
      <c r="C3896" t="s">
        <v>3906</v>
      </c>
      <c r="D3896" t="s">
        <v>5013</v>
      </c>
      <c r="E3896" t="s">
        <v>5033</v>
      </c>
      <c r="F3896" t="s">
        <v>5035</v>
      </c>
      <c r="G3896" s="3">
        <v>6788.63</v>
      </c>
      <c r="H3896" s="3">
        <v>882.52</v>
      </c>
      <c r="I3896" s="3">
        <f>SUM(Tabla1[[#This Row],[Monto_Base]],H3896)</f>
        <v>7671.15</v>
      </c>
      <c r="J3896" t="s">
        <v>5042</v>
      </c>
      <c r="K3896" t="s">
        <v>5048</v>
      </c>
      <c r="L3896" t="s">
        <v>5051</v>
      </c>
      <c r="M3896" t="s">
        <v>5055</v>
      </c>
    </row>
    <row r="3897" spans="1:13" x14ac:dyDescent="0.3">
      <c r="A3897" s="1">
        <v>45497</v>
      </c>
      <c r="B3897" s="1" t="str">
        <f>TEXT(Tabla1[[#This Row],[Fecha]],"MMMM")</f>
        <v>julio</v>
      </c>
      <c r="C3897" t="s">
        <v>3907</v>
      </c>
      <c r="D3897" t="s">
        <v>5024</v>
      </c>
      <c r="E3897" t="s">
        <v>5032</v>
      </c>
      <c r="F3897" t="s">
        <v>5041</v>
      </c>
      <c r="G3897" s="3">
        <v>4281.71</v>
      </c>
      <c r="H3897" s="3">
        <v>0</v>
      </c>
      <c r="I3897" s="3">
        <f>SUM(Tabla1[[#This Row],[Monto_Base]],H3897)</f>
        <v>4281.71</v>
      </c>
      <c r="J3897" t="s">
        <v>5042</v>
      </c>
      <c r="K3897" t="s">
        <v>5047</v>
      </c>
      <c r="L3897" t="s">
        <v>5053</v>
      </c>
      <c r="M3897" t="s">
        <v>5055</v>
      </c>
    </row>
    <row r="3898" spans="1:13" x14ac:dyDescent="0.3">
      <c r="A3898" s="1">
        <v>45485</v>
      </c>
      <c r="B3898" s="1" t="str">
        <f>TEXT(Tabla1[[#This Row],[Fecha]],"MMMM")</f>
        <v>julio</v>
      </c>
      <c r="C3898" t="s">
        <v>3908</v>
      </c>
      <c r="D3898" t="s">
        <v>5017</v>
      </c>
      <c r="E3898" t="s">
        <v>5033</v>
      </c>
      <c r="F3898" t="s">
        <v>5040</v>
      </c>
      <c r="G3898" s="3">
        <v>14197.42</v>
      </c>
      <c r="H3898" s="3">
        <v>1845.66</v>
      </c>
      <c r="I3898" s="3">
        <f>SUM(Tabla1[[#This Row],[Monto_Base]],H3898)</f>
        <v>16043.08</v>
      </c>
      <c r="J3898" t="s">
        <v>5043</v>
      </c>
      <c r="K3898" t="s">
        <v>5047</v>
      </c>
      <c r="L3898" t="s">
        <v>5052</v>
      </c>
      <c r="M3898" t="s">
        <v>5054</v>
      </c>
    </row>
    <row r="3899" spans="1:13" x14ac:dyDescent="0.3">
      <c r="A3899" s="1">
        <v>45630</v>
      </c>
      <c r="B3899" s="1" t="str">
        <f>TEXT(Tabla1[[#This Row],[Fecha]],"MMMM")</f>
        <v>diciembre</v>
      </c>
      <c r="C3899" t="s">
        <v>3909</v>
      </c>
      <c r="D3899" t="s">
        <v>5017</v>
      </c>
      <c r="E3899" t="s">
        <v>5033</v>
      </c>
      <c r="F3899" t="s">
        <v>5040</v>
      </c>
      <c r="G3899" s="3">
        <v>4442.21</v>
      </c>
      <c r="H3899" s="3">
        <v>577.49</v>
      </c>
      <c r="I3899" s="3">
        <f>SUM(Tabla1[[#This Row],[Monto_Base]],H3899)</f>
        <v>5019.7</v>
      </c>
      <c r="J3899" t="s">
        <v>5042</v>
      </c>
      <c r="K3899" t="s">
        <v>5049</v>
      </c>
      <c r="L3899" t="s">
        <v>5051</v>
      </c>
      <c r="M3899" t="s">
        <v>5054</v>
      </c>
    </row>
    <row r="3900" spans="1:13" x14ac:dyDescent="0.3">
      <c r="A3900" s="1">
        <v>45590</v>
      </c>
      <c r="B3900" s="1" t="str">
        <f>TEXT(Tabla1[[#This Row],[Fecha]],"MMMM")</f>
        <v>octubre</v>
      </c>
      <c r="C3900" t="s">
        <v>3910</v>
      </c>
      <c r="D3900" t="s">
        <v>5030</v>
      </c>
      <c r="E3900" t="s">
        <v>5033</v>
      </c>
      <c r="F3900" t="s">
        <v>5036</v>
      </c>
      <c r="G3900" s="3">
        <v>14498.8</v>
      </c>
      <c r="H3900" s="3">
        <v>1884.84</v>
      </c>
      <c r="I3900" s="3">
        <f>SUM(Tabla1[[#This Row],[Monto_Base]],H3900)</f>
        <v>16383.64</v>
      </c>
      <c r="J3900" t="s">
        <v>5045</v>
      </c>
      <c r="K3900" t="s">
        <v>5047</v>
      </c>
      <c r="L3900" t="s">
        <v>5051</v>
      </c>
      <c r="M3900" t="s">
        <v>5055</v>
      </c>
    </row>
    <row r="3901" spans="1:13" x14ac:dyDescent="0.3">
      <c r="A3901" s="1">
        <v>45436</v>
      </c>
      <c r="B3901" s="1" t="str">
        <f>TEXT(Tabla1[[#This Row],[Fecha]],"MMMM")</f>
        <v>mayo</v>
      </c>
      <c r="C3901" t="s">
        <v>3911</v>
      </c>
      <c r="D3901" t="s">
        <v>5031</v>
      </c>
      <c r="E3901" t="s">
        <v>5032</v>
      </c>
      <c r="F3901" t="s">
        <v>5039</v>
      </c>
      <c r="G3901" s="3">
        <v>9944.3799999999992</v>
      </c>
      <c r="H3901" s="3">
        <v>0</v>
      </c>
      <c r="I3901" s="3">
        <f>SUM(Tabla1[[#This Row],[Monto_Base]],H3901)</f>
        <v>9944.3799999999992</v>
      </c>
      <c r="J3901" t="s">
        <v>5045</v>
      </c>
      <c r="K3901" t="s">
        <v>5047</v>
      </c>
      <c r="L3901" t="s">
        <v>5051</v>
      </c>
      <c r="M3901" t="s">
        <v>5055</v>
      </c>
    </row>
    <row r="3902" spans="1:13" x14ac:dyDescent="0.3">
      <c r="A3902" s="1">
        <v>45655</v>
      </c>
      <c r="B3902" s="1" t="str">
        <f>TEXT(Tabla1[[#This Row],[Fecha]],"MMMM")</f>
        <v>diciembre</v>
      </c>
      <c r="C3902" t="s">
        <v>3912</v>
      </c>
      <c r="D3902" t="s">
        <v>5017</v>
      </c>
      <c r="E3902" t="s">
        <v>5033</v>
      </c>
      <c r="F3902" t="s">
        <v>5034</v>
      </c>
      <c r="G3902" s="3">
        <v>8389.44</v>
      </c>
      <c r="H3902" s="3">
        <v>1090.6300000000001</v>
      </c>
      <c r="I3902" s="3">
        <f>SUM(Tabla1[[#This Row],[Monto_Base]],H3902)</f>
        <v>9480.07</v>
      </c>
      <c r="J3902" t="s">
        <v>5043</v>
      </c>
      <c r="K3902" t="s">
        <v>5049</v>
      </c>
      <c r="L3902" t="s">
        <v>5050</v>
      </c>
      <c r="M3902" t="s">
        <v>5055</v>
      </c>
    </row>
    <row r="3903" spans="1:13" x14ac:dyDescent="0.3">
      <c r="A3903" s="1">
        <v>45560</v>
      </c>
      <c r="B3903" s="1" t="str">
        <f>TEXT(Tabla1[[#This Row],[Fecha]],"MMMM")</f>
        <v>septiembre</v>
      </c>
      <c r="C3903" t="s">
        <v>3913</v>
      </c>
      <c r="D3903" t="s">
        <v>5019</v>
      </c>
      <c r="E3903" t="s">
        <v>5033</v>
      </c>
      <c r="F3903" t="s">
        <v>5037</v>
      </c>
      <c r="G3903" s="3">
        <v>12479.29</v>
      </c>
      <c r="H3903" s="3">
        <v>1622.31</v>
      </c>
      <c r="I3903" s="3">
        <f>SUM(Tabla1[[#This Row],[Monto_Base]],H3903)</f>
        <v>14101.6</v>
      </c>
      <c r="J3903" t="s">
        <v>5042</v>
      </c>
      <c r="K3903" t="s">
        <v>5048</v>
      </c>
      <c r="L3903" t="s">
        <v>5053</v>
      </c>
      <c r="M3903" t="s">
        <v>5054</v>
      </c>
    </row>
    <row r="3904" spans="1:13" x14ac:dyDescent="0.3">
      <c r="A3904" s="1">
        <v>45565</v>
      </c>
      <c r="B3904" s="1" t="str">
        <f>TEXT(Tabla1[[#This Row],[Fecha]],"MMMM")</f>
        <v>septiembre</v>
      </c>
      <c r="C3904" t="s">
        <v>3914</v>
      </c>
      <c r="D3904" t="s">
        <v>5022</v>
      </c>
      <c r="E3904" t="s">
        <v>5033</v>
      </c>
      <c r="F3904" t="s">
        <v>5041</v>
      </c>
      <c r="G3904" s="3">
        <v>8274.19</v>
      </c>
      <c r="H3904" s="3">
        <v>1075.6400000000001</v>
      </c>
      <c r="I3904" s="3">
        <f>SUM(Tabla1[[#This Row],[Monto_Base]],H3904)</f>
        <v>9349.83</v>
      </c>
      <c r="J3904" t="s">
        <v>5043</v>
      </c>
      <c r="K3904" t="s">
        <v>5048</v>
      </c>
      <c r="L3904" t="s">
        <v>5051</v>
      </c>
      <c r="M3904" t="s">
        <v>5054</v>
      </c>
    </row>
    <row r="3905" spans="1:13" x14ac:dyDescent="0.3">
      <c r="A3905" s="1">
        <v>45374</v>
      </c>
      <c r="B3905" s="1" t="str">
        <f>TEXT(Tabla1[[#This Row],[Fecha]],"MMMM")</f>
        <v>marzo</v>
      </c>
      <c r="C3905" t="s">
        <v>3915</v>
      </c>
      <c r="D3905" t="s">
        <v>5023</v>
      </c>
      <c r="E3905" t="s">
        <v>5033</v>
      </c>
      <c r="F3905" t="s">
        <v>5034</v>
      </c>
      <c r="G3905" s="3">
        <v>6141.63</v>
      </c>
      <c r="H3905" s="3">
        <v>798.41</v>
      </c>
      <c r="I3905" s="3">
        <f>SUM(Tabla1[[#This Row],[Monto_Base]],H3905)</f>
        <v>6940.04</v>
      </c>
      <c r="J3905" t="s">
        <v>5042</v>
      </c>
      <c r="K3905" t="s">
        <v>5049</v>
      </c>
      <c r="L3905" t="s">
        <v>5052</v>
      </c>
      <c r="M3905" t="s">
        <v>5055</v>
      </c>
    </row>
    <row r="3906" spans="1:13" x14ac:dyDescent="0.3">
      <c r="A3906" s="1">
        <v>45377</v>
      </c>
      <c r="B3906" s="1" t="str">
        <f>TEXT(Tabla1[[#This Row],[Fecha]],"MMMM")</f>
        <v>marzo</v>
      </c>
      <c r="C3906" t="s">
        <v>3916</v>
      </c>
      <c r="D3906" t="s">
        <v>5026</v>
      </c>
      <c r="E3906" t="s">
        <v>5032</v>
      </c>
      <c r="F3906" t="s">
        <v>5037</v>
      </c>
      <c r="G3906" s="3">
        <v>3673.22</v>
      </c>
      <c r="H3906" s="3">
        <v>0</v>
      </c>
      <c r="I3906" s="3">
        <f>SUM(Tabla1[[#This Row],[Monto_Base]],H3906)</f>
        <v>3673.22</v>
      </c>
      <c r="J3906" t="s">
        <v>5045</v>
      </c>
      <c r="K3906" t="s">
        <v>5048</v>
      </c>
      <c r="L3906" t="s">
        <v>5053</v>
      </c>
      <c r="M3906" t="s">
        <v>5055</v>
      </c>
    </row>
    <row r="3907" spans="1:13" x14ac:dyDescent="0.3">
      <c r="A3907" s="1">
        <v>45406</v>
      </c>
      <c r="B3907" s="1" t="str">
        <f>TEXT(Tabla1[[#This Row],[Fecha]],"MMMM")</f>
        <v>abril</v>
      </c>
      <c r="C3907" t="s">
        <v>3917</v>
      </c>
      <c r="D3907" t="s">
        <v>5016</v>
      </c>
      <c r="E3907" t="s">
        <v>5033</v>
      </c>
      <c r="F3907" t="s">
        <v>5040</v>
      </c>
      <c r="G3907" s="3">
        <v>1802.44</v>
      </c>
      <c r="H3907" s="3">
        <v>234.32</v>
      </c>
      <c r="I3907" s="3">
        <f>SUM(Tabla1[[#This Row],[Monto_Base]],H3907)</f>
        <v>2036.76</v>
      </c>
      <c r="J3907" t="s">
        <v>5045</v>
      </c>
      <c r="K3907" t="s">
        <v>5047</v>
      </c>
      <c r="L3907" t="s">
        <v>5050</v>
      </c>
      <c r="M3907" t="s">
        <v>5055</v>
      </c>
    </row>
    <row r="3908" spans="1:13" x14ac:dyDescent="0.3">
      <c r="A3908" s="1">
        <v>45523</v>
      </c>
      <c r="B3908" s="1" t="str">
        <f>TEXT(Tabla1[[#This Row],[Fecha]],"MMMM")</f>
        <v>agosto</v>
      </c>
      <c r="C3908" t="s">
        <v>3918</v>
      </c>
      <c r="D3908" t="s">
        <v>5015</v>
      </c>
      <c r="E3908" t="s">
        <v>5032</v>
      </c>
      <c r="F3908" t="s">
        <v>5041</v>
      </c>
      <c r="G3908" s="3">
        <v>6119.58</v>
      </c>
      <c r="H3908" s="3">
        <v>0</v>
      </c>
      <c r="I3908" s="3">
        <f>SUM(Tabla1[[#This Row],[Monto_Base]],H3908)</f>
        <v>6119.58</v>
      </c>
      <c r="J3908" t="s">
        <v>5043</v>
      </c>
      <c r="K3908" t="s">
        <v>5047</v>
      </c>
      <c r="L3908" t="s">
        <v>5052</v>
      </c>
      <c r="M3908" t="s">
        <v>5054</v>
      </c>
    </row>
    <row r="3909" spans="1:13" x14ac:dyDescent="0.3">
      <c r="A3909" s="1">
        <v>45519</v>
      </c>
      <c r="B3909" s="1" t="str">
        <f>TEXT(Tabla1[[#This Row],[Fecha]],"MMMM")</f>
        <v>agosto</v>
      </c>
      <c r="C3909" t="s">
        <v>3919</v>
      </c>
      <c r="D3909" t="s">
        <v>5017</v>
      </c>
      <c r="E3909" t="s">
        <v>5033</v>
      </c>
      <c r="F3909" t="s">
        <v>5039</v>
      </c>
      <c r="G3909" s="3">
        <v>7983.46</v>
      </c>
      <c r="H3909" s="3">
        <v>1037.8499999999999</v>
      </c>
      <c r="I3909" s="3">
        <f>SUM(Tabla1[[#This Row],[Monto_Base]],H3909)</f>
        <v>9021.31</v>
      </c>
      <c r="J3909" t="s">
        <v>5044</v>
      </c>
      <c r="K3909" t="s">
        <v>5048</v>
      </c>
      <c r="L3909" t="s">
        <v>5051</v>
      </c>
      <c r="M3909" t="s">
        <v>5054</v>
      </c>
    </row>
    <row r="3910" spans="1:13" x14ac:dyDescent="0.3">
      <c r="A3910" s="1">
        <v>45298</v>
      </c>
      <c r="B3910" s="1" t="str">
        <f>TEXT(Tabla1[[#This Row],[Fecha]],"MMMM")</f>
        <v>enero</v>
      </c>
      <c r="C3910" t="s">
        <v>3920</v>
      </c>
      <c r="D3910" t="s">
        <v>5016</v>
      </c>
      <c r="E3910" t="s">
        <v>5033</v>
      </c>
      <c r="F3910" t="s">
        <v>5034</v>
      </c>
      <c r="G3910" s="3">
        <v>10209.65</v>
      </c>
      <c r="H3910" s="3">
        <v>1327.25</v>
      </c>
      <c r="I3910" s="3">
        <f>SUM(Tabla1[[#This Row],[Monto_Base]],H3910)</f>
        <v>11536.9</v>
      </c>
      <c r="J3910" t="s">
        <v>5046</v>
      </c>
      <c r="K3910" t="s">
        <v>5048</v>
      </c>
      <c r="L3910" t="s">
        <v>5053</v>
      </c>
      <c r="M3910" t="s">
        <v>5055</v>
      </c>
    </row>
    <row r="3911" spans="1:13" x14ac:dyDescent="0.3">
      <c r="A3911" s="1">
        <v>45621</v>
      </c>
      <c r="B3911" s="1" t="str">
        <f>TEXT(Tabla1[[#This Row],[Fecha]],"MMMM")</f>
        <v>noviembre</v>
      </c>
      <c r="C3911" t="s">
        <v>3921</v>
      </c>
      <c r="D3911" t="s">
        <v>5025</v>
      </c>
      <c r="E3911" t="s">
        <v>5032</v>
      </c>
      <c r="F3911" t="s">
        <v>5036</v>
      </c>
      <c r="G3911" s="3">
        <v>8939.77</v>
      </c>
      <c r="H3911" s="3">
        <v>0</v>
      </c>
      <c r="I3911" s="3">
        <f>SUM(Tabla1[[#This Row],[Monto_Base]],H3911)</f>
        <v>8939.77</v>
      </c>
      <c r="J3911" t="s">
        <v>5046</v>
      </c>
      <c r="K3911" t="s">
        <v>5048</v>
      </c>
      <c r="L3911" t="s">
        <v>5050</v>
      </c>
      <c r="M3911" t="s">
        <v>5054</v>
      </c>
    </row>
    <row r="3912" spans="1:13" x14ac:dyDescent="0.3">
      <c r="A3912" s="1">
        <v>45499</v>
      </c>
      <c r="B3912" s="1" t="str">
        <f>TEXT(Tabla1[[#This Row],[Fecha]],"MMMM")</f>
        <v>julio</v>
      </c>
      <c r="C3912" t="s">
        <v>3922</v>
      </c>
      <c r="D3912" t="s">
        <v>5020</v>
      </c>
      <c r="E3912" t="s">
        <v>5032</v>
      </c>
      <c r="F3912" t="s">
        <v>5041</v>
      </c>
      <c r="G3912" s="3">
        <v>1008.96</v>
      </c>
      <c r="H3912" s="3">
        <v>0</v>
      </c>
      <c r="I3912" s="3">
        <f>SUM(Tabla1[[#This Row],[Monto_Base]],H3912)</f>
        <v>1008.96</v>
      </c>
      <c r="J3912" t="s">
        <v>5044</v>
      </c>
      <c r="K3912" t="s">
        <v>5049</v>
      </c>
      <c r="L3912" t="s">
        <v>5050</v>
      </c>
      <c r="M3912" t="s">
        <v>5055</v>
      </c>
    </row>
    <row r="3913" spans="1:13" x14ac:dyDescent="0.3">
      <c r="A3913" s="1">
        <v>45523</v>
      </c>
      <c r="B3913" s="1" t="str">
        <f>TEXT(Tabla1[[#This Row],[Fecha]],"MMMM")</f>
        <v>agosto</v>
      </c>
      <c r="C3913" t="s">
        <v>3923</v>
      </c>
      <c r="D3913" t="s">
        <v>5020</v>
      </c>
      <c r="E3913" t="s">
        <v>5033</v>
      </c>
      <c r="F3913" t="s">
        <v>5038</v>
      </c>
      <c r="G3913" s="3">
        <v>4779.51</v>
      </c>
      <c r="H3913" s="3">
        <v>621.34</v>
      </c>
      <c r="I3913" s="3">
        <f>SUM(Tabla1[[#This Row],[Monto_Base]],H3913)</f>
        <v>5400.85</v>
      </c>
      <c r="J3913" t="s">
        <v>5044</v>
      </c>
      <c r="K3913" t="s">
        <v>5047</v>
      </c>
      <c r="L3913" t="s">
        <v>5051</v>
      </c>
      <c r="M3913" t="s">
        <v>5055</v>
      </c>
    </row>
    <row r="3914" spans="1:13" x14ac:dyDescent="0.3">
      <c r="A3914" s="1">
        <v>45506</v>
      </c>
      <c r="B3914" s="1" t="str">
        <f>TEXT(Tabla1[[#This Row],[Fecha]],"MMMM")</f>
        <v>agosto</v>
      </c>
      <c r="C3914" t="s">
        <v>3924</v>
      </c>
      <c r="D3914" t="s">
        <v>5029</v>
      </c>
      <c r="E3914" t="s">
        <v>5033</v>
      </c>
      <c r="F3914" t="s">
        <v>5040</v>
      </c>
      <c r="G3914" s="3">
        <v>2135.46</v>
      </c>
      <c r="H3914" s="3">
        <v>277.61</v>
      </c>
      <c r="I3914" s="3">
        <f>SUM(Tabla1[[#This Row],[Monto_Base]],H3914)</f>
        <v>2413.0700000000002</v>
      </c>
      <c r="J3914" t="s">
        <v>5042</v>
      </c>
      <c r="K3914" t="s">
        <v>5049</v>
      </c>
      <c r="L3914" t="s">
        <v>5053</v>
      </c>
      <c r="M3914" t="s">
        <v>5054</v>
      </c>
    </row>
    <row r="3915" spans="1:13" x14ac:dyDescent="0.3">
      <c r="A3915" s="1">
        <v>45513</v>
      </c>
      <c r="B3915" s="1" t="str">
        <f>TEXT(Tabla1[[#This Row],[Fecha]],"MMMM")</f>
        <v>agosto</v>
      </c>
      <c r="C3915" t="s">
        <v>3925</v>
      </c>
      <c r="D3915" t="s">
        <v>5030</v>
      </c>
      <c r="E3915" t="s">
        <v>5033</v>
      </c>
      <c r="F3915" t="s">
        <v>5036</v>
      </c>
      <c r="G3915" s="3">
        <v>4754.38</v>
      </c>
      <c r="H3915" s="3">
        <v>618.07000000000005</v>
      </c>
      <c r="I3915" s="3">
        <f>SUM(Tabla1[[#This Row],[Monto_Base]],H3915)</f>
        <v>5372.45</v>
      </c>
      <c r="J3915" t="s">
        <v>5043</v>
      </c>
      <c r="K3915" t="s">
        <v>5047</v>
      </c>
      <c r="L3915" t="s">
        <v>5052</v>
      </c>
      <c r="M3915" t="s">
        <v>5055</v>
      </c>
    </row>
    <row r="3916" spans="1:13" x14ac:dyDescent="0.3">
      <c r="A3916" s="1">
        <v>45507</v>
      </c>
      <c r="B3916" s="1" t="str">
        <f>TEXT(Tabla1[[#This Row],[Fecha]],"MMMM")</f>
        <v>agosto</v>
      </c>
      <c r="C3916" t="s">
        <v>3926</v>
      </c>
      <c r="D3916" t="s">
        <v>5015</v>
      </c>
      <c r="E3916" t="s">
        <v>5032</v>
      </c>
      <c r="F3916" t="s">
        <v>5037</v>
      </c>
      <c r="G3916" s="3">
        <v>4338.3999999999996</v>
      </c>
      <c r="H3916" s="3">
        <v>0</v>
      </c>
      <c r="I3916" s="3">
        <f>SUM(Tabla1[[#This Row],[Monto_Base]],H3916)</f>
        <v>4338.3999999999996</v>
      </c>
      <c r="J3916" t="s">
        <v>5043</v>
      </c>
      <c r="K3916" t="s">
        <v>5047</v>
      </c>
      <c r="L3916" t="s">
        <v>5051</v>
      </c>
      <c r="M3916" t="s">
        <v>5054</v>
      </c>
    </row>
    <row r="3917" spans="1:13" x14ac:dyDescent="0.3">
      <c r="A3917" s="1">
        <v>45399</v>
      </c>
      <c r="B3917" s="1" t="str">
        <f>TEXT(Tabla1[[#This Row],[Fecha]],"MMMM")</f>
        <v>abril</v>
      </c>
      <c r="C3917" t="s">
        <v>3927</v>
      </c>
      <c r="D3917" t="s">
        <v>5016</v>
      </c>
      <c r="E3917" t="s">
        <v>5033</v>
      </c>
      <c r="F3917" t="s">
        <v>5034</v>
      </c>
      <c r="G3917" s="3">
        <v>7584.87</v>
      </c>
      <c r="H3917" s="3">
        <v>986.03</v>
      </c>
      <c r="I3917" s="3">
        <f>SUM(Tabla1[[#This Row],[Monto_Base]],H3917)</f>
        <v>8570.9</v>
      </c>
      <c r="J3917" t="s">
        <v>5045</v>
      </c>
      <c r="K3917" t="s">
        <v>5049</v>
      </c>
      <c r="L3917" t="s">
        <v>5052</v>
      </c>
      <c r="M3917" t="s">
        <v>5055</v>
      </c>
    </row>
    <row r="3918" spans="1:13" x14ac:dyDescent="0.3">
      <c r="A3918" s="1">
        <v>45455</v>
      </c>
      <c r="B3918" s="1" t="str">
        <f>TEXT(Tabla1[[#This Row],[Fecha]],"MMMM")</f>
        <v>junio</v>
      </c>
      <c r="C3918" t="s">
        <v>3928</v>
      </c>
      <c r="D3918" t="s">
        <v>5020</v>
      </c>
      <c r="E3918" t="s">
        <v>5033</v>
      </c>
      <c r="F3918" t="s">
        <v>5039</v>
      </c>
      <c r="G3918" s="3">
        <v>11403.06</v>
      </c>
      <c r="H3918" s="3">
        <v>1482.4</v>
      </c>
      <c r="I3918" s="3">
        <f>SUM(Tabla1[[#This Row],[Monto_Base]],H3918)</f>
        <v>12885.46</v>
      </c>
      <c r="J3918" t="s">
        <v>5042</v>
      </c>
      <c r="K3918" t="s">
        <v>5048</v>
      </c>
      <c r="L3918" t="s">
        <v>5053</v>
      </c>
      <c r="M3918" t="s">
        <v>5054</v>
      </c>
    </row>
    <row r="3919" spans="1:13" x14ac:dyDescent="0.3">
      <c r="A3919" s="1">
        <v>45397</v>
      </c>
      <c r="B3919" s="1" t="str">
        <f>TEXT(Tabla1[[#This Row],[Fecha]],"MMMM")</f>
        <v>abril</v>
      </c>
      <c r="C3919" t="s">
        <v>3929</v>
      </c>
      <c r="D3919" t="s">
        <v>5020</v>
      </c>
      <c r="E3919" t="s">
        <v>5032</v>
      </c>
      <c r="F3919" t="s">
        <v>5034</v>
      </c>
      <c r="G3919" s="3">
        <v>10337.85</v>
      </c>
      <c r="H3919" s="3">
        <v>0</v>
      </c>
      <c r="I3919" s="3">
        <f>SUM(Tabla1[[#This Row],[Monto_Base]],H3919)</f>
        <v>10337.85</v>
      </c>
      <c r="J3919" t="s">
        <v>5042</v>
      </c>
      <c r="K3919" t="s">
        <v>5049</v>
      </c>
      <c r="L3919" t="s">
        <v>5052</v>
      </c>
      <c r="M3919" t="s">
        <v>5054</v>
      </c>
    </row>
    <row r="3920" spans="1:13" x14ac:dyDescent="0.3">
      <c r="A3920" s="1">
        <v>45456</v>
      </c>
      <c r="B3920" s="1" t="str">
        <f>TEXT(Tabla1[[#This Row],[Fecha]],"MMMM")</f>
        <v>junio</v>
      </c>
      <c r="C3920" t="s">
        <v>3930</v>
      </c>
      <c r="D3920" t="s">
        <v>5014</v>
      </c>
      <c r="E3920" t="s">
        <v>5032</v>
      </c>
      <c r="F3920" t="s">
        <v>5039</v>
      </c>
      <c r="G3920" s="3">
        <v>4219.5</v>
      </c>
      <c r="H3920" s="3">
        <v>0</v>
      </c>
      <c r="I3920" s="3">
        <f>SUM(Tabla1[[#This Row],[Monto_Base]],H3920)</f>
        <v>4219.5</v>
      </c>
      <c r="J3920" t="s">
        <v>5043</v>
      </c>
      <c r="K3920" t="s">
        <v>5047</v>
      </c>
      <c r="L3920" t="s">
        <v>5051</v>
      </c>
      <c r="M3920" t="s">
        <v>5054</v>
      </c>
    </row>
    <row r="3921" spans="1:13" x14ac:dyDescent="0.3">
      <c r="A3921" s="1">
        <v>45566</v>
      </c>
      <c r="B3921" s="1" t="str">
        <f>TEXT(Tabla1[[#This Row],[Fecha]],"MMMM")</f>
        <v>octubre</v>
      </c>
      <c r="C3921" t="s">
        <v>3931</v>
      </c>
      <c r="D3921" t="s">
        <v>5020</v>
      </c>
      <c r="E3921" t="s">
        <v>5032</v>
      </c>
      <c r="F3921" t="s">
        <v>5039</v>
      </c>
      <c r="G3921" s="3">
        <v>6066.31</v>
      </c>
      <c r="H3921" s="3">
        <v>0</v>
      </c>
      <c r="I3921" s="3">
        <f>SUM(Tabla1[[#This Row],[Monto_Base]],H3921)</f>
        <v>6066.31</v>
      </c>
      <c r="J3921" t="s">
        <v>5042</v>
      </c>
      <c r="K3921" t="s">
        <v>5047</v>
      </c>
      <c r="L3921" t="s">
        <v>5052</v>
      </c>
      <c r="M3921" t="s">
        <v>5054</v>
      </c>
    </row>
    <row r="3922" spans="1:13" x14ac:dyDescent="0.3">
      <c r="A3922" s="1">
        <v>45632</v>
      </c>
      <c r="B3922" s="1" t="str">
        <f>TEXT(Tabla1[[#This Row],[Fecha]],"MMMM")</f>
        <v>diciembre</v>
      </c>
      <c r="C3922" t="s">
        <v>3932</v>
      </c>
      <c r="D3922" t="s">
        <v>5028</v>
      </c>
      <c r="E3922" t="s">
        <v>5032</v>
      </c>
      <c r="F3922" t="s">
        <v>5036</v>
      </c>
      <c r="G3922" s="3">
        <v>5694.16</v>
      </c>
      <c r="H3922" s="3">
        <v>0</v>
      </c>
      <c r="I3922" s="3">
        <f>SUM(Tabla1[[#This Row],[Monto_Base]],H3922)</f>
        <v>5694.16</v>
      </c>
      <c r="J3922" t="s">
        <v>5042</v>
      </c>
      <c r="K3922" t="s">
        <v>5049</v>
      </c>
      <c r="L3922" t="s">
        <v>5050</v>
      </c>
      <c r="M3922" t="s">
        <v>5054</v>
      </c>
    </row>
    <row r="3923" spans="1:13" x14ac:dyDescent="0.3">
      <c r="A3923" s="1">
        <v>45384</v>
      </c>
      <c r="B3923" s="1" t="str">
        <f>TEXT(Tabla1[[#This Row],[Fecha]],"MMMM")</f>
        <v>abril</v>
      </c>
      <c r="C3923" t="s">
        <v>3933</v>
      </c>
      <c r="D3923" t="s">
        <v>5014</v>
      </c>
      <c r="E3923" t="s">
        <v>5032</v>
      </c>
      <c r="F3923" t="s">
        <v>5038</v>
      </c>
      <c r="G3923" s="3">
        <v>7246.95</v>
      </c>
      <c r="H3923" s="3">
        <v>0</v>
      </c>
      <c r="I3923" s="3">
        <f>SUM(Tabla1[[#This Row],[Monto_Base]],H3923)</f>
        <v>7246.95</v>
      </c>
      <c r="J3923" t="s">
        <v>5046</v>
      </c>
      <c r="K3923" t="s">
        <v>5049</v>
      </c>
      <c r="L3923" t="s">
        <v>5050</v>
      </c>
      <c r="M3923" t="s">
        <v>5054</v>
      </c>
    </row>
    <row r="3924" spans="1:13" x14ac:dyDescent="0.3">
      <c r="A3924" s="1">
        <v>45519</v>
      </c>
      <c r="B3924" s="1" t="str">
        <f>TEXT(Tabla1[[#This Row],[Fecha]],"MMMM")</f>
        <v>agosto</v>
      </c>
      <c r="C3924" t="s">
        <v>3934</v>
      </c>
      <c r="D3924" t="s">
        <v>5023</v>
      </c>
      <c r="E3924" t="s">
        <v>5032</v>
      </c>
      <c r="F3924" t="s">
        <v>5038</v>
      </c>
      <c r="G3924" s="3">
        <v>7070.28</v>
      </c>
      <c r="H3924" s="3">
        <v>0</v>
      </c>
      <c r="I3924" s="3">
        <f>SUM(Tabla1[[#This Row],[Monto_Base]],H3924)</f>
        <v>7070.28</v>
      </c>
      <c r="J3924" t="s">
        <v>5046</v>
      </c>
      <c r="K3924" t="s">
        <v>5048</v>
      </c>
      <c r="L3924" t="s">
        <v>5053</v>
      </c>
      <c r="M3924" t="s">
        <v>5054</v>
      </c>
    </row>
    <row r="3925" spans="1:13" x14ac:dyDescent="0.3">
      <c r="A3925" s="1">
        <v>45435</v>
      </c>
      <c r="B3925" s="1" t="str">
        <f>TEXT(Tabla1[[#This Row],[Fecha]],"MMMM")</f>
        <v>mayo</v>
      </c>
      <c r="C3925" t="s">
        <v>3935</v>
      </c>
      <c r="D3925" t="s">
        <v>5031</v>
      </c>
      <c r="E3925" t="s">
        <v>5033</v>
      </c>
      <c r="F3925" t="s">
        <v>5039</v>
      </c>
      <c r="G3925" s="3">
        <v>10872.36</v>
      </c>
      <c r="H3925" s="3">
        <v>1413.41</v>
      </c>
      <c r="I3925" s="3">
        <f>SUM(Tabla1[[#This Row],[Monto_Base]],H3925)</f>
        <v>12285.77</v>
      </c>
      <c r="J3925" t="s">
        <v>5045</v>
      </c>
      <c r="K3925" t="s">
        <v>5049</v>
      </c>
      <c r="L3925" t="s">
        <v>5052</v>
      </c>
      <c r="M3925" t="s">
        <v>5054</v>
      </c>
    </row>
    <row r="3926" spans="1:13" x14ac:dyDescent="0.3">
      <c r="A3926" s="1">
        <v>45415</v>
      </c>
      <c r="B3926" s="1" t="str">
        <f>TEXT(Tabla1[[#This Row],[Fecha]],"MMMM")</f>
        <v>mayo</v>
      </c>
      <c r="C3926" t="s">
        <v>3936</v>
      </c>
      <c r="D3926" t="s">
        <v>5023</v>
      </c>
      <c r="E3926" t="s">
        <v>5033</v>
      </c>
      <c r="F3926" t="s">
        <v>5037</v>
      </c>
      <c r="G3926" s="3">
        <v>2822.18</v>
      </c>
      <c r="H3926" s="3">
        <v>366.88</v>
      </c>
      <c r="I3926" s="3">
        <f>SUM(Tabla1[[#This Row],[Monto_Base]],H3926)</f>
        <v>3189.06</v>
      </c>
      <c r="J3926" t="s">
        <v>5042</v>
      </c>
      <c r="K3926" t="s">
        <v>5048</v>
      </c>
      <c r="L3926" t="s">
        <v>5053</v>
      </c>
      <c r="M3926" t="s">
        <v>5055</v>
      </c>
    </row>
    <row r="3927" spans="1:13" x14ac:dyDescent="0.3">
      <c r="A3927" s="1">
        <v>45568</v>
      </c>
      <c r="B3927" s="1" t="str">
        <f>TEXT(Tabla1[[#This Row],[Fecha]],"MMMM")</f>
        <v>octubre</v>
      </c>
      <c r="C3927" t="s">
        <v>3937</v>
      </c>
      <c r="D3927" t="s">
        <v>5020</v>
      </c>
      <c r="E3927" t="s">
        <v>5032</v>
      </c>
      <c r="F3927" t="s">
        <v>5038</v>
      </c>
      <c r="G3927" s="3">
        <v>1013.14</v>
      </c>
      <c r="H3927" s="3">
        <v>0</v>
      </c>
      <c r="I3927" s="3">
        <f>SUM(Tabla1[[#This Row],[Monto_Base]],H3927)</f>
        <v>1013.14</v>
      </c>
      <c r="J3927" t="s">
        <v>5042</v>
      </c>
      <c r="K3927" t="s">
        <v>5047</v>
      </c>
      <c r="L3927" t="s">
        <v>5051</v>
      </c>
      <c r="M3927" t="s">
        <v>5054</v>
      </c>
    </row>
    <row r="3928" spans="1:13" x14ac:dyDescent="0.3">
      <c r="A3928" s="1">
        <v>45469</v>
      </c>
      <c r="B3928" s="1" t="str">
        <f>TEXT(Tabla1[[#This Row],[Fecha]],"MMMM")</f>
        <v>junio</v>
      </c>
      <c r="C3928" t="s">
        <v>3938</v>
      </c>
      <c r="D3928" t="s">
        <v>5021</v>
      </c>
      <c r="E3928" t="s">
        <v>5033</v>
      </c>
      <c r="F3928" t="s">
        <v>5035</v>
      </c>
      <c r="G3928" s="3">
        <v>13363.58</v>
      </c>
      <c r="H3928" s="3">
        <v>1737.27</v>
      </c>
      <c r="I3928" s="3">
        <f>SUM(Tabla1[[#This Row],[Monto_Base]],H3928)</f>
        <v>15100.85</v>
      </c>
      <c r="J3928" t="s">
        <v>5043</v>
      </c>
      <c r="K3928" t="s">
        <v>5047</v>
      </c>
      <c r="L3928" t="s">
        <v>5053</v>
      </c>
      <c r="M3928" t="s">
        <v>5054</v>
      </c>
    </row>
    <row r="3929" spans="1:13" x14ac:dyDescent="0.3">
      <c r="A3929" s="1">
        <v>45459</v>
      </c>
      <c r="B3929" s="1" t="str">
        <f>TEXT(Tabla1[[#This Row],[Fecha]],"MMMM")</f>
        <v>junio</v>
      </c>
      <c r="C3929" t="s">
        <v>3939</v>
      </c>
      <c r="D3929" t="s">
        <v>5023</v>
      </c>
      <c r="E3929" t="s">
        <v>5033</v>
      </c>
      <c r="F3929" t="s">
        <v>5037</v>
      </c>
      <c r="G3929" s="3">
        <v>7148.91</v>
      </c>
      <c r="H3929" s="3">
        <v>929.36</v>
      </c>
      <c r="I3929" s="3">
        <f>SUM(Tabla1[[#This Row],[Monto_Base]],H3929)</f>
        <v>8078.2699999999995</v>
      </c>
      <c r="J3929" t="s">
        <v>5044</v>
      </c>
      <c r="K3929" t="s">
        <v>5049</v>
      </c>
      <c r="L3929" t="s">
        <v>5053</v>
      </c>
      <c r="M3929" t="s">
        <v>5055</v>
      </c>
    </row>
    <row r="3930" spans="1:13" x14ac:dyDescent="0.3">
      <c r="A3930" s="1">
        <v>45510</v>
      </c>
      <c r="B3930" s="1" t="str">
        <f>TEXT(Tabla1[[#This Row],[Fecha]],"MMMM")</f>
        <v>agosto</v>
      </c>
      <c r="C3930" t="s">
        <v>3940</v>
      </c>
      <c r="D3930" t="s">
        <v>5014</v>
      </c>
      <c r="E3930" t="s">
        <v>5032</v>
      </c>
      <c r="F3930" t="s">
        <v>5040</v>
      </c>
      <c r="G3930" s="3">
        <v>6673.28</v>
      </c>
      <c r="H3930" s="3">
        <v>0</v>
      </c>
      <c r="I3930" s="3">
        <f>SUM(Tabla1[[#This Row],[Monto_Base]],H3930)</f>
        <v>6673.28</v>
      </c>
      <c r="J3930" t="s">
        <v>5042</v>
      </c>
      <c r="K3930" t="s">
        <v>5049</v>
      </c>
      <c r="L3930" t="s">
        <v>5050</v>
      </c>
      <c r="M3930" t="s">
        <v>5054</v>
      </c>
    </row>
    <row r="3931" spans="1:13" x14ac:dyDescent="0.3">
      <c r="A3931" s="1">
        <v>45505</v>
      </c>
      <c r="B3931" s="1" t="str">
        <f>TEXT(Tabla1[[#This Row],[Fecha]],"MMMM")</f>
        <v>agosto</v>
      </c>
      <c r="C3931" t="s">
        <v>3941</v>
      </c>
      <c r="D3931" t="s">
        <v>5017</v>
      </c>
      <c r="E3931" t="s">
        <v>5033</v>
      </c>
      <c r="F3931" t="s">
        <v>5040</v>
      </c>
      <c r="G3931" s="3">
        <v>942.25</v>
      </c>
      <c r="H3931" s="3">
        <v>122.49</v>
      </c>
      <c r="I3931" s="3">
        <f>SUM(Tabla1[[#This Row],[Monto_Base]],H3931)</f>
        <v>1064.74</v>
      </c>
      <c r="J3931" t="s">
        <v>5046</v>
      </c>
      <c r="K3931" t="s">
        <v>5049</v>
      </c>
      <c r="L3931" t="s">
        <v>5050</v>
      </c>
      <c r="M3931" t="s">
        <v>5055</v>
      </c>
    </row>
    <row r="3932" spans="1:13" x14ac:dyDescent="0.3">
      <c r="A3932" s="1">
        <v>45317</v>
      </c>
      <c r="B3932" s="1" t="str">
        <f>TEXT(Tabla1[[#This Row],[Fecha]],"MMMM")</f>
        <v>enero</v>
      </c>
      <c r="C3932" t="s">
        <v>3942</v>
      </c>
      <c r="D3932" t="s">
        <v>5029</v>
      </c>
      <c r="E3932" t="s">
        <v>5033</v>
      </c>
      <c r="F3932" t="s">
        <v>5038</v>
      </c>
      <c r="G3932" s="3">
        <v>6601.9</v>
      </c>
      <c r="H3932" s="3">
        <v>858.25</v>
      </c>
      <c r="I3932" s="3">
        <f>SUM(Tabla1[[#This Row],[Monto_Base]],H3932)</f>
        <v>7460.15</v>
      </c>
      <c r="J3932" t="s">
        <v>5042</v>
      </c>
      <c r="K3932" t="s">
        <v>5049</v>
      </c>
      <c r="L3932" t="s">
        <v>5052</v>
      </c>
      <c r="M3932" t="s">
        <v>5054</v>
      </c>
    </row>
    <row r="3933" spans="1:13" x14ac:dyDescent="0.3">
      <c r="A3933" s="1">
        <v>45382</v>
      </c>
      <c r="B3933" s="1" t="str">
        <f>TEXT(Tabla1[[#This Row],[Fecha]],"MMMM")</f>
        <v>marzo</v>
      </c>
      <c r="C3933" t="s">
        <v>3943</v>
      </c>
      <c r="D3933" t="s">
        <v>5031</v>
      </c>
      <c r="E3933" t="s">
        <v>5033</v>
      </c>
      <c r="F3933" t="s">
        <v>5040</v>
      </c>
      <c r="G3933" s="3">
        <v>8188.41</v>
      </c>
      <c r="H3933" s="3">
        <v>1064.49</v>
      </c>
      <c r="I3933" s="3">
        <f>SUM(Tabla1[[#This Row],[Monto_Base]],H3933)</f>
        <v>9252.9</v>
      </c>
      <c r="J3933" t="s">
        <v>5042</v>
      </c>
      <c r="K3933" t="s">
        <v>5049</v>
      </c>
      <c r="L3933" t="s">
        <v>5051</v>
      </c>
      <c r="M3933" t="s">
        <v>5055</v>
      </c>
    </row>
    <row r="3934" spans="1:13" x14ac:dyDescent="0.3">
      <c r="A3934" s="1">
        <v>45395</v>
      </c>
      <c r="B3934" s="1" t="str">
        <f>TEXT(Tabla1[[#This Row],[Fecha]],"MMMM")</f>
        <v>abril</v>
      </c>
      <c r="C3934" t="s">
        <v>3944</v>
      </c>
      <c r="D3934" t="s">
        <v>5024</v>
      </c>
      <c r="E3934" t="s">
        <v>5032</v>
      </c>
      <c r="F3934" t="s">
        <v>5034</v>
      </c>
      <c r="G3934" s="3">
        <v>1216.6099999999999</v>
      </c>
      <c r="H3934" s="3">
        <v>0</v>
      </c>
      <c r="I3934" s="3">
        <f>SUM(Tabla1[[#This Row],[Monto_Base]],H3934)</f>
        <v>1216.6099999999999</v>
      </c>
      <c r="J3934" t="s">
        <v>5046</v>
      </c>
      <c r="K3934" t="s">
        <v>5047</v>
      </c>
      <c r="L3934" t="s">
        <v>5051</v>
      </c>
      <c r="M3934" t="s">
        <v>5055</v>
      </c>
    </row>
    <row r="3935" spans="1:13" x14ac:dyDescent="0.3">
      <c r="A3935" s="1">
        <v>45369</v>
      </c>
      <c r="B3935" s="1" t="str">
        <f>TEXT(Tabla1[[#This Row],[Fecha]],"MMMM")</f>
        <v>marzo</v>
      </c>
      <c r="C3935" t="s">
        <v>3945</v>
      </c>
      <c r="D3935" t="s">
        <v>5013</v>
      </c>
      <c r="E3935" t="s">
        <v>5032</v>
      </c>
      <c r="F3935" t="s">
        <v>5039</v>
      </c>
      <c r="G3935" s="3">
        <v>11176.09</v>
      </c>
      <c r="H3935" s="3">
        <v>0</v>
      </c>
      <c r="I3935" s="3">
        <f>SUM(Tabla1[[#This Row],[Monto_Base]],H3935)</f>
        <v>11176.09</v>
      </c>
      <c r="J3935" t="s">
        <v>5042</v>
      </c>
      <c r="K3935" t="s">
        <v>5047</v>
      </c>
      <c r="L3935" t="s">
        <v>5052</v>
      </c>
      <c r="M3935" t="s">
        <v>5054</v>
      </c>
    </row>
    <row r="3936" spans="1:13" x14ac:dyDescent="0.3">
      <c r="A3936" s="1">
        <v>45633</v>
      </c>
      <c r="B3936" s="1" t="str">
        <f>TEXT(Tabla1[[#This Row],[Fecha]],"MMMM")</f>
        <v>diciembre</v>
      </c>
      <c r="C3936" t="s">
        <v>3946</v>
      </c>
      <c r="D3936" t="s">
        <v>5029</v>
      </c>
      <c r="E3936" t="s">
        <v>5033</v>
      </c>
      <c r="F3936" t="s">
        <v>5038</v>
      </c>
      <c r="G3936" s="3">
        <v>11754.2</v>
      </c>
      <c r="H3936" s="3">
        <v>1528.05</v>
      </c>
      <c r="I3936" s="3">
        <f>SUM(Tabla1[[#This Row],[Monto_Base]],H3936)</f>
        <v>13282.25</v>
      </c>
      <c r="J3936" t="s">
        <v>5043</v>
      </c>
      <c r="K3936" t="s">
        <v>5048</v>
      </c>
      <c r="L3936" t="s">
        <v>5053</v>
      </c>
      <c r="M3936" t="s">
        <v>5054</v>
      </c>
    </row>
    <row r="3937" spans="1:13" x14ac:dyDescent="0.3">
      <c r="A3937" s="1">
        <v>45640</v>
      </c>
      <c r="B3937" s="1" t="str">
        <f>TEXT(Tabla1[[#This Row],[Fecha]],"MMMM")</f>
        <v>diciembre</v>
      </c>
      <c r="C3937" t="s">
        <v>3947</v>
      </c>
      <c r="D3937" t="s">
        <v>5024</v>
      </c>
      <c r="E3937" t="s">
        <v>5032</v>
      </c>
      <c r="F3937" t="s">
        <v>5034</v>
      </c>
      <c r="G3937" s="3">
        <v>12883.79</v>
      </c>
      <c r="H3937" s="3">
        <v>0</v>
      </c>
      <c r="I3937" s="3">
        <f>SUM(Tabla1[[#This Row],[Monto_Base]],H3937)</f>
        <v>12883.79</v>
      </c>
      <c r="J3937" t="s">
        <v>5045</v>
      </c>
      <c r="K3937" t="s">
        <v>5047</v>
      </c>
      <c r="L3937" t="s">
        <v>5053</v>
      </c>
      <c r="M3937" t="s">
        <v>5054</v>
      </c>
    </row>
    <row r="3938" spans="1:13" x14ac:dyDescent="0.3">
      <c r="A3938" s="1">
        <v>45512</v>
      </c>
      <c r="B3938" s="1" t="str">
        <f>TEXT(Tabla1[[#This Row],[Fecha]],"MMMM")</f>
        <v>agosto</v>
      </c>
      <c r="C3938" t="s">
        <v>3948</v>
      </c>
      <c r="D3938" t="s">
        <v>5027</v>
      </c>
      <c r="E3938" t="s">
        <v>5032</v>
      </c>
      <c r="F3938" t="s">
        <v>5034</v>
      </c>
      <c r="G3938" s="3">
        <v>11540.62</v>
      </c>
      <c r="H3938" s="3">
        <v>0</v>
      </c>
      <c r="I3938" s="3">
        <f>SUM(Tabla1[[#This Row],[Monto_Base]],H3938)</f>
        <v>11540.62</v>
      </c>
      <c r="J3938" t="s">
        <v>5046</v>
      </c>
      <c r="K3938" t="s">
        <v>5047</v>
      </c>
      <c r="L3938" t="s">
        <v>5051</v>
      </c>
      <c r="M3938" t="s">
        <v>5055</v>
      </c>
    </row>
    <row r="3939" spans="1:13" x14ac:dyDescent="0.3">
      <c r="A3939" s="1">
        <v>45565</v>
      </c>
      <c r="B3939" s="1" t="str">
        <f>TEXT(Tabla1[[#This Row],[Fecha]],"MMMM")</f>
        <v>septiembre</v>
      </c>
      <c r="C3939" t="s">
        <v>3949</v>
      </c>
      <c r="D3939" t="s">
        <v>5029</v>
      </c>
      <c r="E3939" t="s">
        <v>5033</v>
      </c>
      <c r="F3939" t="s">
        <v>5038</v>
      </c>
      <c r="G3939" s="3">
        <v>11264.45</v>
      </c>
      <c r="H3939" s="3">
        <v>1464.38</v>
      </c>
      <c r="I3939" s="3">
        <f>SUM(Tabla1[[#This Row],[Monto_Base]],H3939)</f>
        <v>12728.830000000002</v>
      </c>
      <c r="J3939" t="s">
        <v>5044</v>
      </c>
      <c r="K3939" t="s">
        <v>5048</v>
      </c>
      <c r="L3939" t="s">
        <v>5050</v>
      </c>
      <c r="M3939" t="s">
        <v>5054</v>
      </c>
    </row>
    <row r="3940" spans="1:13" x14ac:dyDescent="0.3">
      <c r="A3940" s="1">
        <v>45345</v>
      </c>
      <c r="B3940" s="1" t="str">
        <f>TEXT(Tabla1[[#This Row],[Fecha]],"MMMM")</f>
        <v>febrero</v>
      </c>
      <c r="C3940" t="s">
        <v>3950</v>
      </c>
      <c r="D3940" t="s">
        <v>5031</v>
      </c>
      <c r="E3940" t="s">
        <v>5032</v>
      </c>
      <c r="F3940" t="s">
        <v>5036</v>
      </c>
      <c r="G3940" s="3">
        <v>11468.92</v>
      </c>
      <c r="H3940" s="3">
        <v>0</v>
      </c>
      <c r="I3940" s="3">
        <f>SUM(Tabla1[[#This Row],[Monto_Base]],H3940)</f>
        <v>11468.92</v>
      </c>
      <c r="J3940" t="s">
        <v>5045</v>
      </c>
      <c r="K3940" t="s">
        <v>5049</v>
      </c>
      <c r="L3940" t="s">
        <v>5051</v>
      </c>
      <c r="M3940" t="s">
        <v>5055</v>
      </c>
    </row>
    <row r="3941" spans="1:13" x14ac:dyDescent="0.3">
      <c r="A3941" s="1">
        <v>45629</v>
      </c>
      <c r="B3941" s="1" t="str">
        <f>TEXT(Tabla1[[#This Row],[Fecha]],"MMMM")</f>
        <v>diciembre</v>
      </c>
      <c r="C3941" t="s">
        <v>3951</v>
      </c>
      <c r="D3941" t="s">
        <v>5012</v>
      </c>
      <c r="E3941" t="s">
        <v>5032</v>
      </c>
      <c r="F3941" t="s">
        <v>5037</v>
      </c>
      <c r="G3941" s="3">
        <v>11224.48</v>
      </c>
      <c r="H3941" s="3">
        <v>0</v>
      </c>
      <c r="I3941" s="3">
        <f>SUM(Tabla1[[#This Row],[Monto_Base]],H3941)</f>
        <v>11224.48</v>
      </c>
      <c r="J3941" t="s">
        <v>5045</v>
      </c>
      <c r="K3941" t="s">
        <v>5047</v>
      </c>
      <c r="L3941" t="s">
        <v>5050</v>
      </c>
      <c r="M3941" t="s">
        <v>5054</v>
      </c>
    </row>
    <row r="3942" spans="1:13" x14ac:dyDescent="0.3">
      <c r="A3942" s="1">
        <v>45605</v>
      </c>
      <c r="B3942" s="1" t="str">
        <f>TEXT(Tabla1[[#This Row],[Fecha]],"MMMM")</f>
        <v>noviembre</v>
      </c>
      <c r="C3942" t="s">
        <v>3952</v>
      </c>
      <c r="D3942" t="s">
        <v>5019</v>
      </c>
      <c r="E3942" t="s">
        <v>5033</v>
      </c>
      <c r="F3942" t="s">
        <v>5036</v>
      </c>
      <c r="G3942" s="3">
        <v>6660.85</v>
      </c>
      <c r="H3942" s="3">
        <v>865.91</v>
      </c>
      <c r="I3942" s="3">
        <f>SUM(Tabla1[[#This Row],[Monto_Base]],H3942)</f>
        <v>7526.76</v>
      </c>
      <c r="J3942" t="s">
        <v>5044</v>
      </c>
      <c r="K3942" t="s">
        <v>5047</v>
      </c>
      <c r="L3942" t="s">
        <v>5053</v>
      </c>
      <c r="M3942" t="s">
        <v>5055</v>
      </c>
    </row>
    <row r="3943" spans="1:13" x14ac:dyDescent="0.3">
      <c r="A3943" s="1">
        <v>45505</v>
      </c>
      <c r="B3943" s="1" t="str">
        <f>TEXT(Tabla1[[#This Row],[Fecha]],"MMMM")</f>
        <v>agosto</v>
      </c>
      <c r="C3943" t="s">
        <v>3953</v>
      </c>
      <c r="D3943" t="s">
        <v>5021</v>
      </c>
      <c r="E3943" t="s">
        <v>5032</v>
      </c>
      <c r="F3943" t="s">
        <v>5036</v>
      </c>
      <c r="G3943" s="3">
        <v>14467.84</v>
      </c>
      <c r="H3943" s="3">
        <v>0</v>
      </c>
      <c r="I3943" s="3">
        <f>SUM(Tabla1[[#This Row],[Monto_Base]],H3943)</f>
        <v>14467.84</v>
      </c>
      <c r="J3943" t="s">
        <v>5043</v>
      </c>
      <c r="K3943" t="s">
        <v>5049</v>
      </c>
      <c r="L3943" t="s">
        <v>5050</v>
      </c>
      <c r="M3943" t="s">
        <v>5055</v>
      </c>
    </row>
    <row r="3944" spans="1:13" x14ac:dyDescent="0.3">
      <c r="A3944" s="1">
        <v>45512</v>
      </c>
      <c r="B3944" s="1" t="str">
        <f>TEXT(Tabla1[[#This Row],[Fecha]],"MMMM")</f>
        <v>agosto</v>
      </c>
      <c r="C3944" t="s">
        <v>3954</v>
      </c>
      <c r="D3944" t="s">
        <v>5025</v>
      </c>
      <c r="E3944" t="s">
        <v>5033</v>
      </c>
      <c r="F3944" t="s">
        <v>5039</v>
      </c>
      <c r="G3944" s="3">
        <v>13642.21</v>
      </c>
      <c r="H3944" s="3">
        <v>1773.49</v>
      </c>
      <c r="I3944" s="3">
        <f>SUM(Tabla1[[#This Row],[Monto_Base]],H3944)</f>
        <v>15415.699999999999</v>
      </c>
      <c r="J3944" t="s">
        <v>5044</v>
      </c>
      <c r="K3944" t="s">
        <v>5047</v>
      </c>
      <c r="L3944" t="s">
        <v>5052</v>
      </c>
      <c r="M3944" t="s">
        <v>5055</v>
      </c>
    </row>
    <row r="3945" spans="1:13" x14ac:dyDescent="0.3">
      <c r="A3945" s="1">
        <v>45422</v>
      </c>
      <c r="B3945" s="1" t="str">
        <f>TEXT(Tabla1[[#This Row],[Fecha]],"MMMM")</f>
        <v>mayo</v>
      </c>
      <c r="C3945" t="s">
        <v>3955</v>
      </c>
      <c r="D3945" t="s">
        <v>5017</v>
      </c>
      <c r="E3945" t="s">
        <v>5033</v>
      </c>
      <c r="F3945" t="s">
        <v>5040</v>
      </c>
      <c r="G3945" s="3">
        <v>4027.85</v>
      </c>
      <c r="H3945" s="3">
        <v>523.62</v>
      </c>
      <c r="I3945" s="3">
        <f>SUM(Tabla1[[#This Row],[Monto_Base]],H3945)</f>
        <v>4551.47</v>
      </c>
      <c r="J3945" t="s">
        <v>5045</v>
      </c>
      <c r="K3945" t="s">
        <v>5048</v>
      </c>
      <c r="L3945" t="s">
        <v>5053</v>
      </c>
      <c r="M3945" t="s">
        <v>5054</v>
      </c>
    </row>
    <row r="3946" spans="1:13" x14ac:dyDescent="0.3">
      <c r="A3946" s="1">
        <v>45416</v>
      </c>
      <c r="B3946" s="1" t="str">
        <f>TEXT(Tabla1[[#This Row],[Fecha]],"MMMM")</f>
        <v>mayo</v>
      </c>
      <c r="C3946" t="s">
        <v>3956</v>
      </c>
      <c r="D3946" t="s">
        <v>5018</v>
      </c>
      <c r="E3946" t="s">
        <v>5033</v>
      </c>
      <c r="F3946" t="s">
        <v>5040</v>
      </c>
      <c r="G3946" s="3">
        <v>408.47</v>
      </c>
      <c r="H3946" s="3">
        <v>53.1</v>
      </c>
      <c r="I3946" s="3">
        <f>SUM(Tabla1[[#This Row],[Monto_Base]],H3946)</f>
        <v>461.57000000000005</v>
      </c>
      <c r="J3946" t="s">
        <v>5045</v>
      </c>
      <c r="K3946" t="s">
        <v>5048</v>
      </c>
      <c r="L3946" t="s">
        <v>5053</v>
      </c>
      <c r="M3946" t="s">
        <v>5055</v>
      </c>
    </row>
    <row r="3947" spans="1:13" x14ac:dyDescent="0.3">
      <c r="A3947" s="1">
        <v>45411</v>
      </c>
      <c r="B3947" s="1" t="str">
        <f>TEXT(Tabla1[[#This Row],[Fecha]],"MMMM")</f>
        <v>abril</v>
      </c>
      <c r="C3947" t="s">
        <v>3957</v>
      </c>
      <c r="D3947" t="s">
        <v>5025</v>
      </c>
      <c r="E3947" t="s">
        <v>5033</v>
      </c>
      <c r="F3947" t="s">
        <v>5038</v>
      </c>
      <c r="G3947" s="3">
        <v>8136.28</v>
      </c>
      <c r="H3947" s="3">
        <v>1057.72</v>
      </c>
      <c r="I3947" s="3">
        <f>SUM(Tabla1[[#This Row],[Monto_Base]],H3947)</f>
        <v>9194</v>
      </c>
      <c r="J3947" t="s">
        <v>5046</v>
      </c>
      <c r="K3947" t="s">
        <v>5049</v>
      </c>
      <c r="L3947" t="s">
        <v>5052</v>
      </c>
      <c r="M3947" t="s">
        <v>5054</v>
      </c>
    </row>
    <row r="3948" spans="1:13" x14ac:dyDescent="0.3">
      <c r="A3948" s="1">
        <v>45454</v>
      </c>
      <c r="B3948" s="1" t="str">
        <f>TEXT(Tabla1[[#This Row],[Fecha]],"MMMM")</f>
        <v>junio</v>
      </c>
      <c r="C3948" t="s">
        <v>3958</v>
      </c>
      <c r="D3948" t="s">
        <v>5030</v>
      </c>
      <c r="E3948" t="s">
        <v>5032</v>
      </c>
      <c r="F3948" t="s">
        <v>5041</v>
      </c>
      <c r="G3948" s="3">
        <v>8644.92</v>
      </c>
      <c r="H3948" s="3">
        <v>0</v>
      </c>
      <c r="I3948" s="3">
        <f>SUM(Tabla1[[#This Row],[Monto_Base]],H3948)</f>
        <v>8644.92</v>
      </c>
      <c r="J3948" t="s">
        <v>5044</v>
      </c>
      <c r="K3948" t="s">
        <v>5048</v>
      </c>
      <c r="L3948" t="s">
        <v>5053</v>
      </c>
      <c r="M3948" t="s">
        <v>5054</v>
      </c>
    </row>
    <row r="3949" spans="1:13" x14ac:dyDescent="0.3">
      <c r="A3949" s="1">
        <v>45384</v>
      </c>
      <c r="B3949" s="1" t="str">
        <f>TEXT(Tabla1[[#This Row],[Fecha]],"MMMM")</f>
        <v>abril</v>
      </c>
      <c r="C3949" t="s">
        <v>3959</v>
      </c>
      <c r="D3949" t="s">
        <v>5021</v>
      </c>
      <c r="E3949" t="s">
        <v>5033</v>
      </c>
      <c r="F3949" t="s">
        <v>5039</v>
      </c>
      <c r="G3949" s="3">
        <v>136.51</v>
      </c>
      <c r="H3949" s="3">
        <v>17.75</v>
      </c>
      <c r="I3949" s="3">
        <f>SUM(Tabla1[[#This Row],[Monto_Base]],H3949)</f>
        <v>154.26</v>
      </c>
      <c r="J3949" t="s">
        <v>5042</v>
      </c>
      <c r="K3949" t="s">
        <v>5049</v>
      </c>
      <c r="L3949" t="s">
        <v>5053</v>
      </c>
      <c r="M3949" t="s">
        <v>5055</v>
      </c>
    </row>
    <row r="3950" spans="1:13" x14ac:dyDescent="0.3">
      <c r="A3950" s="1">
        <v>45517</v>
      </c>
      <c r="B3950" s="1" t="str">
        <f>TEXT(Tabla1[[#This Row],[Fecha]],"MMMM")</f>
        <v>agosto</v>
      </c>
      <c r="C3950" t="s">
        <v>3960</v>
      </c>
      <c r="D3950" t="s">
        <v>5012</v>
      </c>
      <c r="E3950" t="s">
        <v>5032</v>
      </c>
      <c r="F3950" t="s">
        <v>5039</v>
      </c>
      <c r="G3950" s="3">
        <v>1704.41</v>
      </c>
      <c r="H3950" s="3">
        <v>0</v>
      </c>
      <c r="I3950" s="3">
        <f>SUM(Tabla1[[#This Row],[Monto_Base]],H3950)</f>
        <v>1704.41</v>
      </c>
      <c r="J3950" t="s">
        <v>5043</v>
      </c>
      <c r="K3950" t="s">
        <v>5049</v>
      </c>
      <c r="L3950" t="s">
        <v>5053</v>
      </c>
      <c r="M3950" t="s">
        <v>5054</v>
      </c>
    </row>
    <row r="3951" spans="1:13" x14ac:dyDescent="0.3">
      <c r="A3951" s="1">
        <v>45315</v>
      </c>
      <c r="B3951" s="1" t="str">
        <f>TEXT(Tabla1[[#This Row],[Fecha]],"MMMM")</f>
        <v>enero</v>
      </c>
      <c r="C3951" t="s">
        <v>3961</v>
      </c>
      <c r="D3951" t="s">
        <v>5027</v>
      </c>
      <c r="E3951" t="s">
        <v>5032</v>
      </c>
      <c r="F3951" t="s">
        <v>5039</v>
      </c>
      <c r="G3951" s="3">
        <v>5045.76</v>
      </c>
      <c r="H3951" s="3">
        <v>0</v>
      </c>
      <c r="I3951" s="3">
        <f>SUM(Tabla1[[#This Row],[Monto_Base]],H3951)</f>
        <v>5045.76</v>
      </c>
      <c r="J3951" t="s">
        <v>5044</v>
      </c>
      <c r="K3951" t="s">
        <v>5047</v>
      </c>
      <c r="L3951" t="s">
        <v>5050</v>
      </c>
      <c r="M3951" t="s">
        <v>5054</v>
      </c>
    </row>
    <row r="3952" spans="1:13" x14ac:dyDescent="0.3">
      <c r="A3952" s="1">
        <v>45443</v>
      </c>
      <c r="B3952" s="1" t="str">
        <f>TEXT(Tabla1[[#This Row],[Fecha]],"MMMM")</f>
        <v>mayo</v>
      </c>
      <c r="C3952" t="s">
        <v>3962</v>
      </c>
      <c r="D3952" t="s">
        <v>5021</v>
      </c>
      <c r="E3952" t="s">
        <v>5033</v>
      </c>
      <c r="F3952" t="s">
        <v>5034</v>
      </c>
      <c r="G3952" s="3">
        <v>13316.65</v>
      </c>
      <c r="H3952" s="3">
        <v>1731.16</v>
      </c>
      <c r="I3952" s="3">
        <f>SUM(Tabla1[[#This Row],[Monto_Base]],H3952)</f>
        <v>15047.81</v>
      </c>
      <c r="J3952" t="s">
        <v>5046</v>
      </c>
      <c r="K3952" t="s">
        <v>5047</v>
      </c>
      <c r="L3952" t="s">
        <v>5052</v>
      </c>
      <c r="M3952" t="s">
        <v>5054</v>
      </c>
    </row>
    <row r="3953" spans="1:13" x14ac:dyDescent="0.3">
      <c r="A3953" s="1">
        <v>45495</v>
      </c>
      <c r="B3953" s="1" t="str">
        <f>TEXT(Tabla1[[#This Row],[Fecha]],"MMMM")</f>
        <v>julio</v>
      </c>
      <c r="C3953" t="s">
        <v>3963</v>
      </c>
      <c r="D3953" t="s">
        <v>5022</v>
      </c>
      <c r="E3953" t="s">
        <v>5033</v>
      </c>
      <c r="F3953" t="s">
        <v>5041</v>
      </c>
      <c r="G3953" s="3">
        <v>3796.51</v>
      </c>
      <c r="H3953" s="3">
        <v>493.55</v>
      </c>
      <c r="I3953" s="3">
        <f>SUM(Tabla1[[#This Row],[Monto_Base]],H3953)</f>
        <v>4290.0600000000004</v>
      </c>
      <c r="J3953" t="s">
        <v>5046</v>
      </c>
      <c r="K3953" t="s">
        <v>5047</v>
      </c>
      <c r="L3953" t="s">
        <v>5052</v>
      </c>
      <c r="M3953" t="s">
        <v>5055</v>
      </c>
    </row>
    <row r="3954" spans="1:13" x14ac:dyDescent="0.3">
      <c r="A3954" s="1">
        <v>45473</v>
      </c>
      <c r="B3954" s="1" t="str">
        <f>TEXT(Tabla1[[#This Row],[Fecha]],"MMMM")</f>
        <v>junio</v>
      </c>
      <c r="C3954" t="s">
        <v>3964</v>
      </c>
      <c r="D3954" t="s">
        <v>5022</v>
      </c>
      <c r="E3954" t="s">
        <v>5033</v>
      </c>
      <c r="F3954" t="s">
        <v>5041</v>
      </c>
      <c r="G3954" s="3">
        <v>9653.26</v>
      </c>
      <c r="H3954" s="3">
        <v>1254.92</v>
      </c>
      <c r="I3954" s="3">
        <f>SUM(Tabla1[[#This Row],[Monto_Base]],H3954)</f>
        <v>10908.18</v>
      </c>
      <c r="J3954" t="s">
        <v>5044</v>
      </c>
      <c r="K3954" t="s">
        <v>5047</v>
      </c>
      <c r="L3954" t="s">
        <v>5051</v>
      </c>
      <c r="M3954" t="s">
        <v>5054</v>
      </c>
    </row>
    <row r="3955" spans="1:13" x14ac:dyDescent="0.3">
      <c r="A3955" s="1">
        <v>45305</v>
      </c>
      <c r="B3955" s="1" t="str">
        <f>TEXT(Tabla1[[#This Row],[Fecha]],"MMMM")</f>
        <v>enero</v>
      </c>
      <c r="C3955" t="s">
        <v>3965</v>
      </c>
      <c r="D3955" t="s">
        <v>5016</v>
      </c>
      <c r="E3955" t="s">
        <v>5033</v>
      </c>
      <c r="F3955" t="s">
        <v>5034</v>
      </c>
      <c r="G3955" s="3">
        <v>3410.23</v>
      </c>
      <c r="H3955" s="3">
        <v>443.33</v>
      </c>
      <c r="I3955" s="3">
        <f>SUM(Tabla1[[#This Row],[Monto_Base]],H3955)</f>
        <v>3853.56</v>
      </c>
      <c r="J3955" t="s">
        <v>5042</v>
      </c>
      <c r="K3955" t="s">
        <v>5048</v>
      </c>
      <c r="L3955" t="s">
        <v>5051</v>
      </c>
      <c r="M3955" t="s">
        <v>5054</v>
      </c>
    </row>
    <row r="3956" spans="1:13" x14ac:dyDescent="0.3">
      <c r="A3956" s="1">
        <v>45594</v>
      </c>
      <c r="B3956" s="1" t="str">
        <f>TEXT(Tabla1[[#This Row],[Fecha]],"MMMM")</f>
        <v>octubre</v>
      </c>
      <c r="C3956" t="s">
        <v>3966</v>
      </c>
      <c r="D3956" t="s">
        <v>5016</v>
      </c>
      <c r="E3956" t="s">
        <v>5032</v>
      </c>
      <c r="F3956" t="s">
        <v>5034</v>
      </c>
      <c r="G3956" s="3">
        <v>12450.85</v>
      </c>
      <c r="H3956" s="3">
        <v>0</v>
      </c>
      <c r="I3956" s="3">
        <f>SUM(Tabla1[[#This Row],[Monto_Base]],H3956)</f>
        <v>12450.85</v>
      </c>
      <c r="J3956" t="s">
        <v>5045</v>
      </c>
      <c r="K3956" t="s">
        <v>5049</v>
      </c>
      <c r="L3956" t="s">
        <v>5051</v>
      </c>
      <c r="M3956" t="s">
        <v>5054</v>
      </c>
    </row>
    <row r="3957" spans="1:13" x14ac:dyDescent="0.3">
      <c r="A3957" s="1">
        <v>45463</v>
      </c>
      <c r="B3957" s="1" t="str">
        <f>TEXT(Tabla1[[#This Row],[Fecha]],"MMMM")</f>
        <v>junio</v>
      </c>
      <c r="C3957" t="s">
        <v>3967</v>
      </c>
      <c r="D3957" t="s">
        <v>5022</v>
      </c>
      <c r="E3957" t="s">
        <v>5032</v>
      </c>
      <c r="F3957" t="s">
        <v>5041</v>
      </c>
      <c r="G3957" s="3">
        <v>9928.82</v>
      </c>
      <c r="H3957" s="3">
        <v>0</v>
      </c>
      <c r="I3957" s="3">
        <f>SUM(Tabla1[[#This Row],[Monto_Base]],H3957)</f>
        <v>9928.82</v>
      </c>
      <c r="J3957" t="s">
        <v>5042</v>
      </c>
      <c r="K3957" t="s">
        <v>5047</v>
      </c>
      <c r="L3957" t="s">
        <v>5051</v>
      </c>
      <c r="M3957" t="s">
        <v>5054</v>
      </c>
    </row>
    <row r="3958" spans="1:13" x14ac:dyDescent="0.3">
      <c r="A3958" s="1">
        <v>45322</v>
      </c>
      <c r="B3958" s="1" t="str">
        <f>TEXT(Tabla1[[#This Row],[Fecha]],"MMMM")</f>
        <v>enero</v>
      </c>
      <c r="C3958" t="s">
        <v>3968</v>
      </c>
      <c r="D3958" t="s">
        <v>5017</v>
      </c>
      <c r="E3958" t="s">
        <v>5032</v>
      </c>
      <c r="F3958" t="s">
        <v>5041</v>
      </c>
      <c r="G3958" s="3">
        <v>2597.41</v>
      </c>
      <c r="H3958" s="3">
        <v>0</v>
      </c>
      <c r="I3958" s="3">
        <f>SUM(Tabla1[[#This Row],[Monto_Base]],H3958)</f>
        <v>2597.41</v>
      </c>
      <c r="J3958" t="s">
        <v>5042</v>
      </c>
      <c r="K3958" t="s">
        <v>5047</v>
      </c>
      <c r="L3958" t="s">
        <v>5050</v>
      </c>
      <c r="M3958" t="s">
        <v>5055</v>
      </c>
    </row>
    <row r="3959" spans="1:13" x14ac:dyDescent="0.3">
      <c r="A3959" s="1">
        <v>45646</v>
      </c>
      <c r="B3959" s="1" t="str">
        <f>TEXT(Tabla1[[#This Row],[Fecha]],"MMMM")</f>
        <v>diciembre</v>
      </c>
      <c r="C3959" t="s">
        <v>3969</v>
      </c>
      <c r="D3959" t="s">
        <v>5029</v>
      </c>
      <c r="E3959" t="s">
        <v>5032</v>
      </c>
      <c r="F3959" t="s">
        <v>5034</v>
      </c>
      <c r="G3959" s="3">
        <v>8541.6</v>
      </c>
      <c r="H3959" s="3">
        <v>0</v>
      </c>
      <c r="I3959" s="3">
        <f>SUM(Tabla1[[#This Row],[Monto_Base]],H3959)</f>
        <v>8541.6</v>
      </c>
      <c r="J3959" t="s">
        <v>5045</v>
      </c>
      <c r="K3959" t="s">
        <v>5048</v>
      </c>
      <c r="L3959" t="s">
        <v>5053</v>
      </c>
      <c r="M3959" t="s">
        <v>5055</v>
      </c>
    </row>
    <row r="3960" spans="1:13" x14ac:dyDescent="0.3">
      <c r="A3960" s="1">
        <v>45474</v>
      </c>
      <c r="B3960" s="1" t="str">
        <f>TEXT(Tabla1[[#This Row],[Fecha]],"MMMM")</f>
        <v>julio</v>
      </c>
      <c r="C3960" t="s">
        <v>3970</v>
      </c>
      <c r="D3960" t="s">
        <v>5022</v>
      </c>
      <c r="E3960" t="s">
        <v>5033</v>
      </c>
      <c r="F3960" t="s">
        <v>5034</v>
      </c>
      <c r="G3960" s="3">
        <v>10664.88</v>
      </c>
      <c r="H3960" s="3">
        <v>1386.43</v>
      </c>
      <c r="I3960" s="3">
        <f>SUM(Tabla1[[#This Row],[Monto_Base]],H3960)</f>
        <v>12051.31</v>
      </c>
      <c r="J3960" t="s">
        <v>5043</v>
      </c>
      <c r="K3960" t="s">
        <v>5049</v>
      </c>
      <c r="L3960" t="s">
        <v>5051</v>
      </c>
      <c r="M3960" t="s">
        <v>5055</v>
      </c>
    </row>
    <row r="3961" spans="1:13" x14ac:dyDescent="0.3">
      <c r="A3961" s="1">
        <v>45434</v>
      </c>
      <c r="B3961" s="1" t="str">
        <f>TEXT(Tabla1[[#This Row],[Fecha]],"MMMM")</f>
        <v>mayo</v>
      </c>
      <c r="C3961" t="s">
        <v>3971</v>
      </c>
      <c r="D3961" t="s">
        <v>5025</v>
      </c>
      <c r="E3961" t="s">
        <v>5033</v>
      </c>
      <c r="F3961" t="s">
        <v>5041</v>
      </c>
      <c r="G3961" s="3">
        <v>4441.88</v>
      </c>
      <c r="H3961" s="3">
        <v>577.44000000000005</v>
      </c>
      <c r="I3961" s="3">
        <f>SUM(Tabla1[[#This Row],[Monto_Base]],H3961)</f>
        <v>5019.32</v>
      </c>
      <c r="J3961" t="s">
        <v>5042</v>
      </c>
      <c r="K3961" t="s">
        <v>5048</v>
      </c>
      <c r="L3961" t="s">
        <v>5050</v>
      </c>
      <c r="M3961" t="s">
        <v>5055</v>
      </c>
    </row>
    <row r="3962" spans="1:13" x14ac:dyDescent="0.3">
      <c r="A3962" s="1">
        <v>45321</v>
      </c>
      <c r="B3962" s="1" t="str">
        <f>TEXT(Tabla1[[#This Row],[Fecha]],"MMMM")</f>
        <v>enero</v>
      </c>
      <c r="C3962" t="s">
        <v>3972</v>
      </c>
      <c r="D3962" t="s">
        <v>5018</v>
      </c>
      <c r="E3962" t="s">
        <v>5033</v>
      </c>
      <c r="F3962" t="s">
        <v>5034</v>
      </c>
      <c r="G3962" s="3">
        <v>5936.68</v>
      </c>
      <c r="H3962" s="3">
        <v>771.77</v>
      </c>
      <c r="I3962" s="3">
        <f>SUM(Tabla1[[#This Row],[Monto_Base]],H3962)</f>
        <v>6708.4500000000007</v>
      </c>
      <c r="J3962" t="s">
        <v>5044</v>
      </c>
      <c r="K3962" t="s">
        <v>5048</v>
      </c>
      <c r="L3962" t="s">
        <v>5051</v>
      </c>
      <c r="M3962" t="s">
        <v>5054</v>
      </c>
    </row>
    <row r="3963" spans="1:13" x14ac:dyDescent="0.3">
      <c r="A3963" s="1">
        <v>45556</v>
      </c>
      <c r="B3963" s="1" t="str">
        <f>TEXT(Tabla1[[#This Row],[Fecha]],"MMMM")</f>
        <v>septiembre</v>
      </c>
      <c r="C3963" t="s">
        <v>3973</v>
      </c>
      <c r="D3963" t="s">
        <v>5012</v>
      </c>
      <c r="E3963" t="s">
        <v>5033</v>
      </c>
      <c r="F3963" t="s">
        <v>5035</v>
      </c>
      <c r="G3963" s="3">
        <v>2934.76</v>
      </c>
      <c r="H3963" s="3">
        <v>381.52</v>
      </c>
      <c r="I3963" s="3">
        <f>SUM(Tabla1[[#This Row],[Monto_Base]],H3963)</f>
        <v>3316.28</v>
      </c>
      <c r="J3963" t="s">
        <v>5042</v>
      </c>
      <c r="K3963" t="s">
        <v>5047</v>
      </c>
      <c r="L3963" t="s">
        <v>5052</v>
      </c>
      <c r="M3963" t="s">
        <v>5055</v>
      </c>
    </row>
    <row r="3964" spans="1:13" x14ac:dyDescent="0.3">
      <c r="A3964" s="1">
        <v>45589</v>
      </c>
      <c r="B3964" s="1" t="str">
        <f>TEXT(Tabla1[[#This Row],[Fecha]],"MMMM")</f>
        <v>octubre</v>
      </c>
      <c r="C3964" t="s">
        <v>3974</v>
      </c>
      <c r="D3964" t="s">
        <v>5023</v>
      </c>
      <c r="E3964" t="s">
        <v>5032</v>
      </c>
      <c r="F3964" t="s">
        <v>5035</v>
      </c>
      <c r="G3964" s="3">
        <v>4626.74</v>
      </c>
      <c r="H3964" s="3">
        <v>0</v>
      </c>
      <c r="I3964" s="3">
        <f>SUM(Tabla1[[#This Row],[Monto_Base]],H3964)</f>
        <v>4626.74</v>
      </c>
      <c r="J3964" t="s">
        <v>5046</v>
      </c>
      <c r="K3964" t="s">
        <v>5048</v>
      </c>
      <c r="L3964" t="s">
        <v>5053</v>
      </c>
      <c r="M3964" t="s">
        <v>5055</v>
      </c>
    </row>
    <row r="3965" spans="1:13" x14ac:dyDescent="0.3">
      <c r="A3965" s="1">
        <v>45517</v>
      </c>
      <c r="B3965" s="1" t="str">
        <f>TEXT(Tabla1[[#This Row],[Fecha]],"MMMM")</f>
        <v>agosto</v>
      </c>
      <c r="C3965" t="s">
        <v>3975</v>
      </c>
      <c r="D3965" t="s">
        <v>5026</v>
      </c>
      <c r="E3965" t="s">
        <v>5032</v>
      </c>
      <c r="F3965" t="s">
        <v>5040</v>
      </c>
      <c r="G3965" s="3">
        <v>7273.11</v>
      </c>
      <c r="H3965" s="3">
        <v>0</v>
      </c>
      <c r="I3965" s="3">
        <f>SUM(Tabla1[[#This Row],[Monto_Base]],H3965)</f>
        <v>7273.11</v>
      </c>
      <c r="J3965" t="s">
        <v>5044</v>
      </c>
      <c r="K3965" t="s">
        <v>5047</v>
      </c>
      <c r="L3965" t="s">
        <v>5050</v>
      </c>
      <c r="M3965" t="s">
        <v>5055</v>
      </c>
    </row>
    <row r="3966" spans="1:13" x14ac:dyDescent="0.3">
      <c r="A3966" s="1">
        <v>45342</v>
      </c>
      <c r="B3966" s="1" t="str">
        <f>TEXT(Tabla1[[#This Row],[Fecha]],"MMMM")</f>
        <v>febrero</v>
      </c>
      <c r="C3966" t="s">
        <v>3976</v>
      </c>
      <c r="D3966" t="s">
        <v>5016</v>
      </c>
      <c r="E3966" t="s">
        <v>5033</v>
      </c>
      <c r="F3966" t="s">
        <v>5034</v>
      </c>
      <c r="G3966" s="3">
        <v>10013.27</v>
      </c>
      <c r="H3966" s="3">
        <v>1301.73</v>
      </c>
      <c r="I3966" s="3">
        <f>SUM(Tabla1[[#This Row],[Monto_Base]],H3966)</f>
        <v>11315</v>
      </c>
      <c r="J3966" t="s">
        <v>5043</v>
      </c>
      <c r="K3966" t="s">
        <v>5047</v>
      </c>
      <c r="L3966" t="s">
        <v>5050</v>
      </c>
      <c r="M3966" t="s">
        <v>5055</v>
      </c>
    </row>
    <row r="3967" spans="1:13" x14ac:dyDescent="0.3">
      <c r="A3967" s="1">
        <v>45623</v>
      </c>
      <c r="B3967" s="1" t="str">
        <f>TEXT(Tabla1[[#This Row],[Fecha]],"MMMM")</f>
        <v>noviembre</v>
      </c>
      <c r="C3967" t="s">
        <v>3977</v>
      </c>
      <c r="D3967" t="s">
        <v>5018</v>
      </c>
      <c r="E3967" t="s">
        <v>5032</v>
      </c>
      <c r="F3967" t="s">
        <v>5039</v>
      </c>
      <c r="G3967" s="3">
        <v>3961.29</v>
      </c>
      <c r="H3967" s="3">
        <v>0</v>
      </c>
      <c r="I3967" s="3">
        <f>SUM(Tabla1[[#This Row],[Monto_Base]],H3967)</f>
        <v>3961.29</v>
      </c>
      <c r="J3967" t="s">
        <v>5042</v>
      </c>
      <c r="K3967" t="s">
        <v>5047</v>
      </c>
      <c r="L3967" t="s">
        <v>5052</v>
      </c>
      <c r="M3967" t="s">
        <v>5055</v>
      </c>
    </row>
    <row r="3968" spans="1:13" x14ac:dyDescent="0.3">
      <c r="A3968" s="1">
        <v>45555</v>
      </c>
      <c r="B3968" s="1" t="str">
        <f>TEXT(Tabla1[[#This Row],[Fecha]],"MMMM")</f>
        <v>septiembre</v>
      </c>
      <c r="C3968" t="s">
        <v>3978</v>
      </c>
      <c r="D3968" t="s">
        <v>5018</v>
      </c>
      <c r="E3968" t="s">
        <v>5032</v>
      </c>
      <c r="F3968" t="s">
        <v>5038</v>
      </c>
      <c r="G3968" s="3">
        <v>2393.14</v>
      </c>
      <c r="H3968" s="3">
        <v>0</v>
      </c>
      <c r="I3968" s="3">
        <f>SUM(Tabla1[[#This Row],[Monto_Base]],H3968)</f>
        <v>2393.14</v>
      </c>
      <c r="J3968" t="s">
        <v>5046</v>
      </c>
      <c r="K3968" t="s">
        <v>5049</v>
      </c>
      <c r="L3968" t="s">
        <v>5052</v>
      </c>
      <c r="M3968" t="s">
        <v>5054</v>
      </c>
    </row>
    <row r="3969" spans="1:13" x14ac:dyDescent="0.3">
      <c r="A3969" s="1">
        <v>45361</v>
      </c>
      <c r="B3969" s="1" t="str">
        <f>TEXT(Tabla1[[#This Row],[Fecha]],"MMMM")</f>
        <v>marzo</v>
      </c>
      <c r="C3969" t="s">
        <v>3979</v>
      </c>
      <c r="D3969" t="s">
        <v>5031</v>
      </c>
      <c r="E3969" t="s">
        <v>5032</v>
      </c>
      <c r="F3969" t="s">
        <v>5034</v>
      </c>
      <c r="G3969" s="3">
        <v>9011.26</v>
      </c>
      <c r="H3969" s="3">
        <v>0</v>
      </c>
      <c r="I3969" s="3">
        <f>SUM(Tabla1[[#This Row],[Monto_Base]],H3969)</f>
        <v>9011.26</v>
      </c>
      <c r="J3969" t="s">
        <v>5043</v>
      </c>
      <c r="K3969" t="s">
        <v>5047</v>
      </c>
      <c r="L3969" t="s">
        <v>5051</v>
      </c>
      <c r="M3969" t="s">
        <v>5054</v>
      </c>
    </row>
    <row r="3970" spans="1:13" x14ac:dyDescent="0.3">
      <c r="A3970" s="1">
        <v>45307</v>
      </c>
      <c r="B3970" s="1" t="str">
        <f>TEXT(Tabla1[[#This Row],[Fecha]],"MMMM")</f>
        <v>enero</v>
      </c>
      <c r="C3970" t="s">
        <v>3980</v>
      </c>
      <c r="D3970" t="s">
        <v>5031</v>
      </c>
      <c r="E3970" t="s">
        <v>5032</v>
      </c>
      <c r="F3970" t="s">
        <v>5034</v>
      </c>
      <c r="G3970" s="3">
        <v>4389.68</v>
      </c>
      <c r="H3970" s="3">
        <v>0</v>
      </c>
      <c r="I3970" s="3">
        <f>SUM(Tabla1[[#This Row],[Monto_Base]],H3970)</f>
        <v>4389.68</v>
      </c>
      <c r="J3970" t="s">
        <v>5045</v>
      </c>
      <c r="K3970" t="s">
        <v>5047</v>
      </c>
      <c r="L3970" t="s">
        <v>5051</v>
      </c>
      <c r="M3970" t="s">
        <v>5055</v>
      </c>
    </row>
    <row r="3971" spans="1:13" x14ac:dyDescent="0.3">
      <c r="A3971" s="1">
        <v>45395</v>
      </c>
      <c r="B3971" s="1" t="str">
        <f>TEXT(Tabla1[[#This Row],[Fecha]],"MMMM")</f>
        <v>abril</v>
      </c>
      <c r="C3971" t="s">
        <v>3981</v>
      </c>
      <c r="D3971" t="s">
        <v>5025</v>
      </c>
      <c r="E3971" t="s">
        <v>5032</v>
      </c>
      <c r="F3971" t="s">
        <v>5038</v>
      </c>
      <c r="G3971" s="3">
        <v>10926.33</v>
      </c>
      <c r="H3971" s="3">
        <v>0</v>
      </c>
      <c r="I3971" s="3">
        <f>SUM(Tabla1[[#This Row],[Monto_Base]],H3971)</f>
        <v>10926.33</v>
      </c>
      <c r="J3971" t="s">
        <v>5043</v>
      </c>
      <c r="K3971" t="s">
        <v>5048</v>
      </c>
      <c r="L3971" t="s">
        <v>5053</v>
      </c>
      <c r="M3971" t="s">
        <v>5055</v>
      </c>
    </row>
    <row r="3972" spans="1:13" x14ac:dyDescent="0.3">
      <c r="A3972" s="1">
        <v>45600</v>
      </c>
      <c r="B3972" s="1" t="str">
        <f>TEXT(Tabla1[[#This Row],[Fecha]],"MMMM")</f>
        <v>noviembre</v>
      </c>
      <c r="C3972" t="s">
        <v>3982</v>
      </c>
      <c r="D3972" t="s">
        <v>5031</v>
      </c>
      <c r="E3972" t="s">
        <v>5032</v>
      </c>
      <c r="F3972" t="s">
        <v>5041</v>
      </c>
      <c r="G3972" s="3">
        <v>8033.44</v>
      </c>
      <c r="H3972" s="3">
        <v>0</v>
      </c>
      <c r="I3972" s="3">
        <f>SUM(Tabla1[[#This Row],[Monto_Base]],H3972)</f>
        <v>8033.44</v>
      </c>
      <c r="J3972" t="s">
        <v>5044</v>
      </c>
      <c r="K3972" t="s">
        <v>5048</v>
      </c>
      <c r="L3972" t="s">
        <v>5050</v>
      </c>
      <c r="M3972" t="s">
        <v>5055</v>
      </c>
    </row>
    <row r="3973" spans="1:13" x14ac:dyDescent="0.3">
      <c r="A3973" s="1">
        <v>45308</v>
      </c>
      <c r="B3973" s="1" t="str">
        <f>TEXT(Tabla1[[#This Row],[Fecha]],"MMMM")</f>
        <v>enero</v>
      </c>
      <c r="C3973" t="s">
        <v>3983</v>
      </c>
      <c r="D3973" t="s">
        <v>5025</v>
      </c>
      <c r="E3973" t="s">
        <v>5033</v>
      </c>
      <c r="F3973" t="s">
        <v>5037</v>
      </c>
      <c r="G3973" s="3">
        <v>1456.68</v>
      </c>
      <c r="H3973" s="3">
        <v>189.37</v>
      </c>
      <c r="I3973" s="3">
        <f>SUM(Tabla1[[#This Row],[Monto_Base]],H3973)</f>
        <v>1646.0500000000002</v>
      </c>
      <c r="J3973" t="s">
        <v>5046</v>
      </c>
      <c r="K3973" t="s">
        <v>5049</v>
      </c>
      <c r="L3973" t="s">
        <v>5051</v>
      </c>
      <c r="M3973" t="s">
        <v>5054</v>
      </c>
    </row>
    <row r="3974" spans="1:13" x14ac:dyDescent="0.3">
      <c r="A3974" s="1">
        <v>45589</v>
      </c>
      <c r="B3974" s="1" t="str">
        <f>TEXT(Tabla1[[#This Row],[Fecha]],"MMMM")</f>
        <v>octubre</v>
      </c>
      <c r="C3974" t="s">
        <v>3984</v>
      </c>
      <c r="D3974" t="s">
        <v>5025</v>
      </c>
      <c r="E3974" t="s">
        <v>5033</v>
      </c>
      <c r="F3974" t="s">
        <v>5037</v>
      </c>
      <c r="G3974" s="3">
        <v>8144.45</v>
      </c>
      <c r="H3974" s="3">
        <v>1058.78</v>
      </c>
      <c r="I3974" s="3">
        <f>SUM(Tabla1[[#This Row],[Monto_Base]],H3974)</f>
        <v>9203.23</v>
      </c>
      <c r="J3974" t="s">
        <v>5045</v>
      </c>
      <c r="K3974" t="s">
        <v>5047</v>
      </c>
      <c r="L3974" t="s">
        <v>5053</v>
      </c>
      <c r="M3974" t="s">
        <v>5055</v>
      </c>
    </row>
    <row r="3975" spans="1:13" x14ac:dyDescent="0.3">
      <c r="A3975" s="1">
        <v>45434</v>
      </c>
      <c r="B3975" s="1" t="str">
        <f>TEXT(Tabla1[[#This Row],[Fecha]],"MMMM")</f>
        <v>mayo</v>
      </c>
      <c r="C3975" t="s">
        <v>3985</v>
      </c>
      <c r="D3975" t="s">
        <v>5018</v>
      </c>
      <c r="E3975" t="s">
        <v>5032</v>
      </c>
      <c r="F3975" t="s">
        <v>5037</v>
      </c>
      <c r="G3975" s="3">
        <v>9392.25</v>
      </c>
      <c r="H3975" s="3">
        <v>0</v>
      </c>
      <c r="I3975" s="3">
        <f>SUM(Tabla1[[#This Row],[Monto_Base]],H3975)</f>
        <v>9392.25</v>
      </c>
      <c r="J3975" t="s">
        <v>5046</v>
      </c>
      <c r="K3975" t="s">
        <v>5047</v>
      </c>
      <c r="L3975" t="s">
        <v>5050</v>
      </c>
      <c r="M3975" t="s">
        <v>5054</v>
      </c>
    </row>
    <row r="3976" spans="1:13" x14ac:dyDescent="0.3">
      <c r="A3976" s="1">
        <v>45638</v>
      </c>
      <c r="B3976" s="1" t="str">
        <f>TEXT(Tabla1[[#This Row],[Fecha]],"MMMM")</f>
        <v>diciembre</v>
      </c>
      <c r="C3976" t="s">
        <v>3986</v>
      </c>
      <c r="D3976" t="s">
        <v>5023</v>
      </c>
      <c r="E3976" t="s">
        <v>5032</v>
      </c>
      <c r="F3976" t="s">
        <v>5041</v>
      </c>
      <c r="G3976" s="3">
        <v>12038.05</v>
      </c>
      <c r="H3976" s="3">
        <v>0</v>
      </c>
      <c r="I3976" s="3">
        <f>SUM(Tabla1[[#This Row],[Monto_Base]],H3976)</f>
        <v>12038.05</v>
      </c>
      <c r="J3976" t="s">
        <v>5043</v>
      </c>
      <c r="K3976" t="s">
        <v>5049</v>
      </c>
      <c r="L3976" t="s">
        <v>5053</v>
      </c>
      <c r="M3976" t="s">
        <v>5055</v>
      </c>
    </row>
    <row r="3977" spans="1:13" x14ac:dyDescent="0.3">
      <c r="A3977" s="1">
        <v>45418</v>
      </c>
      <c r="B3977" s="1" t="str">
        <f>TEXT(Tabla1[[#This Row],[Fecha]],"MMMM")</f>
        <v>mayo</v>
      </c>
      <c r="C3977" t="s">
        <v>3987</v>
      </c>
      <c r="D3977" t="s">
        <v>5016</v>
      </c>
      <c r="E3977" t="s">
        <v>5032</v>
      </c>
      <c r="F3977" t="s">
        <v>5039</v>
      </c>
      <c r="G3977" s="3">
        <v>3512.41</v>
      </c>
      <c r="H3977" s="3">
        <v>0</v>
      </c>
      <c r="I3977" s="3">
        <f>SUM(Tabla1[[#This Row],[Monto_Base]],H3977)</f>
        <v>3512.41</v>
      </c>
      <c r="J3977" t="s">
        <v>5044</v>
      </c>
      <c r="K3977" t="s">
        <v>5047</v>
      </c>
      <c r="L3977" t="s">
        <v>5053</v>
      </c>
      <c r="M3977" t="s">
        <v>5054</v>
      </c>
    </row>
    <row r="3978" spans="1:13" x14ac:dyDescent="0.3">
      <c r="A3978" s="1">
        <v>45657</v>
      </c>
      <c r="B3978" s="1" t="str">
        <f>TEXT(Tabla1[[#This Row],[Fecha]],"MMMM")</f>
        <v>diciembre</v>
      </c>
      <c r="C3978" t="s">
        <v>3988</v>
      </c>
      <c r="D3978" t="s">
        <v>5016</v>
      </c>
      <c r="E3978" t="s">
        <v>5032</v>
      </c>
      <c r="F3978" t="s">
        <v>5041</v>
      </c>
      <c r="G3978" s="3">
        <v>14951.09</v>
      </c>
      <c r="H3978" s="3">
        <v>0</v>
      </c>
      <c r="I3978" s="3">
        <f>SUM(Tabla1[[#This Row],[Monto_Base]],H3978)</f>
        <v>14951.09</v>
      </c>
      <c r="J3978" t="s">
        <v>5043</v>
      </c>
      <c r="K3978" t="s">
        <v>5048</v>
      </c>
      <c r="L3978" t="s">
        <v>5053</v>
      </c>
      <c r="M3978" t="s">
        <v>5054</v>
      </c>
    </row>
    <row r="3979" spans="1:13" x14ac:dyDescent="0.3">
      <c r="A3979" s="1">
        <v>45326</v>
      </c>
      <c r="B3979" s="1" t="str">
        <f>TEXT(Tabla1[[#This Row],[Fecha]],"MMMM")</f>
        <v>febrero</v>
      </c>
      <c r="C3979" t="s">
        <v>3989</v>
      </c>
      <c r="D3979" t="s">
        <v>5020</v>
      </c>
      <c r="E3979" t="s">
        <v>5032</v>
      </c>
      <c r="F3979" t="s">
        <v>5039</v>
      </c>
      <c r="G3979" s="3">
        <v>8260.7900000000009</v>
      </c>
      <c r="H3979" s="3">
        <v>0</v>
      </c>
      <c r="I3979" s="3">
        <f>SUM(Tabla1[[#This Row],[Monto_Base]],H3979)</f>
        <v>8260.7900000000009</v>
      </c>
      <c r="J3979" t="s">
        <v>5042</v>
      </c>
      <c r="K3979" t="s">
        <v>5047</v>
      </c>
      <c r="L3979" t="s">
        <v>5053</v>
      </c>
      <c r="M3979" t="s">
        <v>5054</v>
      </c>
    </row>
    <row r="3980" spans="1:13" x14ac:dyDescent="0.3">
      <c r="A3980" s="1">
        <v>45636</v>
      </c>
      <c r="B3980" s="1" t="str">
        <f>TEXT(Tabla1[[#This Row],[Fecha]],"MMMM")</f>
        <v>diciembre</v>
      </c>
      <c r="C3980" t="s">
        <v>3990</v>
      </c>
      <c r="D3980" t="s">
        <v>5016</v>
      </c>
      <c r="E3980" t="s">
        <v>5032</v>
      </c>
      <c r="F3980" t="s">
        <v>5039</v>
      </c>
      <c r="G3980" s="3">
        <v>3910.91</v>
      </c>
      <c r="H3980" s="3">
        <v>0</v>
      </c>
      <c r="I3980" s="3">
        <f>SUM(Tabla1[[#This Row],[Monto_Base]],H3980)</f>
        <v>3910.91</v>
      </c>
      <c r="J3980" t="s">
        <v>5042</v>
      </c>
      <c r="K3980" t="s">
        <v>5047</v>
      </c>
      <c r="L3980" t="s">
        <v>5050</v>
      </c>
      <c r="M3980" t="s">
        <v>5054</v>
      </c>
    </row>
    <row r="3981" spans="1:13" x14ac:dyDescent="0.3">
      <c r="A3981" s="1">
        <v>45390</v>
      </c>
      <c r="B3981" s="1" t="str">
        <f>TEXT(Tabla1[[#This Row],[Fecha]],"MMMM")</f>
        <v>abril</v>
      </c>
      <c r="C3981" t="s">
        <v>3991</v>
      </c>
      <c r="D3981" t="s">
        <v>5030</v>
      </c>
      <c r="E3981" t="s">
        <v>5032</v>
      </c>
      <c r="F3981" t="s">
        <v>5040</v>
      </c>
      <c r="G3981" s="3">
        <v>13141.23</v>
      </c>
      <c r="H3981" s="3">
        <v>0</v>
      </c>
      <c r="I3981" s="3">
        <f>SUM(Tabla1[[#This Row],[Monto_Base]],H3981)</f>
        <v>13141.23</v>
      </c>
      <c r="J3981" t="s">
        <v>5043</v>
      </c>
      <c r="K3981" t="s">
        <v>5049</v>
      </c>
      <c r="L3981" t="s">
        <v>5052</v>
      </c>
      <c r="M3981" t="s">
        <v>5054</v>
      </c>
    </row>
    <row r="3982" spans="1:13" x14ac:dyDescent="0.3">
      <c r="A3982" s="1">
        <v>45563</v>
      </c>
      <c r="B3982" s="1" t="str">
        <f>TEXT(Tabla1[[#This Row],[Fecha]],"MMMM")</f>
        <v>septiembre</v>
      </c>
      <c r="C3982" t="s">
        <v>3992</v>
      </c>
      <c r="D3982" t="s">
        <v>5024</v>
      </c>
      <c r="E3982" t="s">
        <v>5032</v>
      </c>
      <c r="F3982" t="s">
        <v>5037</v>
      </c>
      <c r="G3982" s="3">
        <v>3087.87</v>
      </c>
      <c r="H3982" s="3">
        <v>0</v>
      </c>
      <c r="I3982" s="3">
        <f>SUM(Tabla1[[#This Row],[Monto_Base]],H3982)</f>
        <v>3087.87</v>
      </c>
      <c r="J3982" t="s">
        <v>5044</v>
      </c>
      <c r="K3982" t="s">
        <v>5048</v>
      </c>
      <c r="L3982" t="s">
        <v>5050</v>
      </c>
      <c r="M3982" t="s">
        <v>5055</v>
      </c>
    </row>
    <row r="3983" spans="1:13" x14ac:dyDescent="0.3">
      <c r="A3983" s="1">
        <v>45422</v>
      </c>
      <c r="B3983" s="1" t="str">
        <f>TEXT(Tabla1[[#This Row],[Fecha]],"MMMM")</f>
        <v>mayo</v>
      </c>
      <c r="C3983" t="s">
        <v>3993</v>
      </c>
      <c r="D3983" t="s">
        <v>5018</v>
      </c>
      <c r="E3983" t="s">
        <v>5033</v>
      </c>
      <c r="F3983" t="s">
        <v>5037</v>
      </c>
      <c r="G3983" s="3">
        <v>11283.07</v>
      </c>
      <c r="H3983" s="3">
        <v>1466.8</v>
      </c>
      <c r="I3983" s="3">
        <f>SUM(Tabla1[[#This Row],[Monto_Base]],H3983)</f>
        <v>12749.869999999999</v>
      </c>
      <c r="J3983" t="s">
        <v>5044</v>
      </c>
      <c r="K3983" t="s">
        <v>5049</v>
      </c>
      <c r="L3983" t="s">
        <v>5053</v>
      </c>
      <c r="M3983" t="s">
        <v>5055</v>
      </c>
    </row>
    <row r="3984" spans="1:13" x14ac:dyDescent="0.3">
      <c r="A3984" s="1">
        <v>45431</v>
      </c>
      <c r="B3984" s="1" t="str">
        <f>TEXT(Tabla1[[#This Row],[Fecha]],"MMMM")</f>
        <v>mayo</v>
      </c>
      <c r="C3984" t="s">
        <v>3994</v>
      </c>
      <c r="D3984" t="s">
        <v>5022</v>
      </c>
      <c r="E3984" t="s">
        <v>5033</v>
      </c>
      <c r="F3984" t="s">
        <v>5035</v>
      </c>
      <c r="G3984" s="3">
        <v>11207.87</v>
      </c>
      <c r="H3984" s="3">
        <v>1457.02</v>
      </c>
      <c r="I3984" s="3">
        <f>SUM(Tabla1[[#This Row],[Monto_Base]],H3984)</f>
        <v>12664.890000000001</v>
      </c>
      <c r="J3984" t="s">
        <v>5045</v>
      </c>
      <c r="K3984" t="s">
        <v>5048</v>
      </c>
      <c r="L3984" t="s">
        <v>5051</v>
      </c>
      <c r="M3984" t="s">
        <v>5055</v>
      </c>
    </row>
    <row r="3985" spans="1:13" x14ac:dyDescent="0.3">
      <c r="A3985" s="1">
        <v>45508</v>
      </c>
      <c r="B3985" s="1" t="str">
        <f>TEXT(Tabla1[[#This Row],[Fecha]],"MMMM")</f>
        <v>agosto</v>
      </c>
      <c r="C3985" t="s">
        <v>3995</v>
      </c>
      <c r="D3985" t="s">
        <v>5026</v>
      </c>
      <c r="E3985" t="s">
        <v>5033</v>
      </c>
      <c r="F3985" t="s">
        <v>5036</v>
      </c>
      <c r="G3985" s="3">
        <v>811.2</v>
      </c>
      <c r="H3985" s="3">
        <v>105.46</v>
      </c>
      <c r="I3985" s="3">
        <f>SUM(Tabla1[[#This Row],[Monto_Base]],H3985)</f>
        <v>916.66000000000008</v>
      </c>
      <c r="J3985" t="s">
        <v>5044</v>
      </c>
      <c r="K3985" t="s">
        <v>5047</v>
      </c>
      <c r="L3985" t="s">
        <v>5050</v>
      </c>
      <c r="M3985" t="s">
        <v>5055</v>
      </c>
    </row>
    <row r="3986" spans="1:13" x14ac:dyDescent="0.3">
      <c r="A3986" s="1">
        <v>45579</v>
      </c>
      <c r="B3986" s="1" t="str">
        <f>TEXT(Tabla1[[#This Row],[Fecha]],"MMMM")</f>
        <v>octubre</v>
      </c>
      <c r="C3986" t="s">
        <v>3996</v>
      </c>
      <c r="D3986" t="s">
        <v>5031</v>
      </c>
      <c r="E3986" t="s">
        <v>5032</v>
      </c>
      <c r="F3986" t="s">
        <v>5039</v>
      </c>
      <c r="G3986" s="3">
        <v>2688.15</v>
      </c>
      <c r="H3986" s="3">
        <v>0</v>
      </c>
      <c r="I3986" s="3">
        <f>SUM(Tabla1[[#This Row],[Monto_Base]],H3986)</f>
        <v>2688.15</v>
      </c>
      <c r="J3986" t="s">
        <v>5042</v>
      </c>
      <c r="K3986" t="s">
        <v>5049</v>
      </c>
      <c r="L3986" t="s">
        <v>5051</v>
      </c>
      <c r="M3986" t="s">
        <v>5055</v>
      </c>
    </row>
    <row r="3987" spans="1:13" x14ac:dyDescent="0.3">
      <c r="A3987" s="1">
        <v>45593</v>
      </c>
      <c r="B3987" s="1" t="str">
        <f>TEXT(Tabla1[[#This Row],[Fecha]],"MMMM")</f>
        <v>octubre</v>
      </c>
      <c r="C3987" t="s">
        <v>3997</v>
      </c>
      <c r="D3987" t="s">
        <v>5018</v>
      </c>
      <c r="E3987" t="s">
        <v>5033</v>
      </c>
      <c r="F3987" t="s">
        <v>5038</v>
      </c>
      <c r="G3987" s="3">
        <v>3916.42</v>
      </c>
      <c r="H3987" s="3">
        <v>509.13</v>
      </c>
      <c r="I3987" s="3">
        <f>SUM(Tabla1[[#This Row],[Monto_Base]],H3987)</f>
        <v>4425.55</v>
      </c>
      <c r="J3987" t="s">
        <v>5043</v>
      </c>
      <c r="K3987" t="s">
        <v>5049</v>
      </c>
      <c r="L3987" t="s">
        <v>5052</v>
      </c>
      <c r="M3987" t="s">
        <v>5055</v>
      </c>
    </row>
    <row r="3988" spans="1:13" x14ac:dyDescent="0.3">
      <c r="A3988" s="1">
        <v>45500</v>
      </c>
      <c r="B3988" s="1" t="str">
        <f>TEXT(Tabla1[[#This Row],[Fecha]],"MMMM")</f>
        <v>julio</v>
      </c>
      <c r="C3988" t="s">
        <v>3998</v>
      </c>
      <c r="D3988" t="s">
        <v>5031</v>
      </c>
      <c r="E3988" t="s">
        <v>5032</v>
      </c>
      <c r="F3988" t="s">
        <v>5034</v>
      </c>
      <c r="G3988" s="3">
        <v>12196.09</v>
      </c>
      <c r="H3988" s="3">
        <v>0</v>
      </c>
      <c r="I3988" s="3">
        <f>SUM(Tabla1[[#This Row],[Monto_Base]],H3988)</f>
        <v>12196.09</v>
      </c>
      <c r="J3988" t="s">
        <v>5044</v>
      </c>
      <c r="K3988" t="s">
        <v>5048</v>
      </c>
      <c r="L3988" t="s">
        <v>5050</v>
      </c>
      <c r="M3988" t="s">
        <v>5055</v>
      </c>
    </row>
    <row r="3989" spans="1:13" x14ac:dyDescent="0.3">
      <c r="A3989" s="1">
        <v>45322</v>
      </c>
      <c r="B3989" s="1" t="str">
        <f>TEXT(Tabla1[[#This Row],[Fecha]],"MMMM")</f>
        <v>enero</v>
      </c>
      <c r="C3989" t="s">
        <v>3999</v>
      </c>
      <c r="D3989" t="s">
        <v>5016</v>
      </c>
      <c r="E3989" t="s">
        <v>5033</v>
      </c>
      <c r="F3989" t="s">
        <v>5041</v>
      </c>
      <c r="G3989" s="3">
        <v>13651.3</v>
      </c>
      <c r="H3989" s="3">
        <v>1774.67</v>
      </c>
      <c r="I3989" s="3">
        <f>SUM(Tabla1[[#This Row],[Monto_Base]],H3989)</f>
        <v>15425.97</v>
      </c>
      <c r="J3989" t="s">
        <v>5044</v>
      </c>
      <c r="K3989" t="s">
        <v>5047</v>
      </c>
      <c r="L3989" t="s">
        <v>5052</v>
      </c>
      <c r="M3989" t="s">
        <v>5055</v>
      </c>
    </row>
    <row r="3990" spans="1:13" x14ac:dyDescent="0.3">
      <c r="A3990" s="1">
        <v>45457</v>
      </c>
      <c r="B3990" s="1" t="str">
        <f>TEXT(Tabla1[[#This Row],[Fecha]],"MMMM")</f>
        <v>junio</v>
      </c>
      <c r="C3990" t="s">
        <v>4000</v>
      </c>
      <c r="D3990" t="s">
        <v>5027</v>
      </c>
      <c r="E3990" t="s">
        <v>5032</v>
      </c>
      <c r="F3990" t="s">
        <v>5041</v>
      </c>
      <c r="G3990" s="3">
        <v>1849.56</v>
      </c>
      <c r="H3990" s="3">
        <v>0</v>
      </c>
      <c r="I3990" s="3">
        <f>SUM(Tabla1[[#This Row],[Monto_Base]],H3990)</f>
        <v>1849.56</v>
      </c>
      <c r="J3990" t="s">
        <v>5046</v>
      </c>
      <c r="K3990" t="s">
        <v>5049</v>
      </c>
      <c r="L3990" t="s">
        <v>5050</v>
      </c>
      <c r="M3990" t="s">
        <v>5054</v>
      </c>
    </row>
    <row r="3991" spans="1:13" x14ac:dyDescent="0.3">
      <c r="A3991" s="1">
        <v>45423</v>
      </c>
      <c r="B3991" s="1" t="str">
        <f>TEXT(Tabla1[[#This Row],[Fecha]],"MMMM")</f>
        <v>mayo</v>
      </c>
      <c r="C3991" t="s">
        <v>4001</v>
      </c>
      <c r="D3991" t="s">
        <v>5018</v>
      </c>
      <c r="E3991" t="s">
        <v>5032</v>
      </c>
      <c r="F3991" t="s">
        <v>5034</v>
      </c>
      <c r="G3991" s="3">
        <v>10524.57</v>
      </c>
      <c r="H3991" s="3">
        <v>0</v>
      </c>
      <c r="I3991" s="3">
        <f>SUM(Tabla1[[#This Row],[Monto_Base]],H3991)</f>
        <v>10524.57</v>
      </c>
      <c r="J3991" t="s">
        <v>5045</v>
      </c>
      <c r="K3991" t="s">
        <v>5047</v>
      </c>
      <c r="L3991" t="s">
        <v>5051</v>
      </c>
      <c r="M3991" t="s">
        <v>5055</v>
      </c>
    </row>
    <row r="3992" spans="1:13" x14ac:dyDescent="0.3">
      <c r="A3992" s="1">
        <v>45342</v>
      </c>
      <c r="B3992" s="1" t="str">
        <f>TEXT(Tabla1[[#This Row],[Fecha]],"MMMM")</f>
        <v>febrero</v>
      </c>
      <c r="C3992" t="s">
        <v>4002</v>
      </c>
      <c r="D3992" t="s">
        <v>5012</v>
      </c>
      <c r="E3992" t="s">
        <v>5032</v>
      </c>
      <c r="F3992" t="s">
        <v>5036</v>
      </c>
      <c r="G3992" s="3">
        <v>3054.62</v>
      </c>
      <c r="H3992" s="3">
        <v>0</v>
      </c>
      <c r="I3992" s="3">
        <f>SUM(Tabla1[[#This Row],[Monto_Base]],H3992)</f>
        <v>3054.62</v>
      </c>
      <c r="J3992" t="s">
        <v>5043</v>
      </c>
      <c r="K3992" t="s">
        <v>5049</v>
      </c>
      <c r="L3992" t="s">
        <v>5050</v>
      </c>
      <c r="M3992" t="s">
        <v>5055</v>
      </c>
    </row>
    <row r="3993" spans="1:13" x14ac:dyDescent="0.3">
      <c r="A3993" s="1">
        <v>45292</v>
      </c>
      <c r="B3993" s="1" t="str">
        <f>TEXT(Tabla1[[#This Row],[Fecha]],"MMMM")</f>
        <v>enero</v>
      </c>
      <c r="C3993" t="s">
        <v>4003</v>
      </c>
      <c r="D3993" t="s">
        <v>5020</v>
      </c>
      <c r="E3993" t="s">
        <v>5033</v>
      </c>
      <c r="F3993" t="s">
        <v>5041</v>
      </c>
      <c r="G3993" s="3">
        <v>11657.34</v>
      </c>
      <c r="H3993" s="3">
        <v>1515.45</v>
      </c>
      <c r="I3993" s="3">
        <f>SUM(Tabla1[[#This Row],[Monto_Base]],H3993)</f>
        <v>13172.79</v>
      </c>
      <c r="J3993" t="s">
        <v>5043</v>
      </c>
      <c r="K3993" t="s">
        <v>5047</v>
      </c>
      <c r="L3993" t="s">
        <v>5052</v>
      </c>
      <c r="M3993" t="s">
        <v>5055</v>
      </c>
    </row>
    <row r="3994" spans="1:13" x14ac:dyDescent="0.3">
      <c r="A3994" s="1">
        <v>45458</v>
      </c>
      <c r="B3994" s="1" t="str">
        <f>TEXT(Tabla1[[#This Row],[Fecha]],"MMMM")</f>
        <v>junio</v>
      </c>
      <c r="C3994" t="s">
        <v>4004</v>
      </c>
      <c r="D3994" t="s">
        <v>5030</v>
      </c>
      <c r="E3994" t="s">
        <v>5032</v>
      </c>
      <c r="F3994" t="s">
        <v>5037</v>
      </c>
      <c r="G3994" s="3">
        <v>3234.21</v>
      </c>
      <c r="H3994" s="3">
        <v>0</v>
      </c>
      <c r="I3994" s="3">
        <f>SUM(Tabla1[[#This Row],[Monto_Base]],H3994)</f>
        <v>3234.21</v>
      </c>
      <c r="J3994" t="s">
        <v>5045</v>
      </c>
      <c r="K3994" t="s">
        <v>5048</v>
      </c>
      <c r="L3994" t="s">
        <v>5051</v>
      </c>
      <c r="M3994" t="s">
        <v>5054</v>
      </c>
    </row>
    <row r="3995" spans="1:13" x14ac:dyDescent="0.3">
      <c r="A3995" s="1">
        <v>45572</v>
      </c>
      <c r="B3995" s="1" t="str">
        <f>TEXT(Tabla1[[#This Row],[Fecha]],"MMMM")</f>
        <v>octubre</v>
      </c>
      <c r="C3995" t="s">
        <v>4005</v>
      </c>
      <c r="D3995" t="s">
        <v>5028</v>
      </c>
      <c r="E3995" t="s">
        <v>5033</v>
      </c>
      <c r="F3995" t="s">
        <v>5038</v>
      </c>
      <c r="G3995" s="3">
        <v>3199.36</v>
      </c>
      <c r="H3995" s="3">
        <v>415.92</v>
      </c>
      <c r="I3995" s="3">
        <f>SUM(Tabla1[[#This Row],[Monto_Base]],H3995)</f>
        <v>3615.28</v>
      </c>
      <c r="J3995" t="s">
        <v>5045</v>
      </c>
      <c r="K3995" t="s">
        <v>5048</v>
      </c>
      <c r="L3995" t="s">
        <v>5050</v>
      </c>
      <c r="M3995" t="s">
        <v>5055</v>
      </c>
    </row>
    <row r="3996" spans="1:13" x14ac:dyDescent="0.3">
      <c r="A3996" s="1">
        <v>45470</v>
      </c>
      <c r="B3996" s="1" t="str">
        <f>TEXT(Tabla1[[#This Row],[Fecha]],"MMMM")</f>
        <v>junio</v>
      </c>
      <c r="C3996" t="s">
        <v>4006</v>
      </c>
      <c r="D3996" t="s">
        <v>5028</v>
      </c>
      <c r="E3996" t="s">
        <v>5033</v>
      </c>
      <c r="F3996" t="s">
        <v>5041</v>
      </c>
      <c r="G3996" s="3">
        <v>567.95000000000005</v>
      </c>
      <c r="H3996" s="3">
        <v>73.83</v>
      </c>
      <c r="I3996" s="3">
        <f>SUM(Tabla1[[#This Row],[Monto_Base]],H3996)</f>
        <v>641.78000000000009</v>
      </c>
      <c r="J3996" t="s">
        <v>5044</v>
      </c>
      <c r="K3996" t="s">
        <v>5047</v>
      </c>
      <c r="L3996" t="s">
        <v>5053</v>
      </c>
      <c r="M3996" t="s">
        <v>5055</v>
      </c>
    </row>
    <row r="3997" spans="1:13" x14ac:dyDescent="0.3">
      <c r="A3997" s="1">
        <v>45507</v>
      </c>
      <c r="B3997" s="1" t="str">
        <f>TEXT(Tabla1[[#This Row],[Fecha]],"MMMM")</f>
        <v>agosto</v>
      </c>
      <c r="C3997" t="s">
        <v>4007</v>
      </c>
      <c r="D3997" t="s">
        <v>5031</v>
      </c>
      <c r="E3997" t="s">
        <v>5033</v>
      </c>
      <c r="F3997" t="s">
        <v>5040</v>
      </c>
      <c r="G3997" s="3">
        <v>7678.61</v>
      </c>
      <c r="H3997" s="3">
        <v>998.22</v>
      </c>
      <c r="I3997" s="3">
        <f>SUM(Tabla1[[#This Row],[Monto_Base]],H3997)</f>
        <v>8676.83</v>
      </c>
      <c r="J3997" t="s">
        <v>5044</v>
      </c>
      <c r="K3997" t="s">
        <v>5048</v>
      </c>
      <c r="L3997" t="s">
        <v>5052</v>
      </c>
      <c r="M3997" t="s">
        <v>5055</v>
      </c>
    </row>
    <row r="3998" spans="1:13" x14ac:dyDescent="0.3">
      <c r="A3998" s="1">
        <v>45554</v>
      </c>
      <c r="B3998" s="1" t="str">
        <f>TEXT(Tabla1[[#This Row],[Fecha]],"MMMM")</f>
        <v>septiembre</v>
      </c>
      <c r="C3998" t="s">
        <v>4008</v>
      </c>
      <c r="D3998" t="s">
        <v>5022</v>
      </c>
      <c r="E3998" t="s">
        <v>5032</v>
      </c>
      <c r="F3998" t="s">
        <v>5037</v>
      </c>
      <c r="G3998" s="3">
        <v>12113.14</v>
      </c>
      <c r="H3998" s="3">
        <v>0</v>
      </c>
      <c r="I3998" s="3">
        <f>SUM(Tabla1[[#This Row],[Monto_Base]],H3998)</f>
        <v>12113.14</v>
      </c>
      <c r="J3998" t="s">
        <v>5046</v>
      </c>
      <c r="K3998" t="s">
        <v>5049</v>
      </c>
      <c r="L3998" t="s">
        <v>5053</v>
      </c>
      <c r="M3998" t="s">
        <v>5054</v>
      </c>
    </row>
    <row r="3999" spans="1:13" x14ac:dyDescent="0.3">
      <c r="A3999" s="1">
        <v>45347</v>
      </c>
      <c r="B3999" s="1" t="str">
        <f>TEXT(Tabla1[[#This Row],[Fecha]],"MMMM")</f>
        <v>febrero</v>
      </c>
      <c r="C3999" t="s">
        <v>4009</v>
      </c>
      <c r="D3999" t="s">
        <v>5014</v>
      </c>
      <c r="E3999" t="s">
        <v>5033</v>
      </c>
      <c r="F3999" t="s">
        <v>5037</v>
      </c>
      <c r="G3999" s="3">
        <v>10420.89</v>
      </c>
      <c r="H3999" s="3">
        <v>1354.72</v>
      </c>
      <c r="I3999" s="3">
        <f>SUM(Tabla1[[#This Row],[Monto_Base]],H3999)</f>
        <v>11775.609999999999</v>
      </c>
      <c r="J3999" t="s">
        <v>5044</v>
      </c>
      <c r="K3999" t="s">
        <v>5049</v>
      </c>
      <c r="L3999" t="s">
        <v>5051</v>
      </c>
      <c r="M3999" t="s">
        <v>5054</v>
      </c>
    </row>
    <row r="4000" spans="1:13" x14ac:dyDescent="0.3">
      <c r="A4000" s="1">
        <v>45651</v>
      </c>
      <c r="B4000" s="1" t="str">
        <f>TEXT(Tabla1[[#This Row],[Fecha]],"MMMM")</f>
        <v>diciembre</v>
      </c>
      <c r="C4000" t="s">
        <v>4010</v>
      </c>
      <c r="D4000" t="s">
        <v>5027</v>
      </c>
      <c r="E4000" t="s">
        <v>5033</v>
      </c>
      <c r="F4000" t="s">
        <v>5034</v>
      </c>
      <c r="G4000" s="3">
        <v>3897.63</v>
      </c>
      <c r="H4000" s="3">
        <v>506.69</v>
      </c>
      <c r="I4000" s="3">
        <f>SUM(Tabla1[[#This Row],[Monto_Base]],H4000)</f>
        <v>4404.32</v>
      </c>
      <c r="J4000" t="s">
        <v>5042</v>
      </c>
      <c r="K4000" t="s">
        <v>5048</v>
      </c>
      <c r="L4000" t="s">
        <v>5052</v>
      </c>
      <c r="M4000" t="s">
        <v>5054</v>
      </c>
    </row>
    <row r="4001" spans="1:13" x14ac:dyDescent="0.3">
      <c r="A4001" s="1">
        <v>45514</v>
      </c>
      <c r="B4001" s="1" t="str">
        <f>TEXT(Tabla1[[#This Row],[Fecha]],"MMMM")</f>
        <v>agosto</v>
      </c>
      <c r="C4001" t="s">
        <v>4011</v>
      </c>
      <c r="D4001" t="s">
        <v>5026</v>
      </c>
      <c r="E4001" t="s">
        <v>5033</v>
      </c>
      <c r="F4001" t="s">
        <v>5037</v>
      </c>
      <c r="G4001" s="3">
        <v>5788.98</v>
      </c>
      <c r="H4001" s="3">
        <v>752.57</v>
      </c>
      <c r="I4001" s="3">
        <f>SUM(Tabla1[[#This Row],[Monto_Base]],H4001)</f>
        <v>6541.5499999999993</v>
      </c>
      <c r="J4001" t="s">
        <v>5043</v>
      </c>
      <c r="K4001" t="s">
        <v>5048</v>
      </c>
      <c r="L4001" t="s">
        <v>5051</v>
      </c>
      <c r="M4001" t="s">
        <v>5054</v>
      </c>
    </row>
    <row r="4002" spans="1:13" x14ac:dyDescent="0.3">
      <c r="A4002" s="1">
        <v>45625</v>
      </c>
      <c r="B4002" s="1" t="str">
        <f>TEXT(Tabla1[[#This Row],[Fecha]],"MMMM")</f>
        <v>noviembre</v>
      </c>
      <c r="C4002" t="s">
        <v>4012</v>
      </c>
      <c r="D4002" t="s">
        <v>5024</v>
      </c>
      <c r="E4002" t="s">
        <v>5032</v>
      </c>
      <c r="F4002" t="s">
        <v>5038</v>
      </c>
      <c r="G4002" s="3">
        <v>2393.7399999999998</v>
      </c>
      <c r="H4002" s="3">
        <v>311.19</v>
      </c>
      <c r="I4002" s="3">
        <f>SUM(Tabla1[[#This Row],[Monto_Base]],H4002)</f>
        <v>2704.93</v>
      </c>
      <c r="J4002" t="s">
        <v>5045</v>
      </c>
      <c r="K4002" t="s">
        <v>5049</v>
      </c>
      <c r="L4002" t="s">
        <v>5050</v>
      </c>
      <c r="M4002" t="s">
        <v>5055</v>
      </c>
    </row>
    <row r="4003" spans="1:13" x14ac:dyDescent="0.3">
      <c r="A4003" s="1">
        <v>45548</v>
      </c>
      <c r="B4003" s="1" t="str">
        <f>TEXT(Tabla1[[#This Row],[Fecha]],"MMMM")</f>
        <v>septiembre</v>
      </c>
      <c r="C4003" t="s">
        <v>4013</v>
      </c>
      <c r="D4003" t="s">
        <v>5015</v>
      </c>
      <c r="E4003" t="s">
        <v>5033</v>
      </c>
      <c r="F4003" t="s">
        <v>5039</v>
      </c>
      <c r="G4003" s="3">
        <v>14178.46</v>
      </c>
      <c r="H4003" s="3">
        <v>1843.2</v>
      </c>
      <c r="I4003" s="3">
        <f>SUM(Tabla1[[#This Row],[Monto_Base]],H4003)</f>
        <v>16021.66</v>
      </c>
      <c r="J4003" t="s">
        <v>5043</v>
      </c>
      <c r="K4003" t="s">
        <v>5047</v>
      </c>
      <c r="L4003" t="s">
        <v>5050</v>
      </c>
      <c r="M4003" t="s">
        <v>5054</v>
      </c>
    </row>
    <row r="4004" spans="1:13" x14ac:dyDescent="0.3">
      <c r="A4004" s="1">
        <v>45557</v>
      </c>
      <c r="B4004" s="1" t="str">
        <f>TEXT(Tabla1[[#This Row],[Fecha]],"MMMM")</f>
        <v>septiembre</v>
      </c>
      <c r="C4004" t="s">
        <v>4014</v>
      </c>
      <c r="D4004" t="s">
        <v>5016</v>
      </c>
      <c r="E4004" t="s">
        <v>5033</v>
      </c>
      <c r="F4004" t="s">
        <v>5034</v>
      </c>
      <c r="G4004" s="3">
        <v>14641.17</v>
      </c>
      <c r="H4004" s="3">
        <v>1903.35</v>
      </c>
      <c r="I4004" s="3">
        <f>SUM(Tabla1[[#This Row],[Monto_Base]],H4004)</f>
        <v>16544.52</v>
      </c>
      <c r="J4004" t="s">
        <v>5045</v>
      </c>
      <c r="K4004" t="s">
        <v>5048</v>
      </c>
      <c r="L4004" t="s">
        <v>5050</v>
      </c>
      <c r="M4004" t="s">
        <v>5054</v>
      </c>
    </row>
    <row r="4005" spans="1:13" x14ac:dyDescent="0.3">
      <c r="A4005" s="1">
        <v>45519</v>
      </c>
      <c r="B4005" s="1" t="str">
        <f>TEXT(Tabla1[[#This Row],[Fecha]],"MMMM")</f>
        <v>agosto</v>
      </c>
      <c r="C4005" t="s">
        <v>4015</v>
      </c>
      <c r="D4005" t="s">
        <v>5013</v>
      </c>
      <c r="E4005" t="s">
        <v>5033</v>
      </c>
      <c r="F4005" t="s">
        <v>5037</v>
      </c>
      <c r="G4005" s="3">
        <v>11647.71</v>
      </c>
      <c r="H4005" s="3">
        <v>1514.2</v>
      </c>
      <c r="I4005" s="3">
        <f>SUM(Tabla1[[#This Row],[Monto_Base]],H4005)</f>
        <v>13161.91</v>
      </c>
      <c r="J4005" t="s">
        <v>5042</v>
      </c>
      <c r="K4005" t="s">
        <v>5049</v>
      </c>
      <c r="L4005" t="s">
        <v>5050</v>
      </c>
      <c r="M4005" t="s">
        <v>5055</v>
      </c>
    </row>
    <row r="4006" spans="1:13" x14ac:dyDescent="0.3">
      <c r="A4006" s="1">
        <v>45453</v>
      </c>
      <c r="B4006" s="1" t="str">
        <f>TEXT(Tabla1[[#This Row],[Fecha]],"MMMM")</f>
        <v>junio</v>
      </c>
      <c r="C4006" t="s">
        <v>4016</v>
      </c>
      <c r="D4006" t="s">
        <v>5020</v>
      </c>
      <c r="E4006" t="s">
        <v>5032</v>
      </c>
      <c r="F4006" t="s">
        <v>5039</v>
      </c>
      <c r="G4006" s="3">
        <v>6160.99</v>
      </c>
      <c r="H4006" s="3">
        <v>0</v>
      </c>
      <c r="I4006" s="3">
        <f>SUM(Tabla1[[#This Row],[Monto_Base]],H4006)</f>
        <v>6160.99</v>
      </c>
      <c r="J4006" t="s">
        <v>5045</v>
      </c>
      <c r="K4006" t="s">
        <v>5047</v>
      </c>
      <c r="L4006" t="s">
        <v>5050</v>
      </c>
      <c r="M4006" t="s">
        <v>5054</v>
      </c>
    </row>
    <row r="4007" spans="1:13" x14ac:dyDescent="0.3">
      <c r="A4007" s="1">
        <v>45372</v>
      </c>
      <c r="B4007" s="1" t="str">
        <f>TEXT(Tabla1[[#This Row],[Fecha]],"MMMM")</f>
        <v>marzo</v>
      </c>
      <c r="C4007" t="s">
        <v>4017</v>
      </c>
      <c r="D4007" t="s">
        <v>5020</v>
      </c>
      <c r="E4007" t="s">
        <v>5032</v>
      </c>
      <c r="F4007" t="s">
        <v>5035</v>
      </c>
      <c r="G4007" s="3">
        <v>5494.34</v>
      </c>
      <c r="H4007" s="3">
        <v>0</v>
      </c>
      <c r="I4007" s="3">
        <f>SUM(Tabla1[[#This Row],[Monto_Base]],H4007)</f>
        <v>5494.34</v>
      </c>
      <c r="J4007" t="s">
        <v>5042</v>
      </c>
      <c r="K4007" t="s">
        <v>5048</v>
      </c>
      <c r="L4007" t="s">
        <v>5053</v>
      </c>
      <c r="M4007" t="s">
        <v>5055</v>
      </c>
    </row>
    <row r="4008" spans="1:13" x14ac:dyDescent="0.3">
      <c r="A4008" s="1">
        <v>45389</v>
      </c>
      <c r="B4008" s="1" t="str">
        <f>TEXT(Tabla1[[#This Row],[Fecha]],"MMMM")</f>
        <v>abril</v>
      </c>
      <c r="C4008" t="s">
        <v>4018</v>
      </c>
      <c r="D4008" t="s">
        <v>5029</v>
      </c>
      <c r="E4008" t="s">
        <v>5032</v>
      </c>
      <c r="F4008" t="s">
        <v>5036</v>
      </c>
      <c r="G4008" s="3">
        <v>1944.28</v>
      </c>
      <c r="H4008" s="3">
        <v>0</v>
      </c>
      <c r="I4008" s="3">
        <f>SUM(Tabla1[[#This Row],[Monto_Base]],H4008)</f>
        <v>1944.28</v>
      </c>
      <c r="J4008" t="s">
        <v>5044</v>
      </c>
      <c r="K4008" t="s">
        <v>5049</v>
      </c>
      <c r="L4008" t="s">
        <v>5050</v>
      </c>
      <c r="M4008" t="s">
        <v>5054</v>
      </c>
    </row>
    <row r="4009" spans="1:13" x14ac:dyDescent="0.3">
      <c r="A4009" s="1">
        <v>45418</v>
      </c>
      <c r="B4009" s="1" t="str">
        <f>TEXT(Tabla1[[#This Row],[Fecha]],"MMMM")</f>
        <v>mayo</v>
      </c>
      <c r="C4009" t="s">
        <v>4019</v>
      </c>
      <c r="D4009" t="s">
        <v>5016</v>
      </c>
      <c r="E4009" t="s">
        <v>5032</v>
      </c>
      <c r="F4009" t="s">
        <v>5039</v>
      </c>
      <c r="G4009" s="3">
        <v>13120.13</v>
      </c>
      <c r="H4009" s="3">
        <v>0</v>
      </c>
      <c r="I4009" s="3">
        <f>SUM(Tabla1[[#This Row],[Monto_Base]],H4009)</f>
        <v>13120.13</v>
      </c>
      <c r="J4009" t="s">
        <v>5044</v>
      </c>
      <c r="K4009" t="s">
        <v>5048</v>
      </c>
      <c r="L4009" t="s">
        <v>5053</v>
      </c>
      <c r="M4009" t="s">
        <v>5054</v>
      </c>
    </row>
    <row r="4010" spans="1:13" x14ac:dyDescent="0.3">
      <c r="A4010" s="1">
        <v>45336</v>
      </c>
      <c r="B4010" s="1" t="str">
        <f>TEXT(Tabla1[[#This Row],[Fecha]],"MMMM")</f>
        <v>febrero</v>
      </c>
      <c r="C4010" t="s">
        <v>4020</v>
      </c>
      <c r="D4010" t="s">
        <v>5028</v>
      </c>
      <c r="E4010" t="s">
        <v>5032</v>
      </c>
      <c r="F4010" t="s">
        <v>5040</v>
      </c>
      <c r="G4010" s="3">
        <v>990.48</v>
      </c>
      <c r="H4010" s="3">
        <v>0</v>
      </c>
      <c r="I4010" s="3">
        <f>SUM(Tabla1[[#This Row],[Monto_Base]],H4010)</f>
        <v>990.48</v>
      </c>
      <c r="J4010" t="s">
        <v>5043</v>
      </c>
      <c r="K4010" t="s">
        <v>5049</v>
      </c>
      <c r="L4010" t="s">
        <v>5050</v>
      </c>
      <c r="M4010" t="s">
        <v>5055</v>
      </c>
    </row>
    <row r="4011" spans="1:13" x14ac:dyDescent="0.3">
      <c r="A4011" s="1">
        <v>45420</v>
      </c>
      <c r="B4011" s="1" t="str">
        <f>TEXT(Tabla1[[#This Row],[Fecha]],"MMMM")</f>
        <v>mayo</v>
      </c>
      <c r="C4011" t="s">
        <v>4021</v>
      </c>
      <c r="D4011" t="s">
        <v>5031</v>
      </c>
      <c r="E4011" t="s">
        <v>5033</v>
      </c>
      <c r="F4011" t="s">
        <v>5041</v>
      </c>
      <c r="G4011" s="3">
        <v>13168.54</v>
      </c>
      <c r="H4011" s="3">
        <v>1711.91</v>
      </c>
      <c r="I4011" s="3">
        <f>SUM(Tabla1[[#This Row],[Monto_Base]],H4011)</f>
        <v>14880.45</v>
      </c>
      <c r="J4011" t="s">
        <v>5042</v>
      </c>
      <c r="K4011" t="s">
        <v>5048</v>
      </c>
      <c r="L4011" t="s">
        <v>5052</v>
      </c>
      <c r="M4011" t="s">
        <v>5054</v>
      </c>
    </row>
    <row r="4012" spans="1:13" x14ac:dyDescent="0.3">
      <c r="A4012" s="1">
        <v>45420</v>
      </c>
      <c r="B4012" s="1" t="str">
        <f>TEXT(Tabla1[[#This Row],[Fecha]],"MMMM")</f>
        <v>mayo</v>
      </c>
      <c r="C4012" t="s">
        <v>4022</v>
      </c>
      <c r="D4012" t="s">
        <v>5018</v>
      </c>
      <c r="E4012" t="s">
        <v>5033</v>
      </c>
      <c r="F4012" t="s">
        <v>5038</v>
      </c>
      <c r="G4012" s="3">
        <v>11490.21</v>
      </c>
      <c r="H4012" s="3">
        <v>1493.73</v>
      </c>
      <c r="I4012" s="3">
        <f>SUM(Tabla1[[#This Row],[Monto_Base]],H4012)</f>
        <v>12983.939999999999</v>
      </c>
      <c r="J4012" t="s">
        <v>5044</v>
      </c>
      <c r="K4012" t="s">
        <v>5049</v>
      </c>
      <c r="L4012" t="s">
        <v>5053</v>
      </c>
      <c r="M4012" t="s">
        <v>5054</v>
      </c>
    </row>
    <row r="4013" spans="1:13" x14ac:dyDescent="0.3">
      <c r="A4013" s="1">
        <v>45429</v>
      </c>
      <c r="B4013" s="1" t="str">
        <f>TEXT(Tabla1[[#This Row],[Fecha]],"MMMM")</f>
        <v>mayo</v>
      </c>
      <c r="C4013" t="s">
        <v>4023</v>
      </c>
      <c r="D4013" t="s">
        <v>5019</v>
      </c>
      <c r="E4013" t="s">
        <v>5033</v>
      </c>
      <c r="F4013" t="s">
        <v>5036</v>
      </c>
      <c r="G4013" s="3">
        <v>3000.53</v>
      </c>
      <c r="H4013" s="3">
        <v>390.07</v>
      </c>
      <c r="I4013" s="3">
        <f>SUM(Tabla1[[#This Row],[Monto_Base]],H4013)</f>
        <v>3390.6000000000004</v>
      </c>
      <c r="J4013" t="s">
        <v>5043</v>
      </c>
      <c r="K4013" t="s">
        <v>5047</v>
      </c>
      <c r="L4013" t="s">
        <v>5050</v>
      </c>
      <c r="M4013" t="s">
        <v>5055</v>
      </c>
    </row>
    <row r="4014" spans="1:13" x14ac:dyDescent="0.3">
      <c r="A4014" s="1">
        <v>45512</v>
      </c>
      <c r="B4014" s="1" t="str">
        <f>TEXT(Tabla1[[#This Row],[Fecha]],"MMMM")</f>
        <v>agosto</v>
      </c>
      <c r="C4014" t="s">
        <v>4024</v>
      </c>
      <c r="D4014" t="s">
        <v>5030</v>
      </c>
      <c r="E4014" t="s">
        <v>5032</v>
      </c>
      <c r="F4014" t="s">
        <v>5039</v>
      </c>
      <c r="G4014" s="3">
        <v>14080.7</v>
      </c>
      <c r="H4014" s="3">
        <v>0</v>
      </c>
      <c r="I4014" s="3">
        <f>SUM(Tabla1[[#This Row],[Monto_Base]],H4014)</f>
        <v>14080.7</v>
      </c>
      <c r="J4014" t="s">
        <v>5044</v>
      </c>
      <c r="K4014" t="s">
        <v>5047</v>
      </c>
      <c r="L4014" t="s">
        <v>5052</v>
      </c>
      <c r="M4014" t="s">
        <v>5054</v>
      </c>
    </row>
    <row r="4015" spans="1:13" x14ac:dyDescent="0.3">
      <c r="A4015" s="1">
        <v>45553</v>
      </c>
      <c r="B4015" s="1" t="str">
        <f>TEXT(Tabla1[[#This Row],[Fecha]],"MMMM")</f>
        <v>septiembre</v>
      </c>
      <c r="C4015" t="s">
        <v>4025</v>
      </c>
      <c r="D4015" t="s">
        <v>5021</v>
      </c>
      <c r="E4015" t="s">
        <v>5032</v>
      </c>
      <c r="F4015" t="s">
        <v>5035</v>
      </c>
      <c r="G4015" s="3">
        <v>11134.86</v>
      </c>
      <c r="H4015" s="3">
        <v>0</v>
      </c>
      <c r="I4015" s="3">
        <f>SUM(Tabla1[[#This Row],[Monto_Base]],H4015)</f>
        <v>11134.86</v>
      </c>
      <c r="J4015" t="s">
        <v>5045</v>
      </c>
      <c r="K4015" t="s">
        <v>5047</v>
      </c>
      <c r="L4015" t="s">
        <v>5053</v>
      </c>
      <c r="M4015" t="s">
        <v>5055</v>
      </c>
    </row>
    <row r="4016" spans="1:13" x14ac:dyDescent="0.3">
      <c r="A4016" s="1">
        <v>45566</v>
      </c>
      <c r="B4016" s="1" t="str">
        <f>TEXT(Tabla1[[#This Row],[Fecha]],"MMMM")</f>
        <v>octubre</v>
      </c>
      <c r="C4016" t="s">
        <v>4026</v>
      </c>
      <c r="D4016" t="s">
        <v>5026</v>
      </c>
      <c r="E4016" t="s">
        <v>5032</v>
      </c>
      <c r="F4016" t="s">
        <v>5036</v>
      </c>
      <c r="G4016" s="3">
        <v>9250.58</v>
      </c>
      <c r="H4016" s="3">
        <v>0</v>
      </c>
      <c r="I4016" s="3">
        <f>SUM(Tabla1[[#This Row],[Monto_Base]],H4016)</f>
        <v>9250.58</v>
      </c>
      <c r="J4016" t="s">
        <v>5044</v>
      </c>
      <c r="K4016" t="s">
        <v>5047</v>
      </c>
      <c r="L4016" t="s">
        <v>5051</v>
      </c>
      <c r="M4016" t="s">
        <v>5054</v>
      </c>
    </row>
    <row r="4017" spans="1:13" x14ac:dyDescent="0.3">
      <c r="A4017" s="1">
        <v>45555</v>
      </c>
      <c r="B4017" s="1" t="str">
        <f>TEXT(Tabla1[[#This Row],[Fecha]],"MMMM")</f>
        <v>septiembre</v>
      </c>
      <c r="C4017" t="s">
        <v>4027</v>
      </c>
      <c r="D4017" t="s">
        <v>5029</v>
      </c>
      <c r="E4017" t="s">
        <v>5033</v>
      </c>
      <c r="F4017" t="s">
        <v>5039</v>
      </c>
      <c r="G4017" s="3">
        <v>13418.91</v>
      </c>
      <c r="H4017" s="3">
        <v>1744.46</v>
      </c>
      <c r="I4017" s="3">
        <f>SUM(Tabla1[[#This Row],[Monto_Base]],H4017)</f>
        <v>15163.369999999999</v>
      </c>
      <c r="J4017" t="s">
        <v>5045</v>
      </c>
      <c r="K4017" t="s">
        <v>5048</v>
      </c>
      <c r="L4017" t="s">
        <v>5052</v>
      </c>
      <c r="M4017" t="s">
        <v>5054</v>
      </c>
    </row>
    <row r="4018" spans="1:13" x14ac:dyDescent="0.3">
      <c r="A4018" s="1">
        <v>45595</v>
      </c>
      <c r="B4018" s="1" t="str">
        <f>TEXT(Tabla1[[#This Row],[Fecha]],"MMMM")</f>
        <v>octubre</v>
      </c>
      <c r="C4018" t="s">
        <v>4028</v>
      </c>
      <c r="D4018" t="s">
        <v>5023</v>
      </c>
      <c r="E4018" t="s">
        <v>5033</v>
      </c>
      <c r="F4018" t="s">
        <v>5040</v>
      </c>
      <c r="G4018" s="3">
        <v>7749.03</v>
      </c>
      <c r="H4018" s="3">
        <v>1007.37</v>
      </c>
      <c r="I4018" s="3">
        <f>SUM(Tabla1[[#This Row],[Monto_Base]],H4018)</f>
        <v>8756.4</v>
      </c>
      <c r="J4018" t="s">
        <v>5042</v>
      </c>
      <c r="K4018" t="s">
        <v>5047</v>
      </c>
      <c r="L4018" t="s">
        <v>5051</v>
      </c>
      <c r="M4018" t="s">
        <v>5054</v>
      </c>
    </row>
    <row r="4019" spans="1:13" x14ac:dyDescent="0.3">
      <c r="A4019" s="1">
        <v>45656</v>
      </c>
      <c r="B4019" s="1" t="str">
        <f>TEXT(Tabla1[[#This Row],[Fecha]],"MMMM")</f>
        <v>diciembre</v>
      </c>
      <c r="C4019" t="s">
        <v>4029</v>
      </c>
      <c r="D4019" t="s">
        <v>5021</v>
      </c>
      <c r="E4019" t="s">
        <v>5033</v>
      </c>
      <c r="F4019" t="s">
        <v>5034</v>
      </c>
      <c r="G4019" s="3">
        <v>3288.62</v>
      </c>
      <c r="H4019" s="3">
        <v>427.52</v>
      </c>
      <c r="I4019" s="3">
        <f>SUM(Tabla1[[#This Row],[Monto_Base]],H4019)</f>
        <v>3716.14</v>
      </c>
      <c r="J4019" t="s">
        <v>5045</v>
      </c>
      <c r="K4019" t="s">
        <v>5048</v>
      </c>
      <c r="L4019" t="s">
        <v>5053</v>
      </c>
      <c r="M4019" t="s">
        <v>5054</v>
      </c>
    </row>
    <row r="4020" spans="1:13" x14ac:dyDescent="0.3">
      <c r="A4020" s="1">
        <v>45620</v>
      </c>
      <c r="B4020" s="1" t="str">
        <f>TEXT(Tabla1[[#This Row],[Fecha]],"MMMM")</f>
        <v>noviembre</v>
      </c>
      <c r="C4020" t="s">
        <v>4030</v>
      </c>
      <c r="D4020" t="s">
        <v>5015</v>
      </c>
      <c r="E4020" t="s">
        <v>5032</v>
      </c>
      <c r="F4020" t="s">
        <v>5034</v>
      </c>
      <c r="G4020" s="3">
        <v>5152.05</v>
      </c>
      <c r="H4020" s="3">
        <v>0</v>
      </c>
      <c r="I4020" s="3">
        <f>SUM(Tabla1[[#This Row],[Monto_Base]],H4020)</f>
        <v>5152.05</v>
      </c>
      <c r="J4020" t="s">
        <v>5042</v>
      </c>
      <c r="K4020" t="s">
        <v>5049</v>
      </c>
      <c r="L4020" t="s">
        <v>5050</v>
      </c>
      <c r="M4020" t="s">
        <v>5054</v>
      </c>
    </row>
    <row r="4021" spans="1:13" x14ac:dyDescent="0.3">
      <c r="A4021" s="1">
        <v>45651</v>
      </c>
      <c r="B4021" s="1" t="str">
        <f>TEXT(Tabla1[[#This Row],[Fecha]],"MMMM")</f>
        <v>diciembre</v>
      </c>
      <c r="C4021" t="s">
        <v>4031</v>
      </c>
      <c r="D4021" t="s">
        <v>5013</v>
      </c>
      <c r="E4021" t="s">
        <v>5033</v>
      </c>
      <c r="F4021" t="s">
        <v>5036</v>
      </c>
      <c r="G4021" s="3">
        <v>1503.34</v>
      </c>
      <c r="H4021" s="3">
        <v>195.43</v>
      </c>
      <c r="I4021" s="3">
        <f>SUM(Tabla1[[#This Row],[Monto_Base]],H4021)</f>
        <v>1698.77</v>
      </c>
      <c r="J4021" t="s">
        <v>5043</v>
      </c>
      <c r="K4021" t="s">
        <v>5049</v>
      </c>
      <c r="L4021" t="s">
        <v>5051</v>
      </c>
      <c r="M4021" t="s">
        <v>5055</v>
      </c>
    </row>
    <row r="4022" spans="1:13" x14ac:dyDescent="0.3">
      <c r="A4022" s="1">
        <v>45440</v>
      </c>
      <c r="B4022" s="1" t="str">
        <f>TEXT(Tabla1[[#This Row],[Fecha]],"MMMM")</f>
        <v>mayo</v>
      </c>
      <c r="C4022" t="s">
        <v>4032</v>
      </c>
      <c r="D4022" t="s">
        <v>5026</v>
      </c>
      <c r="E4022" t="s">
        <v>5033</v>
      </c>
      <c r="F4022" t="s">
        <v>5039</v>
      </c>
      <c r="G4022" s="3">
        <v>13693.22</v>
      </c>
      <c r="H4022" s="3">
        <v>1780.12</v>
      </c>
      <c r="I4022" s="3">
        <f>SUM(Tabla1[[#This Row],[Monto_Base]],H4022)</f>
        <v>15473.34</v>
      </c>
      <c r="J4022" t="s">
        <v>5043</v>
      </c>
      <c r="K4022" t="s">
        <v>5048</v>
      </c>
      <c r="L4022" t="s">
        <v>5050</v>
      </c>
      <c r="M4022" t="s">
        <v>5055</v>
      </c>
    </row>
    <row r="4023" spans="1:13" x14ac:dyDescent="0.3">
      <c r="A4023" s="1">
        <v>45469</v>
      </c>
      <c r="B4023" s="1" t="str">
        <f>TEXT(Tabla1[[#This Row],[Fecha]],"MMMM")</f>
        <v>junio</v>
      </c>
      <c r="C4023" t="s">
        <v>4033</v>
      </c>
      <c r="D4023" t="s">
        <v>5023</v>
      </c>
      <c r="E4023" t="s">
        <v>5033</v>
      </c>
      <c r="F4023" t="s">
        <v>5039</v>
      </c>
      <c r="G4023" s="3">
        <v>10599.51</v>
      </c>
      <c r="H4023" s="3">
        <v>1377.94</v>
      </c>
      <c r="I4023" s="3">
        <f>SUM(Tabla1[[#This Row],[Monto_Base]],H4023)</f>
        <v>11977.45</v>
      </c>
      <c r="J4023" t="s">
        <v>5042</v>
      </c>
      <c r="K4023" t="s">
        <v>5049</v>
      </c>
      <c r="L4023" t="s">
        <v>5052</v>
      </c>
      <c r="M4023" t="s">
        <v>5055</v>
      </c>
    </row>
    <row r="4024" spans="1:13" x14ac:dyDescent="0.3">
      <c r="A4024" s="1">
        <v>45578</v>
      </c>
      <c r="B4024" s="1" t="str">
        <f>TEXT(Tabla1[[#This Row],[Fecha]],"MMMM")</f>
        <v>octubre</v>
      </c>
      <c r="C4024" t="s">
        <v>4034</v>
      </c>
      <c r="D4024" t="s">
        <v>5012</v>
      </c>
      <c r="E4024" t="s">
        <v>5032</v>
      </c>
      <c r="F4024" t="s">
        <v>5038</v>
      </c>
      <c r="G4024" s="3">
        <v>9347.32</v>
      </c>
      <c r="H4024" s="3">
        <v>0</v>
      </c>
      <c r="I4024" s="3">
        <f>SUM(Tabla1[[#This Row],[Monto_Base]],H4024)</f>
        <v>9347.32</v>
      </c>
      <c r="J4024" t="s">
        <v>5044</v>
      </c>
      <c r="K4024" t="s">
        <v>5049</v>
      </c>
      <c r="L4024" t="s">
        <v>5051</v>
      </c>
      <c r="M4024" t="s">
        <v>5054</v>
      </c>
    </row>
    <row r="4025" spans="1:13" x14ac:dyDescent="0.3">
      <c r="A4025" s="1">
        <v>45406</v>
      </c>
      <c r="B4025" s="1" t="str">
        <f>TEXT(Tabla1[[#This Row],[Fecha]],"MMMM")</f>
        <v>abril</v>
      </c>
      <c r="C4025" t="s">
        <v>4035</v>
      </c>
      <c r="D4025" t="s">
        <v>5027</v>
      </c>
      <c r="E4025" t="s">
        <v>5033</v>
      </c>
      <c r="F4025" t="s">
        <v>5039</v>
      </c>
      <c r="G4025" s="3">
        <v>57.29</v>
      </c>
      <c r="H4025" s="3">
        <v>7.45</v>
      </c>
      <c r="I4025" s="3">
        <f>SUM(Tabla1[[#This Row],[Monto_Base]],H4025)</f>
        <v>64.739999999999995</v>
      </c>
      <c r="J4025" t="s">
        <v>5045</v>
      </c>
      <c r="K4025" t="s">
        <v>5049</v>
      </c>
      <c r="L4025" t="s">
        <v>5051</v>
      </c>
      <c r="M4025" t="s">
        <v>5055</v>
      </c>
    </row>
    <row r="4026" spans="1:13" x14ac:dyDescent="0.3">
      <c r="A4026" s="1">
        <v>45353</v>
      </c>
      <c r="B4026" s="1" t="str">
        <f>TEXT(Tabla1[[#This Row],[Fecha]],"MMMM")</f>
        <v>marzo</v>
      </c>
      <c r="C4026" t="s">
        <v>4036</v>
      </c>
      <c r="D4026" t="s">
        <v>5019</v>
      </c>
      <c r="E4026" t="s">
        <v>5032</v>
      </c>
      <c r="F4026" t="s">
        <v>5041</v>
      </c>
      <c r="G4026" s="3">
        <v>10745.74</v>
      </c>
      <c r="H4026" s="3">
        <v>0</v>
      </c>
      <c r="I4026" s="3">
        <f>SUM(Tabla1[[#This Row],[Monto_Base]],H4026)</f>
        <v>10745.74</v>
      </c>
      <c r="J4026" t="s">
        <v>5043</v>
      </c>
      <c r="K4026" t="s">
        <v>5048</v>
      </c>
      <c r="L4026" t="s">
        <v>5051</v>
      </c>
      <c r="M4026" t="s">
        <v>5055</v>
      </c>
    </row>
    <row r="4027" spans="1:13" x14ac:dyDescent="0.3">
      <c r="A4027" s="1">
        <v>45611</v>
      </c>
      <c r="B4027" s="1" t="str">
        <f>TEXT(Tabla1[[#This Row],[Fecha]],"MMMM")</f>
        <v>noviembre</v>
      </c>
      <c r="C4027" t="s">
        <v>4037</v>
      </c>
      <c r="D4027" t="s">
        <v>5017</v>
      </c>
      <c r="E4027" t="s">
        <v>5033</v>
      </c>
      <c r="F4027" t="s">
        <v>5038</v>
      </c>
      <c r="G4027" s="3">
        <v>14700.6</v>
      </c>
      <c r="H4027" s="3">
        <v>1911.08</v>
      </c>
      <c r="I4027" s="3">
        <f>SUM(Tabla1[[#This Row],[Monto_Base]],H4027)</f>
        <v>16611.68</v>
      </c>
      <c r="J4027" t="s">
        <v>5044</v>
      </c>
      <c r="K4027" t="s">
        <v>5047</v>
      </c>
      <c r="L4027" t="s">
        <v>5051</v>
      </c>
      <c r="M4027" t="s">
        <v>5054</v>
      </c>
    </row>
    <row r="4028" spans="1:13" x14ac:dyDescent="0.3">
      <c r="A4028" s="1">
        <v>45312</v>
      </c>
      <c r="B4028" s="1" t="str">
        <f>TEXT(Tabla1[[#This Row],[Fecha]],"MMMM")</f>
        <v>enero</v>
      </c>
      <c r="C4028" t="s">
        <v>4038</v>
      </c>
      <c r="D4028" t="s">
        <v>5029</v>
      </c>
      <c r="E4028" t="s">
        <v>5033</v>
      </c>
      <c r="F4028" t="s">
        <v>5037</v>
      </c>
      <c r="G4028" s="3">
        <v>4096.5200000000004</v>
      </c>
      <c r="H4028" s="3">
        <v>532.54999999999995</v>
      </c>
      <c r="I4028" s="3">
        <f>SUM(Tabla1[[#This Row],[Monto_Base]],H4028)</f>
        <v>4629.0700000000006</v>
      </c>
      <c r="J4028" t="s">
        <v>5042</v>
      </c>
      <c r="K4028" t="s">
        <v>5048</v>
      </c>
      <c r="L4028" t="s">
        <v>5052</v>
      </c>
      <c r="M4028" t="s">
        <v>5055</v>
      </c>
    </row>
    <row r="4029" spans="1:13" x14ac:dyDescent="0.3">
      <c r="A4029" s="1">
        <v>45367</v>
      </c>
      <c r="B4029" s="1" t="str">
        <f>TEXT(Tabla1[[#This Row],[Fecha]],"MMMM")</f>
        <v>marzo</v>
      </c>
      <c r="C4029" t="s">
        <v>4039</v>
      </c>
      <c r="D4029" t="s">
        <v>5026</v>
      </c>
      <c r="E4029" t="s">
        <v>5033</v>
      </c>
      <c r="F4029" t="s">
        <v>5034</v>
      </c>
      <c r="G4029" s="3">
        <v>393.36</v>
      </c>
      <c r="H4029" s="3">
        <v>51.14</v>
      </c>
      <c r="I4029" s="3">
        <f>SUM(Tabla1[[#This Row],[Monto_Base]],H4029)</f>
        <v>444.5</v>
      </c>
      <c r="J4029" t="s">
        <v>5044</v>
      </c>
      <c r="K4029" t="s">
        <v>5049</v>
      </c>
      <c r="L4029" t="s">
        <v>5050</v>
      </c>
      <c r="M4029" t="s">
        <v>5055</v>
      </c>
    </row>
    <row r="4030" spans="1:13" x14ac:dyDescent="0.3">
      <c r="A4030" s="1">
        <v>45403</v>
      </c>
      <c r="B4030" s="1" t="str">
        <f>TEXT(Tabla1[[#This Row],[Fecha]],"MMMM")</f>
        <v>abril</v>
      </c>
      <c r="C4030" t="s">
        <v>4040</v>
      </c>
      <c r="D4030" t="s">
        <v>5030</v>
      </c>
      <c r="E4030" t="s">
        <v>5033</v>
      </c>
      <c r="F4030" t="s">
        <v>5037</v>
      </c>
      <c r="G4030" s="3">
        <v>1526.12</v>
      </c>
      <c r="H4030" s="3">
        <v>198.4</v>
      </c>
      <c r="I4030" s="3">
        <f>SUM(Tabla1[[#This Row],[Monto_Base]],H4030)</f>
        <v>1724.52</v>
      </c>
      <c r="J4030" t="s">
        <v>5042</v>
      </c>
      <c r="K4030" t="s">
        <v>5048</v>
      </c>
      <c r="L4030" t="s">
        <v>5051</v>
      </c>
      <c r="M4030" t="s">
        <v>5055</v>
      </c>
    </row>
    <row r="4031" spans="1:13" x14ac:dyDescent="0.3">
      <c r="A4031" s="1">
        <v>45298</v>
      </c>
      <c r="B4031" s="1" t="str">
        <f>TEXT(Tabla1[[#This Row],[Fecha]],"MMMM")</f>
        <v>enero</v>
      </c>
      <c r="C4031" t="s">
        <v>4041</v>
      </c>
      <c r="D4031" t="s">
        <v>5020</v>
      </c>
      <c r="E4031" t="s">
        <v>5032</v>
      </c>
      <c r="F4031" t="s">
        <v>5036</v>
      </c>
      <c r="G4031" s="3">
        <v>7584.58</v>
      </c>
      <c r="H4031" s="3">
        <v>0</v>
      </c>
      <c r="I4031" s="3">
        <f>SUM(Tabla1[[#This Row],[Monto_Base]],H4031)</f>
        <v>7584.58</v>
      </c>
      <c r="J4031" t="s">
        <v>5044</v>
      </c>
      <c r="K4031" t="s">
        <v>5049</v>
      </c>
      <c r="L4031" t="s">
        <v>5052</v>
      </c>
      <c r="M4031" t="s">
        <v>5054</v>
      </c>
    </row>
    <row r="4032" spans="1:13" x14ac:dyDescent="0.3">
      <c r="A4032" s="1">
        <v>45434</v>
      </c>
      <c r="B4032" s="1" t="str">
        <f>TEXT(Tabla1[[#This Row],[Fecha]],"MMMM")</f>
        <v>mayo</v>
      </c>
      <c r="C4032" t="s">
        <v>4042</v>
      </c>
      <c r="D4032" t="s">
        <v>5022</v>
      </c>
      <c r="E4032" t="s">
        <v>5033</v>
      </c>
      <c r="F4032" t="s">
        <v>5040</v>
      </c>
      <c r="G4032" s="3">
        <v>4105.8599999999997</v>
      </c>
      <c r="H4032" s="3">
        <v>533.76</v>
      </c>
      <c r="I4032" s="3">
        <f>SUM(Tabla1[[#This Row],[Monto_Base]],H4032)</f>
        <v>4639.62</v>
      </c>
      <c r="J4032" t="s">
        <v>5046</v>
      </c>
      <c r="K4032" t="s">
        <v>5049</v>
      </c>
      <c r="L4032" t="s">
        <v>5050</v>
      </c>
      <c r="M4032" t="s">
        <v>5055</v>
      </c>
    </row>
    <row r="4033" spans="1:13" x14ac:dyDescent="0.3">
      <c r="A4033" s="1">
        <v>45488</v>
      </c>
      <c r="B4033" s="1" t="str">
        <f>TEXT(Tabla1[[#This Row],[Fecha]],"MMMM")</f>
        <v>julio</v>
      </c>
      <c r="C4033" t="s">
        <v>4043</v>
      </c>
      <c r="D4033" t="s">
        <v>5031</v>
      </c>
      <c r="E4033" t="s">
        <v>5033</v>
      </c>
      <c r="F4033" t="s">
        <v>5035</v>
      </c>
      <c r="G4033" s="3">
        <v>6528.89</v>
      </c>
      <c r="H4033" s="3">
        <v>848.76</v>
      </c>
      <c r="I4033" s="3">
        <f>SUM(Tabla1[[#This Row],[Monto_Base]],H4033)</f>
        <v>7377.6500000000005</v>
      </c>
      <c r="J4033" t="s">
        <v>5044</v>
      </c>
      <c r="K4033" t="s">
        <v>5048</v>
      </c>
      <c r="L4033" t="s">
        <v>5052</v>
      </c>
      <c r="M4033" t="s">
        <v>5054</v>
      </c>
    </row>
    <row r="4034" spans="1:13" x14ac:dyDescent="0.3">
      <c r="A4034" s="1">
        <v>45515</v>
      </c>
      <c r="B4034" s="1" t="str">
        <f>TEXT(Tabla1[[#This Row],[Fecha]],"MMMM")</f>
        <v>agosto</v>
      </c>
      <c r="C4034" t="s">
        <v>4044</v>
      </c>
      <c r="D4034" t="s">
        <v>5014</v>
      </c>
      <c r="E4034" t="s">
        <v>5032</v>
      </c>
      <c r="F4034" t="s">
        <v>5039</v>
      </c>
      <c r="G4034" s="3">
        <v>14280.49</v>
      </c>
      <c r="H4034" s="3">
        <v>0</v>
      </c>
      <c r="I4034" s="3">
        <f>SUM(Tabla1[[#This Row],[Monto_Base]],H4034)</f>
        <v>14280.49</v>
      </c>
      <c r="J4034" t="s">
        <v>5046</v>
      </c>
      <c r="K4034" t="s">
        <v>5047</v>
      </c>
      <c r="L4034" t="s">
        <v>5052</v>
      </c>
      <c r="M4034" t="s">
        <v>5055</v>
      </c>
    </row>
    <row r="4035" spans="1:13" x14ac:dyDescent="0.3">
      <c r="A4035" s="1">
        <v>45422</v>
      </c>
      <c r="B4035" s="1" t="str">
        <f>TEXT(Tabla1[[#This Row],[Fecha]],"MMMM")</f>
        <v>mayo</v>
      </c>
      <c r="C4035" t="s">
        <v>4045</v>
      </c>
      <c r="D4035" t="s">
        <v>5013</v>
      </c>
      <c r="E4035" t="s">
        <v>5033</v>
      </c>
      <c r="F4035" t="s">
        <v>5041</v>
      </c>
      <c r="G4035" s="3">
        <v>5139.82</v>
      </c>
      <c r="H4035" s="3">
        <v>668.18</v>
      </c>
      <c r="I4035" s="3">
        <f>SUM(Tabla1[[#This Row],[Monto_Base]],H4035)</f>
        <v>5808</v>
      </c>
      <c r="J4035" t="s">
        <v>5045</v>
      </c>
      <c r="K4035" t="s">
        <v>5049</v>
      </c>
      <c r="L4035" t="s">
        <v>5052</v>
      </c>
      <c r="M4035" t="s">
        <v>5055</v>
      </c>
    </row>
    <row r="4036" spans="1:13" x14ac:dyDescent="0.3">
      <c r="A4036" s="1">
        <v>45360</v>
      </c>
      <c r="B4036" s="1" t="str">
        <f>TEXT(Tabla1[[#This Row],[Fecha]],"MMMM")</f>
        <v>marzo</v>
      </c>
      <c r="C4036" t="s">
        <v>4046</v>
      </c>
      <c r="D4036" t="s">
        <v>5025</v>
      </c>
      <c r="E4036" t="s">
        <v>5033</v>
      </c>
      <c r="F4036" t="s">
        <v>5039</v>
      </c>
      <c r="G4036" s="3">
        <v>13581.02</v>
      </c>
      <c r="H4036" s="3">
        <v>1765.53</v>
      </c>
      <c r="I4036" s="3">
        <f>SUM(Tabla1[[#This Row],[Monto_Base]],H4036)</f>
        <v>15346.550000000001</v>
      </c>
      <c r="J4036" t="s">
        <v>5042</v>
      </c>
      <c r="K4036" t="s">
        <v>5047</v>
      </c>
      <c r="L4036" t="s">
        <v>5053</v>
      </c>
      <c r="M4036" t="s">
        <v>5055</v>
      </c>
    </row>
    <row r="4037" spans="1:13" x14ac:dyDescent="0.3">
      <c r="A4037" s="1">
        <v>45443</v>
      </c>
      <c r="B4037" s="1" t="str">
        <f>TEXT(Tabla1[[#This Row],[Fecha]],"MMMM")</f>
        <v>mayo</v>
      </c>
      <c r="C4037" t="s">
        <v>4047</v>
      </c>
      <c r="D4037" t="s">
        <v>5030</v>
      </c>
      <c r="E4037" t="s">
        <v>5033</v>
      </c>
      <c r="F4037" t="s">
        <v>5037</v>
      </c>
      <c r="G4037" s="3">
        <v>1992.67</v>
      </c>
      <c r="H4037" s="3">
        <v>259.05</v>
      </c>
      <c r="I4037" s="3">
        <f>SUM(Tabla1[[#This Row],[Monto_Base]],H4037)</f>
        <v>2251.7200000000003</v>
      </c>
      <c r="J4037" t="s">
        <v>5044</v>
      </c>
      <c r="K4037" t="s">
        <v>5047</v>
      </c>
      <c r="L4037" t="s">
        <v>5052</v>
      </c>
      <c r="M4037" t="s">
        <v>5055</v>
      </c>
    </row>
    <row r="4038" spans="1:13" x14ac:dyDescent="0.3">
      <c r="A4038" s="1">
        <v>45633</v>
      </c>
      <c r="B4038" s="1" t="str">
        <f>TEXT(Tabla1[[#This Row],[Fecha]],"MMMM")</f>
        <v>diciembre</v>
      </c>
      <c r="C4038" t="s">
        <v>4048</v>
      </c>
      <c r="D4038" t="s">
        <v>5029</v>
      </c>
      <c r="E4038" t="s">
        <v>5032</v>
      </c>
      <c r="F4038" t="s">
        <v>5034</v>
      </c>
      <c r="G4038" s="3">
        <v>11665.33</v>
      </c>
      <c r="H4038" s="3">
        <v>0</v>
      </c>
      <c r="I4038" s="3">
        <f>SUM(Tabla1[[#This Row],[Monto_Base]],H4038)</f>
        <v>11665.33</v>
      </c>
      <c r="J4038" t="s">
        <v>5046</v>
      </c>
      <c r="K4038" t="s">
        <v>5048</v>
      </c>
      <c r="L4038" t="s">
        <v>5053</v>
      </c>
      <c r="M4038" t="s">
        <v>5055</v>
      </c>
    </row>
    <row r="4039" spans="1:13" x14ac:dyDescent="0.3">
      <c r="A4039" s="1">
        <v>45387</v>
      </c>
      <c r="B4039" s="1" t="str">
        <f>TEXT(Tabla1[[#This Row],[Fecha]],"MMMM")</f>
        <v>abril</v>
      </c>
      <c r="C4039" t="s">
        <v>4049</v>
      </c>
      <c r="D4039" t="s">
        <v>5031</v>
      </c>
      <c r="E4039" t="s">
        <v>5033</v>
      </c>
      <c r="F4039" t="s">
        <v>5035</v>
      </c>
      <c r="G4039" s="3">
        <v>11157.61</v>
      </c>
      <c r="H4039" s="3">
        <v>1450.49</v>
      </c>
      <c r="I4039" s="3">
        <f>SUM(Tabla1[[#This Row],[Monto_Base]],H4039)</f>
        <v>12608.1</v>
      </c>
      <c r="J4039" t="s">
        <v>5046</v>
      </c>
      <c r="K4039" t="s">
        <v>5049</v>
      </c>
      <c r="L4039" t="s">
        <v>5053</v>
      </c>
      <c r="M4039" t="s">
        <v>5055</v>
      </c>
    </row>
    <row r="4040" spans="1:13" x14ac:dyDescent="0.3">
      <c r="A4040" s="1">
        <v>45541</v>
      </c>
      <c r="B4040" s="1" t="str">
        <f>TEXT(Tabla1[[#This Row],[Fecha]],"MMMM")</f>
        <v>septiembre</v>
      </c>
      <c r="C4040" t="s">
        <v>4050</v>
      </c>
      <c r="D4040" t="s">
        <v>5025</v>
      </c>
      <c r="E4040" t="s">
        <v>5033</v>
      </c>
      <c r="F4040" t="s">
        <v>5037</v>
      </c>
      <c r="G4040" s="3">
        <v>6359.33</v>
      </c>
      <c r="H4040" s="3">
        <v>826.71</v>
      </c>
      <c r="I4040" s="3">
        <f>SUM(Tabla1[[#This Row],[Monto_Base]],H4040)</f>
        <v>7186.04</v>
      </c>
      <c r="J4040" t="s">
        <v>5044</v>
      </c>
      <c r="K4040" t="s">
        <v>5048</v>
      </c>
      <c r="L4040" t="s">
        <v>5050</v>
      </c>
      <c r="M4040" t="s">
        <v>5054</v>
      </c>
    </row>
    <row r="4041" spans="1:13" x14ac:dyDescent="0.3">
      <c r="A4041" s="1">
        <v>45574</v>
      </c>
      <c r="B4041" s="1" t="str">
        <f>TEXT(Tabla1[[#This Row],[Fecha]],"MMMM")</f>
        <v>octubre</v>
      </c>
      <c r="C4041" t="s">
        <v>4051</v>
      </c>
      <c r="D4041" t="s">
        <v>5013</v>
      </c>
      <c r="E4041" t="s">
        <v>5033</v>
      </c>
      <c r="F4041" t="s">
        <v>5035</v>
      </c>
      <c r="G4041" s="3">
        <v>4464.37</v>
      </c>
      <c r="H4041" s="3">
        <v>580.37</v>
      </c>
      <c r="I4041" s="3">
        <f>SUM(Tabla1[[#This Row],[Monto_Base]],H4041)</f>
        <v>5044.74</v>
      </c>
      <c r="J4041" t="s">
        <v>5046</v>
      </c>
      <c r="K4041" t="s">
        <v>5049</v>
      </c>
      <c r="L4041" t="s">
        <v>5051</v>
      </c>
      <c r="M4041" t="s">
        <v>5054</v>
      </c>
    </row>
    <row r="4042" spans="1:13" x14ac:dyDescent="0.3">
      <c r="A4042" s="1">
        <v>45335</v>
      </c>
      <c r="B4042" s="1" t="str">
        <f>TEXT(Tabla1[[#This Row],[Fecha]],"MMMM")</f>
        <v>febrero</v>
      </c>
      <c r="C4042" t="s">
        <v>4052</v>
      </c>
      <c r="D4042" t="s">
        <v>5016</v>
      </c>
      <c r="E4042" t="s">
        <v>5033</v>
      </c>
      <c r="F4042" t="s">
        <v>5037</v>
      </c>
      <c r="G4042" s="3">
        <v>316.76</v>
      </c>
      <c r="H4042" s="3">
        <v>41.18</v>
      </c>
      <c r="I4042" s="3">
        <f>SUM(Tabla1[[#This Row],[Monto_Base]],H4042)</f>
        <v>357.94</v>
      </c>
      <c r="J4042" t="s">
        <v>5042</v>
      </c>
      <c r="K4042" t="s">
        <v>5048</v>
      </c>
      <c r="L4042" t="s">
        <v>5050</v>
      </c>
      <c r="M4042" t="s">
        <v>5055</v>
      </c>
    </row>
    <row r="4043" spans="1:13" x14ac:dyDescent="0.3">
      <c r="A4043" s="1">
        <v>45458</v>
      </c>
      <c r="B4043" s="1" t="str">
        <f>TEXT(Tabla1[[#This Row],[Fecha]],"MMMM")</f>
        <v>junio</v>
      </c>
      <c r="C4043" t="s">
        <v>4053</v>
      </c>
      <c r="D4043" t="s">
        <v>5024</v>
      </c>
      <c r="E4043" t="s">
        <v>5033</v>
      </c>
      <c r="F4043" t="s">
        <v>5038</v>
      </c>
      <c r="G4043" s="3">
        <v>2179.88</v>
      </c>
      <c r="H4043" s="3">
        <v>283.38</v>
      </c>
      <c r="I4043" s="3">
        <f>SUM(Tabla1[[#This Row],[Monto_Base]],H4043)</f>
        <v>2463.2600000000002</v>
      </c>
      <c r="J4043" t="s">
        <v>5046</v>
      </c>
      <c r="K4043" t="s">
        <v>5049</v>
      </c>
      <c r="L4043" t="s">
        <v>5052</v>
      </c>
      <c r="M4043" t="s">
        <v>5054</v>
      </c>
    </row>
    <row r="4044" spans="1:13" x14ac:dyDescent="0.3">
      <c r="A4044" s="1">
        <v>45544</v>
      </c>
      <c r="B4044" s="1" t="str">
        <f>TEXT(Tabla1[[#This Row],[Fecha]],"MMMM")</f>
        <v>septiembre</v>
      </c>
      <c r="C4044" t="s">
        <v>4054</v>
      </c>
      <c r="D4044" t="s">
        <v>5021</v>
      </c>
      <c r="E4044" t="s">
        <v>5033</v>
      </c>
      <c r="F4044" t="s">
        <v>5040</v>
      </c>
      <c r="G4044" s="3">
        <v>13281.83</v>
      </c>
      <c r="H4044" s="3">
        <v>1726.64</v>
      </c>
      <c r="I4044" s="3">
        <f>SUM(Tabla1[[#This Row],[Monto_Base]],H4044)</f>
        <v>15008.47</v>
      </c>
      <c r="J4044" t="s">
        <v>5043</v>
      </c>
      <c r="K4044" t="s">
        <v>5048</v>
      </c>
      <c r="L4044" t="s">
        <v>5052</v>
      </c>
      <c r="M4044" t="s">
        <v>5055</v>
      </c>
    </row>
    <row r="4045" spans="1:13" x14ac:dyDescent="0.3">
      <c r="A4045" s="1">
        <v>45316</v>
      </c>
      <c r="B4045" s="1" t="str">
        <f>TEXT(Tabla1[[#This Row],[Fecha]],"MMMM")</f>
        <v>enero</v>
      </c>
      <c r="C4045" t="s">
        <v>4055</v>
      </c>
      <c r="D4045" t="s">
        <v>5029</v>
      </c>
      <c r="E4045" t="s">
        <v>5032</v>
      </c>
      <c r="F4045" t="s">
        <v>5041</v>
      </c>
      <c r="G4045" s="3">
        <v>10133.07</v>
      </c>
      <c r="H4045" s="3">
        <v>0</v>
      </c>
      <c r="I4045" s="3">
        <f>SUM(Tabla1[[#This Row],[Monto_Base]],H4045)</f>
        <v>10133.07</v>
      </c>
      <c r="J4045" t="s">
        <v>5046</v>
      </c>
      <c r="K4045" t="s">
        <v>5047</v>
      </c>
      <c r="L4045" t="s">
        <v>5051</v>
      </c>
      <c r="M4045" t="s">
        <v>5054</v>
      </c>
    </row>
    <row r="4046" spans="1:13" x14ac:dyDescent="0.3">
      <c r="A4046" s="1">
        <v>45309</v>
      </c>
      <c r="B4046" s="1" t="str">
        <f>TEXT(Tabla1[[#This Row],[Fecha]],"MMMM")</f>
        <v>enero</v>
      </c>
      <c r="C4046" t="s">
        <v>4056</v>
      </c>
      <c r="D4046" t="s">
        <v>5013</v>
      </c>
      <c r="E4046" t="s">
        <v>5032</v>
      </c>
      <c r="F4046" t="s">
        <v>5038</v>
      </c>
      <c r="G4046" s="3">
        <v>6508.04</v>
      </c>
      <c r="H4046" s="3">
        <v>0</v>
      </c>
      <c r="I4046" s="3">
        <f>SUM(Tabla1[[#This Row],[Monto_Base]],H4046)</f>
        <v>6508.04</v>
      </c>
      <c r="J4046" t="s">
        <v>5046</v>
      </c>
      <c r="K4046" t="s">
        <v>5049</v>
      </c>
      <c r="L4046" t="s">
        <v>5050</v>
      </c>
      <c r="M4046" t="s">
        <v>5054</v>
      </c>
    </row>
    <row r="4047" spans="1:13" x14ac:dyDescent="0.3">
      <c r="A4047" s="1">
        <v>45550</v>
      </c>
      <c r="B4047" s="1" t="str">
        <f>TEXT(Tabla1[[#This Row],[Fecha]],"MMMM")</f>
        <v>septiembre</v>
      </c>
      <c r="C4047" t="s">
        <v>4057</v>
      </c>
      <c r="D4047" t="s">
        <v>5031</v>
      </c>
      <c r="E4047" t="s">
        <v>5032</v>
      </c>
      <c r="F4047" t="s">
        <v>5041</v>
      </c>
      <c r="G4047" s="3">
        <v>8153.2</v>
      </c>
      <c r="H4047" s="3">
        <v>0</v>
      </c>
      <c r="I4047" s="3">
        <f>SUM(Tabla1[[#This Row],[Monto_Base]],H4047)</f>
        <v>8153.2</v>
      </c>
      <c r="J4047" t="s">
        <v>5044</v>
      </c>
      <c r="K4047" t="s">
        <v>5047</v>
      </c>
      <c r="L4047" t="s">
        <v>5053</v>
      </c>
      <c r="M4047" t="s">
        <v>5055</v>
      </c>
    </row>
    <row r="4048" spans="1:13" x14ac:dyDescent="0.3">
      <c r="A4048" s="1">
        <v>45596</v>
      </c>
      <c r="B4048" s="1" t="str">
        <f>TEXT(Tabla1[[#This Row],[Fecha]],"MMMM")</f>
        <v>octubre</v>
      </c>
      <c r="C4048" t="s">
        <v>4058</v>
      </c>
      <c r="D4048" t="s">
        <v>5020</v>
      </c>
      <c r="E4048" t="s">
        <v>5033</v>
      </c>
      <c r="F4048" t="s">
        <v>5040</v>
      </c>
      <c r="G4048" s="3">
        <v>9967.6299999999992</v>
      </c>
      <c r="H4048" s="3">
        <v>1295.79</v>
      </c>
      <c r="I4048" s="3">
        <f>SUM(Tabla1[[#This Row],[Monto_Base]],H4048)</f>
        <v>11263.419999999998</v>
      </c>
      <c r="J4048" t="s">
        <v>5044</v>
      </c>
      <c r="K4048" t="s">
        <v>5048</v>
      </c>
      <c r="L4048" t="s">
        <v>5050</v>
      </c>
      <c r="M4048" t="s">
        <v>5054</v>
      </c>
    </row>
    <row r="4049" spans="1:13" x14ac:dyDescent="0.3">
      <c r="A4049" s="1">
        <v>45415</v>
      </c>
      <c r="B4049" s="1" t="str">
        <f>TEXT(Tabla1[[#This Row],[Fecha]],"MMMM")</f>
        <v>mayo</v>
      </c>
      <c r="C4049" t="s">
        <v>4059</v>
      </c>
      <c r="D4049" t="s">
        <v>5014</v>
      </c>
      <c r="E4049" t="s">
        <v>5033</v>
      </c>
      <c r="F4049" t="s">
        <v>5039</v>
      </c>
      <c r="G4049" s="3">
        <v>7917.06</v>
      </c>
      <c r="H4049" s="3">
        <v>1029.22</v>
      </c>
      <c r="I4049" s="3">
        <f>SUM(Tabla1[[#This Row],[Monto_Base]],H4049)</f>
        <v>8946.2800000000007</v>
      </c>
      <c r="J4049" t="s">
        <v>5046</v>
      </c>
      <c r="K4049" t="s">
        <v>5049</v>
      </c>
      <c r="L4049" t="s">
        <v>5053</v>
      </c>
      <c r="M4049" t="s">
        <v>5054</v>
      </c>
    </row>
    <row r="4050" spans="1:13" x14ac:dyDescent="0.3">
      <c r="A4050" s="1">
        <v>45656</v>
      </c>
      <c r="B4050" s="1" t="str">
        <f>TEXT(Tabla1[[#This Row],[Fecha]],"MMMM")</f>
        <v>diciembre</v>
      </c>
      <c r="C4050" t="s">
        <v>4060</v>
      </c>
      <c r="D4050" t="s">
        <v>5029</v>
      </c>
      <c r="E4050" t="s">
        <v>5032</v>
      </c>
      <c r="F4050" t="s">
        <v>5036</v>
      </c>
      <c r="G4050" s="3">
        <v>12790</v>
      </c>
      <c r="H4050" s="3">
        <v>0</v>
      </c>
      <c r="I4050" s="3">
        <f>SUM(Tabla1[[#This Row],[Monto_Base]],H4050)</f>
        <v>12790</v>
      </c>
      <c r="J4050" t="s">
        <v>5043</v>
      </c>
      <c r="K4050" t="s">
        <v>5049</v>
      </c>
      <c r="L4050" t="s">
        <v>5051</v>
      </c>
      <c r="M4050" t="s">
        <v>5055</v>
      </c>
    </row>
    <row r="4051" spans="1:13" x14ac:dyDescent="0.3">
      <c r="A4051" s="1">
        <v>45504</v>
      </c>
      <c r="B4051" s="1" t="str">
        <f>TEXT(Tabla1[[#This Row],[Fecha]],"MMMM")</f>
        <v>julio</v>
      </c>
      <c r="C4051" t="s">
        <v>4061</v>
      </c>
      <c r="D4051" t="s">
        <v>5025</v>
      </c>
      <c r="E4051" t="s">
        <v>5033</v>
      </c>
      <c r="F4051" t="s">
        <v>5037</v>
      </c>
      <c r="G4051" s="3">
        <v>3267.98</v>
      </c>
      <c r="H4051" s="3">
        <v>424.84</v>
      </c>
      <c r="I4051" s="3">
        <f>SUM(Tabla1[[#This Row],[Monto_Base]],H4051)</f>
        <v>3692.82</v>
      </c>
      <c r="J4051" t="s">
        <v>5045</v>
      </c>
      <c r="K4051" t="s">
        <v>5047</v>
      </c>
      <c r="L4051" t="s">
        <v>5051</v>
      </c>
      <c r="M4051" t="s">
        <v>5055</v>
      </c>
    </row>
    <row r="4052" spans="1:13" x14ac:dyDescent="0.3">
      <c r="A4052" s="1">
        <v>45578</v>
      </c>
      <c r="B4052" s="1" t="str">
        <f>TEXT(Tabla1[[#This Row],[Fecha]],"MMMM")</f>
        <v>octubre</v>
      </c>
      <c r="C4052" t="s">
        <v>4062</v>
      </c>
      <c r="D4052" t="s">
        <v>5014</v>
      </c>
      <c r="E4052" t="s">
        <v>5033</v>
      </c>
      <c r="F4052" t="s">
        <v>5036</v>
      </c>
      <c r="G4052" s="3">
        <v>1765.75</v>
      </c>
      <c r="H4052" s="3">
        <v>229.55</v>
      </c>
      <c r="I4052" s="3">
        <f>SUM(Tabla1[[#This Row],[Monto_Base]],H4052)</f>
        <v>1995.3</v>
      </c>
      <c r="J4052" t="s">
        <v>5044</v>
      </c>
      <c r="K4052" t="s">
        <v>5049</v>
      </c>
      <c r="L4052" t="s">
        <v>5050</v>
      </c>
      <c r="M4052" t="s">
        <v>5054</v>
      </c>
    </row>
    <row r="4053" spans="1:13" x14ac:dyDescent="0.3">
      <c r="A4053" s="1">
        <v>45527</v>
      </c>
      <c r="B4053" s="1" t="str">
        <f>TEXT(Tabla1[[#This Row],[Fecha]],"MMMM")</f>
        <v>agosto</v>
      </c>
      <c r="C4053" t="s">
        <v>4063</v>
      </c>
      <c r="D4053" t="s">
        <v>5015</v>
      </c>
      <c r="E4053" t="s">
        <v>5033</v>
      </c>
      <c r="F4053" t="s">
        <v>5036</v>
      </c>
      <c r="G4053" s="3">
        <v>9300.65</v>
      </c>
      <c r="H4053" s="3">
        <v>1209.08</v>
      </c>
      <c r="I4053" s="3">
        <f>SUM(Tabla1[[#This Row],[Monto_Base]],H4053)</f>
        <v>10509.73</v>
      </c>
      <c r="J4053" t="s">
        <v>5046</v>
      </c>
      <c r="K4053" t="s">
        <v>5048</v>
      </c>
      <c r="L4053" t="s">
        <v>5050</v>
      </c>
      <c r="M4053" t="s">
        <v>5055</v>
      </c>
    </row>
    <row r="4054" spans="1:13" x14ac:dyDescent="0.3">
      <c r="A4054" s="1">
        <v>45472</v>
      </c>
      <c r="B4054" s="1" t="str">
        <f>TEXT(Tabla1[[#This Row],[Fecha]],"MMMM")</f>
        <v>junio</v>
      </c>
      <c r="C4054" t="s">
        <v>4064</v>
      </c>
      <c r="D4054" t="s">
        <v>5027</v>
      </c>
      <c r="E4054" t="s">
        <v>5033</v>
      </c>
      <c r="F4054" t="s">
        <v>5037</v>
      </c>
      <c r="G4054" s="3">
        <v>13255.95</v>
      </c>
      <c r="H4054" s="3">
        <v>1723.27</v>
      </c>
      <c r="I4054" s="3">
        <f>SUM(Tabla1[[#This Row],[Monto_Base]],H4054)</f>
        <v>14979.220000000001</v>
      </c>
      <c r="J4054" t="s">
        <v>5044</v>
      </c>
      <c r="K4054" t="s">
        <v>5049</v>
      </c>
      <c r="L4054" t="s">
        <v>5050</v>
      </c>
      <c r="M4054" t="s">
        <v>5055</v>
      </c>
    </row>
    <row r="4055" spans="1:13" x14ac:dyDescent="0.3">
      <c r="A4055" s="1">
        <v>45573</v>
      </c>
      <c r="B4055" s="1" t="str">
        <f>TEXT(Tabla1[[#This Row],[Fecha]],"MMMM")</f>
        <v>octubre</v>
      </c>
      <c r="C4055" t="s">
        <v>4065</v>
      </c>
      <c r="D4055" t="s">
        <v>5018</v>
      </c>
      <c r="E4055" t="s">
        <v>5033</v>
      </c>
      <c r="F4055" t="s">
        <v>5039</v>
      </c>
      <c r="G4055" s="3">
        <v>353.86</v>
      </c>
      <c r="H4055" s="3">
        <v>46</v>
      </c>
      <c r="I4055" s="3">
        <f>SUM(Tabla1[[#This Row],[Monto_Base]],H4055)</f>
        <v>399.86</v>
      </c>
      <c r="J4055" t="s">
        <v>5045</v>
      </c>
      <c r="K4055" t="s">
        <v>5047</v>
      </c>
      <c r="L4055" t="s">
        <v>5053</v>
      </c>
      <c r="M4055" t="s">
        <v>5054</v>
      </c>
    </row>
    <row r="4056" spans="1:13" x14ac:dyDescent="0.3">
      <c r="A4056" s="1">
        <v>45494</v>
      </c>
      <c r="B4056" s="1" t="str">
        <f>TEXT(Tabla1[[#This Row],[Fecha]],"MMMM")</f>
        <v>julio</v>
      </c>
      <c r="C4056" t="s">
        <v>4066</v>
      </c>
      <c r="D4056" t="s">
        <v>5028</v>
      </c>
      <c r="E4056" t="s">
        <v>5032</v>
      </c>
      <c r="F4056" t="s">
        <v>5037</v>
      </c>
      <c r="G4056" s="3">
        <v>8962.4500000000007</v>
      </c>
      <c r="H4056" s="3">
        <v>0</v>
      </c>
      <c r="I4056" s="3">
        <f>SUM(Tabla1[[#This Row],[Monto_Base]],H4056)</f>
        <v>8962.4500000000007</v>
      </c>
      <c r="J4056" t="s">
        <v>5046</v>
      </c>
      <c r="K4056" t="s">
        <v>5048</v>
      </c>
      <c r="L4056" t="s">
        <v>5053</v>
      </c>
      <c r="M4056" t="s">
        <v>5055</v>
      </c>
    </row>
    <row r="4057" spans="1:13" x14ac:dyDescent="0.3">
      <c r="A4057" s="1">
        <v>45590</v>
      </c>
      <c r="B4057" s="1" t="str">
        <f>TEXT(Tabla1[[#This Row],[Fecha]],"MMMM")</f>
        <v>octubre</v>
      </c>
      <c r="C4057" t="s">
        <v>4067</v>
      </c>
      <c r="D4057" t="s">
        <v>5020</v>
      </c>
      <c r="E4057" t="s">
        <v>5032</v>
      </c>
      <c r="F4057" t="s">
        <v>5036</v>
      </c>
      <c r="G4057" s="3">
        <v>3837.7</v>
      </c>
      <c r="H4057" s="3">
        <v>0</v>
      </c>
      <c r="I4057" s="3">
        <f>SUM(Tabla1[[#This Row],[Monto_Base]],H4057)</f>
        <v>3837.7</v>
      </c>
      <c r="J4057" t="s">
        <v>5045</v>
      </c>
      <c r="K4057" t="s">
        <v>5049</v>
      </c>
      <c r="L4057" t="s">
        <v>5050</v>
      </c>
      <c r="M4057" t="s">
        <v>5055</v>
      </c>
    </row>
    <row r="4058" spans="1:13" x14ac:dyDescent="0.3">
      <c r="A4058" s="1">
        <v>45615</v>
      </c>
      <c r="B4058" s="1" t="str">
        <f>TEXT(Tabla1[[#This Row],[Fecha]],"MMMM")</f>
        <v>noviembre</v>
      </c>
      <c r="C4058" t="s">
        <v>4068</v>
      </c>
      <c r="D4058" t="s">
        <v>5012</v>
      </c>
      <c r="E4058" t="s">
        <v>5033</v>
      </c>
      <c r="F4058" t="s">
        <v>5035</v>
      </c>
      <c r="G4058" s="3">
        <v>10711.93</v>
      </c>
      <c r="H4058" s="3">
        <v>1392.55</v>
      </c>
      <c r="I4058" s="3">
        <f>SUM(Tabla1[[#This Row],[Monto_Base]],H4058)</f>
        <v>12104.48</v>
      </c>
      <c r="J4058" t="s">
        <v>5044</v>
      </c>
      <c r="K4058" t="s">
        <v>5049</v>
      </c>
      <c r="L4058" t="s">
        <v>5050</v>
      </c>
      <c r="M4058" t="s">
        <v>5054</v>
      </c>
    </row>
    <row r="4059" spans="1:13" x14ac:dyDescent="0.3">
      <c r="A4059" s="1">
        <v>45620</v>
      </c>
      <c r="B4059" s="1" t="str">
        <f>TEXT(Tabla1[[#This Row],[Fecha]],"MMMM")</f>
        <v>noviembre</v>
      </c>
      <c r="C4059" t="s">
        <v>4069</v>
      </c>
      <c r="D4059" t="s">
        <v>5028</v>
      </c>
      <c r="E4059" t="s">
        <v>5033</v>
      </c>
      <c r="F4059" t="s">
        <v>5041</v>
      </c>
      <c r="G4059" s="3">
        <v>12874.23</v>
      </c>
      <c r="H4059" s="3">
        <v>1673.65</v>
      </c>
      <c r="I4059" s="3">
        <f>SUM(Tabla1[[#This Row],[Monto_Base]],H4059)</f>
        <v>14547.88</v>
      </c>
      <c r="J4059" t="s">
        <v>5044</v>
      </c>
      <c r="K4059" t="s">
        <v>5049</v>
      </c>
      <c r="L4059" t="s">
        <v>5050</v>
      </c>
      <c r="M4059" t="s">
        <v>5055</v>
      </c>
    </row>
    <row r="4060" spans="1:13" x14ac:dyDescent="0.3">
      <c r="A4060" s="1">
        <v>45468</v>
      </c>
      <c r="B4060" s="1" t="str">
        <f>TEXT(Tabla1[[#This Row],[Fecha]],"MMMM")</f>
        <v>junio</v>
      </c>
      <c r="C4060" t="s">
        <v>4070</v>
      </c>
      <c r="D4060" t="s">
        <v>5028</v>
      </c>
      <c r="E4060" t="s">
        <v>5032</v>
      </c>
      <c r="F4060" t="s">
        <v>5034</v>
      </c>
      <c r="G4060" s="3">
        <v>12809.54</v>
      </c>
      <c r="H4060" s="3">
        <v>0</v>
      </c>
      <c r="I4060" s="3">
        <f>SUM(Tabla1[[#This Row],[Monto_Base]],H4060)</f>
        <v>12809.54</v>
      </c>
      <c r="J4060" t="s">
        <v>5045</v>
      </c>
      <c r="K4060" t="s">
        <v>5048</v>
      </c>
      <c r="L4060" t="s">
        <v>5053</v>
      </c>
      <c r="M4060" t="s">
        <v>5055</v>
      </c>
    </row>
    <row r="4061" spans="1:13" x14ac:dyDescent="0.3">
      <c r="A4061" s="1">
        <v>45423</v>
      </c>
      <c r="B4061" s="1" t="str">
        <f>TEXT(Tabla1[[#This Row],[Fecha]],"MMMM")</f>
        <v>mayo</v>
      </c>
      <c r="C4061" t="s">
        <v>4071</v>
      </c>
      <c r="D4061" t="s">
        <v>5015</v>
      </c>
      <c r="E4061" t="s">
        <v>5033</v>
      </c>
      <c r="F4061" t="s">
        <v>5039</v>
      </c>
      <c r="G4061" s="3">
        <v>9805.4</v>
      </c>
      <c r="H4061" s="3">
        <v>1274.7</v>
      </c>
      <c r="I4061" s="3">
        <f>SUM(Tabla1[[#This Row],[Monto_Base]],H4061)</f>
        <v>11080.1</v>
      </c>
      <c r="J4061" t="s">
        <v>5046</v>
      </c>
      <c r="K4061" t="s">
        <v>5047</v>
      </c>
      <c r="L4061" t="s">
        <v>5051</v>
      </c>
      <c r="M4061" t="s">
        <v>5054</v>
      </c>
    </row>
    <row r="4062" spans="1:13" x14ac:dyDescent="0.3">
      <c r="A4062" s="1">
        <v>45546</v>
      </c>
      <c r="B4062" s="1" t="str">
        <f>TEXT(Tabla1[[#This Row],[Fecha]],"MMMM")</f>
        <v>septiembre</v>
      </c>
      <c r="C4062" t="s">
        <v>4072</v>
      </c>
      <c r="D4062" t="s">
        <v>5025</v>
      </c>
      <c r="E4062" t="s">
        <v>5032</v>
      </c>
      <c r="F4062" t="s">
        <v>5041</v>
      </c>
      <c r="G4062" s="3">
        <v>10213.69</v>
      </c>
      <c r="H4062" s="3">
        <v>0</v>
      </c>
      <c r="I4062" s="3">
        <f>SUM(Tabla1[[#This Row],[Monto_Base]],H4062)</f>
        <v>10213.69</v>
      </c>
      <c r="J4062" t="s">
        <v>5043</v>
      </c>
      <c r="K4062" t="s">
        <v>5047</v>
      </c>
      <c r="L4062" t="s">
        <v>5051</v>
      </c>
      <c r="M4062" t="s">
        <v>5054</v>
      </c>
    </row>
    <row r="4063" spans="1:13" x14ac:dyDescent="0.3">
      <c r="A4063" s="1">
        <v>45632</v>
      </c>
      <c r="B4063" s="1" t="str">
        <f>TEXT(Tabla1[[#This Row],[Fecha]],"MMMM")</f>
        <v>diciembre</v>
      </c>
      <c r="C4063" t="s">
        <v>4073</v>
      </c>
      <c r="D4063" t="s">
        <v>5020</v>
      </c>
      <c r="E4063" t="s">
        <v>5032</v>
      </c>
      <c r="F4063" t="s">
        <v>5040</v>
      </c>
      <c r="G4063" s="3">
        <v>768.92</v>
      </c>
      <c r="H4063" s="3">
        <v>0</v>
      </c>
      <c r="I4063" s="3">
        <f>SUM(Tabla1[[#This Row],[Monto_Base]],H4063)</f>
        <v>768.92</v>
      </c>
      <c r="J4063" t="s">
        <v>5045</v>
      </c>
      <c r="K4063" t="s">
        <v>5047</v>
      </c>
      <c r="L4063" t="s">
        <v>5051</v>
      </c>
      <c r="M4063" t="s">
        <v>5055</v>
      </c>
    </row>
    <row r="4064" spans="1:13" x14ac:dyDescent="0.3">
      <c r="A4064" s="1">
        <v>45330</v>
      </c>
      <c r="B4064" s="1" t="str">
        <f>TEXT(Tabla1[[#This Row],[Fecha]],"MMMM")</f>
        <v>febrero</v>
      </c>
      <c r="C4064" t="s">
        <v>4074</v>
      </c>
      <c r="D4064" t="s">
        <v>5021</v>
      </c>
      <c r="E4064" t="s">
        <v>5033</v>
      </c>
      <c r="F4064" t="s">
        <v>5041</v>
      </c>
      <c r="G4064" s="3">
        <v>13691.3</v>
      </c>
      <c r="H4064" s="3">
        <v>1779.87</v>
      </c>
      <c r="I4064" s="3">
        <f>SUM(Tabla1[[#This Row],[Monto_Base]],H4064)</f>
        <v>15471.169999999998</v>
      </c>
      <c r="J4064" t="s">
        <v>5046</v>
      </c>
      <c r="K4064" t="s">
        <v>5049</v>
      </c>
      <c r="L4064" t="s">
        <v>5053</v>
      </c>
      <c r="M4064" t="s">
        <v>5055</v>
      </c>
    </row>
    <row r="4065" spans="1:13" x14ac:dyDescent="0.3">
      <c r="A4065" s="1">
        <v>45493</v>
      </c>
      <c r="B4065" s="1" t="str">
        <f>TEXT(Tabla1[[#This Row],[Fecha]],"MMMM")</f>
        <v>julio</v>
      </c>
      <c r="C4065" t="s">
        <v>4075</v>
      </c>
      <c r="D4065" t="s">
        <v>5031</v>
      </c>
      <c r="E4065" t="s">
        <v>5033</v>
      </c>
      <c r="F4065" t="s">
        <v>5041</v>
      </c>
      <c r="G4065" s="3">
        <v>12643.42</v>
      </c>
      <c r="H4065" s="3">
        <v>1643.64</v>
      </c>
      <c r="I4065" s="3">
        <f>SUM(Tabla1[[#This Row],[Monto_Base]],H4065)</f>
        <v>14287.06</v>
      </c>
      <c r="J4065" t="s">
        <v>5043</v>
      </c>
      <c r="K4065" t="s">
        <v>5049</v>
      </c>
      <c r="L4065" t="s">
        <v>5050</v>
      </c>
      <c r="M4065" t="s">
        <v>5055</v>
      </c>
    </row>
    <row r="4066" spans="1:13" x14ac:dyDescent="0.3">
      <c r="A4066" s="1">
        <v>45379</v>
      </c>
      <c r="B4066" s="1" t="str">
        <f>TEXT(Tabla1[[#This Row],[Fecha]],"MMMM")</f>
        <v>marzo</v>
      </c>
      <c r="C4066" t="s">
        <v>4076</v>
      </c>
      <c r="D4066" t="s">
        <v>5025</v>
      </c>
      <c r="E4066" t="s">
        <v>5033</v>
      </c>
      <c r="F4066" t="s">
        <v>5036</v>
      </c>
      <c r="G4066" s="3">
        <v>6918.98</v>
      </c>
      <c r="H4066" s="3">
        <v>899.47</v>
      </c>
      <c r="I4066" s="3">
        <f>SUM(Tabla1[[#This Row],[Monto_Base]],H4066)</f>
        <v>7818.45</v>
      </c>
      <c r="J4066" t="s">
        <v>5044</v>
      </c>
      <c r="K4066" t="s">
        <v>5047</v>
      </c>
      <c r="L4066" t="s">
        <v>5051</v>
      </c>
      <c r="M4066" t="s">
        <v>5055</v>
      </c>
    </row>
    <row r="4067" spans="1:13" x14ac:dyDescent="0.3">
      <c r="A4067" s="1">
        <v>45470</v>
      </c>
      <c r="B4067" s="1" t="str">
        <f>TEXT(Tabla1[[#This Row],[Fecha]],"MMMM")</f>
        <v>junio</v>
      </c>
      <c r="C4067" t="s">
        <v>4077</v>
      </c>
      <c r="D4067" t="s">
        <v>5016</v>
      </c>
      <c r="E4067" t="s">
        <v>5033</v>
      </c>
      <c r="F4067" t="s">
        <v>5035</v>
      </c>
      <c r="G4067" s="3">
        <v>3309.46</v>
      </c>
      <c r="H4067" s="3">
        <v>430.23</v>
      </c>
      <c r="I4067" s="3">
        <f>SUM(Tabla1[[#This Row],[Monto_Base]],H4067)</f>
        <v>3739.69</v>
      </c>
      <c r="J4067" t="s">
        <v>5046</v>
      </c>
      <c r="K4067" t="s">
        <v>5048</v>
      </c>
      <c r="L4067" t="s">
        <v>5051</v>
      </c>
      <c r="M4067" t="s">
        <v>5054</v>
      </c>
    </row>
    <row r="4068" spans="1:13" x14ac:dyDescent="0.3">
      <c r="A4068" s="1">
        <v>45455</v>
      </c>
      <c r="B4068" s="1" t="str">
        <f>TEXT(Tabla1[[#This Row],[Fecha]],"MMMM")</f>
        <v>junio</v>
      </c>
      <c r="C4068" t="s">
        <v>4078</v>
      </c>
      <c r="D4068" t="s">
        <v>5020</v>
      </c>
      <c r="E4068" t="s">
        <v>5032</v>
      </c>
      <c r="F4068" t="s">
        <v>5037</v>
      </c>
      <c r="G4068" s="3">
        <v>7369.82</v>
      </c>
      <c r="H4068" s="3">
        <v>0</v>
      </c>
      <c r="I4068" s="3">
        <f>SUM(Tabla1[[#This Row],[Monto_Base]],H4068)</f>
        <v>7369.82</v>
      </c>
      <c r="J4068" t="s">
        <v>5045</v>
      </c>
      <c r="K4068" t="s">
        <v>5048</v>
      </c>
      <c r="L4068" t="s">
        <v>5053</v>
      </c>
      <c r="M4068" t="s">
        <v>5054</v>
      </c>
    </row>
    <row r="4069" spans="1:13" x14ac:dyDescent="0.3">
      <c r="A4069" s="1">
        <v>45489</v>
      </c>
      <c r="B4069" s="1" t="str">
        <f>TEXT(Tabla1[[#This Row],[Fecha]],"MMMM")</f>
        <v>julio</v>
      </c>
      <c r="C4069" t="s">
        <v>4079</v>
      </c>
      <c r="D4069" t="s">
        <v>5028</v>
      </c>
      <c r="E4069" t="s">
        <v>5033</v>
      </c>
      <c r="F4069" t="s">
        <v>5038</v>
      </c>
      <c r="G4069" s="3">
        <v>12184.8</v>
      </c>
      <c r="H4069" s="3">
        <v>1584.02</v>
      </c>
      <c r="I4069" s="3">
        <f>SUM(Tabla1[[#This Row],[Monto_Base]],H4069)</f>
        <v>13768.82</v>
      </c>
      <c r="J4069" t="s">
        <v>5044</v>
      </c>
      <c r="K4069" t="s">
        <v>5049</v>
      </c>
      <c r="L4069" t="s">
        <v>5050</v>
      </c>
      <c r="M4069" t="s">
        <v>5054</v>
      </c>
    </row>
    <row r="4070" spans="1:13" x14ac:dyDescent="0.3">
      <c r="A4070" s="1">
        <v>45619</v>
      </c>
      <c r="B4070" s="1" t="str">
        <f>TEXT(Tabla1[[#This Row],[Fecha]],"MMMM")</f>
        <v>noviembre</v>
      </c>
      <c r="C4070" t="s">
        <v>4080</v>
      </c>
      <c r="D4070" t="s">
        <v>5027</v>
      </c>
      <c r="E4070" t="s">
        <v>5033</v>
      </c>
      <c r="F4070" t="s">
        <v>5038</v>
      </c>
      <c r="G4070" s="3">
        <v>9160.43</v>
      </c>
      <c r="H4070" s="3">
        <v>1190.8599999999999</v>
      </c>
      <c r="I4070" s="3">
        <f>SUM(Tabla1[[#This Row],[Monto_Base]],H4070)</f>
        <v>10351.290000000001</v>
      </c>
      <c r="J4070" t="s">
        <v>5042</v>
      </c>
      <c r="K4070" t="s">
        <v>5047</v>
      </c>
      <c r="L4070" t="s">
        <v>5050</v>
      </c>
      <c r="M4070" t="s">
        <v>5054</v>
      </c>
    </row>
    <row r="4071" spans="1:13" x14ac:dyDescent="0.3">
      <c r="A4071" s="1">
        <v>45517</v>
      </c>
      <c r="B4071" s="1" t="str">
        <f>TEXT(Tabla1[[#This Row],[Fecha]],"MMMM")</f>
        <v>agosto</v>
      </c>
      <c r="C4071" t="s">
        <v>4081</v>
      </c>
      <c r="D4071" t="s">
        <v>5031</v>
      </c>
      <c r="E4071" t="s">
        <v>5032</v>
      </c>
      <c r="F4071" t="s">
        <v>5039</v>
      </c>
      <c r="G4071" s="3">
        <v>12916.47</v>
      </c>
      <c r="H4071" s="3">
        <v>0</v>
      </c>
      <c r="I4071" s="3">
        <f>SUM(Tabla1[[#This Row],[Monto_Base]],H4071)</f>
        <v>12916.47</v>
      </c>
      <c r="J4071" t="s">
        <v>5044</v>
      </c>
      <c r="K4071" t="s">
        <v>5048</v>
      </c>
      <c r="L4071" t="s">
        <v>5051</v>
      </c>
      <c r="M4071" t="s">
        <v>5055</v>
      </c>
    </row>
    <row r="4072" spans="1:13" x14ac:dyDescent="0.3">
      <c r="A4072" s="1">
        <v>45601</v>
      </c>
      <c r="B4072" s="1" t="str">
        <f>TEXT(Tabla1[[#This Row],[Fecha]],"MMMM")</f>
        <v>noviembre</v>
      </c>
      <c r="C4072" t="s">
        <v>4082</v>
      </c>
      <c r="D4072" t="s">
        <v>5031</v>
      </c>
      <c r="E4072" t="s">
        <v>5033</v>
      </c>
      <c r="F4072" t="s">
        <v>5040</v>
      </c>
      <c r="G4072" s="3">
        <v>1001.31</v>
      </c>
      <c r="H4072" s="3">
        <v>130.16999999999999</v>
      </c>
      <c r="I4072" s="3">
        <f>SUM(Tabla1[[#This Row],[Monto_Base]],H4072)</f>
        <v>1131.48</v>
      </c>
      <c r="J4072" t="s">
        <v>5044</v>
      </c>
      <c r="K4072" t="s">
        <v>5048</v>
      </c>
      <c r="L4072" t="s">
        <v>5050</v>
      </c>
      <c r="M4072" t="s">
        <v>5054</v>
      </c>
    </row>
    <row r="4073" spans="1:13" x14ac:dyDescent="0.3">
      <c r="A4073" s="1">
        <v>45656</v>
      </c>
      <c r="B4073" s="1" t="str">
        <f>TEXT(Tabla1[[#This Row],[Fecha]],"MMMM")</f>
        <v>diciembre</v>
      </c>
      <c r="C4073" t="s">
        <v>4083</v>
      </c>
      <c r="D4073" t="s">
        <v>5012</v>
      </c>
      <c r="E4073" t="s">
        <v>5032</v>
      </c>
      <c r="F4073" t="s">
        <v>5034</v>
      </c>
      <c r="G4073" s="3">
        <v>5881.52</v>
      </c>
      <c r="H4073" s="3">
        <v>0</v>
      </c>
      <c r="I4073" s="3">
        <f>SUM(Tabla1[[#This Row],[Monto_Base]],H4073)</f>
        <v>5881.52</v>
      </c>
      <c r="J4073" t="s">
        <v>5045</v>
      </c>
      <c r="K4073" t="s">
        <v>5047</v>
      </c>
      <c r="L4073" t="s">
        <v>5051</v>
      </c>
      <c r="M4073" t="s">
        <v>5054</v>
      </c>
    </row>
    <row r="4074" spans="1:13" x14ac:dyDescent="0.3">
      <c r="A4074" s="1">
        <v>45656</v>
      </c>
      <c r="B4074" s="1" t="str">
        <f>TEXT(Tabla1[[#This Row],[Fecha]],"MMMM")</f>
        <v>diciembre</v>
      </c>
      <c r="C4074" t="s">
        <v>4084</v>
      </c>
      <c r="D4074" t="s">
        <v>5029</v>
      </c>
      <c r="E4074" t="s">
        <v>5033</v>
      </c>
      <c r="F4074" t="s">
        <v>5041</v>
      </c>
      <c r="G4074" s="3">
        <v>7680.74</v>
      </c>
      <c r="H4074" s="3">
        <v>998.5</v>
      </c>
      <c r="I4074" s="3">
        <f>SUM(Tabla1[[#This Row],[Monto_Base]],H4074)</f>
        <v>8679.24</v>
      </c>
      <c r="J4074" t="s">
        <v>5045</v>
      </c>
      <c r="K4074" t="s">
        <v>5048</v>
      </c>
      <c r="L4074" t="s">
        <v>5053</v>
      </c>
      <c r="M4074" t="s">
        <v>5054</v>
      </c>
    </row>
    <row r="4075" spans="1:13" x14ac:dyDescent="0.3">
      <c r="A4075" s="1">
        <v>45635</v>
      </c>
      <c r="B4075" s="1" t="str">
        <f>TEXT(Tabla1[[#This Row],[Fecha]],"MMMM")</f>
        <v>diciembre</v>
      </c>
      <c r="C4075" t="s">
        <v>4085</v>
      </c>
      <c r="D4075" t="s">
        <v>5015</v>
      </c>
      <c r="E4075" t="s">
        <v>5033</v>
      </c>
      <c r="F4075" t="s">
        <v>5041</v>
      </c>
      <c r="G4075" s="3">
        <v>11241.94</v>
      </c>
      <c r="H4075" s="3">
        <v>1461.45</v>
      </c>
      <c r="I4075" s="3">
        <f>SUM(Tabla1[[#This Row],[Monto_Base]],H4075)</f>
        <v>12703.390000000001</v>
      </c>
      <c r="J4075" t="s">
        <v>5046</v>
      </c>
      <c r="K4075" t="s">
        <v>5049</v>
      </c>
      <c r="L4075" t="s">
        <v>5050</v>
      </c>
      <c r="M4075" t="s">
        <v>5055</v>
      </c>
    </row>
    <row r="4076" spans="1:13" x14ac:dyDescent="0.3">
      <c r="A4076" s="1">
        <v>45570</v>
      </c>
      <c r="B4076" s="1" t="str">
        <f>TEXT(Tabla1[[#This Row],[Fecha]],"MMMM")</f>
        <v>octubre</v>
      </c>
      <c r="C4076" t="s">
        <v>4086</v>
      </c>
      <c r="D4076" t="s">
        <v>5018</v>
      </c>
      <c r="E4076" t="s">
        <v>5033</v>
      </c>
      <c r="F4076" t="s">
        <v>5040</v>
      </c>
      <c r="G4076" s="3">
        <v>8732.14</v>
      </c>
      <c r="H4076" s="3">
        <v>1135.18</v>
      </c>
      <c r="I4076" s="3">
        <f>SUM(Tabla1[[#This Row],[Monto_Base]],H4076)</f>
        <v>9867.32</v>
      </c>
      <c r="J4076" t="s">
        <v>5043</v>
      </c>
      <c r="K4076" t="s">
        <v>5048</v>
      </c>
      <c r="L4076" t="s">
        <v>5050</v>
      </c>
      <c r="M4076" t="s">
        <v>5055</v>
      </c>
    </row>
    <row r="4077" spans="1:13" x14ac:dyDescent="0.3">
      <c r="A4077" s="1">
        <v>45591</v>
      </c>
      <c r="B4077" s="1" t="str">
        <f>TEXT(Tabla1[[#This Row],[Fecha]],"MMMM")</f>
        <v>octubre</v>
      </c>
      <c r="C4077" t="s">
        <v>4087</v>
      </c>
      <c r="D4077" t="s">
        <v>5015</v>
      </c>
      <c r="E4077" t="s">
        <v>5032</v>
      </c>
      <c r="F4077" t="s">
        <v>5038</v>
      </c>
      <c r="G4077" s="3">
        <v>7776.59</v>
      </c>
      <c r="H4077" s="3">
        <v>0</v>
      </c>
      <c r="I4077" s="3">
        <f>SUM(Tabla1[[#This Row],[Monto_Base]],H4077)</f>
        <v>7776.59</v>
      </c>
      <c r="J4077" t="s">
        <v>5045</v>
      </c>
      <c r="K4077" t="s">
        <v>5048</v>
      </c>
      <c r="L4077" t="s">
        <v>5053</v>
      </c>
      <c r="M4077" t="s">
        <v>5054</v>
      </c>
    </row>
    <row r="4078" spans="1:13" x14ac:dyDescent="0.3">
      <c r="A4078" s="1">
        <v>45573</v>
      </c>
      <c r="B4078" s="1" t="str">
        <f>TEXT(Tabla1[[#This Row],[Fecha]],"MMMM")</f>
        <v>octubre</v>
      </c>
      <c r="C4078" t="s">
        <v>4088</v>
      </c>
      <c r="D4078" t="s">
        <v>5014</v>
      </c>
      <c r="E4078" t="s">
        <v>5033</v>
      </c>
      <c r="F4078" t="s">
        <v>5040</v>
      </c>
      <c r="G4078" s="3">
        <v>4422</v>
      </c>
      <c r="H4078" s="3">
        <v>574.86</v>
      </c>
      <c r="I4078" s="3">
        <f>SUM(Tabla1[[#This Row],[Monto_Base]],H4078)</f>
        <v>4996.8599999999997</v>
      </c>
      <c r="J4078" t="s">
        <v>5046</v>
      </c>
      <c r="K4078" t="s">
        <v>5048</v>
      </c>
      <c r="L4078" t="s">
        <v>5053</v>
      </c>
      <c r="M4078" t="s">
        <v>5054</v>
      </c>
    </row>
    <row r="4079" spans="1:13" x14ac:dyDescent="0.3">
      <c r="A4079" s="1">
        <v>45345</v>
      </c>
      <c r="B4079" s="1" t="str">
        <f>TEXT(Tabla1[[#This Row],[Fecha]],"MMMM")</f>
        <v>febrero</v>
      </c>
      <c r="C4079" t="s">
        <v>4089</v>
      </c>
      <c r="D4079" t="s">
        <v>5031</v>
      </c>
      <c r="E4079" t="s">
        <v>5033</v>
      </c>
      <c r="F4079" t="s">
        <v>5034</v>
      </c>
      <c r="G4079" s="3">
        <v>11650.16</v>
      </c>
      <c r="H4079" s="3">
        <v>1514.52</v>
      </c>
      <c r="I4079" s="3">
        <f>SUM(Tabla1[[#This Row],[Monto_Base]],H4079)</f>
        <v>13164.68</v>
      </c>
      <c r="J4079" t="s">
        <v>5046</v>
      </c>
      <c r="K4079" t="s">
        <v>5047</v>
      </c>
      <c r="L4079" t="s">
        <v>5050</v>
      </c>
      <c r="M4079" t="s">
        <v>5054</v>
      </c>
    </row>
    <row r="4080" spans="1:13" x14ac:dyDescent="0.3">
      <c r="A4080" s="1">
        <v>45419</v>
      </c>
      <c r="B4080" s="1" t="str">
        <f>TEXT(Tabla1[[#This Row],[Fecha]],"MMMM")</f>
        <v>mayo</v>
      </c>
      <c r="C4080" t="s">
        <v>4090</v>
      </c>
      <c r="D4080" t="s">
        <v>5029</v>
      </c>
      <c r="E4080" t="s">
        <v>5032</v>
      </c>
      <c r="F4080" t="s">
        <v>5035</v>
      </c>
      <c r="G4080" s="3">
        <v>2391.23</v>
      </c>
      <c r="H4080" s="3">
        <v>0</v>
      </c>
      <c r="I4080" s="3">
        <f>SUM(Tabla1[[#This Row],[Monto_Base]],H4080)</f>
        <v>2391.23</v>
      </c>
      <c r="J4080" t="s">
        <v>5043</v>
      </c>
      <c r="K4080" t="s">
        <v>5049</v>
      </c>
      <c r="L4080" t="s">
        <v>5051</v>
      </c>
      <c r="M4080" t="s">
        <v>5054</v>
      </c>
    </row>
    <row r="4081" spans="1:13" x14ac:dyDescent="0.3">
      <c r="A4081" s="1">
        <v>45603</v>
      </c>
      <c r="B4081" s="1" t="str">
        <f>TEXT(Tabla1[[#This Row],[Fecha]],"MMMM")</f>
        <v>noviembre</v>
      </c>
      <c r="C4081" t="s">
        <v>4091</v>
      </c>
      <c r="D4081" t="s">
        <v>5025</v>
      </c>
      <c r="E4081" t="s">
        <v>5032</v>
      </c>
      <c r="F4081" t="s">
        <v>5036</v>
      </c>
      <c r="G4081" s="3">
        <v>10413.17</v>
      </c>
      <c r="H4081" s="3">
        <v>0</v>
      </c>
      <c r="I4081" s="3">
        <f>SUM(Tabla1[[#This Row],[Monto_Base]],H4081)</f>
        <v>10413.17</v>
      </c>
      <c r="J4081" t="s">
        <v>5045</v>
      </c>
      <c r="K4081" t="s">
        <v>5049</v>
      </c>
      <c r="L4081" t="s">
        <v>5051</v>
      </c>
      <c r="M4081" t="s">
        <v>5054</v>
      </c>
    </row>
    <row r="4082" spans="1:13" x14ac:dyDescent="0.3">
      <c r="A4082" s="1">
        <v>45534</v>
      </c>
      <c r="B4082" s="1" t="str">
        <f>TEXT(Tabla1[[#This Row],[Fecha]],"MMMM")</f>
        <v>agosto</v>
      </c>
      <c r="C4082" t="s">
        <v>4092</v>
      </c>
      <c r="D4082" t="s">
        <v>5030</v>
      </c>
      <c r="E4082" t="s">
        <v>5032</v>
      </c>
      <c r="F4082" t="s">
        <v>5037</v>
      </c>
      <c r="G4082" s="3">
        <v>11305.68</v>
      </c>
      <c r="H4082" s="3">
        <v>0</v>
      </c>
      <c r="I4082" s="3">
        <f>SUM(Tabla1[[#This Row],[Monto_Base]],H4082)</f>
        <v>11305.68</v>
      </c>
      <c r="J4082" t="s">
        <v>5043</v>
      </c>
      <c r="K4082" t="s">
        <v>5049</v>
      </c>
      <c r="L4082" t="s">
        <v>5051</v>
      </c>
      <c r="M4082" t="s">
        <v>5055</v>
      </c>
    </row>
    <row r="4083" spans="1:13" x14ac:dyDescent="0.3">
      <c r="A4083" s="1">
        <v>45358</v>
      </c>
      <c r="B4083" s="1" t="str">
        <f>TEXT(Tabla1[[#This Row],[Fecha]],"MMMM")</f>
        <v>marzo</v>
      </c>
      <c r="C4083" t="s">
        <v>4093</v>
      </c>
      <c r="D4083" t="s">
        <v>5026</v>
      </c>
      <c r="E4083" t="s">
        <v>5033</v>
      </c>
      <c r="F4083" t="s">
        <v>5040</v>
      </c>
      <c r="G4083" s="3">
        <v>5454.89</v>
      </c>
      <c r="H4083" s="3">
        <v>709.14</v>
      </c>
      <c r="I4083" s="3">
        <f>SUM(Tabla1[[#This Row],[Monto_Base]],H4083)</f>
        <v>6164.0300000000007</v>
      </c>
      <c r="J4083" t="s">
        <v>5042</v>
      </c>
      <c r="K4083" t="s">
        <v>5048</v>
      </c>
      <c r="L4083" t="s">
        <v>5050</v>
      </c>
      <c r="M4083" t="s">
        <v>5054</v>
      </c>
    </row>
    <row r="4084" spans="1:13" x14ac:dyDescent="0.3">
      <c r="A4084" s="1">
        <v>45572</v>
      </c>
      <c r="B4084" s="1" t="str">
        <f>TEXT(Tabla1[[#This Row],[Fecha]],"MMMM")</f>
        <v>octubre</v>
      </c>
      <c r="C4084" t="s">
        <v>4094</v>
      </c>
      <c r="D4084" t="s">
        <v>5024</v>
      </c>
      <c r="E4084" t="s">
        <v>5033</v>
      </c>
      <c r="F4084" t="s">
        <v>5039</v>
      </c>
      <c r="G4084" s="3">
        <v>11528.29</v>
      </c>
      <c r="H4084" s="3">
        <v>1498.68</v>
      </c>
      <c r="I4084" s="3">
        <f>SUM(Tabla1[[#This Row],[Monto_Base]],H4084)</f>
        <v>13026.970000000001</v>
      </c>
      <c r="J4084" t="s">
        <v>5046</v>
      </c>
      <c r="K4084" t="s">
        <v>5049</v>
      </c>
      <c r="L4084" t="s">
        <v>5052</v>
      </c>
      <c r="M4084" t="s">
        <v>5054</v>
      </c>
    </row>
    <row r="4085" spans="1:13" x14ac:dyDescent="0.3">
      <c r="A4085" s="1">
        <v>45391</v>
      </c>
      <c r="B4085" s="1" t="str">
        <f>TEXT(Tabla1[[#This Row],[Fecha]],"MMMM")</f>
        <v>abril</v>
      </c>
      <c r="C4085" t="s">
        <v>4095</v>
      </c>
      <c r="D4085" t="s">
        <v>5028</v>
      </c>
      <c r="E4085" t="s">
        <v>5032</v>
      </c>
      <c r="F4085" t="s">
        <v>5041</v>
      </c>
      <c r="G4085" s="3">
        <v>1602.86</v>
      </c>
      <c r="H4085" s="3">
        <v>0</v>
      </c>
      <c r="I4085" s="3">
        <f>SUM(Tabla1[[#This Row],[Monto_Base]],H4085)</f>
        <v>1602.86</v>
      </c>
      <c r="J4085" t="s">
        <v>5044</v>
      </c>
      <c r="K4085" t="s">
        <v>5049</v>
      </c>
      <c r="L4085" t="s">
        <v>5050</v>
      </c>
      <c r="M4085" t="s">
        <v>5055</v>
      </c>
    </row>
    <row r="4086" spans="1:13" x14ac:dyDescent="0.3">
      <c r="A4086" s="1">
        <v>45547</v>
      </c>
      <c r="B4086" s="1" t="str">
        <f>TEXT(Tabla1[[#This Row],[Fecha]],"MMMM")</f>
        <v>septiembre</v>
      </c>
      <c r="C4086" t="s">
        <v>4096</v>
      </c>
      <c r="D4086" t="s">
        <v>5028</v>
      </c>
      <c r="E4086" t="s">
        <v>5032</v>
      </c>
      <c r="F4086" t="s">
        <v>5038</v>
      </c>
      <c r="G4086" s="3">
        <v>12764.86</v>
      </c>
      <c r="H4086" s="3">
        <v>0</v>
      </c>
      <c r="I4086" s="3">
        <f>SUM(Tabla1[[#This Row],[Monto_Base]],H4086)</f>
        <v>12764.86</v>
      </c>
      <c r="J4086" t="s">
        <v>5044</v>
      </c>
      <c r="K4086" t="s">
        <v>5048</v>
      </c>
      <c r="L4086" t="s">
        <v>5051</v>
      </c>
      <c r="M4086" t="s">
        <v>5055</v>
      </c>
    </row>
    <row r="4087" spans="1:13" x14ac:dyDescent="0.3">
      <c r="A4087" s="1">
        <v>45417</v>
      </c>
      <c r="B4087" s="1" t="str">
        <f>TEXT(Tabla1[[#This Row],[Fecha]],"MMMM")</f>
        <v>mayo</v>
      </c>
      <c r="C4087" t="s">
        <v>4097</v>
      </c>
      <c r="D4087" t="s">
        <v>5022</v>
      </c>
      <c r="E4087" t="s">
        <v>5032</v>
      </c>
      <c r="F4087" t="s">
        <v>5039</v>
      </c>
      <c r="G4087" s="3">
        <v>13458.15</v>
      </c>
      <c r="H4087" s="3">
        <v>0</v>
      </c>
      <c r="I4087" s="3">
        <f>SUM(Tabla1[[#This Row],[Monto_Base]],H4087)</f>
        <v>13458.15</v>
      </c>
      <c r="J4087" t="s">
        <v>5045</v>
      </c>
      <c r="K4087" t="s">
        <v>5047</v>
      </c>
      <c r="L4087" t="s">
        <v>5053</v>
      </c>
      <c r="M4087" t="s">
        <v>5055</v>
      </c>
    </row>
    <row r="4088" spans="1:13" x14ac:dyDescent="0.3">
      <c r="A4088" s="1">
        <v>45450</v>
      </c>
      <c r="B4088" s="1" t="str">
        <f>TEXT(Tabla1[[#This Row],[Fecha]],"MMMM")</f>
        <v>junio</v>
      </c>
      <c r="C4088" t="s">
        <v>4098</v>
      </c>
      <c r="D4088" t="s">
        <v>5023</v>
      </c>
      <c r="E4088" t="s">
        <v>5033</v>
      </c>
      <c r="F4088" t="s">
        <v>5041</v>
      </c>
      <c r="G4088" s="3">
        <v>4775.58</v>
      </c>
      <c r="H4088" s="3">
        <v>620.83000000000004</v>
      </c>
      <c r="I4088" s="3">
        <f>SUM(Tabla1[[#This Row],[Monto_Base]],H4088)</f>
        <v>5396.41</v>
      </c>
      <c r="J4088" t="s">
        <v>5044</v>
      </c>
      <c r="K4088" t="s">
        <v>5047</v>
      </c>
      <c r="L4088" t="s">
        <v>5051</v>
      </c>
      <c r="M4088" t="s">
        <v>5054</v>
      </c>
    </row>
    <row r="4089" spans="1:13" x14ac:dyDescent="0.3">
      <c r="A4089" s="1">
        <v>45620</v>
      </c>
      <c r="B4089" s="1" t="str">
        <f>TEXT(Tabla1[[#This Row],[Fecha]],"MMMM")</f>
        <v>noviembre</v>
      </c>
      <c r="C4089" t="s">
        <v>4099</v>
      </c>
      <c r="D4089" t="s">
        <v>5015</v>
      </c>
      <c r="E4089" t="s">
        <v>5033</v>
      </c>
      <c r="F4089" t="s">
        <v>5036</v>
      </c>
      <c r="G4089" s="3">
        <v>72.55</v>
      </c>
      <c r="H4089" s="3">
        <v>9.43</v>
      </c>
      <c r="I4089" s="3">
        <f>SUM(Tabla1[[#This Row],[Monto_Base]],H4089)</f>
        <v>81.97999999999999</v>
      </c>
      <c r="J4089" t="s">
        <v>5042</v>
      </c>
      <c r="K4089" t="s">
        <v>5049</v>
      </c>
      <c r="L4089" t="s">
        <v>5050</v>
      </c>
      <c r="M4089" t="s">
        <v>5055</v>
      </c>
    </row>
    <row r="4090" spans="1:13" x14ac:dyDescent="0.3">
      <c r="A4090" s="1">
        <v>45593</v>
      </c>
      <c r="B4090" s="1" t="str">
        <f>TEXT(Tabla1[[#This Row],[Fecha]],"MMMM")</f>
        <v>octubre</v>
      </c>
      <c r="C4090" t="s">
        <v>4100</v>
      </c>
      <c r="D4090" t="s">
        <v>5029</v>
      </c>
      <c r="E4090" t="s">
        <v>5032</v>
      </c>
      <c r="F4090" t="s">
        <v>5041</v>
      </c>
      <c r="G4090" s="3">
        <v>6556.86</v>
      </c>
      <c r="H4090" s="3">
        <v>0</v>
      </c>
      <c r="I4090" s="3">
        <f>SUM(Tabla1[[#This Row],[Monto_Base]],H4090)</f>
        <v>6556.86</v>
      </c>
      <c r="J4090" t="s">
        <v>5046</v>
      </c>
      <c r="K4090" t="s">
        <v>5048</v>
      </c>
      <c r="L4090" t="s">
        <v>5050</v>
      </c>
      <c r="M4090" t="s">
        <v>5055</v>
      </c>
    </row>
    <row r="4091" spans="1:13" x14ac:dyDescent="0.3">
      <c r="A4091" s="1">
        <v>45416</v>
      </c>
      <c r="B4091" s="1" t="str">
        <f>TEXT(Tabla1[[#This Row],[Fecha]],"MMMM")</f>
        <v>mayo</v>
      </c>
      <c r="C4091" t="s">
        <v>4101</v>
      </c>
      <c r="D4091" t="s">
        <v>5027</v>
      </c>
      <c r="E4091" t="s">
        <v>5032</v>
      </c>
      <c r="F4091" t="s">
        <v>5037</v>
      </c>
      <c r="G4091" s="3">
        <v>11453.77</v>
      </c>
      <c r="H4091" s="3">
        <v>0</v>
      </c>
      <c r="I4091" s="3">
        <f>SUM(Tabla1[[#This Row],[Monto_Base]],H4091)</f>
        <v>11453.77</v>
      </c>
      <c r="J4091" t="s">
        <v>5046</v>
      </c>
      <c r="K4091" t="s">
        <v>5047</v>
      </c>
      <c r="L4091" t="s">
        <v>5051</v>
      </c>
      <c r="M4091" t="s">
        <v>5055</v>
      </c>
    </row>
    <row r="4092" spans="1:13" x14ac:dyDescent="0.3">
      <c r="A4092" s="1">
        <v>45537</v>
      </c>
      <c r="B4092" s="1" t="str">
        <f>TEXT(Tabla1[[#This Row],[Fecha]],"MMMM")</f>
        <v>septiembre</v>
      </c>
      <c r="C4092" t="s">
        <v>4102</v>
      </c>
      <c r="D4092" t="s">
        <v>5029</v>
      </c>
      <c r="E4092" t="s">
        <v>5032</v>
      </c>
      <c r="F4092" t="s">
        <v>5034</v>
      </c>
      <c r="G4092" s="3">
        <v>3019.56</v>
      </c>
      <c r="H4092" s="3">
        <v>0</v>
      </c>
      <c r="I4092" s="3">
        <f>SUM(Tabla1[[#This Row],[Monto_Base]],H4092)</f>
        <v>3019.56</v>
      </c>
      <c r="J4092" t="s">
        <v>5042</v>
      </c>
      <c r="K4092" t="s">
        <v>5047</v>
      </c>
      <c r="L4092" t="s">
        <v>5052</v>
      </c>
      <c r="M4092" t="s">
        <v>5055</v>
      </c>
    </row>
    <row r="4093" spans="1:13" x14ac:dyDescent="0.3">
      <c r="A4093" s="1">
        <v>45384</v>
      </c>
      <c r="B4093" s="1" t="str">
        <f>TEXT(Tabla1[[#This Row],[Fecha]],"MMMM")</f>
        <v>abril</v>
      </c>
      <c r="C4093" t="s">
        <v>4103</v>
      </c>
      <c r="D4093" t="s">
        <v>5023</v>
      </c>
      <c r="E4093" t="s">
        <v>5033</v>
      </c>
      <c r="F4093" t="s">
        <v>5036</v>
      </c>
      <c r="G4093" s="3">
        <v>5206.68</v>
      </c>
      <c r="H4093" s="3">
        <v>676.87</v>
      </c>
      <c r="I4093" s="3">
        <f>SUM(Tabla1[[#This Row],[Monto_Base]],H4093)</f>
        <v>5883.55</v>
      </c>
      <c r="J4093" t="s">
        <v>5046</v>
      </c>
      <c r="K4093" t="s">
        <v>5048</v>
      </c>
      <c r="L4093" t="s">
        <v>5051</v>
      </c>
      <c r="M4093" t="s">
        <v>5054</v>
      </c>
    </row>
    <row r="4094" spans="1:13" x14ac:dyDescent="0.3">
      <c r="A4094" s="1">
        <v>45376</v>
      </c>
      <c r="B4094" s="1" t="str">
        <f>TEXT(Tabla1[[#This Row],[Fecha]],"MMMM")</f>
        <v>marzo</v>
      </c>
      <c r="C4094" t="s">
        <v>4104</v>
      </c>
      <c r="D4094" t="s">
        <v>5024</v>
      </c>
      <c r="E4094" t="s">
        <v>5032</v>
      </c>
      <c r="F4094" t="s">
        <v>5040</v>
      </c>
      <c r="G4094" s="3">
        <v>801.67</v>
      </c>
      <c r="H4094" s="3">
        <v>0</v>
      </c>
      <c r="I4094" s="3">
        <f>SUM(Tabla1[[#This Row],[Monto_Base]],H4094)</f>
        <v>801.67</v>
      </c>
      <c r="J4094" t="s">
        <v>5045</v>
      </c>
      <c r="K4094" t="s">
        <v>5049</v>
      </c>
      <c r="L4094" t="s">
        <v>5051</v>
      </c>
      <c r="M4094" t="s">
        <v>5054</v>
      </c>
    </row>
    <row r="4095" spans="1:13" x14ac:dyDescent="0.3">
      <c r="A4095" s="1">
        <v>45505</v>
      </c>
      <c r="B4095" s="1" t="str">
        <f>TEXT(Tabla1[[#This Row],[Fecha]],"MMMM")</f>
        <v>agosto</v>
      </c>
      <c r="C4095" t="s">
        <v>4105</v>
      </c>
      <c r="D4095" t="s">
        <v>5022</v>
      </c>
      <c r="E4095" t="s">
        <v>5032</v>
      </c>
      <c r="F4095" t="s">
        <v>5041</v>
      </c>
      <c r="G4095" s="3">
        <v>2001.94</v>
      </c>
      <c r="H4095" s="3">
        <v>0</v>
      </c>
      <c r="I4095" s="3">
        <f>SUM(Tabla1[[#This Row],[Monto_Base]],H4095)</f>
        <v>2001.94</v>
      </c>
      <c r="J4095" t="s">
        <v>5045</v>
      </c>
      <c r="K4095" t="s">
        <v>5049</v>
      </c>
      <c r="L4095" t="s">
        <v>5050</v>
      </c>
      <c r="M4095" t="s">
        <v>5055</v>
      </c>
    </row>
    <row r="4096" spans="1:13" x14ac:dyDescent="0.3">
      <c r="A4096" s="1">
        <v>45592</v>
      </c>
      <c r="B4096" s="1" t="str">
        <f>TEXT(Tabla1[[#This Row],[Fecha]],"MMMM")</f>
        <v>octubre</v>
      </c>
      <c r="C4096" t="s">
        <v>4106</v>
      </c>
      <c r="D4096" t="s">
        <v>5031</v>
      </c>
      <c r="E4096" t="s">
        <v>5033</v>
      </c>
      <c r="F4096" t="s">
        <v>5038</v>
      </c>
      <c r="G4096" s="3">
        <v>5363.27</v>
      </c>
      <c r="H4096" s="3">
        <v>697.23</v>
      </c>
      <c r="I4096" s="3">
        <f>SUM(Tabla1[[#This Row],[Monto_Base]],H4096)</f>
        <v>6060.5</v>
      </c>
      <c r="J4096" t="s">
        <v>5043</v>
      </c>
      <c r="K4096" t="s">
        <v>5048</v>
      </c>
      <c r="L4096" t="s">
        <v>5052</v>
      </c>
      <c r="M4096" t="s">
        <v>5055</v>
      </c>
    </row>
    <row r="4097" spans="1:13" x14ac:dyDescent="0.3">
      <c r="A4097" s="1">
        <v>45339</v>
      </c>
      <c r="B4097" s="1" t="str">
        <f>TEXT(Tabla1[[#This Row],[Fecha]],"MMMM")</f>
        <v>febrero</v>
      </c>
      <c r="C4097" t="s">
        <v>4107</v>
      </c>
      <c r="D4097" t="s">
        <v>5022</v>
      </c>
      <c r="E4097" t="s">
        <v>5032</v>
      </c>
      <c r="F4097" t="s">
        <v>5036</v>
      </c>
      <c r="G4097" s="3">
        <v>9117.15</v>
      </c>
      <c r="H4097" s="3">
        <v>0</v>
      </c>
      <c r="I4097" s="3">
        <f>SUM(Tabla1[[#This Row],[Monto_Base]],H4097)</f>
        <v>9117.15</v>
      </c>
      <c r="J4097" t="s">
        <v>5043</v>
      </c>
      <c r="K4097" t="s">
        <v>5048</v>
      </c>
      <c r="L4097" t="s">
        <v>5050</v>
      </c>
      <c r="M4097" t="s">
        <v>5054</v>
      </c>
    </row>
    <row r="4098" spans="1:13" x14ac:dyDescent="0.3">
      <c r="A4098" s="1">
        <v>45622</v>
      </c>
      <c r="B4098" s="1" t="str">
        <f>TEXT(Tabla1[[#This Row],[Fecha]],"MMMM")</f>
        <v>noviembre</v>
      </c>
      <c r="C4098" t="s">
        <v>4108</v>
      </c>
      <c r="D4098" t="s">
        <v>5019</v>
      </c>
      <c r="E4098" t="s">
        <v>5032</v>
      </c>
      <c r="F4098" t="s">
        <v>5034</v>
      </c>
      <c r="G4098" s="3">
        <v>9229.26</v>
      </c>
      <c r="H4098" s="3">
        <v>0</v>
      </c>
      <c r="I4098" s="3">
        <f>SUM(Tabla1[[#This Row],[Monto_Base]],H4098)</f>
        <v>9229.26</v>
      </c>
      <c r="J4098" t="s">
        <v>5042</v>
      </c>
      <c r="K4098" t="s">
        <v>5049</v>
      </c>
      <c r="L4098" t="s">
        <v>5051</v>
      </c>
      <c r="M4098" t="s">
        <v>5055</v>
      </c>
    </row>
    <row r="4099" spans="1:13" x14ac:dyDescent="0.3">
      <c r="A4099" s="1">
        <v>45417</v>
      </c>
      <c r="B4099" s="1" t="str">
        <f>TEXT(Tabla1[[#This Row],[Fecha]],"MMMM")</f>
        <v>mayo</v>
      </c>
      <c r="C4099" t="s">
        <v>4109</v>
      </c>
      <c r="D4099" t="s">
        <v>5016</v>
      </c>
      <c r="E4099" t="s">
        <v>5032</v>
      </c>
      <c r="F4099" t="s">
        <v>5040</v>
      </c>
      <c r="G4099" s="3">
        <v>6817.62</v>
      </c>
      <c r="H4099" s="3">
        <v>0</v>
      </c>
      <c r="I4099" s="3">
        <f>SUM(Tabla1[[#This Row],[Monto_Base]],H4099)</f>
        <v>6817.62</v>
      </c>
      <c r="J4099" t="s">
        <v>5045</v>
      </c>
      <c r="K4099" t="s">
        <v>5049</v>
      </c>
      <c r="L4099" t="s">
        <v>5051</v>
      </c>
      <c r="M4099" t="s">
        <v>5055</v>
      </c>
    </row>
    <row r="4100" spans="1:13" x14ac:dyDescent="0.3">
      <c r="A4100" s="1">
        <v>45416</v>
      </c>
      <c r="B4100" s="1" t="str">
        <f>TEXT(Tabla1[[#This Row],[Fecha]],"MMMM")</f>
        <v>mayo</v>
      </c>
      <c r="C4100" t="s">
        <v>4110</v>
      </c>
      <c r="D4100" t="s">
        <v>5014</v>
      </c>
      <c r="E4100" t="s">
        <v>5032</v>
      </c>
      <c r="F4100" t="s">
        <v>5036</v>
      </c>
      <c r="G4100" s="3">
        <v>13786.34</v>
      </c>
      <c r="H4100" s="3">
        <v>0</v>
      </c>
      <c r="I4100" s="3">
        <f>SUM(Tabla1[[#This Row],[Monto_Base]],H4100)</f>
        <v>13786.34</v>
      </c>
      <c r="J4100" t="s">
        <v>5042</v>
      </c>
      <c r="K4100" t="s">
        <v>5048</v>
      </c>
      <c r="L4100" t="s">
        <v>5052</v>
      </c>
      <c r="M4100" t="s">
        <v>5055</v>
      </c>
    </row>
    <row r="4101" spans="1:13" x14ac:dyDescent="0.3">
      <c r="A4101" s="1">
        <v>45413</v>
      </c>
      <c r="B4101" s="1" t="str">
        <f>TEXT(Tabla1[[#This Row],[Fecha]],"MMMM")</f>
        <v>mayo</v>
      </c>
      <c r="C4101" t="s">
        <v>4111</v>
      </c>
      <c r="D4101" t="s">
        <v>5029</v>
      </c>
      <c r="E4101" t="s">
        <v>5032</v>
      </c>
      <c r="F4101" t="s">
        <v>5041</v>
      </c>
      <c r="G4101" s="3">
        <v>7276.42</v>
      </c>
      <c r="H4101" s="3">
        <v>0</v>
      </c>
      <c r="I4101" s="3">
        <f>SUM(Tabla1[[#This Row],[Monto_Base]],H4101)</f>
        <v>7276.42</v>
      </c>
      <c r="J4101" t="s">
        <v>5043</v>
      </c>
      <c r="K4101" t="s">
        <v>5049</v>
      </c>
      <c r="L4101" t="s">
        <v>5052</v>
      </c>
      <c r="M4101" t="s">
        <v>5054</v>
      </c>
    </row>
    <row r="4102" spans="1:13" x14ac:dyDescent="0.3">
      <c r="A4102" s="1">
        <v>45488</v>
      </c>
      <c r="B4102" s="1" t="str">
        <f>TEXT(Tabla1[[#This Row],[Fecha]],"MMMM")</f>
        <v>julio</v>
      </c>
      <c r="C4102" t="s">
        <v>4112</v>
      </c>
      <c r="D4102" t="s">
        <v>5017</v>
      </c>
      <c r="E4102" t="s">
        <v>5032</v>
      </c>
      <c r="F4102" t="s">
        <v>5041</v>
      </c>
      <c r="G4102" s="3">
        <v>6693.41</v>
      </c>
      <c r="H4102" s="3">
        <v>0</v>
      </c>
      <c r="I4102" s="3">
        <f>SUM(Tabla1[[#This Row],[Monto_Base]],H4102)</f>
        <v>6693.41</v>
      </c>
      <c r="J4102" t="s">
        <v>5045</v>
      </c>
      <c r="K4102" t="s">
        <v>5049</v>
      </c>
      <c r="L4102" t="s">
        <v>5053</v>
      </c>
      <c r="M4102" t="s">
        <v>5055</v>
      </c>
    </row>
    <row r="4103" spans="1:13" x14ac:dyDescent="0.3">
      <c r="A4103" s="1">
        <v>45387</v>
      </c>
      <c r="B4103" s="1" t="str">
        <f>TEXT(Tabla1[[#This Row],[Fecha]],"MMMM")</f>
        <v>abril</v>
      </c>
      <c r="C4103" t="s">
        <v>4113</v>
      </c>
      <c r="D4103" t="s">
        <v>5020</v>
      </c>
      <c r="E4103" t="s">
        <v>5032</v>
      </c>
      <c r="F4103" t="s">
        <v>5034</v>
      </c>
      <c r="G4103" s="3">
        <v>1946.15</v>
      </c>
      <c r="H4103" s="3">
        <v>0</v>
      </c>
      <c r="I4103" s="3">
        <f>SUM(Tabla1[[#This Row],[Monto_Base]],H4103)</f>
        <v>1946.15</v>
      </c>
      <c r="J4103" t="s">
        <v>5042</v>
      </c>
      <c r="K4103" t="s">
        <v>5047</v>
      </c>
      <c r="L4103" t="s">
        <v>5053</v>
      </c>
      <c r="M4103" t="s">
        <v>5054</v>
      </c>
    </row>
    <row r="4104" spans="1:13" x14ac:dyDescent="0.3">
      <c r="A4104" s="1">
        <v>45350</v>
      </c>
      <c r="B4104" s="1" t="str">
        <f>TEXT(Tabla1[[#This Row],[Fecha]],"MMMM")</f>
        <v>febrero</v>
      </c>
      <c r="C4104" t="s">
        <v>4114</v>
      </c>
      <c r="D4104" t="s">
        <v>5014</v>
      </c>
      <c r="E4104" t="s">
        <v>5033</v>
      </c>
      <c r="F4104" t="s">
        <v>5040</v>
      </c>
      <c r="G4104" s="3">
        <v>4335.46</v>
      </c>
      <c r="H4104" s="3">
        <v>563.61</v>
      </c>
      <c r="I4104" s="3">
        <f>SUM(Tabla1[[#This Row],[Monto_Base]],H4104)</f>
        <v>4899.07</v>
      </c>
      <c r="J4104" t="s">
        <v>5043</v>
      </c>
      <c r="K4104" t="s">
        <v>5047</v>
      </c>
      <c r="L4104" t="s">
        <v>5050</v>
      </c>
      <c r="M4104" t="s">
        <v>5055</v>
      </c>
    </row>
    <row r="4105" spans="1:13" x14ac:dyDescent="0.3">
      <c r="A4105" s="1">
        <v>45326</v>
      </c>
      <c r="B4105" s="1" t="str">
        <f>TEXT(Tabla1[[#This Row],[Fecha]],"MMMM")</f>
        <v>febrero</v>
      </c>
      <c r="C4105" t="s">
        <v>4115</v>
      </c>
      <c r="D4105" t="s">
        <v>5029</v>
      </c>
      <c r="E4105" t="s">
        <v>5033</v>
      </c>
      <c r="F4105" t="s">
        <v>5040</v>
      </c>
      <c r="G4105" s="3">
        <v>10953.89</v>
      </c>
      <c r="H4105" s="3">
        <v>1424.01</v>
      </c>
      <c r="I4105" s="3">
        <f>SUM(Tabla1[[#This Row],[Monto_Base]],H4105)</f>
        <v>12377.9</v>
      </c>
      <c r="J4105" t="s">
        <v>5042</v>
      </c>
      <c r="K4105" t="s">
        <v>5047</v>
      </c>
      <c r="L4105" t="s">
        <v>5051</v>
      </c>
      <c r="M4105" t="s">
        <v>5055</v>
      </c>
    </row>
    <row r="4106" spans="1:13" x14ac:dyDescent="0.3">
      <c r="A4106" s="1">
        <v>45532</v>
      </c>
      <c r="B4106" s="1" t="str">
        <f>TEXT(Tabla1[[#This Row],[Fecha]],"MMMM")</f>
        <v>agosto</v>
      </c>
      <c r="C4106" t="s">
        <v>4116</v>
      </c>
      <c r="D4106" t="s">
        <v>5021</v>
      </c>
      <c r="E4106" t="s">
        <v>5032</v>
      </c>
      <c r="F4106" t="s">
        <v>5039</v>
      </c>
      <c r="G4106" s="3">
        <v>12902.95</v>
      </c>
      <c r="H4106" s="3">
        <v>0</v>
      </c>
      <c r="I4106" s="3">
        <f>SUM(Tabla1[[#This Row],[Monto_Base]],H4106)</f>
        <v>12902.95</v>
      </c>
      <c r="J4106" t="s">
        <v>5045</v>
      </c>
      <c r="K4106" t="s">
        <v>5047</v>
      </c>
      <c r="L4106" t="s">
        <v>5052</v>
      </c>
      <c r="M4106" t="s">
        <v>5054</v>
      </c>
    </row>
    <row r="4107" spans="1:13" x14ac:dyDescent="0.3">
      <c r="A4107" s="1">
        <v>45482</v>
      </c>
      <c r="B4107" s="1" t="str">
        <f>TEXT(Tabla1[[#This Row],[Fecha]],"MMMM")</f>
        <v>julio</v>
      </c>
      <c r="C4107" t="s">
        <v>4117</v>
      </c>
      <c r="D4107" t="s">
        <v>5012</v>
      </c>
      <c r="E4107" t="s">
        <v>5032</v>
      </c>
      <c r="F4107" t="s">
        <v>5040</v>
      </c>
      <c r="G4107" s="3">
        <v>3589.34</v>
      </c>
      <c r="H4107" s="3">
        <v>0</v>
      </c>
      <c r="I4107" s="3">
        <f>SUM(Tabla1[[#This Row],[Monto_Base]],H4107)</f>
        <v>3589.34</v>
      </c>
      <c r="J4107" t="s">
        <v>5046</v>
      </c>
      <c r="K4107" t="s">
        <v>5049</v>
      </c>
      <c r="L4107" t="s">
        <v>5051</v>
      </c>
      <c r="M4107" t="s">
        <v>5055</v>
      </c>
    </row>
    <row r="4108" spans="1:13" x14ac:dyDescent="0.3">
      <c r="A4108" s="1">
        <v>45372</v>
      </c>
      <c r="B4108" s="1" t="str">
        <f>TEXT(Tabla1[[#This Row],[Fecha]],"MMMM")</f>
        <v>marzo</v>
      </c>
      <c r="C4108" t="s">
        <v>4118</v>
      </c>
      <c r="D4108" t="s">
        <v>5014</v>
      </c>
      <c r="E4108" t="s">
        <v>5033</v>
      </c>
      <c r="F4108" t="s">
        <v>5037</v>
      </c>
      <c r="G4108" s="3">
        <v>14963.11</v>
      </c>
      <c r="H4108" s="3">
        <v>1945.2</v>
      </c>
      <c r="I4108" s="3">
        <f>SUM(Tabla1[[#This Row],[Monto_Base]],H4108)</f>
        <v>16908.310000000001</v>
      </c>
      <c r="J4108" t="s">
        <v>5042</v>
      </c>
      <c r="K4108" t="s">
        <v>5047</v>
      </c>
      <c r="L4108" t="s">
        <v>5053</v>
      </c>
      <c r="M4108" t="s">
        <v>5055</v>
      </c>
    </row>
    <row r="4109" spans="1:13" x14ac:dyDescent="0.3">
      <c r="A4109" s="1">
        <v>45458</v>
      </c>
      <c r="B4109" s="1" t="str">
        <f>TEXT(Tabla1[[#This Row],[Fecha]],"MMMM")</f>
        <v>junio</v>
      </c>
      <c r="C4109" t="s">
        <v>4119</v>
      </c>
      <c r="D4109" t="s">
        <v>5023</v>
      </c>
      <c r="E4109" t="s">
        <v>5032</v>
      </c>
      <c r="F4109" t="s">
        <v>5041</v>
      </c>
      <c r="G4109" s="3">
        <v>11470.41</v>
      </c>
      <c r="H4109" s="3">
        <v>0</v>
      </c>
      <c r="I4109" s="3">
        <f>SUM(Tabla1[[#This Row],[Monto_Base]],H4109)</f>
        <v>11470.41</v>
      </c>
      <c r="J4109" t="s">
        <v>5043</v>
      </c>
      <c r="K4109" t="s">
        <v>5049</v>
      </c>
      <c r="L4109" t="s">
        <v>5052</v>
      </c>
      <c r="M4109" t="s">
        <v>5055</v>
      </c>
    </row>
    <row r="4110" spans="1:13" x14ac:dyDescent="0.3">
      <c r="A4110" s="1">
        <v>45532</v>
      </c>
      <c r="B4110" s="1" t="str">
        <f>TEXT(Tabla1[[#This Row],[Fecha]],"MMMM")</f>
        <v>agosto</v>
      </c>
      <c r="C4110" t="s">
        <v>4120</v>
      </c>
      <c r="D4110" t="s">
        <v>5018</v>
      </c>
      <c r="E4110" t="s">
        <v>5032</v>
      </c>
      <c r="F4110" t="s">
        <v>5034</v>
      </c>
      <c r="G4110" s="3">
        <v>758.66</v>
      </c>
      <c r="H4110" s="3">
        <v>0</v>
      </c>
      <c r="I4110" s="3">
        <f>SUM(Tabla1[[#This Row],[Monto_Base]],H4110)</f>
        <v>758.66</v>
      </c>
      <c r="J4110" t="s">
        <v>5043</v>
      </c>
      <c r="K4110" t="s">
        <v>5047</v>
      </c>
      <c r="L4110" t="s">
        <v>5052</v>
      </c>
      <c r="M4110" t="s">
        <v>5055</v>
      </c>
    </row>
    <row r="4111" spans="1:13" x14ac:dyDescent="0.3">
      <c r="A4111" s="1">
        <v>45547</v>
      </c>
      <c r="B4111" s="1" t="str">
        <f>TEXT(Tabla1[[#This Row],[Fecha]],"MMMM")</f>
        <v>septiembre</v>
      </c>
      <c r="C4111" t="s">
        <v>4121</v>
      </c>
      <c r="D4111" t="s">
        <v>5019</v>
      </c>
      <c r="E4111" t="s">
        <v>5033</v>
      </c>
      <c r="F4111" t="s">
        <v>5041</v>
      </c>
      <c r="G4111" s="3">
        <v>9877.33</v>
      </c>
      <c r="H4111" s="3">
        <v>1284.05</v>
      </c>
      <c r="I4111" s="3">
        <f>SUM(Tabla1[[#This Row],[Monto_Base]],H4111)</f>
        <v>11161.38</v>
      </c>
      <c r="J4111" t="s">
        <v>5042</v>
      </c>
      <c r="K4111" t="s">
        <v>5048</v>
      </c>
      <c r="L4111" t="s">
        <v>5051</v>
      </c>
      <c r="M4111" t="s">
        <v>5054</v>
      </c>
    </row>
    <row r="4112" spans="1:13" x14ac:dyDescent="0.3">
      <c r="A4112" s="1">
        <v>45519</v>
      </c>
      <c r="B4112" s="1" t="str">
        <f>TEXT(Tabla1[[#This Row],[Fecha]],"MMMM")</f>
        <v>agosto</v>
      </c>
      <c r="C4112" t="s">
        <v>4122</v>
      </c>
      <c r="D4112" t="s">
        <v>5021</v>
      </c>
      <c r="E4112" t="s">
        <v>5032</v>
      </c>
      <c r="F4112" t="s">
        <v>5040</v>
      </c>
      <c r="G4112" s="3">
        <v>9943.31</v>
      </c>
      <c r="H4112" s="3">
        <v>0</v>
      </c>
      <c r="I4112" s="3">
        <f>SUM(Tabla1[[#This Row],[Monto_Base]],H4112)</f>
        <v>9943.31</v>
      </c>
      <c r="J4112" t="s">
        <v>5046</v>
      </c>
      <c r="K4112" t="s">
        <v>5049</v>
      </c>
      <c r="L4112" t="s">
        <v>5050</v>
      </c>
      <c r="M4112" t="s">
        <v>5054</v>
      </c>
    </row>
    <row r="4113" spans="1:13" x14ac:dyDescent="0.3">
      <c r="A4113" s="1">
        <v>45655</v>
      </c>
      <c r="B4113" s="1" t="str">
        <f>TEXT(Tabla1[[#This Row],[Fecha]],"MMMM")</f>
        <v>diciembre</v>
      </c>
      <c r="C4113" t="s">
        <v>4123</v>
      </c>
      <c r="D4113" t="s">
        <v>5013</v>
      </c>
      <c r="E4113" t="s">
        <v>5033</v>
      </c>
      <c r="F4113" t="s">
        <v>5041</v>
      </c>
      <c r="G4113" s="3">
        <v>9201.7000000000007</v>
      </c>
      <c r="H4113" s="3">
        <v>1196.22</v>
      </c>
      <c r="I4113" s="3">
        <f>SUM(Tabla1[[#This Row],[Monto_Base]],H4113)</f>
        <v>10397.92</v>
      </c>
      <c r="J4113" t="s">
        <v>5046</v>
      </c>
      <c r="K4113" t="s">
        <v>5049</v>
      </c>
      <c r="L4113" t="s">
        <v>5052</v>
      </c>
      <c r="M4113" t="s">
        <v>5055</v>
      </c>
    </row>
    <row r="4114" spans="1:13" x14ac:dyDescent="0.3">
      <c r="A4114" s="1">
        <v>45489</v>
      </c>
      <c r="B4114" s="1" t="str">
        <f>TEXT(Tabla1[[#This Row],[Fecha]],"MMMM")</f>
        <v>julio</v>
      </c>
      <c r="C4114" t="s">
        <v>4124</v>
      </c>
      <c r="D4114" t="s">
        <v>5028</v>
      </c>
      <c r="E4114" t="s">
        <v>5032</v>
      </c>
      <c r="F4114" t="s">
        <v>5039</v>
      </c>
      <c r="G4114" s="3">
        <v>5217.1899999999996</v>
      </c>
      <c r="H4114" s="3">
        <v>0</v>
      </c>
      <c r="I4114" s="3">
        <f>SUM(Tabla1[[#This Row],[Monto_Base]],H4114)</f>
        <v>5217.1899999999996</v>
      </c>
      <c r="J4114" t="s">
        <v>5046</v>
      </c>
      <c r="K4114" t="s">
        <v>5047</v>
      </c>
      <c r="L4114" t="s">
        <v>5051</v>
      </c>
      <c r="M4114" t="s">
        <v>5055</v>
      </c>
    </row>
    <row r="4115" spans="1:13" x14ac:dyDescent="0.3">
      <c r="A4115" s="1">
        <v>45526</v>
      </c>
      <c r="B4115" s="1" t="str">
        <f>TEXT(Tabla1[[#This Row],[Fecha]],"MMMM")</f>
        <v>agosto</v>
      </c>
      <c r="C4115" t="s">
        <v>4125</v>
      </c>
      <c r="D4115" t="s">
        <v>5015</v>
      </c>
      <c r="E4115" t="s">
        <v>5032</v>
      </c>
      <c r="F4115" t="s">
        <v>5041</v>
      </c>
      <c r="G4115" s="3">
        <v>1859.95</v>
      </c>
      <c r="H4115" s="3">
        <v>0</v>
      </c>
      <c r="I4115" s="3">
        <f>SUM(Tabla1[[#This Row],[Monto_Base]],H4115)</f>
        <v>1859.95</v>
      </c>
      <c r="J4115" t="s">
        <v>5043</v>
      </c>
      <c r="K4115" t="s">
        <v>5048</v>
      </c>
      <c r="L4115" t="s">
        <v>5052</v>
      </c>
      <c r="M4115" t="s">
        <v>5055</v>
      </c>
    </row>
    <row r="4116" spans="1:13" x14ac:dyDescent="0.3">
      <c r="A4116" s="1">
        <v>45594</v>
      </c>
      <c r="B4116" s="1" t="str">
        <f>TEXT(Tabla1[[#This Row],[Fecha]],"MMMM")</f>
        <v>octubre</v>
      </c>
      <c r="C4116" t="s">
        <v>4126</v>
      </c>
      <c r="D4116" t="s">
        <v>5021</v>
      </c>
      <c r="E4116" t="s">
        <v>5032</v>
      </c>
      <c r="F4116" t="s">
        <v>5036</v>
      </c>
      <c r="G4116" s="3">
        <v>10764.33</v>
      </c>
      <c r="H4116" s="3">
        <v>0</v>
      </c>
      <c r="I4116" s="3">
        <f>SUM(Tabla1[[#This Row],[Monto_Base]],H4116)</f>
        <v>10764.33</v>
      </c>
      <c r="J4116" t="s">
        <v>5042</v>
      </c>
      <c r="K4116" t="s">
        <v>5048</v>
      </c>
      <c r="L4116" t="s">
        <v>5053</v>
      </c>
      <c r="M4116" t="s">
        <v>5055</v>
      </c>
    </row>
    <row r="4117" spans="1:13" x14ac:dyDescent="0.3">
      <c r="A4117" s="1">
        <v>45645</v>
      </c>
      <c r="B4117" s="1" t="str">
        <f>TEXT(Tabla1[[#This Row],[Fecha]],"MMMM")</f>
        <v>diciembre</v>
      </c>
      <c r="C4117" t="s">
        <v>4127</v>
      </c>
      <c r="D4117" t="s">
        <v>5018</v>
      </c>
      <c r="E4117" t="s">
        <v>5032</v>
      </c>
      <c r="F4117" t="s">
        <v>5040</v>
      </c>
      <c r="G4117" s="3">
        <v>11483.97</v>
      </c>
      <c r="H4117" s="3">
        <v>0</v>
      </c>
      <c r="I4117" s="3">
        <f>SUM(Tabla1[[#This Row],[Monto_Base]],H4117)</f>
        <v>11483.97</v>
      </c>
      <c r="J4117" t="s">
        <v>5042</v>
      </c>
      <c r="K4117" t="s">
        <v>5047</v>
      </c>
      <c r="L4117" t="s">
        <v>5051</v>
      </c>
      <c r="M4117" t="s">
        <v>5054</v>
      </c>
    </row>
    <row r="4118" spans="1:13" x14ac:dyDescent="0.3">
      <c r="A4118" s="1">
        <v>45403</v>
      </c>
      <c r="B4118" s="1" t="str">
        <f>TEXT(Tabla1[[#This Row],[Fecha]],"MMMM")</f>
        <v>abril</v>
      </c>
      <c r="C4118" t="s">
        <v>4128</v>
      </c>
      <c r="D4118" t="s">
        <v>5020</v>
      </c>
      <c r="E4118" t="s">
        <v>5032</v>
      </c>
      <c r="F4118" t="s">
        <v>5039</v>
      </c>
      <c r="G4118" s="3">
        <v>6588.81</v>
      </c>
      <c r="H4118" s="3">
        <v>0</v>
      </c>
      <c r="I4118" s="3">
        <f>SUM(Tabla1[[#This Row],[Monto_Base]],H4118)</f>
        <v>6588.81</v>
      </c>
      <c r="J4118" t="s">
        <v>5042</v>
      </c>
      <c r="K4118" t="s">
        <v>5048</v>
      </c>
      <c r="L4118" t="s">
        <v>5053</v>
      </c>
      <c r="M4118" t="s">
        <v>5055</v>
      </c>
    </row>
    <row r="4119" spans="1:13" x14ac:dyDescent="0.3">
      <c r="A4119" s="1">
        <v>45501</v>
      </c>
      <c r="B4119" s="1" t="str">
        <f>TEXT(Tabla1[[#This Row],[Fecha]],"MMMM")</f>
        <v>julio</v>
      </c>
      <c r="C4119" t="s">
        <v>4129</v>
      </c>
      <c r="D4119" t="s">
        <v>5015</v>
      </c>
      <c r="E4119" t="s">
        <v>5033</v>
      </c>
      <c r="F4119" t="s">
        <v>5034</v>
      </c>
      <c r="G4119" s="3">
        <v>12788.23</v>
      </c>
      <c r="H4119" s="3">
        <v>1662.47</v>
      </c>
      <c r="I4119" s="3">
        <f>SUM(Tabla1[[#This Row],[Monto_Base]],H4119)</f>
        <v>14450.699999999999</v>
      </c>
      <c r="J4119" t="s">
        <v>5042</v>
      </c>
      <c r="K4119" t="s">
        <v>5048</v>
      </c>
      <c r="L4119" t="s">
        <v>5050</v>
      </c>
      <c r="M4119" t="s">
        <v>5054</v>
      </c>
    </row>
    <row r="4120" spans="1:13" x14ac:dyDescent="0.3">
      <c r="A4120" s="1">
        <v>45416</v>
      </c>
      <c r="B4120" s="1" t="str">
        <f>TEXT(Tabla1[[#This Row],[Fecha]],"MMMM")</f>
        <v>mayo</v>
      </c>
      <c r="C4120" t="s">
        <v>4130</v>
      </c>
      <c r="D4120" t="s">
        <v>5026</v>
      </c>
      <c r="E4120" t="s">
        <v>5033</v>
      </c>
      <c r="F4120" t="s">
        <v>5040</v>
      </c>
      <c r="G4120" s="3">
        <v>5852.49</v>
      </c>
      <c r="H4120" s="3">
        <v>760.82</v>
      </c>
      <c r="I4120" s="3">
        <f>SUM(Tabla1[[#This Row],[Monto_Base]],H4120)</f>
        <v>6613.3099999999995</v>
      </c>
      <c r="J4120" t="s">
        <v>5042</v>
      </c>
      <c r="K4120" t="s">
        <v>5048</v>
      </c>
      <c r="L4120" t="s">
        <v>5053</v>
      </c>
      <c r="M4120" t="s">
        <v>5054</v>
      </c>
    </row>
    <row r="4121" spans="1:13" x14ac:dyDescent="0.3">
      <c r="A4121" s="1">
        <v>45577</v>
      </c>
      <c r="B4121" s="1" t="str">
        <f>TEXT(Tabla1[[#This Row],[Fecha]],"MMMM")</f>
        <v>octubre</v>
      </c>
      <c r="C4121" t="s">
        <v>4131</v>
      </c>
      <c r="D4121" t="s">
        <v>5016</v>
      </c>
      <c r="E4121" t="s">
        <v>5032</v>
      </c>
      <c r="F4121" t="s">
        <v>5034</v>
      </c>
      <c r="G4121" s="3">
        <v>6774.44</v>
      </c>
      <c r="H4121" s="3">
        <v>0</v>
      </c>
      <c r="I4121" s="3">
        <f>SUM(Tabla1[[#This Row],[Monto_Base]],H4121)</f>
        <v>6774.44</v>
      </c>
      <c r="J4121" t="s">
        <v>5046</v>
      </c>
      <c r="K4121" t="s">
        <v>5047</v>
      </c>
      <c r="L4121" t="s">
        <v>5051</v>
      </c>
      <c r="M4121" t="s">
        <v>5054</v>
      </c>
    </row>
    <row r="4122" spans="1:13" x14ac:dyDescent="0.3">
      <c r="A4122" s="1">
        <v>45415</v>
      </c>
      <c r="B4122" s="1" t="str">
        <f>TEXT(Tabla1[[#This Row],[Fecha]],"MMMM")</f>
        <v>mayo</v>
      </c>
      <c r="C4122" t="s">
        <v>4132</v>
      </c>
      <c r="D4122" t="s">
        <v>5030</v>
      </c>
      <c r="E4122" t="s">
        <v>5033</v>
      </c>
      <c r="F4122" t="s">
        <v>5041</v>
      </c>
      <c r="G4122" s="3">
        <v>1596.2</v>
      </c>
      <c r="H4122" s="3">
        <v>207.51</v>
      </c>
      <c r="I4122" s="3">
        <f>SUM(Tabla1[[#This Row],[Monto_Base]],H4122)</f>
        <v>1803.71</v>
      </c>
      <c r="J4122" t="s">
        <v>5045</v>
      </c>
      <c r="K4122" t="s">
        <v>5048</v>
      </c>
      <c r="L4122" t="s">
        <v>5052</v>
      </c>
      <c r="M4122" t="s">
        <v>5054</v>
      </c>
    </row>
    <row r="4123" spans="1:13" x14ac:dyDescent="0.3">
      <c r="A4123" s="1">
        <v>45425</v>
      </c>
      <c r="B4123" s="1" t="str">
        <f>TEXT(Tabla1[[#This Row],[Fecha]],"MMMM")</f>
        <v>mayo</v>
      </c>
      <c r="C4123" t="s">
        <v>4133</v>
      </c>
      <c r="D4123" t="s">
        <v>5016</v>
      </c>
      <c r="E4123" t="s">
        <v>5033</v>
      </c>
      <c r="F4123" t="s">
        <v>5035</v>
      </c>
      <c r="G4123" s="3">
        <v>6149.56</v>
      </c>
      <c r="H4123" s="3">
        <v>799.44</v>
      </c>
      <c r="I4123" s="3">
        <f>SUM(Tabla1[[#This Row],[Monto_Base]],H4123)</f>
        <v>6949</v>
      </c>
      <c r="J4123" t="s">
        <v>5042</v>
      </c>
      <c r="K4123" t="s">
        <v>5047</v>
      </c>
      <c r="L4123" t="s">
        <v>5050</v>
      </c>
      <c r="M4123" t="s">
        <v>5054</v>
      </c>
    </row>
    <row r="4124" spans="1:13" x14ac:dyDescent="0.3">
      <c r="A4124" s="1">
        <v>45509</v>
      </c>
      <c r="B4124" s="1" t="str">
        <f>TEXT(Tabla1[[#This Row],[Fecha]],"MMMM")</f>
        <v>agosto</v>
      </c>
      <c r="C4124" t="s">
        <v>4134</v>
      </c>
      <c r="D4124" t="s">
        <v>5025</v>
      </c>
      <c r="E4124" t="s">
        <v>5033</v>
      </c>
      <c r="F4124" t="s">
        <v>5034</v>
      </c>
      <c r="G4124" s="3">
        <v>8059.17</v>
      </c>
      <c r="H4124" s="3">
        <v>1047.69</v>
      </c>
      <c r="I4124" s="3">
        <f>SUM(Tabla1[[#This Row],[Monto_Base]],H4124)</f>
        <v>9106.86</v>
      </c>
      <c r="J4124" t="s">
        <v>5044</v>
      </c>
      <c r="K4124" t="s">
        <v>5049</v>
      </c>
      <c r="L4124" t="s">
        <v>5050</v>
      </c>
      <c r="M4124" t="s">
        <v>5054</v>
      </c>
    </row>
    <row r="4125" spans="1:13" x14ac:dyDescent="0.3">
      <c r="A4125" s="1">
        <v>45471</v>
      </c>
      <c r="B4125" s="1" t="str">
        <f>TEXT(Tabla1[[#This Row],[Fecha]],"MMMM")</f>
        <v>junio</v>
      </c>
      <c r="C4125" t="s">
        <v>4135</v>
      </c>
      <c r="D4125" t="s">
        <v>5025</v>
      </c>
      <c r="E4125" t="s">
        <v>5032</v>
      </c>
      <c r="F4125" t="s">
        <v>5040</v>
      </c>
      <c r="G4125" s="3">
        <v>14935.45</v>
      </c>
      <c r="H4125" s="3">
        <v>0</v>
      </c>
      <c r="I4125" s="3">
        <f>SUM(Tabla1[[#This Row],[Monto_Base]],H4125)</f>
        <v>14935.45</v>
      </c>
      <c r="J4125" t="s">
        <v>5042</v>
      </c>
      <c r="K4125" t="s">
        <v>5048</v>
      </c>
      <c r="L4125" t="s">
        <v>5050</v>
      </c>
      <c r="M4125" t="s">
        <v>5054</v>
      </c>
    </row>
    <row r="4126" spans="1:13" x14ac:dyDescent="0.3">
      <c r="A4126" s="1">
        <v>45619</v>
      </c>
      <c r="B4126" s="1" t="str">
        <f>TEXT(Tabla1[[#This Row],[Fecha]],"MMMM")</f>
        <v>noviembre</v>
      </c>
      <c r="C4126" t="s">
        <v>4136</v>
      </c>
      <c r="D4126" t="s">
        <v>5029</v>
      </c>
      <c r="E4126" t="s">
        <v>5033</v>
      </c>
      <c r="F4126" t="s">
        <v>5035</v>
      </c>
      <c r="G4126" s="3">
        <v>4810.8500000000004</v>
      </c>
      <c r="H4126" s="3">
        <v>625.41</v>
      </c>
      <c r="I4126" s="3">
        <f>SUM(Tabla1[[#This Row],[Monto_Base]],H4126)</f>
        <v>5436.26</v>
      </c>
      <c r="J4126" t="s">
        <v>5043</v>
      </c>
      <c r="K4126" t="s">
        <v>5048</v>
      </c>
      <c r="L4126" t="s">
        <v>5052</v>
      </c>
      <c r="M4126" t="s">
        <v>5055</v>
      </c>
    </row>
    <row r="4127" spans="1:13" x14ac:dyDescent="0.3">
      <c r="A4127" s="1">
        <v>45564</v>
      </c>
      <c r="B4127" s="1" t="str">
        <f>TEXT(Tabla1[[#This Row],[Fecha]],"MMMM")</f>
        <v>septiembre</v>
      </c>
      <c r="C4127" t="s">
        <v>4137</v>
      </c>
      <c r="D4127" t="s">
        <v>5021</v>
      </c>
      <c r="E4127" t="s">
        <v>5033</v>
      </c>
      <c r="F4127" t="s">
        <v>5039</v>
      </c>
      <c r="G4127" s="3">
        <v>4956.7299999999996</v>
      </c>
      <c r="H4127" s="3">
        <v>644.37</v>
      </c>
      <c r="I4127" s="3">
        <f>SUM(Tabla1[[#This Row],[Monto_Base]],H4127)</f>
        <v>5601.0999999999995</v>
      </c>
      <c r="J4127" t="s">
        <v>5042</v>
      </c>
      <c r="K4127" t="s">
        <v>5049</v>
      </c>
      <c r="L4127" t="s">
        <v>5053</v>
      </c>
      <c r="M4127" t="s">
        <v>5054</v>
      </c>
    </row>
    <row r="4128" spans="1:13" x14ac:dyDescent="0.3">
      <c r="A4128" s="1">
        <v>45540</v>
      </c>
      <c r="B4128" s="1" t="str">
        <f>TEXT(Tabla1[[#This Row],[Fecha]],"MMMM")</f>
        <v>septiembre</v>
      </c>
      <c r="C4128" t="s">
        <v>4138</v>
      </c>
      <c r="D4128" t="s">
        <v>5020</v>
      </c>
      <c r="E4128" t="s">
        <v>5032</v>
      </c>
      <c r="F4128" t="s">
        <v>5039</v>
      </c>
      <c r="G4128" s="3">
        <v>3207.89</v>
      </c>
      <c r="H4128" s="3">
        <v>0</v>
      </c>
      <c r="I4128" s="3">
        <f>SUM(Tabla1[[#This Row],[Monto_Base]],H4128)</f>
        <v>3207.89</v>
      </c>
      <c r="J4128" t="s">
        <v>5042</v>
      </c>
      <c r="K4128" t="s">
        <v>5048</v>
      </c>
      <c r="L4128" t="s">
        <v>5051</v>
      </c>
      <c r="M4128" t="s">
        <v>5055</v>
      </c>
    </row>
    <row r="4129" spans="1:13" x14ac:dyDescent="0.3">
      <c r="A4129" s="1">
        <v>45350</v>
      </c>
      <c r="B4129" s="1" t="str">
        <f>TEXT(Tabla1[[#This Row],[Fecha]],"MMMM")</f>
        <v>febrero</v>
      </c>
      <c r="C4129" t="s">
        <v>4139</v>
      </c>
      <c r="D4129" t="s">
        <v>5012</v>
      </c>
      <c r="E4129" t="s">
        <v>5033</v>
      </c>
      <c r="F4129" t="s">
        <v>5039</v>
      </c>
      <c r="G4129" s="3">
        <v>4357.54</v>
      </c>
      <c r="H4129" s="3">
        <v>566.48</v>
      </c>
      <c r="I4129" s="3">
        <f>SUM(Tabla1[[#This Row],[Monto_Base]],H4129)</f>
        <v>4924.0200000000004</v>
      </c>
      <c r="J4129" t="s">
        <v>5045</v>
      </c>
      <c r="K4129" t="s">
        <v>5048</v>
      </c>
      <c r="L4129" t="s">
        <v>5053</v>
      </c>
      <c r="M4129" t="s">
        <v>5055</v>
      </c>
    </row>
    <row r="4130" spans="1:13" x14ac:dyDescent="0.3">
      <c r="A4130" s="1">
        <v>45486</v>
      </c>
      <c r="B4130" s="1" t="str">
        <f>TEXT(Tabla1[[#This Row],[Fecha]],"MMMM")</f>
        <v>julio</v>
      </c>
      <c r="C4130" t="s">
        <v>4140</v>
      </c>
      <c r="D4130" t="s">
        <v>5018</v>
      </c>
      <c r="E4130" t="s">
        <v>5032</v>
      </c>
      <c r="F4130" t="s">
        <v>5034</v>
      </c>
      <c r="G4130" s="3">
        <v>1798.29</v>
      </c>
      <c r="H4130" s="3">
        <v>0</v>
      </c>
      <c r="I4130" s="3">
        <f>SUM(Tabla1[[#This Row],[Monto_Base]],H4130)</f>
        <v>1798.29</v>
      </c>
      <c r="J4130" t="s">
        <v>5045</v>
      </c>
      <c r="K4130" t="s">
        <v>5049</v>
      </c>
      <c r="L4130" t="s">
        <v>5053</v>
      </c>
      <c r="M4130" t="s">
        <v>5055</v>
      </c>
    </row>
    <row r="4131" spans="1:13" x14ac:dyDescent="0.3">
      <c r="A4131" s="1">
        <v>45515</v>
      </c>
      <c r="B4131" s="1" t="str">
        <f>TEXT(Tabla1[[#This Row],[Fecha]],"MMMM")</f>
        <v>agosto</v>
      </c>
      <c r="C4131" t="s">
        <v>4141</v>
      </c>
      <c r="D4131" t="s">
        <v>5013</v>
      </c>
      <c r="E4131" t="s">
        <v>5032</v>
      </c>
      <c r="F4131" t="s">
        <v>5040</v>
      </c>
      <c r="G4131" s="3">
        <v>9463.81</v>
      </c>
      <c r="H4131" s="3">
        <v>0</v>
      </c>
      <c r="I4131" s="3">
        <f>SUM(Tabla1[[#This Row],[Monto_Base]],H4131)</f>
        <v>9463.81</v>
      </c>
      <c r="J4131" t="s">
        <v>5045</v>
      </c>
      <c r="K4131" t="s">
        <v>5047</v>
      </c>
      <c r="L4131" t="s">
        <v>5051</v>
      </c>
      <c r="M4131" t="s">
        <v>5054</v>
      </c>
    </row>
    <row r="4132" spans="1:13" x14ac:dyDescent="0.3">
      <c r="A4132" s="1">
        <v>45451</v>
      </c>
      <c r="B4132" s="1" t="str">
        <f>TEXT(Tabla1[[#This Row],[Fecha]],"MMMM")</f>
        <v>junio</v>
      </c>
      <c r="C4132" t="s">
        <v>4142</v>
      </c>
      <c r="D4132" t="s">
        <v>5025</v>
      </c>
      <c r="E4132" t="s">
        <v>5032</v>
      </c>
      <c r="F4132" t="s">
        <v>5035</v>
      </c>
      <c r="G4132" s="3">
        <v>679.28</v>
      </c>
      <c r="H4132" s="3">
        <v>0</v>
      </c>
      <c r="I4132" s="3">
        <f>SUM(Tabla1[[#This Row],[Monto_Base]],H4132)</f>
        <v>679.28</v>
      </c>
      <c r="J4132" t="s">
        <v>5044</v>
      </c>
      <c r="K4132" t="s">
        <v>5049</v>
      </c>
      <c r="L4132" t="s">
        <v>5051</v>
      </c>
      <c r="M4132" t="s">
        <v>5054</v>
      </c>
    </row>
    <row r="4133" spans="1:13" x14ac:dyDescent="0.3">
      <c r="A4133" s="1">
        <v>45584</v>
      </c>
      <c r="B4133" s="1" t="str">
        <f>TEXT(Tabla1[[#This Row],[Fecha]],"MMMM")</f>
        <v>octubre</v>
      </c>
      <c r="C4133" t="s">
        <v>4143</v>
      </c>
      <c r="D4133" t="s">
        <v>5026</v>
      </c>
      <c r="E4133" t="s">
        <v>5032</v>
      </c>
      <c r="F4133" t="s">
        <v>5035</v>
      </c>
      <c r="G4133" s="3">
        <v>6121.76</v>
      </c>
      <c r="H4133" s="3">
        <v>0</v>
      </c>
      <c r="I4133" s="3">
        <f>SUM(Tabla1[[#This Row],[Monto_Base]],H4133)</f>
        <v>6121.76</v>
      </c>
      <c r="J4133" t="s">
        <v>5042</v>
      </c>
      <c r="K4133" t="s">
        <v>5049</v>
      </c>
      <c r="L4133" t="s">
        <v>5053</v>
      </c>
      <c r="M4133" t="s">
        <v>5055</v>
      </c>
    </row>
    <row r="4134" spans="1:13" x14ac:dyDescent="0.3">
      <c r="A4134" s="1">
        <v>45624</v>
      </c>
      <c r="B4134" s="1" t="str">
        <f>TEXT(Tabla1[[#This Row],[Fecha]],"MMMM")</f>
        <v>noviembre</v>
      </c>
      <c r="C4134" t="s">
        <v>4144</v>
      </c>
      <c r="D4134" t="s">
        <v>5014</v>
      </c>
      <c r="E4134" t="s">
        <v>5032</v>
      </c>
      <c r="F4134" t="s">
        <v>5034</v>
      </c>
      <c r="G4134" s="3">
        <v>5013.8999999999996</v>
      </c>
      <c r="H4134" s="3">
        <v>0</v>
      </c>
      <c r="I4134" s="3">
        <f>SUM(Tabla1[[#This Row],[Monto_Base]],H4134)</f>
        <v>5013.8999999999996</v>
      </c>
      <c r="J4134" t="s">
        <v>5044</v>
      </c>
      <c r="K4134" t="s">
        <v>5049</v>
      </c>
      <c r="L4134" t="s">
        <v>5053</v>
      </c>
      <c r="M4134" t="s">
        <v>5054</v>
      </c>
    </row>
    <row r="4135" spans="1:13" x14ac:dyDescent="0.3">
      <c r="A4135" s="1">
        <v>45363</v>
      </c>
      <c r="B4135" s="1" t="str">
        <f>TEXT(Tabla1[[#This Row],[Fecha]],"MMMM")</f>
        <v>marzo</v>
      </c>
      <c r="C4135" t="s">
        <v>4145</v>
      </c>
      <c r="D4135" t="s">
        <v>5024</v>
      </c>
      <c r="E4135" t="s">
        <v>5033</v>
      </c>
      <c r="F4135" t="s">
        <v>5037</v>
      </c>
      <c r="G4135" s="3">
        <v>4428.58</v>
      </c>
      <c r="H4135" s="3">
        <v>575.72</v>
      </c>
      <c r="I4135" s="3">
        <f>SUM(Tabla1[[#This Row],[Monto_Base]],H4135)</f>
        <v>5004.3</v>
      </c>
      <c r="J4135" t="s">
        <v>5046</v>
      </c>
      <c r="K4135" t="s">
        <v>5048</v>
      </c>
      <c r="L4135" t="s">
        <v>5051</v>
      </c>
      <c r="M4135" t="s">
        <v>5055</v>
      </c>
    </row>
    <row r="4136" spans="1:13" x14ac:dyDescent="0.3">
      <c r="A4136" s="1">
        <v>45325</v>
      </c>
      <c r="B4136" s="1" t="str">
        <f>TEXT(Tabla1[[#This Row],[Fecha]],"MMMM")</f>
        <v>febrero</v>
      </c>
      <c r="C4136" t="s">
        <v>4146</v>
      </c>
      <c r="D4136" t="s">
        <v>5018</v>
      </c>
      <c r="E4136" t="s">
        <v>5033</v>
      </c>
      <c r="F4136" t="s">
        <v>5034</v>
      </c>
      <c r="G4136" s="3">
        <v>3573.9</v>
      </c>
      <c r="H4136" s="3">
        <v>464.61</v>
      </c>
      <c r="I4136" s="3">
        <f>SUM(Tabla1[[#This Row],[Monto_Base]],H4136)</f>
        <v>4038.51</v>
      </c>
      <c r="J4136" t="s">
        <v>5044</v>
      </c>
      <c r="K4136" t="s">
        <v>5049</v>
      </c>
      <c r="L4136" t="s">
        <v>5052</v>
      </c>
      <c r="M4136" t="s">
        <v>5055</v>
      </c>
    </row>
    <row r="4137" spans="1:13" x14ac:dyDescent="0.3">
      <c r="A4137" s="1">
        <v>45635</v>
      </c>
      <c r="B4137" s="1" t="str">
        <f>TEXT(Tabla1[[#This Row],[Fecha]],"MMMM")</f>
        <v>diciembre</v>
      </c>
      <c r="C4137" t="s">
        <v>4147</v>
      </c>
      <c r="D4137" t="s">
        <v>5014</v>
      </c>
      <c r="E4137" t="s">
        <v>5032</v>
      </c>
      <c r="F4137" t="s">
        <v>5037</v>
      </c>
      <c r="G4137" s="3">
        <v>10550.1</v>
      </c>
      <c r="H4137" s="3">
        <v>0</v>
      </c>
      <c r="I4137" s="3">
        <f>SUM(Tabla1[[#This Row],[Monto_Base]],H4137)</f>
        <v>10550.1</v>
      </c>
      <c r="J4137" t="s">
        <v>5042</v>
      </c>
      <c r="K4137" t="s">
        <v>5047</v>
      </c>
      <c r="L4137" t="s">
        <v>5053</v>
      </c>
      <c r="M4137" t="s">
        <v>5054</v>
      </c>
    </row>
    <row r="4138" spans="1:13" x14ac:dyDescent="0.3">
      <c r="A4138" s="1">
        <v>45573</v>
      </c>
      <c r="B4138" s="1" t="str">
        <f>TEXT(Tabla1[[#This Row],[Fecha]],"MMMM")</f>
        <v>octubre</v>
      </c>
      <c r="C4138" t="s">
        <v>4148</v>
      </c>
      <c r="D4138" t="s">
        <v>5020</v>
      </c>
      <c r="E4138" t="s">
        <v>5033</v>
      </c>
      <c r="F4138" t="s">
        <v>5035</v>
      </c>
      <c r="G4138" s="3">
        <v>4134.72</v>
      </c>
      <c r="H4138" s="3">
        <v>537.51</v>
      </c>
      <c r="I4138" s="3">
        <f>SUM(Tabla1[[#This Row],[Monto_Base]],H4138)</f>
        <v>4672.2300000000005</v>
      </c>
      <c r="J4138" t="s">
        <v>5042</v>
      </c>
      <c r="K4138" t="s">
        <v>5049</v>
      </c>
      <c r="L4138" t="s">
        <v>5050</v>
      </c>
      <c r="M4138" t="s">
        <v>5055</v>
      </c>
    </row>
    <row r="4139" spans="1:13" x14ac:dyDescent="0.3">
      <c r="A4139" s="1">
        <v>45586</v>
      </c>
      <c r="B4139" s="1" t="str">
        <f>TEXT(Tabla1[[#This Row],[Fecha]],"MMMM")</f>
        <v>octubre</v>
      </c>
      <c r="C4139" t="s">
        <v>4149</v>
      </c>
      <c r="D4139" t="s">
        <v>5015</v>
      </c>
      <c r="E4139" t="s">
        <v>5033</v>
      </c>
      <c r="F4139" t="s">
        <v>5038</v>
      </c>
      <c r="G4139" s="3">
        <v>203.17</v>
      </c>
      <c r="H4139" s="3">
        <v>26.41</v>
      </c>
      <c r="I4139" s="3">
        <f>SUM(Tabla1[[#This Row],[Monto_Base]],H4139)</f>
        <v>229.57999999999998</v>
      </c>
      <c r="J4139" t="s">
        <v>5043</v>
      </c>
      <c r="K4139" t="s">
        <v>5047</v>
      </c>
      <c r="L4139" t="s">
        <v>5050</v>
      </c>
      <c r="M4139" t="s">
        <v>5054</v>
      </c>
    </row>
    <row r="4140" spans="1:13" x14ac:dyDescent="0.3">
      <c r="A4140" s="1">
        <v>45594</v>
      </c>
      <c r="B4140" s="1" t="str">
        <f>TEXT(Tabla1[[#This Row],[Fecha]],"MMMM")</f>
        <v>octubre</v>
      </c>
      <c r="C4140" t="s">
        <v>4150</v>
      </c>
      <c r="D4140" t="s">
        <v>5024</v>
      </c>
      <c r="E4140" t="s">
        <v>5033</v>
      </c>
      <c r="F4140" t="s">
        <v>5041</v>
      </c>
      <c r="G4140" s="3">
        <v>12378.29</v>
      </c>
      <c r="H4140" s="3">
        <v>1609.18</v>
      </c>
      <c r="I4140" s="3">
        <f>SUM(Tabla1[[#This Row],[Monto_Base]],H4140)</f>
        <v>13987.470000000001</v>
      </c>
      <c r="J4140" t="s">
        <v>5042</v>
      </c>
      <c r="K4140" t="s">
        <v>5047</v>
      </c>
      <c r="L4140" t="s">
        <v>5050</v>
      </c>
      <c r="M4140" t="s">
        <v>5055</v>
      </c>
    </row>
    <row r="4141" spans="1:13" x14ac:dyDescent="0.3">
      <c r="A4141" s="1">
        <v>45571</v>
      </c>
      <c r="B4141" s="1" t="str">
        <f>TEXT(Tabla1[[#This Row],[Fecha]],"MMMM")</f>
        <v>octubre</v>
      </c>
      <c r="C4141" t="s">
        <v>4151</v>
      </c>
      <c r="D4141" t="s">
        <v>5017</v>
      </c>
      <c r="E4141" t="s">
        <v>5033</v>
      </c>
      <c r="F4141" t="s">
        <v>5034</v>
      </c>
      <c r="G4141" s="3">
        <v>12876.06</v>
      </c>
      <c r="H4141" s="3">
        <v>1673.89</v>
      </c>
      <c r="I4141" s="3">
        <f>SUM(Tabla1[[#This Row],[Monto_Base]],H4141)</f>
        <v>14549.949999999999</v>
      </c>
      <c r="J4141" t="s">
        <v>5044</v>
      </c>
      <c r="K4141" t="s">
        <v>5048</v>
      </c>
      <c r="L4141" t="s">
        <v>5053</v>
      </c>
      <c r="M4141" t="s">
        <v>5054</v>
      </c>
    </row>
    <row r="4142" spans="1:13" x14ac:dyDescent="0.3">
      <c r="A4142" s="1">
        <v>45458</v>
      </c>
      <c r="B4142" s="1" t="str">
        <f>TEXT(Tabla1[[#This Row],[Fecha]],"MMMM")</f>
        <v>junio</v>
      </c>
      <c r="C4142" t="s">
        <v>4152</v>
      </c>
      <c r="D4142" t="s">
        <v>5015</v>
      </c>
      <c r="E4142" t="s">
        <v>5033</v>
      </c>
      <c r="F4142" t="s">
        <v>5036</v>
      </c>
      <c r="G4142" s="3">
        <v>5746.28</v>
      </c>
      <c r="H4142" s="3">
        <v>747.02</v>
      </c>
      <c r="I4142" s="3">
        <f>SUM(Tabla1[[#This Row],[Monto_Base]],H4142)</f>
        <v>6493.2999999999993</v>
      </c>
      <c r="J4142" t="s">
        <v>5044</v>
      </c>
      <c r="K4142" t="s">
        <v>5048</v>
      </c>
      <c r="L4142" t="s">
        <v>5050</v>
      </c>
      <c r="M4142" t="s">
        <v>5054</v>
      </c>
    </row>
    <row r="4143" spans="1:13" x14ac:dyDescent="0.3">
      <c r="A4143" s="1">
        <v>45470</v>
      </c>
      <c r="B4143" s="1" t="str">
        <f>TEXT(Tabla1[[#This Row],[Fecha]],"MMMM")</f>
        <v>junio</v>
      </c>
      <c r="C4143" t="s">
        <v>4153</v>
      </c>
      <c r="D4143" t="s">
        <v>5025</v>
      </c>
      <c r="E4143" t="s">
        <v>5033</v>
      </c>
      <c r="F4143" t="s">
        <v>5036</v>
      </c>
      <c r="G4143" s="3">
        <v>2364.0700000000002</v>
      </c>
      <c r="H4143" s="3">
        <v>307.33</v>
      </c>
      <c r="I4143" s="3">
        <f>SUM(Tabla1[[#This Row],[Monto_Base]],H4143)</f>
        <v>2671.4</v>
      </c>
      <c r="J4143" t="s">
        <v>5046</v>
      </c>
      <c r="K4143" t="s">
        <v>5048</v>
      </c>
      <c r="L4143" t="s">
        <v>5053</v>
      </c>
      <c r="M4143" t="s">
        <v>5054</v>
      </c>
    </row>
    <row r="4144" spans="1:13" x14ac:dyDescent="0.3">
      <c r="A4144" s="1">
        <v>45374</v>
      </c>
      <c r="B4144" s="1" t="str">
        <f>TEXT(Tabla1[[#This Row],[Fecha]],"MMMM")</f>
        <v>marzo</v>
      </c>
      <c r="C4144" t="s">
        <v>4154</v>
      </c>
      <c r="D4144" t="s">
        <v>5019</v>
      </c>
      <c r="E4144" t="s">
        <v>5032</v>
      </c>
      <c r="F4144" t="s">
        <v>5037</v>
      </c>
      <c r="G4144" s="3">
        <v>2624.62</v>
      </c>
      <c r="H4144" s="3">
        <v>0</v>
      </c>
      <c r="I4144" s="3">
        <f>SUM(Tabla1[[#This Row],[Monto_Base]],H4144)</f>
        <v>2624.62</v>
      </c>
      <c r="J4144" t="s">
        <v>5042</v>
      </c>
      <c r="K4144" t="s">
        <v>5048</v>
      </c>
      <c r="L4144" t="s">
        <v>5050</v>
      </c>
      <c r="M4144" t="s">
        <v>5055</v>
      </c>
    </row>
    <row r="4145" spans="1:13" x14ac:dyDescent="0.3">
      <c r="A4145" s="1">
        <v>45615</v>
      </c>
      <c r="B4145" s="1" t="str">
        <f>TEXT(Tabla1[[#This Row],[Fecha]],"MMMM")</f>
        <v>noviembre</v>
      </c>
      <c r="C4145" t="s">
        <v>4155</v>
      </c>
      <c r="D4145" t="s">
        <v>5029</v>
      </c>
      <c r="E4145" t="s">
        <v>5032</v>
      </c>
      <c r="F4145" t="s">
        <v>5035</v>
      </c>
      <c r="G4145" s="3">
        <v>8352.83</v>
      </c>
      <c r="H4145" s="3">
        <v>0</v>
      </c>
      <c r="I4145" s="3">
        <f>SUM(Tabla1[[#This Row],[Monto_Base]],H4145)</f>
        <v>8352.83</v>
      </c>
      <c r="J4145" t="s">
        <v>5042</v>
      </c>
      <c r="K4145" t="s">
        <v>5049</v>
      </c>
      <c r="L4145" t="s">
        <v>5050</v>
      </c>
      <c r="M4145" t="s">
        <v>5054</v>
      </c>
    </row>
    <row r="4146" spans="1:13" x14ac:dyDescent="0.3">
      <c r="A4146" s="1">
        <v>45545</v>
      </c>
      <c r="B4146" s="1" t="str">
        <f>TEXT(Tabla1[[#This Row],[Fecha]],"MMMM")</f>
        <v>septiembre</v>
      </c>
      <c r="C4146" t="s">
        <v>4156</v>
      </c>
      <c r="D4146" t="s">
        <v>5024</v>
      </c>
      <c r="E4146" t="s">
        <v>5033</v>
      </c>
      <c r="F4146" t="s">
        <v>5036</v>
      </c>
      <c r="G4146" s="3">
        <v>11388.75</v>
      </c>
      <c r="H4146" s="3">
        <v>1480.54</v>
      </c>
      <c r="I4146" s="3">
        <f>SUM(Tabla1[[#This Row],[Monto_Base]],H4146)</f>
        <v>12869.29</v>
      </c>
      <c r="J4146" t="s">
        <v>5045</v>
      </c>
      <c r="K4146" t="s">
        <v>5048</v>
      </c>
      <c r="L4146" t="s">
        <v>5053</v>
      </c>
      <c r="M4146" t="s">
        <v>5055</v>
      </c>
    </row>
    <row r="4147" spans="1:13" x14ac:dyDescent="0.3">
      <c r="A4147" s="1">
        <v>45421</v>
      </c>
      <c r="B4147" s="1" t="str">
        <f>TEXT(Tabla1[[#This Row],[Fecha]],"MMMM")</f>
        <v>mayo</v>
      </c>
      <c r="C4147" t="s">
        <v>4157</v>
      </c>
      <c r="D4147" t="s">
        <v>5027</v>
      </c>
      <c r="E4147" t="s">
        <v>5033</v>
      </c>
      <c r="F4147" t="s">
        <v>5038</v>
      </c>
      <c r="G4147" s="3">
        <v>12522.44</v>
      </c>
      <c r="H4147" s="3">
        <v>1627.92</v>
      </c>
      <c r="I4147" s="3">
        <f>SUM(Tabla1[[#This Row],[Monto_Base]],H4147)</f>
        <v>14150.36</v>
      </c>
      <c r="J4147" t="s">
        <v>5043</v>
      </c>
      <c r="K4147" t="s">
        <v>5047</v>
      </c>
      <c r="L4147" t="s">
        <v>5050</v>
      </c>
      <c r="M4147" t="s">
        <v>5055</v>
      </c>
    </row>
    <row r="4148" spans="1:13" x14ac:dyDescent="0.3">
      <c r="A4148" s="1">
        <v>45512</v>
      </c>
      <c r="B4148" s="1" t="str">
        <f>TEXT(Tabla1[[#This Row],[Fecha]],"MMMM")</f>
        <v>agosto</v>
      </c>
      <c r="C4148" t="s">
        <v>4158</v>
      </c>
      <c r="D4148" t="s">
        <v>5021</v>
      </c>
      <c r="E4148" t="s">
        <v>5032</v>
      </c>
      <c r="F4148" t="s">
        <v>5036</v>
      </c>
      <c r="G4148" s="3">
        <v>5581.19</v>
      </c>
      <c r="H4148" s="3">
        <v>0</v>
      </c>
      <c r="I4148" s="3">
        <f>SUM(Tabla1[[#This Row],[Monto_Base]],H4148)</f>
        <v>5581.19</v>
      </c>
      <c r="J4148" t="s">
        <v>5044</v>
      </c>
      <c r="K4148" t="s">
        <v>5048</v>
      </c>
      <c r="L4148" t="s">
        <v>5051</v>
      </c>
      <c r="M4148" t="s">
        <v>5054</v>
      </c>
    </row>
    <row r="4149" spans="1:13" x14ac:dyDescent="0.3">
      <c r="A4149" s="1">
        <v>45629</v>
      </c>
      <c r="B4149" s="1" t="str">
        <f>TEXT(Tabla1[[#This Row],[Fecha]],"MMMM")</f>
        <v>diciembre</v>
      </c>
      <c r="C4149" t="s">
        <v>4159</v>
      </c>
      <c r="D4149" t="s">
        <v>5014</v>
      </c>
      <c r="E4149" t="s">
        <v>5032</v>
      </c>
      <c r="F4149" t="s">
        <v>5040</v>
      </c>
      <c r="G4149" s="3">
        <v>3891.42</v>
      </c>
      <c r="H4149" s="3">
        <v>0</v>
      </c>
      <c r="I4149" s="3">
        <f>SUM(Tabla1[[#This Row],[Monto_Base]],H4149)</f>
        <v>3891.42</v>
      </c>
      <c r="J4149" t="s">
        <v>5042</v>
      </c>
      <c r="K4149" t="s">
        <v>5047</v>
      </c>
      <c r="L4149" t="s">
        <v>5052</v>
      </c>
      <c r="M4149" t="s">
        <v>5055</v>
      </c>
    </row>
    <row r="4150" spans="1:13" x14ac:dyDescent="0.3">
      <c r="A4150" s="1">
        <v>45600</v>
      </c>
      <c r="B4150" s="1" t="str">
        <f>TEXT(Tabla1[[#This Row],[Fecha]],"MMMM")</f>
        <v>noviembre</v>
      </c>
      <c r="C4150" t="s">
        <v>4160</v>
      </c>
      <c r="D4150" t="s">
        <v>5021</v>
      </c>
      <c r="E4150" t="s">
        <v>5032</v>
      </c>
      <c r="F4150" t="s">
        <v>5037</v>
      </c>
      <c r="G4150" s="3">
        <v>2068.8000000000002</v>
      </c>
      <c r="H4150" s="3">
        <v>0</v>
      </c>
      <c r="I4150" s="3">
        <f>SUM(Tabla1[[#This Row],[Monto_Base]],H4150)</f>
        <v>2068.8000000000002</v>
      </c>
      <c r="J4150" t="s">
        <v>5046</v>
      </c>
      <c r="K4150" t="s">
        <v>5049</v>
      </c>
      <c r="L4150" t="s">
        <v>5052</v>
      </c>
      <c r="M4150" t="s">
        <v>5055</v>
      </c>
    </row>
    <row r="4151" spans="1:13" x14ac:dyDescent="0.3">
      <c r="A4151" s="1">
        <v>45451</v>
      </c>
      <c r="B4151" s="1" t="str">
        <f>TEXT(Tabla1[[#This Row],[Fecha]],"MMMM")</f>
        <v>junio</v>
      </c>
      <c r="C4151" t="s">
        <v>4161</v>
      </c>
      <c r="D4151" t="s">
        <v>5031</v>
      </c>
      <c r="E4151" t="s">
        <v>5032</v>
      </c>
      <c r="F4151" t="s">
        <v>5040</v>
      </c>
      <c r="G4151" s="3">
        <v>11052.34</v>
      </c>
      <c r="H4151" s="3">
        <v>0</v>
      </c>
      <c r="I4151" s="3">
        <f>SUM(Tabla1[[#This Row],[Monto_Base]],H4151)</f>
        <v>11052.34</v>
      </c>
      <c r="J4151" t="s">
        <v>5046</v>
      </c>
      <c r="K4151" t="s">
        <v>5048</v>
      </c>
      <c r="L4151" t="s">
        <v>5050</v>
      </c>
      <c r="M4151" t="s">
        <v>5054</v>
      </c>
    </row>
    <row r="4152" spans="1:13" x14ac:dyDescent="0.3">
      <c r="A4152" s="1">
        <v>45430</v>
      </c>
      <c r="B4152" s="1" t="str">
        <f>TEXT(Tabla1[[#This Row],[Fecha]],"MMMM")</f>
        <v>mayo</v>
      </c>
      <c r="C4152" t="s">
        <v>4162</v>
      </c>
      <c r="D4152" t="s">
        <v>5029</v>
      </c>
      <c r="E4152" t="s">
        <v>5033</v>
      </c>
      <c r="F4152" t="s">
        <v>5038</v>
      </c>
      <c r="G4152" s="3">
        <v>6576.55</v>
      </c>
      <c r="H4152" s="3">
        <v>854.95</v>
      </c>
      <c r="I4152" s="3">
        <f>SUM(Tabla1[[#This Row],[Monto_Base]],H4152)</f>
        <v>7431.5</v>
      </c>
      <c r="J4152" t="s">
        <v>5045</v>
      </c>
      <c r="K4152" t="s">
        <v>5047</v>
      </c>
      <c r="L4152" t="s">
        <v>5050</v>
      </c>
      <c r="M4152" t="s">
        <v>5054</v>
      </c>
    </row>
    <row r="4153" spans="1:13" x14ac:dyDescent="0.3">
      <c r="A4153" s="1">
        <v>45472</v>
      </c>
      <c r="B4153" s="1" t="str">
        <f>TEXT(Tabla1[[#This Row],[Fecha]],"MMMM")</f>
        <v>junio</v>
      </c>
      <c r="C4153" t="s">
        <v>4163</v>
      </c>
      <c r="D4153" t="s">
        <v>5015</v>
      </c>
      <c r="E4153" t="s">
        <v>5033</v>
      </c>
      <c r="F4153" t="s">
        <v>5038</v>
      </c>
      <c r="G4153" s="3">
        <v>2366.09</v>
      </c>
      <c r="H4153" s="3">
        <v>307.58999999999997</v>
      </c>
      <c r="I4153" s="3">
        <f>SUM(Tabla1[[#This Row],[Monto_Base]],H4153)</f>
        <v>2673.6800000000003</v>
      </c>
      <c r="J4153" t="s">
        <v>5044</v>
      </c>
      <c r="K4153" t="s">
        <v>5048</v>
      </c>
      <c r="L4153" t="s">
        <v>5053</v>
      </c>
      <c r="M4153" t="s">
        <v>5054</v>
      </c>
    </row>
    <row r="4154" spans="1:13" x14ac:dyDescent="0.3">
      <c r="A4154" s="1">
        <v>45422</v>
      </c>
      <c r="B4154" s="1" t="str">
        <f>TEXT(Tabla1[[#This Row],[Fecha]],"MMMM")</f>
        <v>mayo</v>
      </c>
      <c r="C4154" t="s">
        <v>4164</v>
      </c>
      <c r="D4154" t="s">
        <v>5027</v>
      </c>
      <c r="E4154" t="s">
        <v>5033</v>
      </c>
      <c r="F4154" t="s">
        <v>5036</v>
      </c>
      <c r="G4154" s="3">
        <v>3156.94</v>
      </c>
      <c r="H4154" s="3">
        <v>410.4</v>
      </c>
      <c r="I4154" s="3">
        <f>SUM(Tabla1[[#This Row],[Monto_Base]],H4154)</f>
        <v>3567.34</v>
      </c>
      <c r="J4154" t="s">
        <v>5045</v>
      </c>
      <c r="K4154" t="s">
        <v>5049</v>
      </c>
      <c r="L4154" t="s">
        <v>5051</v>
      </c>
      <c r="M4154" t="s">
        <v>5055</v>
      </c>
    </row>
    <row r="4155" spans="1:13" x14ac:dyDescent="0.3">
      <c r="A4155" s="1">
        <v>45613</v>
      </c>
      <c r="B4155" s="1" t="str">
        <f>TEXT(Tabla1[[#This Row],[Fecha]],"MMMM")</f>
        <v>noviembre</v>
      </c>
      <c r="C4155" t="s">
        <v>4165</v>
      </c>
      <c r="D4155" t="s">
        <v>5012</v>
      </c>
      <c r="E4155" t="s">
        <v>5032</v>
      </c>
      <c r="F4155" t="s">
        <v>5038</v>
      </c>
      <c r="G4155" s="3">
        <v>13949.51</v>
      </c>
      <c r="H4155" s="3">
        <v>0</v>
      </c>
      <c r="I4155" s="3">
        <f>SUM(Tabla1[[#This Row],[Monto_Base]],H4155)</f>
        <v>13949.51</v>
      </c>
      <c r="J4155" t="s">
        <v>5044</v>
      </c>
      <c r="K4155" t="s">
        <v>5047</v>
      </c>
      <c r="L4155" t="s">
        <v>5050</v>
      </c>
      <c r="M4155" t="s">
        <v>5055</v>
      </c>
    </row>
    <row r="4156" spans="1:13" x14ac:dyDescent="0.3">
      <c r="A4156" s="1">
        <v>45432</v>
      </c>
      <c r="B4156" s="1" t="str">
        <f>TEXT(Tabla1[[#This Row],[Fecha]],"MMMM")</f>
        <v>mayo</v>
      </c>
      <c r="C4156" t="s">
        <v>4166</v>
      </c>
      <c r="D4156" t="s">
        <v>5015</v>
      </c>
      <c r="E4156" t="s">
        <v>5032</v>
      </c>
      <c r="F4156" t="s">
        <v>5035</v>
      </c>
      <c r="G4156" s="3">
        <v>7682.78</v>
      </c>
      <c r="H4156" s="3">
        <v>0</v>
      </c>
      <c r="I4156" s="3">
        <f>SUM(Tabla1[[#This Row],[Monto_Base]],H4156)</f>
        <v>7682.78</v>
      </c>
      <c r="J4156" t="s">
        <v>5042</v>
      </c>
      <c r="K4156" t="s">
        <v>5047</v>
      </c>
      <c r="L4156" t="s">
        <v>5053</v>
      </c>
      <c r="M4156" t="s">
        <v>5055</v>
      </c>
    </row>
    <row r="4157" spans="1:13" x14ac:dyDescent="0.3">
      <c r="A4157" s="1">
        <v>45397</v>
      </c>
      <c r="B4157" s="1" t="str">
        <f>TEXT(Tabla1[[#This Row],[Fecha]],"MMMM")</f>
        <v>abril</v>
      </c>
      <c r="C4157" t="s">
        <v>4167</v>
      </c>
      <c r="D4157" t="s">
        <v>5018</v>
      </c>
      <c r="E4157" t="s">
        <v>5033</v>
      </c>
      <c r="F4157" t="s">
        <v>5039</v>
      </c>
      <c r="G4157" s="3">
        <v>5899.81</v>
      </c>
      <c r="H4157" s="3">
        <v>766.98</v>
      </c>
      <c r="I4157" s="3">
        <f>SUM(Tabla1[[#This Row],[Monto_Base]],H4157)</f>
        <v>6666.7900000000009</v>
      </c>
      <c r="J4157" t="s">
        <v>5044</v>
      </c>
      <c r="K4157" t="s">
        <v>5047</v>
      </c>
      <c r="L4157" t="s">
        <v>5052</v>
      </c>
      <c r="M4157" t="s">
        <v>5054</v>
      </c>
    </row>
    <row r="4158" spans="1:13" x14ac:dyDescent="0.3">
      <c r="A4158" s="1">
        <v>45532</v>
      </c>
      <c r="B4158" s="1" t="str">
        <f>TEXT(Tabla1[[#This Row],[Fecha]],"MMMM")</f>
        <v>agosto</v>
      </c>
      <c r="C4158" t="s">
        <v>4168</v>
      </c>
      <c r="D4158" t="s">
        <v>5016</v>
      </c>
      <c r="E4158" t="s">
        <v>5033</v>
      </c>
      <c r="F4158" t="s">
        <v>5034</v>
      </c>
      <c r="G4158" s="3">
        <v>2314.12</v>
      </c>
      <c r="H4158" s="3">
        <v>300.83999999999997</v>
      </c>
      <c r="I4158" s="3">
        <f>SUM(Tabla1[[#This Row],[Monto_Base]],H4158)</f>
        <v>2614.96</v>
      </c>
      <c r="J4158" t="s">
        <v>5046</v>
      </c>
      <c r="K4158" t="s">
        <v>5048</v>
      </c>
      <c r="L4158" t="s">
        <v>5052</v>
      </c>
      <c r="M4158" t="s">
        <v>5054</v>
      </c>
    </row>
    <row r="4159" spans="1:13" x14ac:dyDescent="0.3">
      <c r="A4159" s="1">
        <v>45511</v>
      </c>
      <c r="B4159" s="1" t="str">
        <f>TEXT(Tabla1[[#This Row],[Fecha]],"MMMM")</f>
        <v>agosto</v>
      </c>
      <c r="C4159" t="s">
        <v>4169</v>
      </c>
      <c r="D4159" t="s">
        <v>5027</v>
      </c>
      <c r="E4159" t="s">
        <v>5033</v>
      </c>
      <c r="F4159" t="s">
        <v>5041</v>
      </c>
      <c r="G4159" s="3">
        <v>6734.99</v>
      </c>
      <c r="H4159" s="3">
        <v>875.55</v>
      </c>
      <c r="I4159" s="3">
        <f>SUM(Tabla1[[#This Row],[Monto_Base]],H4159)</f>
        <v>7610.54</v>
      </c>
      <c r="J4159" t="s">
        <v>5043</v>
      </c>
      <c r="K4159" t="s">
        <v>5048</v>
      </c>
      <c r="L4159" t="s">
        <v>5050</v>
      </c>
      <c r="M4159" t="s">
        <v>5055</v>
      </c>
    </row>
    <row r="4160" spans="1:13" x14ac:dyDescent="0.3">
      <c r="A4160" s="1">
        <v>45520</v>
      </c>
      <c r="B4160" s="1" t="str">
        <f>TEXT(Tabla1[[#This Row],[Fecha]],"MMMM")</f>
        <v>agosto</v>
      </c>
      <c r="C4160" t="s">
        <v>4170</v>
      </c>
      <c r="D4160" t="s">
        <v>5031</v>
      </c>
      <c r="E4160" t="s">
        <v>5032</v>
      </c>
      <c r="F4160" t="s">
        <v>5037</v>
      </c>
      <c r="G4160" s="3">
        <v>8084.55</v>
      </c>
      <c r="H4160" s="3">
        <v>0</v>
      </c>
      <c r="I4160" s="3">
        <f>SUM(Tabla1[[#This Row],[Monto_Base]],H4160)</f>
        <v>8084.55</v>
      </c>
      <c r="J4160" t="s">
        <v>5043</v>
      </c>
      <c r="K4160" t="s">
        <v>5048</v>
      </c>
      <c r="L4160" t="s">
        <v>5052</v>
      </c>
      <c r="M4160" t="s">
        <v>5055</v>
      </c>
    </row>
    <row r="4161" spans="1:13" x14ac:dyDescent="0.3">
      <c r="A4161" s="1">
        <v>45542</v>
      </c>
      <c r="B4161" s="1" t="str">
        <f>TEXT(Tabla1[[#This Row],[Fecha]],"MMMM")</f>
        <v>septiembre</v>
      </c>
      <c r="C4161" t="s">
        <v>4171</v>
      </c>
      <c r="D4161" t="s">
        <v>5014</v>
      </c>
      <c r="E4161" t="s">
        <v>5033</v>
      </c>
      <c r="F4161" t="s">
        <v>5036</v>
      </c>
      <c r="G4161" s="3">
        <v>3058.75</v>
      </c>
      <c r="H4161" s="3">
        <v>397.64</v>
      </c>
      <c r="I4161" s="3">
        <f>SUM(Tabla1[[#This Row],[Monto_Base]],H4161)</f>
        <v>3456.39</v>
      </c>
      <c r="J4161" t="s">
        <v>5044</v>
      </c>
      <c r="K4161" t="s">
        <v>5049</v>
      </c>
      <c r="L4161" t="s">
        <v>5050</v>
      </c>
      <c r="M4161" t="s">
        <v>5054</v>
      </c>
    </row>
    <row r="4162" spans="1:13" x14ac:dyDescent="0.3">
      <c r="A4162" s="1">
        <v>45461</v>
      </c>
      <c r="B4162" s="1" t="str">
        <f>TEXT(Tabla1[[#This Row],[Fecha]],"MMMM")</f>
        <v>junio</v>
      </c>
      <c r="C4162" t="s">
        <v>4172</v>
      </c>
      <c r="D4162" t="s">
        <v>5019</v>
      </c>
      <c r="E4162" t="s">
        <v>5032</v>
      </c>
      <c r="F4162" t="s">
        <v>5035</v>
      </c>
      <c r="G4162" s="3">
        <v>13651.88</v>
      </c>
      <c r="H4162" s="3">
        <v>0</v>
      </c>
      <c r="I4162" s="3">
        <f>SUM(Tabla1[[#This Row],[Monto_Base]],H4162)</f>
        <v>13651.88</v>
      </c>
      <c r="J4162" t="s">
        <v>5046</v>
      </c>
      <c r="K4162" t="s">
        <v>5048</v>
      </c>
      <c r="L4162" t="s">
        <v>5050</v>
      </c>
      <c r="M4162" t="s">
        <v>5055</v>
      </c>
    </row>
    <row r="4163" spans="1:13" x14ac:dyDescent="0.3">
      <c r="A4163" s="1">
        <v>45355</v>
      </c>
      <c r="B4163" s="1" t="str">
        <f>TEXT(Tabla1[[#This Row],[Fecha]],"MMMM")</f>
        <v>marzo</v>
      </c>
      <c r="C4163" t="s">
        <v>4173</v>
      </c>
      <c r="D4163" t="s">
        <v>5026</v>
      </c>
      <c r="E4163" t="s">
        <v>5033</v>
      </c>
      <c r="F4163" t="s">
        <v>5034</v>
      </c>
      <c r="G4163" s="3">
        <v>1180.8499999999999</v>
      </c>
      <c r="H4163" s="3">
        <v>153.51</v>
      </c>
      <c r="I4163" s="3">
        <f>SUM(Tabla1[[#This Row],[Monto_Base]],H4163)</f>
        <v>1334.36</v>
      </c>
      <c r="J4163" t="s">
        <v>5046</v>
      </c>
      <c r="K4163" t="s">
        <v>5047</v>
      </c>
      <c r="L4163" t="s">
        <v>5050</v>
      </c>
      <c r="M4163" t="s">
        <v>5055</v>
      </c>
    </row>
    <row r="4164" spans="1:13" x14ac:dyDescent="0.3">
      <c r="A4164" s="1">
        <v>45398</v>
      </c>
      <c r="B4164" s="1" t="str">
        <f>TEXT(Tabla1[[#This Row],[Fecha]],"MMMM")</f>
        <v>abril</v>
      </c>
      <c r="C4164" t="s">
        <v>4174</v>
      </c>
      <c r="D4164" t="s">
        <v>5015</v>
      </c>
      <c r="E4164" t="s">
        <v>5033</v>
      </c>
      <c r="F4164" t="s">
        <v>5038</v>
      </c>
      <c r="G4164" s="3">
        <v>666.4</v>
      </c>
      <c r="H4164" s="3">
        <v>86.63</v>
      </c>
      <c r="I4164" s="3">
        <f>SUM(Tabla1[[#This Row],[Monto_Base]],H4164)</f>
        <v>753.03</v>
      </c>
      <c r="J4164" t="s">
        <v>5042</v>
      </c>
      <c r="K4164" t="s">
        <v>5049</v>
      </c>
      <c r="L4164" t="s">
        <v>5052</v>
      </c>
      <c r="M4164" t="s">
        <v>5054</v>
      </c>
    </row>
    <row r="4165" spans="1:13" x14ac:dyDescent="0.3">
      <c r="A4165" s="1">
        <v>45345</v>
      </c>
      <c r="B4165" s="1" t="str">
        <f>TEXT(Tabla1[[#This Row],[Fecha]],"MMMM")</f>
        <v>febrero</v>
      </c>
      <c r="C4165" t="s">
        <v>4175</v>
      </c>
      <c r="D4165" t="s">
        <v>5013</v>
      </c>
      <c r="E4165" t="s">
        <v>5032</v>
      </c>
      <c r="F4165" t="s">
        <v>5036</v>
      </c>
      <c r="G4165" s="3">
        <v>7705.76</v>
      </c>
      <c r="H4165" s="3">
        <v>0</v>
      </c>
      <c r="I4165" s="3">
        <f>SUM(Tabla1[[#This Row],[Monto_Base]],H4165)</f>
        <v>7705.76</v>
      </c>
      <c r="J4165" t="s">
        <v>5043</v>
      </c>
      <c r="K4165" t="s">
        <v>5048</v>
      </c>
      <c r="L4165" t="s">
        <v>5051</v>
      </c>
      <c r="M4165" t="s">
        <v>5054</v>
      </c>
    </row>
    <row r="4166" spans="1:13" x14ac:dyDescent="0.3">
      <c r="A4166" s="1">
        <v>45353</v>
      </c>
      <c r="B4166" s="1" t="str">
        <f>TEXT(Tabla1[[#This Row],[Fecha]],"MMMM")</f>
        <v>marzo</v>
      </c>
      <c r="C4166" t="s">
        <v>4176</v>
      </c>
      <c r="D4166" t="s">
        <v>5017</v>
      </c>
      <c r="E4166" t="s">
        <v>5032</v>
      </c>
      <c r="F4166" t="s">
        <v>5039</v>
      </c>
      <c r="G4166" s="3">
        <v>8089.3</v>
      </c>
      <c r="H4166" s="3">
        <v>0</v>
      </c>
      <c r="I4166" s="3">
        <f>SUM(Tabla1[[#This Row],[Monto_Base]],H4166)</f>
        <v>8089.3</v>
      </c>
      <c r="J4166" t="s">
        <v>5042</v>
      </c>
      <c r="K4166" t="s">
        <v>5047</v>
      </c>
      <c r="L4166" t="s">
        <v>5051</v>
      </c>
      <c r="M4166" t="s">
        <v>5054</v>
      </c>
    </row>
    <row r="4167" spans="1:13" x14ac:dyDescent="0.3">
      <c r="A4167" s="1">
        <v>45634</v>
      </c>
      <c r="B4167" s="1" t="str">
        <f>TEXT(Tabla1[[#This Row],[Fecha]],"MMMM")</f>
        <v>diciembre</v>
      </c>
      <c r="C4167" t="s">
        <v>4177</v>
      </c>
      <c r="D4167" t="s">
        <v>5013</v>
      </c>
      <c r="E4167" t="s">
        <v>5032</v>
      </c>
      <c r="F4167" t="s">
        <v>5038</v>
      </c>
      <c r="G4167" s="3">
        <v>11634.66</v>
      </c>
      <c r="H4167" s="3">
        <v>0</v>
      </c>
      <c r="I4167" s="3">
        <f>SUM(Tabla1[[#This Row],[Monto_Base]],H4167)</f>
        <v>11634.66</v>
      </c>
      <c r="J4167" t="s">
        <v>5046</v>
      </c>
      <c r="K4167" t="s">
        <v>5049</v>
      </c>
      <c r="L4167" t="s">
        <v>5050</v>
      </c>
      <c r="M4167" t="s">
        <v>5054</v>
      </c>
    </row>
    <row r="4168" spans="1:13" x14ac:dyDescent="0.3">
      <c r="A4168" s="1">
        <v>45454</v>
      </c>
      <c r="B4168" s="1" t="str">
        <f>TEXT(Tabla1[[#This Row],[Fecha]],"MMMM")</f>
        <v>junio</v>
      </c>
      <c r="C4168" t="s">
        <v>4178</v>
      </c>
      <c r="D4168" t="s">
        <v>5025</v>
      </c>
      <c r="E4168" t="s">
        <v>5033</v>
      </c>
      <c r="F4168" t="s">
        <v>5038</v>
      </c>
      <c r="G4168" s="3">
        <v>12146.34</v>
      </c>
      <c r="H4168" s="3">
        <v>1579.02</v>
      </c>
      <c r="I4168" s="3">
        <f>SUM(Tabla1[[#This Row],[Monto_Base]],H4168)</f>
        <v>13725.36</v>
      </c>
      <c r="J4168" t="s">
        <v>5042</v>
      </c>
      <c r="K4168" t="s">
        <v>5047</v>
      </c>
      <c r="L4168" t="s">
        <v>5053</v>
      </c>
      <c r="M4168" t="s">
        <v>5055</v>
      </c>
    </row>
    <row r="4169" spans="1:13" x14ac:dyDescent="0.3">
      <c r="A4169" s="1">
        <v>45486</v>
      </c>
      <c r="B4169" s="1" t="str">
        <f>TEXT(Tabla1[[#This Row],[Fecha]],"MMMM")</f>
        <v>julio</v>
      </c>
      <c r="C4169" t="s">
        <v>4179</v>
      </c>
      <c r="D4169" t="s">
        <v>5022</v>
      </c>
      <c r="E4169" t="s">
        <v>5032</v>
      </c>
      <c r="F4169" t="s">
        <v>5039</v>
      </c>
      <c r="G4169" s="3">
        <v>3573.42</v>
      </c>
      <c r="H4169" s="3">
        <v>0</v>
      </c>
      <c r="I4169" s="3">
        <f>SUM(Tabla1[[#This Row],[Monto_Base]],H4169)</f>
        <v>3573.42</v>
      </c>
      <c r="J4169" t="s">
        <v>5044</v>
      </c>
      <c r="K4169" t="s">
        <v>5047</v>
      </c>
      <c r="L4169" t="s">
        <v>5051</v>
      </c>
      <c r="M4169" t="s">
        <v>5055</v>
      </c>
    </row>
    <row r="4170" spans="1:13" x14ac:dyDescent="0.3">
      <c r="A4170" s="1">
        <v>45451</v>
      </c>
      <c r="B4170" s="1" t="str">
        <f>TEXT(Tabla1[[#This Row],[Fecha]],"MMMM")</f>
        <v>junio</v>
      </c>
      <c r="C4170" t="s">
        <v>4180</v>
      </c>
      <c r="D4170" t="s">
        <v>5026</v>
      </c>
      <c r="E4170" t="s">
        <v>5032</v>
      </c>
      <c r="F4170" t="s">
        <v>5039</v>
      </c>
      <c r="G4170" s="3">
        <v>12155.6</v>
      </c>
      <c r="H4170" s="3">
        <v>0</v>
      </c>
      <c r="I4170" s="3">
        <f>SUM(Tabla1[[#This Row],[Monto_Base]],H4170)</f>
        <v>12155.6</v>
      </c>
      <c r="J4170" t="s">
        <v>5043</v>
      </c>
      <c r="K4170" t="s">
        <v>5049</v>
      </c>
      <c r="L4170" t="s">
        <v>5052</v>
      </c>
      <c r="M4170" t="s">
        <v>5054</v>
      </c>
    </row>
    <row r="4171" spans="1:13" x14ac:dyDescent="0.3">
      <c r="A4171" s="1">
        <v>45342</v>
      </c>
      <c r="B4171" s="1" t="str">
        <f>TEXT(Tabla1[[#This Row],[Fecha]],"MMMM")</f>
        <v>febrero</v>
      </c>
      <c r="C4171" t="s">
        <v>4181</v>
      </c>
      <c r="D4171" t="s">
        <v>5030</v>
      </c>
      <c r="E4171" t="s">
        <v>5033</v>
      </c>
      <c r="F4171" t="s">
        <v>5037</v>
      </c>
      <c r="G4171" s="3">
        <v>14426.92</v>
      </c>
      <c r="H4171" s="3">
        <v>1875.5</v>
      </c>
      <c r="I4171" s="3">
        <f>SUM(Tabla1[[#This Row],[Monto_Base]],H4171)</f>
        <v>16302.42</v>
      </c>
      <c r="J4171" t="s">
        <v>5046</v>
      </c>
      <c r="K4171" t="s">
        <v>5048</v>
      </c>
      <c r="L4171" t="s">
        <v>5053</v>
      </c>
      <c r="M4171" t="s">
        <v>5055</v>
      </c>
    </row>
    <row r="4172" spans="1:13" x14ac:dyDescent="0.3">
      <c r="A4172" s="1">
        <v>45457</v>
      </c>
      <c r="B4172" s="1" t="str">
        <f>TEXT(Tabla1[[#This Row],[Fecha]],"MMMM")</f>
        <v>junio</v>
      </c>
      <c r="C4172" t="s">
        <v>4182</v>
      </c>
      <c r="D4172" t="s">
        <v>5013</v>
      </c>
      <c r="E4172" t="s">
        <v>5033</v>
      </c>
      <c r="F4172" t="s">
        <v>5038</v>
      </c>
      <c r="G4172" s="3">
        <v>545.83000000000004</v>
      </c>
      <c r="H4172" s="3">
        <v>70.959999999999994</v>
      </c>
      <c r="I4172" s="3">
        <f>SUM(Tabla1[[#This Row],[Monto_Base]],H4172)</f>
        <v>616.79000000000008</v>
      </c>
      <c r="J4172" t="s">
        <v>5043</v>
      </c>
      <c r="K4172" t="s">
        <v>5049</v>
      </c>
      <c r="L4172" t="s">
        <v>5050</v>
      </c>
      <c r="M4172" t="s">
        <v>5054</v>
      </c>
    </row>
    <row r="4173" spans="1:13" x14ac:dyDescent="0.3">
      <c r="A4173" s="1">
        <v>45605</v>
      </c>
      <c r="B4173" s="1" t="str">
        <f>TEXT(Tabla1[[#This Row],[Fecha]],"MMMM")</f>
        <v>noviembre</v>
      </c>
      <c r="C4173" t="s">
        <v>4183</v>
      </c>
      <c r="D4173" t="s">
        <v>5028</v>
      </c>
      <c r="E4173" t="s">
        <v>5033</v>
      </c>
      <c r="F4173" t="s">
        <v>5035</v>
      </c>
      <c r="G4173" s="3">
        <v>8486.75</v>
      </c>
      <c r="H4173" s="3">
        <v>1103.28</v>
      </c>
      <c r="I4173" s="3">
        <f>SUM(Tabla1[[#This Row],[Monto_Base]],H4173)</f>
        <v>9590.0300000000007</v>
      </c>
      <c r="J4173" t="s">
        <v>5043</v>
      </c>
      <c r="K4173" t="s">
        <v>5049</v>
      </c>
      <c r="L4173" t="s">
        <v>5051</v>
      </c>
      <c r="M4173" t="s">
        <v>5054</v>
      </c>
    </row>
    <row r="4174" spans="1:13" x14ac:dyDescent="0.3">
      <c r="A4174" s="1">
        <v>45317</v>
      </c>
      <c r="B4174" s="1" t="str">
        <f>TEXT(Tabla1[[#This Row],[Fecha]],"MMMM")</f>
        <v>enero</v>
      </c>
      <c r="C4174" t="s">
        <v>4184</v>
      </c>
      <c r="D4174" t="s">
        <v>5016</v>
      </c>
      <c r="E4174" t="s">
        <v>5032</v>
      </c>
      <c r="F4174" t="s">
        <v>5037</v>
      </c>
      <c r="G4174" s="3">
        <v>13995.04</v>
      </c>
      <c r="H4174" s="3">
        <v>0</v>
      </c>
      <c r="I4174" s="3">
        <f>SUM(Tabla1[[#This Row],[Monto_Base]],H4174)</f>
        <v>13995.04</v>
      </c>
      <c r="J4174" t="s">
        <v>5042</v>
      </c>
      <c r="K4174" t="s">
        <v>5047</v>
      </c>
      <c r="L4174" t="s">
        <v>5050</v>
      </c>
      <c r="M4174" t="s">
        <v>5054</v>
      </c>
    </row>
    <row r="4175" spans="1:13" x14ac:dyDescent="0.3">
      <c r="A4175" s="1">
        <v>45518</v>
      </c>
      <c r="B4175" s="1" t="str">
        <f>TEXT(Tabla1[[#This Row],[Fecha]],"MMMM")</f>
        <v>agosto</v>
      </c>
      <c r="C4175" t="s">
        <v>4185</v>
      </c>
      <c r="D4175" t="s">
        <v>5016</v>
      </c>
      <c r="E4175" t="s">
        <v>5033</v>
      </c>
      <c r="F4175" t="s">
        <v>5036</v>
      </c>
      <c r="G4175" s="3">
        <v>4399.1099999999997</v>
      </c>
      <c r="H4175" s="3">
        <v>571.88</v>
      </c>
      <c r="I4175" s="3">
        <f>SUM(Tabla1[[#This Row],[Monto_Base]],H4175)</f>
        <v>4970.99</v>
      </c>
      <c r="J4175" t="s">
        <v>5046</v>
      </c>
      <c r="K4175" t="s">
        <v>5048</v>
      </c>
      <c r="L4175" t="s">
        <v>5052</v>
      </c>
      <c r="M4175" t="s">
        <v>5054</v>
      </c>
    </row>
    <row r="4176" spans="1:13" x14ac:dyDescent="0.3">
      <c r="A4176" s="1">
        <v>45391</v>
      </c>
      <c r="B4176" s="1" t="str">
        <f>TEXT(Tabla1[[#This Row],[Fecha]],"MMMM")</f>
        <v>abril</v>
      </c>
      <c r="C4176" t="s">
        <v>4186</v>
      </c>
      <c r="D4176" t="s">
        <v>5030</v>
      </c>
      <c r="E4176" t="s">
        <v>5032</v>
      </c>
      <c r="F4176" t="s">
        <v>5034</v>
      </c>
      <c r="G4176" s="3">
        <v>8699.5300000000007</v>
      </c>
      <c r="H4176" s="3">
        <v>0</v>
      </c>
      <c r="I4176" s="3">
        <f>SUM(Tabla1[[#This Row],[Monto_Base]],H4176)</f>
        <v>8699.5300000000007</v>
      </c>
      <c r="J4176" t="s">
        <v>5042</v>
      </c>
      <c r="K4176" t="s">
        <v>5047</v>
      </c>
      <c r="L4176" t="s">
        <v>5052</v>
      </c>
      <c r="M4176" t="s">
        <v>5054</v>
      </c>
    </row>
    <row r="4177" spans="1:13" x14ac:dyDescent="0.3">
      <c r="A4177" s="1">
        <v>45312</v>
      </c>
      <c r="B4177" s="1" t="str">
        <f>TEXT(Tabla1[[#This Row],[Fecha]],"MMMM")</f>
        <v>enero</v>
      </c>
      <c r="C4177" t="s">
        <v>4187</v>
      </c>
      <c r="D4177" t="s">
        <v>5015</v>
      </c>
      <c r="E4177" t="s">
        <v>5032</v>
      </c>
      <c r="F4177" t="s">
        <v>5039</v>
      </c>
      <c r="G4177" s="3">
        <v>5997.17</v>
      </c>
      <c r="H4177" s="3">
        <v>0</v>
      </c>
      <c r="I4177" s="3">
        <f>SUM(Tabla1[[#This Row],[Monto_Base]],H4177)</f>
        <v>5997.17</v>
      </c>
      <c r="J4177" t="s">
        <v>5043</v>
      </c>
      <c r="K4177" t="s">
        <v>5047</v>
      </c>
      <c r="L4177" t="s">
        <v>5052</v>
      </c>
      <c r="M4177" t="s">
        <v>5055</v>
      </c>
    </row>
    <row r="4178" spans="1:13" x14ac:dyDescent="0.3">
      <c r="A4178" s="1">
        <v>45565</v>
      </c>
      <c r="B4178" s="1" t="str">
        <f>TEXT(Tabla1[[#This Row],[Fecha]],"MMMM")</f>
        <v>septiembre</v>
      </c>
      <c r="C4178" t="s">
        <v>4188</v>
      </c>
      <c r="D4178" t="s">
        <v>5029</v>
      </c>
      <c r="E4178" t="s">
        <v>5032</v>
      </c>
      <c r="F4178" t="s">
        <v>5041</v>
      </c>
      <c r="G4178" s="3">
        <v>9374.33</v>
      </c>
      <c r="H4178" s="3">
        <v>0</v>
      </c>
      <c r="I4178" s="3">
        <f>SUM(Tabla1[[#This Row],[Monto_Base]],H4178)</f>
        <v>9374.33</v>
      </c>
      <c r="J4178" t="s">
        <v>5042</v>
      </c>
      <c r="K4178" t="s">
        <v>5049</v>
      </c>
      <c r="L4178" t="s">
        <v>5052</v>
      </c>
      <c r="M4178" t="s">
        <v>5054</v>
      </c>
    </row>
    <row r="4179" spans="1:13" x14ac:dyDescent="0.3">
      <c r="A4179" s="1">
        <v>45461</v>
      </c>
      <c r="B4179" s="1" t="str">
        <f>TEXT(Tabla1[[#This Row],[Fecha]],"MMMM")</f>
        <v>junio</v>
      </c>
      <c r="C4179" t="s">
        <v>4189</v>
      </c>
      <c r="D4179" t="s">
        <v>5026</v>
      </c>
      <c r="E4179" t="s">
        <v>5032</v>
      </c>
      <c r="F4179" t="s">
        <v>5034</v>
      </c>
      <c r="G4179" s="3">
        <v>8017.59</v>
      </c>
      <c r="H4179" s="3">
        <v>0</v>
      </c>
      <c r="I4179" s="3">
        <f>SUM(Tabla1[[#This Row],[Monto_Base]],H4179)</f>
        <v>8017.59</v>
      </c>
      <c r="J4179" t="s">
        <v>5046</v>
      </c>
      <c r="K4179" t="s">
        <v>5047</v>
      </c>
      <c r="L4179" t="s">
        <v>5052</v>
      </c>
      <c r="M4179" t="s">
        <v>5054</v>
      </c>
    </row>
    <row r="4180" spans="1:13" x14ac:dyDescent="0.3">
      <c r="A4180" s="1">
        <v>45459</v>
      </c>
      <c r="B4180" s="1" t="str">
        <f>TEXT(Tabla1[[#This Row],[Fecha]],"MMMM")</f>
        <v>junio</v>
      </c>
      <c r="C4180" t="s">
        <v>4190</v>
      </c>
      <c r="D4180" t="s">
        <v>5031</v>
      </c>
      <c r="E4180" t="s">
        <v>5032</v>
      </c>
      <c r="F4180" t="s">
        <v>5039</v>
      </c>
      <c r="G4180" s="3">
        <v>14462.86</v>
      </c>
      <c r="H4180" s="3">
        <v>0</v>
      </c>
      <c r="I4180" s="3">
        <f>SUM(Tabla1[[#This Row],[Monto_Base]],H4180)</f>
        <v>14462.86</v>
      </c>
      <c r="J4180" t="s">
        <v>5044</v>
      </c>
      <c r="K4180" t="s">
        <v>5047</v>
      </c>
      <c r="L4180" t="s">
        <v>5053</v>
      </c>
      <c r="M4180" t="s">
        <v>5055</v>
      </c>
    </row>
    <row r="4181" spans="1:13" x14ac:dyDescent="0.3">
      <c r="A4181" s="1">
        <v>45480</v>
      </c>
      <c r="B4181" s="1" t="str">
        <f>TEXT(Tabla1[[#This Row],[Fecha]],"MMMM")</f>
        <v>julio</v>
      </c>
      <c r="C4181" t="s">
        <v>4191</v>
      </c>
      <c r="D4181" t="s">
        <v>5023</v>
      </c>
      <c r="E4181" t="s">
        <v>5032</v>
      </c>
      <c r="F4181" t="s">
        <v>5041</v>
      </c>
      <c r="G4181" s="3">
        <v>11574.3</v>
      </c>
      <c r="H4181" s="3">
        <v>0</v>
      </c>
      <c r="I4181" s="3">
        <f>SUM(Tabla1[[#This Row],[Monto_Base]],H4181)</f>
        <v>11574.3</v>
      </c>
      <c r="J4181" t="s">
        <v>5044</v>
      </c>
      <c r="K4181" t="s">
        <v>5047</v>
      </c>
      <c r="L4181" t="s">
        <v>5053</v>
      </c>
      <c r="M4181" t="s">
        <v>5055</v>
      </c>
    </row>
    <row r="4182" spans="1:13" x14ac:dyDescent="0.3">
      <c r="A4182" s="1">
        <v>45321</v>
      </c>
      <c r="B4182" s="1" t="str">
        <f>TEXT(Tabla1[[#This Row],[Fecha]],"MMMM")</f>
        <v>enero</v>
      </c>
      <c r="C4182" t="s">
        <v>4192</v>
      </c>
      <c r="D4182" t="s">
        <v>5020</v>
      </c>
      <c r="E4182" t="s">
        <v>5032</v>
      </c>
      <c r="F4182" t="s">
        <v>5041</v>
      </c>
      <c r="G4182" s="3">
        <v>8213.8700000000008</v>
      </c>
      <c r="H4182" s="3">
        <v>0</v>
      </c>
      <c r="I4182" s="3">
        <f>SUM(Tabla1[[#This Row],[Monto_Base]],H4182)</f>
        <v>8213.8700000000008</v>
      </c>
      <c r="J4182" t="s">
        <v>5043</v>
      </c>
      <c r="K4182" t="s">
        <v>5049</v>
      </c>
      <c r="L4182" t="s">
        <v>5052</v>
      </c>
      <c r="M4182" t="s">
        <v>5055</v>
      </c>
    </row>
    <row r="4183" spans="1:13" x14ac:dyDescent="0.3">
      <c r="A4183" s="1">
        <v>45559</v>
      </c>
      <c r="B4183" s="1" t="str">
        <f>TEXT(Tabla1[[#This Row],[Fecha]],"MMMM")</f>
        <v>septiembre</v>
      </c>
      <c r="C4183" t="s">
        <v>4193</v>
      </c>
      <c r="D4183" t="s">
        <v>5024</v>
      </c>
      <c r="E4183" t="s">
        <v>5032</v>
      </c>
      <c r="F4183" t="s">
        <v>5037</v>
      </c>
      <c r="G4183" s="3">
        <v>14805.5</v>
      </c>
      <c r="H4183" s="3">
        <v>0</v>
      </c>
      <c r="I4183" s="3">
        <f>SUM(Tabla1[[#This Row],[Monto_Base]],H4183)</f>
        <v>14805.5</v>
      </c>
      <c r="J4183" t="s">
        <v>5046</v>
      </c>
      <c r="K4183" t="s">
        <v>5048</v>
      </c>
      <c r="L4183" t="s">
        <v>5051</v>
      </c>
      <c r="M4183" t="s">
        <v>5055</v>
      </c>
    </row>
    <row r="4184" spans="1:13" x14ac:dyDescent="0.3">
      <c r="A4184" s="1">
        <v>45568</v>
      </c>
      <c r="B4184" s="1" t="str">
        <f>TEXT(Tabla1[[#This Row],[Fecha]],"MMMM")</f>
        <v>octubre</v>
      </c>
      <c r="C4184" t="s">
        <v>4194</v>
      </c>
      <c r="D4184" t="s">
        <v>5022</v>
      </c>
      <c r="E4184" t="s">
        <v>5032</v>
      </c>
      <c r="F4184" t="s">
        <v>5040</v>
      </c>
      <c r="G4184" s="3">
        <v>8185.11</v>
      </c>
      <c r="H4184" s="3">
        <v>0</v>
      </c>
      <c r="I4184" s="3">
        <f>SUM(Tabla1[[#This Row],[Monto_Base]],H4184)</f>
        <v>8185.11</v>
      </c>
      <c r="J4184" t="s">
        <v>5043</v>
      </c>
      <c r="K4184" t="s">
        <v>5048</v>
      </c>
      <c r="L4184" t="s">
        <v>5053</v>
      </c>
      <c r="M4184" t="s">
        <v>5054</v>
      </c>
    </row>
    <row r="4185" spans="1:13" x14ac:dyDescent="0.3">
      <c r="A4185" s="1">
        <v>45351</v>
      </c>
      <c r="B4185" s="1" t="str">
        <f>TEXT(Tabla1[[#This Row],[Fecha]],"MMMM")</f>
        <v>febrero</v>
      </c>
      <c r="C4185" t="s">
        <v>4195</v>
      </c>
      <c r="D4185" t="s">
        <v>5025</v>
      </c>
      <c r="E4185" t="s">
        <v>5033</v>
      </c>
      <c r="F4185" t="s">
        <v>5035</v>
      </c>
      <c r="G4185" s="3">
        <v>10989.6</v>
      </c>
      <c r="H4185" s="3">
        <v>1428.65</v>
      </c>
      <c r="I4185" s="3">
        <f>SUM(Tabla1[[#This Row],[Monto_Base]],H4185)</f>
        <v>12418.25</v>
      </c>
      <c r="J4185" t="s">
        <v>5043</v>
      </c>
      <c r="K4185" t="s">
        <v>5047</v>
      </c>
      <c r="L4185" t="s">
        <v>5053</v>
      </c>
      <c r="M4185" t="s">
        <v>5054</v>
      </c>
    </row>
    <row r="4186" spans="1:13" x14ac:dyDescent="0.3">
      <c r="A4186" s="1">
        <v>45413</v>
      </c>
      <c r="B4186" s="1" t="str">
        <f>TEXT(Tabla1[[#This Row],[Fecha]],"MMMM")</f>
        <v>mayo</v>
      </c>
      <c r="C4186" t="s">
        <v>4196</v>
      </c>
      <c r="D4186" t="s">
        <v>5015</v>
      </c>
      <c r="E4186" t="s">
        <v>5033</v>
      </c>
      <c r="F4186" t="s">
        <v>5038</v>
      </c>
      <c r="G4186" s="3">
        <v>2934.54</v>
      </c>
      <c r="H4186" s="3">
        <v>381.49</v>
      </c>
      <c r="I4186" s="3">
        <f>SUM(Tabla1[[#This Row],[Monto_Base]],H4186)</f>
        <v>3316.0299999999997</v>
      </c>
      <c r="J4186" t="s">
        <v>5045</v>
      </c>
      <c r="K4186" t="s">
        <v>5048</v>
      </c>
      <c r="L4186" t="s">
        <v>5050</v>
      </c>
      <c r="M4186" t="s">
        <v>5055</v>
      </c>
    </row>
    <row r="4187" spans="1:13" x14ac:dyDescent="0.3">
      <c r="A4187" s="1">
        <v>45499</v>
      </c>
      <c r="B4187" s="1" t="str">
        <f>TEXT(Tabla1[[#This Row],[Fecha]],"MMMM")</f>
        <v>julio</v>
      </c>
      <c r="C4187" t="s">
        <v>4197</v>
      </c>
      <c r="D4187" t="s">
        <v>5022</v>
      </c>
      <c r="E4187" t="s">
        <v>5033</v>
      </c>
      <c r="F4187" t="s">
        <v>5035</v>
      </c>
      <c r="G4187" s="3">
        <v>1296.77</v>
      </c>
      <c r="H4187" s="3">
        <v>168.58</v>
      </c>
      <c r="I4187" s="3">
        <f>SUM(Tabla1[[#This Row],[Monto_Base]],H4187)</f>
        <v>1465.35</v>
      </c>
      <c r="J4187" t="s">
        <v>5045</v>
      </c>
      <c r="K4187" t="s">
        <v>5047</v>
      </c>
      <c r="L4187" t="s">
        <v>5052</v>
      </c>
      <c r="M4187" t="s">
        <v>5054</v>
      </c>
    </row>
    <row r="4188" spans="1:13" x14ac:dyDescent="0.3">
      <c r="A4188" s="1">
        <v>45381</v>
      </c>
      <c r="B4188" s="1" t="str">
        <f>TEXT(Tabla1[[#This Row],[Fecha]],"MMMM")</f>
        <v>marzo</v>
      </c>
      <c r="C4188" t="s">
        <v>4198</v>
      </c>
      <c r="D4188" t="s">
        <v>5028</v>
      </c>
      <c r="E4188" t="s">
        <v>5033</v>
      </c>
      <c r="F4188" t="s">
        <v>5037</v>
      </c>
      <c r="G4188" s="3">
        <v>2537.4</v>
      </c>
      <c r="H4188" s="3">
        <v>329.86</v>
      </c>
      <c r="I4188" s="3">
        <f>SUM(Tabla1[[#This Row],[Monto_Base]],H4188)</f>
        <v>2867.26</v>
      </c>
      <c r="J4188" t="s">
        <v>5043</v>
      </c>
      <c r="K4188" t="s">
        <v>5047</v>
      </c>
      <c r="L4188" t="s">
        <v>5052</v>
      </c>
      <c r="M4188" t="s">
        <v>5054</v>
      </c>
    </row>
    <row r="4189" spans="1:13" x14ac:dyDescent="0.3">
      <c r="A4189" s="1">
        <v>45408</v>
      </c>
      <c r="B4189" s="1" t="str">
        <f>TEXT(Tabla1[[#This Row],[Fecha]],"MMMM")</f>
        <v>abril</v>
      </c>
      <c r="C4189" t="s">
        <v>4199</v>
      </c>
      <c r="D4189" t="s">
        <v>5029</v>
      </c>
      <c r="E4189" t="s">
        <v>5033</v>
      </c>
      <c r="F4189" t="s">
        <v>5037</v>
      </c>
      <c r="G4189" s="3">
        <v>6009.19</v>
      </c>
      <c r="H4189" s="3">
        <v>781.19</v>
      </c>
      <c r="I4189" s="3">
        <f>SUM(Tabla1[[#This Row],[Monto_Base]],H4189)</f>
        <v>6790.3799999999992</v>
      </c>
      <c r="J4189" t="s">
        <v>5046</v>
      </c>
      <c r="K4189" t="s">
        <v>5047</v>
      </c>
      <c r="L4189" t="s">
        <v>5050</v>
      </c>
      <c r="M4189" t="s">
        <v>5054</v>
      </c>
    </row>
    <row r="4190" spans="1:13" x14ac:dyDescent="0.3">
      <c r="A4190" s="1">
        <v>45324</v>
      </c>
      <c r="B4190" s="1" t="str">
        <f>TEXT(Tabla1[[#This Row],[Fecha]],"MMMM")</f>
        <v>febrero</v>
      </c>
      <c r="C4190" t="s">
        <v>4200</v>
      </c>
      <c r="D4190" t="s">
        <v>5022</v>
      </c>
      <c r="E4190" t="s">
        <v>5033</v>
      </c>
      <c r="F4190" t="s">
        <v>5034</v>
      </c>
      <c r="G4190" s="3">
        <v>1625.79</v>
      </c>
      <c r="H4190" s="3">
        <v>211.35</v>
      </c>
      <c r="I4190" s="3">
        <f>SUM(Tabla1[[#This Row],[Monto_Base]],H4190)</f>
        <v>1837.1399999999999</v>
      </c>
      <c r="J4190" t="s">
        <v>5043</v>
      </c>
      <c r="K4190" t="s">
        <v>5047</v>
      </c>
      <c r="L4190" t="s">
        <v>5050</v>
      </c>
      <c r="M4190" t="s">
        <v>5054</v>
      </c>
    </row>
    <row r="4191" spans="1:13" x14ac:dyDescent="0.3">
      <c r="A4191" s="1">
        <v>45348</v>
      </c>
      <c r="B4191" s="1" t="str">
        <f>TEXT(Tabla1[[#This Row],[Fecha]],"MMMM")</f>
        <v>febrero</v>
      </c>
      <c r="C4191" t="s">
        <v>4201</v>
      </c>
      <c r="D4191" t="s">
        <v>5020</v>
      </c>
      <c r="E4191" t="s">
        <v>5032</v>
      </c>
      <c r="F4191" t="s">
        <v>5038</v>
      </c>
      <c r="G4191" s="3">
        <v>740.71</v>
      </c>
      <c r="H4191" s="3">
        <v>0</v>
      </c>
      <c r="I4191" s="3">
        <f>SUM(Tabla1[[#This Row],[Monto_Base]],H4191)</f>
        <v>740.71</v>
      </c>
      <c r="J4191" t="s">
        <v>5042</v>
      </c>
      <c r="K4191" t="s">
        <v>5049</v>
      </c>
      <c r="L4191" t="s">
        <v>5051</v>
      </c>
      <c r="M4191" t="s">
        <v>5054</v>
      </c>
    </row>
    <row r="4192" spans="1:13" x14ac:dyDescent="0.3">
      <c r="A4192" s="1">
        <v>45462</v>
      </c>
      <c r="B4192" s="1" t="str">
        <f>TEXT(Tabla1[[#This Row],[Fecha]],"MMMM")</f>
        <v>junio</v>
      </c>
      <c r="C4192" t="s">
        <v>4202</v>
      </c>
      <c r="D4192" t="s">
        <v>5031</v>
      </c>
      <c r="E4192" t="s">
        <v>5033</v>
      </c>
      <c r="F4192" t="s">
        <v>5035</v>
      </c>
      <c r="G4192" s="3">
        <v>12630.5</v>
      </c>
      <c r="H4192" s="3">
        <v>1641.97</v>
      </c>
      <c r="I4192" s="3">
        <f>SUM(Tabla1[[#This Row],[Monto_Base]],H4192)</f>
        <v>14272.47</v>
      </c>
      <c r="J4192" t="s">
        <v>5043</v>
      </c>
      <c r="K4192" t="s">
        <v>5048</v>
      </c>
      <c r="L4192" t="s">
        <v>5052</v>
      </c>
      <c r="M4192" t="s">
        <v>5055</v>
      </c>
    </row>
    <row r="4193" spans="1:13" x14ac:dyDescent="0.3">
      <c r="A4193" s="1">
        <v>45336</v>
      </c>
      <c r="B4193" s="1" t="str">
        <f>TEXT(Tabla1[[#This Row],[Fecha]],"MMMM")</f>
        <v>febrero</v>
      </c>
      <c r="C4193" t="s">
        <v>4203</v>
      </c>
      <c r="D4193" t="s">
        <v>5027</v>
      </c>
      <c r="E4193" t="s">
        <v>5033</v>
      </c>
      <c r="F4193" t="s">
        <v>5040</v>
      </c>
      <c r="G4193" s="3">
        <v>8991.61</v>
      </c>
      <c r="H4193" s="3">
        <v>1168.9100000000001</v>
      </c>
      <c r="I4193" s="3">
        <f>SUM(Tabla1[[#This Row],[Monto_Base]],H4193)</f>
        <v>10160.52</v>
      </c>
      <c r="J4193" t="s">
        <v>5043</v>
      </c>
      <c r="K4193" t="s">
        <v>5048</v>
      </c>
      <c r="L4193" t="s">
        <v>5052</v>
      </c>
      <c r="M4193" t="s">
        <v>5055</v>
      </c>
    </row>
    <row r="4194" spans="1:13" x14ac:dyDescent="0.3">
      <c r="A4194" s="1">
        <v>45306</v>
      </c>
      <c r="B4194" s="1" t="str">
        <f>TEXT(Tabla1[[#This Row],[Fecha]],"MMMM")</f>
        <v>enero</v>
      </c>
      <c r="C4194" t="s">
        <v>4204</v>
      </c>
      <c r="D4194" t="s">
        <v>5021</v>
      </c>
      <c r="E4194" t="s">
        <v>5033</v>
      </c>
      <c r="F4194" t="s">
        <v>5034</v>
      </c>
      <c r="G4194" s="3">
        <v>9799.7900000000009</v>
      </c>
      <c r="H4194" s="3">
        <v>1273.97</v>
      </c>
      <c r="I4194" s="3">
        <f>SUM(Tabla1[[#This Row],[Monto_Base]],H4194)</f>
        <v>11073.76</v>
      </c>
      <c r="J4194" t="s">
        <v>5046</v>
      </c>
      <c r="K4194" t="s">
        <v>5049</v>
      </c>
      <c r="L4194" t="s">
        <v>5052</v>
      </c>
      <c r="M4194" t="s">
        <v>5055</v>
      </c>
    </row>
    <row r="4195" spans="1:13" x14ac:dyDescent="0.3">
      <c r="A4195" s="1">
        <v>45508</v>
      </c>
      <c r="B4195" s="1" t="str">
        <f>TEXT(Tabla1[[#This Row],[Fecha]],"MMMM")</f>
        <v>agosto</v>
      </c>
      <c r="C4195" t="s">
        <v>4205</v>
      </c>
      <c r="D4195" t="s">
        <v>5030</v>
      </c>
      <c r="E4195" t="s">
        <v>5033</v>
      </c>
      <c r="F4195" t="s">
        <v>5037</v>
      </c>
      <c r="G4195" s="3">
        <v>6242.49</v>
      </c>
      <c r="H4195" s="3">
        <v>811.52</v>
      </c>
      <c r="I4195" s="3">
        <f>SUM(Tabla1[[#This Row],[Monto_Base]],H4195)</f>
        <v>7054.01</v>
      </c>
      <c r="J4195" t="s">
        <v>5045</v>
      </c>
      <c r="K4195" t="s">
        <v>5047</v>
      </c>
      <c r="L4195" t="s">
        <v>5051</v>
      </c>
      <c r="M4195" t="s">
        <v>5054</v>
      </c>
    </row>
    <row r="4196" spans="1:13" x14ac:dyDescent="0.3">
      <c r="A4196" s="1">
        <v>45333</v>
      </c>
      <c r="B4196" s="1" t="str">
        <f>TEXT(Tabla1[[#This Row],[Fecha]],"MMMM")</f>
        <v>febrero</v>
      </c>
      <c r="C4196" t="s">
        <v>4206</v>
      </c>
      <c r="D4196" t="s">
        <v>5015</v>
      </c>
      <c r="E4196" t="s">
        <v>5032</v>
      </c>
      <c r="F4196" t="s">
        <v>5041</v>
      </c>
      <c r="G4196" s="3">
        <v>6684.73</v>
      </c>
      <c r="H4196" s="3">
        <v>0</v>
      </c>
      <c r="I4196" s="3">
        <f>SUM(Tabla1[[#This Row],[Monto_Base]],H4196)</f>
        <v>6684.73</v>
      </c>
      <c r="J4196" t="s">
        <v>5044</v>
      </c>
      <c r="K4196" t="s">
        <v>5049</v>
      </c>
      <c r="L4196" t="s">
        <v>5053</v>
      </c>
      <c r="M4196" t="s">
        <v>5055</v>
      </c>
    </row>
    <row r="4197" spans="1:13" x14ac:dyDescent="0.3">
      <c r="A4197" s="1">
        <v>45357</v>
      </c>
      <c r="B4197" s="1" t="str">
        <f>TEXT(Tabla1[[#This Row],[Fecha]],"MMMM")</f>
        <v>marzo</v>
      </c>
      <c r="C4197" t="s">
        <v>4207</v>
      </c>
      <c r="D4197" t="s">
        <v>5030</v>
      </c>
      <c r="E4197" t="s">
        <v>5032</v>
      </c>
      <c r="F4197" t="s">
        <v>5040</v>
      </c>
      <c r="G4197" s="3">
        <v>2915.06</v>
      </c>
      <c r="H4197" s="3">
        <v>0</v>
      </c>
      <c r="I4197" s="3">
        <f>SUM(Tabla1[[#This Row],[Monto_Base]],H4197)</f>
        <v>2915.06</v>
      </c>
      <c r="J4197" t="s">
        <v>5043</v>
      </c>
      <c r="K4197" t="s">
        <v>5049</v>
      </c>
      <c r="L4197" t="s">
        <v>5050</v>
      </c>
      <c r="M4197" t="s">
        <v>5055</v>
      </c>
    </row>
    <row r="4198" spans="1:13" x14ac:dyDescent="0.3">
      <c r="A4198" s="1">
        <v>45559</v>
      </c>
      <c r="B4198" s="1" t="str">
        <f>TEXT(Tabla1[[#This Row],[Fecha]],"MMMM")</f>
        <v>septiembre</v>
      </c>
      <c r="C4198" t="s">
        <v>4208</v>
      </c>
      <c r="D4198" t="s">
        <v>5027</v>
      </c>
      <c r="E4198" t="s">
        <v>5033</v>
      </c>
      <c r="F4198" t="s">
        <v>5040</v>
      </c>
      <c r="G4198" s="3">
        <v>7927.51</v>
      </c>
      <c r="H4198" s="3">
        <v>1030.58</v>
      </c>
      <c r="I4198" s="3">
        <f>SUM(Tabla1[[#This Row],[Monto_Base]],H4198)</f>
        <v>8958.09</v>
      </c>
      <c r="J4198" t="s">
        <v>5042</v>
      </c>
      <c r="K4198" t="s">
        <v>5049</v>
      </c>
      <c r="L4198" t="s">
        <v>5053</v>
      </c>
      <c r="M4198" t="s">
        <v>5055</v>
      </c>
    </row>
    <row r="4199" spans="1:13" x14ac:dyDescent="0.3">
      <c r="A4199" s="1">
        <v>45350</v>
      </c>
      <c r="B4199" s="1" t="str">
        <f>TEXT(Tabla1[[#This Row],[Fecha]],"MMMM")</f>
        <v>febrero</v>
      </c>
      <c r="C4199" t="s">
        <v>4209</v>
      </c>
      <c r="D4199" t="s">
        <v>5013</v>
      </c>
      <c r="E4199" t="s">
        <v>5032</v>
      </c>
      <c r="F4199" t="s">
        <v>5036</v>
      </c>
      <c r="G4199" s="3">
        <v>4792.8599999999997</v>
      </c>
      <c r="H4199" s="3">
        <v>0</v>
      </c>
      <c r="I4199" s="3">
        <f>SUM(Tabla1[[#This Row],[Monto_Base]],H4199)</f>
        <v>4792.8599999999997</v>
      </c>
      <c r="J4199" t="s">
        <v>5045</v>
      </c>
      <c r="K4199" t="s">
        <v>5047</v>
      </c>
      <c r="L4199" t="s">
        <v>5051</v>
      </c>
      <c r="M4199" t="s">
        <v>5054</v>
      </c>
    </row>
    <row r="4200" spans="1:13" x14ac:dyDescent="0.3">
      <c r="A4200" s="1">
        <v>45548</v>
      </c>
      <c r="B4200" s="1" t="str">
        <f>TEXT(Tabla1[[#This Row],[Fecha]],"MMMM")</f>
        <v>septiembre</v>
      </c>
      <c r="C4200" t="s">
        <v>4210</v>
      </c>
      <c r="D4200" t="s">
        <v>5030</v>
      </c>
      <c r="E4200" t="s">
        <v>5033</v>
      </c>
      <c r="F4200" t="s">
        <v>5038</v>
      </c>
      <c r="G4200" s="3">
        <v>10540.7</v>
      </c>
      <c r="H4200" s="3">
        <v>1370.29</v>
      </c>
      <c r="I4200" s="3">
        <f>SUM(Tabla1[[#This Row],[Monto_Base]],H4200)</f>
        <v>11910.990000000002</v>
      </c>
      <c r="J4200" t="s">
        <v>5044</v>
      </c>
      <c r="K4200" t="s">
        <v>5048</v>
      </c>
      <c r="L4200" t="s">
        <v>5051</v>
      </c>
      <c r="M4200" t="s">
        <v>5055</v>
      </c>
    </row>
    <row r="4201" spans="1:13" x14ac:dyDescent="0.3">
      <c r="A4201" s="1">
        <v>45532</v>
      </c>
      <c r="B4201" s="1" t="str">
        <f>TEXT(Tabla1[[#This Row],[Fecha]],"MMMM")</f>
        <v>agosto</v>
      </c>
      <c r="C4201" t="s">
        <v>4211</v>
      </c>
      <c r="D4201" t="s">
        <v>5024</v>
      </c>
      <c r="E4201" t="s">
        <v>5033</v>
      </c>
      <c r="F4201" t="s">
        <v>5034</v>
      </c>
      <c r="G4201" s="3">
        <v>6682.85</v>
      </c>
      <c r="H4201" s="3">
        <v>868.77</v>
      </c>
      <c r="I4201" s="3">
        <f>SUM(Tabla1[[#This Row],[Monto_Base]],H4201)</f>
        <v>7551.6200000000008</v>
      </c>
      <c r="J4201" t="s">
        <v>5044</v>
      </c>
      <c r="K4201" t="s">
        <v>5047</v>
      </c>
      <c r="L4201" t="s">
        <v>5053</v>
      </c>
      <c r="M4201" t="s">
        <v>5055</v>
      </c>
    </row>
    <row r="4202" spans="1:13" x14ac:dyDescent="0.3">
      <c r="A4202" s="1">
        <v>45454</v>
      </c>
      <c r="B4202" s="1" t="str">
        <f>TEXT(Tabla1[[#This Row],[Fecha]],"MMMM")</f>
        <v>junio</v>
      </c>
      <c r="C4202" t="s">
        <v>4212</v>
      </c>
      <c r="D4202" t="s">
        <v>5014</v>
      </c>
      <c r="E4202" t="s">
        <v>5032</v>
      </c>
      <c r="F4202" t="s">
        <v>5038</v>
      </c>
      <c r="G4202" s="3">
        <v>13575.21</v>
      </c>
      <c r="H4202" s="3">
        <v>0</v>
      </c>
      <c r="I4202" s="3">
        <f>SUM(Tabla1[[#This Row],[Monto_Base]],H4202)</f>
        <v>13575.21</v>
      </c>
      <c r="J4202" t="s">
        <v>5045</v>
      </c>
      <c r="K4202" t="s">
        <v>5049</v>
      </c>
      <c r="L4202" t="s">
        <v>5051</v>
      </c>
      <c r="M4202" t="s">
        <v>5055</v>
      </c>
    </row>
    <row r="4203" spans="1:13" x14ac:dyDescent="0.3">
      <c r="A4203" s="1">
        <v>45624</v>
      </c>
      <c r="B4203" s="1" t="str">
        <f>TEXT(Tabla1[[#This Row],[Fecha]],"MMMM")</f>
        <v>noviembre</v>
      </c>
      <c r="C4203" t="s">
        <v>4213</v>
      </c>
      <c r="D4203" t="s">
        <v>5017</v>
      </c>
      <c r="E4203" t="s">
        <v>5032</v>
      </c>
      <c r="F4203" t="s">
        <v>5035</v>
      </c>
      <c r="G4203" s="3">
        <v>13397.07</v>
      </c>
      <c r="H4203" s="3">
        <v>0</v>
      </c>
      <c r="I4203" s="3">
        <f>SUM(Tabla1[[#This Row],[Monto_Base]],H4203)</f>
        <v>13397.07</v>
      </c>
      <c r="J4203" t="s">
        <v>5045</v>
      </c>
      <c r="K4203" t="s">
        <v>5048</v>
      </c>
      <c r="L4203" t="s">
        <v>5050</v>
      </c>
      <c r="M4203" t="s">
        <v>5054</v>
      </c>
    </row>
    <row r="4204" spans="1:13" x14ac:dyDescent="0.3">
      <c r="A4204" s="1">
        <v>45310</v>
      </c>
      <c r="B4204" s="1" t="str">
        <f>TEXT(Tabla1[[#This Row],[Fecha]],"MMMM")</f>
        <v>enero</v>
      </c>
      <c r="C4204" t="s">
        <v>4214</v>
      </c>
      <c r="D4204" t="s">
        <v>5022</v>
      </c>
      <c r="E4204" t="s">
        <v>5032</v>
      </c>
      <c r="F4204" t="s">
        <v>5036</v>
      </c>
      <c r="G4204" s="3">
        <v>3134.13</v>
      </c>
      <c r="H4204" s="3">
        <v>0</v>
      </c>
      <c r="I4204" s="3">
        <f>SUM(Tabla1[[#This Row],[Monto_Base]],H4204)</f>
        <v>3134.13</v>
      </c>
      <c r="J4204" t="s">
        <v>5045</v>
      </c>
      <c r="K4204" t="s">
        <v>5047</v>
      </c>
      <c r="L4204" t="s">
        <v>5052</v>
      </c>
      <c r="M4204" t="s">
        <v>5055</v>
      </c>
    </row>
    <row r="4205" spans="1:13" x14ac:dyDescent="0.3">
      <c r="A4205" s="1">
        <v>45559</v>
      </c>
      <c r="B4205" s="1" t="str">
        <f>TEXT(Tabla1[[#This Row],[Fecha]],"MMMM")</f>
        <v>septiembre</v>
      </c>
      <c r="C4205" t="s">
        <v>4215</v>
      </c>
      <c r="D4205" t="s">
        <v>5023</v>
      </c>
      <c r="E4205" t="s">
        <v>5033</v>
      </c>
      <c r="F4205" t="s">
        <v>5036</v>
      </c>
      <c r="G4205" s="3">
        <v>9986.76</v>
      </c>
      <c r="H4205" s="3">
        <v>1298.28</v>
      </c>
      <c r="I4205" s="3">
        <f>SUM(Tabla1[[#This Row],[Monto_Base]],H4205)</f>
        <v>11285.04</v>
      </c>
      <c r="J4205" t="s">
        <v>5045</v>
      </c>
      <c r="K4205" t="s">
        <v>5048</v>
      </c>
      <c r="L4205" t="s">
        <v>5052</v>
      </c>
      <c r="M4205" t="s">
        <v>5054</v>
      </c>
    </row>
    <row r="4206" spans="1:13" x14ac:dyDescent="0.3">
      <c r="A4206" s="1">
        <v>45508</v>
      </c>
      <c r="B4206" s="1" t="str">
        <f>TEXT(Tabla1[[#This Row],[Fecha]],"MMMM")</f>
        <v>agosto</v>
      </c>
      <c r="C4206" t="s">
        <v>4216</v>
      </c>
      <c r="D4206" t="s">
        <v>5015</v>
      </c>
      <c r="E4206" t="s">
        <v>5032</v>
      </c>
      <c r="F4206" t="s">
        <v>5037</v>
      </c>
      <c r="G4206" s="3">
        <v>5396.96</v>
      </c>
      <c r="H4206" s="3">
        <v>0</v>
      </c>
      <c r="I4206" s="3">
        <f>SUM(Tabla1[[#This Row],[Monto_Base]],H4206)</f>
        <v>5396.96</v>
      </c>
      <c r="J4206" t="s">
        <v>5044</v>
      </c>
      <c r="K4206" t="s">
        <v>5047</v>
      </c>
      <c r="L4206" t="s">
        <v>5053</v>
      </c>
      <c r="M4206" t="s">
        <v>5054</v>
      </c>
    </row>
    <row r="4207" spans="1:13" x14ac:dyDescent="0.3">
      <c r="A4207" s="1">
        <v>45321</v>
      </c>
      <c r="B4207" s="1" t="str">
        <f>TEXT(Tabla1[[#This Row],[Fecha]],"MMMM")</f>
        <v>enero</v>
      </c>
      <c r="C4207" t="s">
        <v>4217</v>
      </c>
      <c r="D4207" t="s">
        <v>5015</v>
      </c>
      <c r="E4207" t="s">
        <v>5032</v>
      </c>
      <c r="F4207" t="s">
        <v>5039</v>
      </c>
      <c r="G4207" s="3">
        <v>11728.14</v>
      </c>
      <c r="H4207" s="3">
        <v>0</v>
      </c>
      <c r="I4207" s="3">
        <f>SUM(Tabla1[[#This Row],[Monto_Base]],H4207)</f>
        <v>11728.14</v>
      </c>
      <c r="J4207" t="s">
        <v>5043</v>
      </c>
      <c r="K4207" t="s">
        <v>5049</v>
      </c>
      <c r="L4207" t="s">
        <v>5052</v>
      </c>
      <c r="M4207" t="s">
        <v>5055</v>
      </c>
    </row>
    <row r="4208" spans="1:13" x14ac:dyDescent="0.3">
      <c r="A4208" s="1">
        <v>45644</v>
      </c>
      <c r="B4208" s="1" t="str">
        <f>TEXT(Tabla1[[#This Row],[Fecha]],"MMMM")</f>
        <v>diciembre</v>
      </c>
      <c r="C4208" t="s">
        <v>4218</v>
      </c>
      <c r="D4208" t="s">
        <v>5013</v>
      </c>
      <c r="E4208" t="s">
        <v>5032</v>
      </c>
      <c r="F4208" t="s">
        <v>5038</v>
      </c>
      <c r="G4208" s="3">
        <v>3126.34</v>
      </c>
      <c r="H4208" s="3">
        <v>0</v>
      </c>
      <c r="I4208" s="3">
        <f>SUM(Tabla1[[#This Row],[Monto_Base]],H4208)</f>
        <v>3126.34</v>
      </c>
      <c r="J4208" t="s">
        <v>5046</v>
      </c>
      <c r="K4208" t="s">
        <v>5048</v>
      </c>
      <c r="L4208" t="s">
        <v>5053</v>
      </c>
      <c r="M4208" t="s">
        <v>5054</v>
      </c>
    </row>
    <row r="4209" spans="1:13" x14ac:dyDescent="0.3">
      <c r="A4209" s="1">
        <v>45515</v>
      </c>
      <c r="B4209" s="1" t="str">
        <f>TEXT(Tabla1[[#This Row],[Fecha]],"MMMM")</f>
        <v>agosto</v>
      </c>
      <c r="C4209" t="s">
        <v>4219</v>
      </c>
      <c r="D4209" t="s">
        <v>5025</v>
      </c>
      <c r="E4209" t="s">
        <v>5032</v>
      </c>
      <c r="F4209" t="s">
        <v>5038</v>
      </c>
      <c r="G4209" s="3">
        <v>9900.23</v>
      </c>
      <c r="H4209" s="3">
        <v>0</v>
      </c>
      <c r="I4209" s="3">
        <f>SUM(Tabla1[[#This Row],[Monto_Base]],H4209)</f>
        <v>9900.23</v>
      </c>
      <c r="J4209" t="s">
        <v>5046</v>
      </c>
      <c r="K4209" t="s">
        <v>5048</v>
      </c>
      <c r="L4209" t="s">
        <v>5052</v>
      </c>
      <c r="M4209" t="s">
        <v>5054</v>
      </c>
    </row>
    <row r="4210" spans="1:13" x14ac:dyDescent="0.3">
      <c r="A4210" s="1">
        <v>45329</v>
      </c>
      <c r="B4210" s="1" t="str">
        <f>TEXT(Tabla1[[#This Row],[Fecha]],"MMMM")</f>
        <v>febrero</v>
      </c>
      <c r="C4210" t="s">
        <v>4220</v>
      </c>
      <c r="D4210" t="s">
        <v>5012</v>
      </c>
      <c r="E4210" t="s">
        <v>5032</v>
      </c>
      <c r="F4210" t="s">
        <v>5038</v>
      </c>
      <c r="G4210" s="3">
        <v>1938.12</v>
      </c>
      <c r="H4210" s="3">
        <v>0</v>
      </c>
      <c r="I4210" s="3">
        <f>SUM(Tabla1[[#This Row],[Monto_Base]],H4210)</f>
        <v>1938.12</v>
      </c>
      <c r="J4210" t="s">
        <v>5045</v>
      </c>
      <c r="K4210" t="s">
        <v>5048</v>
      </c>
      <c r="L4210" t="s">
        <v>5051</v>
      </c>
      <c r="M4210" t="s">
        <v>5055</v>
      </c>
    </row>
    <row r="4211" spans="1:13" x14ac:dyDescent="0.3">
      <c r="A4211" s="1">
        <v>45465</v>
      </c>
      <c r="B4211" s="1" t="str">
        <f>TEXT(Tabla1[[#This Row],[Fecha]],"MMMM")</f>
        <v>junio</v>
      </c>
      <c r="C4211" t="s">
        <v>4221</v>
      </c>
      <c r="D4211" t="s">
        <v>5017</v>
      </c>
      <c r="E4211" t="s">
        <v>5032</v>
      </c>
      <c r="F4211" t="s">
        <v>5036</v>
      </c>
      <c r="G4211" s="3">
        <v>9437.31</v>
      </c>
      <c r="H4211" s="3">
        <v>0</v>
      </c>
      <c r="I4211" s="3">
        <f>SUM(Tabla1[[#This Row],[Monto_Base]],H4211)</f>
        <v>9437.31</v>
      </c>
      <c r="J4211" t="s">
        <v>5042</v>
      </c>
      <c r="K4211" t="s">
        <v>5047</v>
      </c>
      <c r="L4211" t="s">
        <v>5052</v>
      </c>
      <c r="M4211" t="s">
        <v>5055</v>
      </c>
    </row>
    <row r="4212" spans="1:13" x14ac:dyDescent="0.3">
      <c r="A4212" s="1">
        <v>45545</v>
      </c>
      <c r="B4212" s="1" t="str">
        <f>TEXT(Tabla1[[#This Row],[Fecha]],"MMMM")</f>
        <v>septiembre</v>
      </c>
      <c r="C4212" t="s">
        <v>4222</v>
      </c>
      <c r="D4212" t="s">
        <v>5019</v>
      </c>
      <c r="E4212" t="s">
        <v>5032</v>
      </c>
      <c r="F4212" t="s">
        <v>5039</v>
      </c>
      <c r="G4212" s="3">
        <v>1016.21</v>
      </c>
      <c r="H4212" s="3">
        <v>0</v>
      </c>
      <c r="I4212" s="3">
        <f>SUM(Tabla1[[#This Row],[Monto_Base]],H4212)</f>
        <v>1016.21</v>
      </c>
      <c r="J4212" t="s">
        <v>5044</v>
      </c>
      <c r="K4212" t="s">
        <v>5048</v>
      </c>
      <c r="L4212" t="s">
        <v>5051</v>
      </c>
      <c r="M4212" t="s">
        <v>5055</v>
      </c>
    </row>
    <row r="4213" spans="1:13" x14ac:dyDescent="0.3">
      <c r="A4213" s="1">
        <v>45430</v>
      </c>
      <c r="B4213" s="1" t="str">
        <f>TEXT(Tabla1[[#This Row],[Fecha]],"MMMM")</f>
        <v>mayo</v>
      </c>
      <c r="C4213" t="s">
        <v>4223</v>
      </c>
      <c r="D4213" t="s">
        <v>5017</v>
      </c>
      <c r="E4213" t="s">
        <v>5033</v>
      </c>
      <c r="F4213" t="s">
        <v>5037</v>
      </c>
      <c r="G4213" s="3">
        <v>11293.34</v>
      </c>
      <c r="H4213" s="3">
        <v>1468.13</v>
      </c>
      <c r="I4213" s="3">
        <f>SUM(Tabla1[[#This Row],[Monto_Base]],H4213)</f>
        <v>12761.470000000001</v>
      </c>
      <c r="J4213" t="s">
        <v>5042</v>
      </c>
      <c r="K4213" t="s">
        <v>5048</v>
      </c>
      <c r="L4213" t="s">
        <v>5053</v>
      </c>
      <c r="M4213" t="s">
        <v>5055</v>
      </c>
    </row>
    <row r="4214" spans="1:13" x14ac:dyDescent="0.3">
      <c r="A4214" s="1">
        <v>45401</v>
      </c>
      <c r="B4214" s="1" t="str">
        <f>TEXT(Tabla1[[#This Row],[Fecha]],"MMMM")</f>
        <v>abril</v>
      </c>
      <c r="C4214" t="s">
        <v>4224</v>
      </c>
      <c r="D4214" t="s">
        <v>5015</v>
      </c>
      <c r="E4214" t="s">
        <v>5032</v>
      </c>
      <c r="F4214" t="s">
        <v>5036</v>
      </c>
      <c r="G4214" s="3">
        <v>1487.12</v>
      </c>
      <c r="H4214" s="3">
        <v>0</v>
      </c>
      <c r="I4214" s="3">
        <f>SUM(Tabla1[[#This Row],[Monto_Base]],H4214)</f>
        <v>1487.12</v>
      </c>
      <c r="J4214" t="s">
        <v>5043</v>
      </c>
      <c r="K4214" t="s">
        <v>5049</v>
      </c>
      <c r="L4214" t="s">
        <v>5053</v>
      </c>
      <c r="M4214" t="s">
        <v>5054</v>
      </c>
    </row>
    <row r="4215" spans="1:13" x14ac:dyDescent="0.3">
      <c r="A4215" s="1">
        <v>45298</v>
      </c>
      <c r="B4215" s="1" t="str">
        <f>TEXT(Tabla1[[#This Row],[Fecha]],"MMMM")</f>
        <v>enero</v>
      </c>
      <c r="C4215" t="s">
        <v>4225</v>
      </c>
      <c r="D4215" t="s">
        <v>5019</v>
      </c>
      <c r="E4215" t="s">
        <v>5033</v>
      </c>
      <c r="F4215" t="s">
        <v>5036</v>
      </c>
      <c r="G4215" s="3">
        <v>11365.87</v>
      </c>
      <c r="H4215" s="3">
        <v>1477.56</v>
      </c>
      <c r="I4215" s="3">
        <f>SUM(Tabla1[[#This Row],[Monto_Base]],H4215)</f>
        <v>12843.43</v>
      </c>
      <c r="J4215" t="s">
        <v>5043</v>
      </c>
      <c r="K4215" t="s">
        <v>5049</v>
      </c>
      <c r="L4215" t="s">
        <v>5053</v>
      </c>
      <c r="M4215" t="s">
        <v>5055</v>
      </c>
    </row>
    <row r="4216" spans="1:13" x14ac:dyDescent="0.3">
      <c r="A4216" s="1">
        <v>45319</v>
      </c>
      <c r="B4216" s="1" t="str">
        <f>TEXT(Tabla1[[#This Row],[Fecha]],"MMMM")</f>
        <v>enero</v>
      </c>
      <c r="C4216" t="s">
        <v>4226</v>
      </c>
      <c r="D4216" t="s">
        <v>5014</v>
      </c>
      <c r="E4216" t="s">
        <v>5032</v>
      </c>
      <c r="F4216" t="s">
        <v>5041</v>
      </c>
      <c r="G4216" s="3">
        <v>11227.99</v>
      </c>
      <c r="H4216" s="3">
        <v>0</v>
      </c>
      <c r="I4216" s="3">
        <f>SUM(Tabla1[[#This Row],[Monto_Base]],H4216)</f>
        <v>11227.99</v>
      </c>
      <c r="J4216" t="s">
        <v>5045</v>
      </c>
      <c r="K4216" t="s">
        <v>5049</v>
      </c>
      <c r="L4216" t="s">
        <v>5052</v>
      </c>
      <c r="M4216" t="s">
        <v>5054</v>
      </c>
    </row>
    <row r="4217" spans="1:13" x14ac:dyDescent="0.3">
      <c r="A4217" s="1">
        <v>45542</v>
      </c>
      <c r="B4217" s="1" t="str">
        <f>TEXT(Tabla1[[#This Row],[Fecha]],"MMMM")</f>
        <v>septiembre</v>
      </c>
      <c r="C4217" t="s">
        <v>4227</v>
      </c>
      <c r="D4217" t="s">
        <v>5030</v>
      </c>
      <c r="E4217" t="s">
        <v>5032</v>
      </c>
      <c r="F4217" t="s">
        <v>5038</v>
      </c>
      <c r="G4217" s="3">
        <v>9598.9500000000007</v>
      </c>
      <c r="H4217" s="3">
        <v>0</v>
      </c>
      <c r="I4217" s="3">
        <f>SUM(Tabla1[[#This Row],[Monto_Base]],H4217)</f>
        <v>9598.9500000000007</v>
      </c>
      <c r="J4217" t="s">
        <v>5044</v>
      </c>
      <c r="K4217" t="s">
        <v>5048</v>
      </c>
      <c r="L4217" t="s">
        <v>5052</v>
      </c>
      <c r="M4217" t="s">
        <v>5054</v>
      </c>
    </row>
    <row r="4218" spans="1:13" x14ac:dyDescent="0.3">
      <c r="A4218" s="1">
        <v>45600</v>
      </c>
      <c r="B4218" s="1" t="str">
        <f>TEXT(Tabla1[[#This Row],[Fecha]],"MMMM")</f>
        <v>noviembre</v>
      </c>
      <c r="C4218" t="s">
        <v>4228</v>
      </c>
      <c r="D4218" t="s">
        <v>5024</v>
      </c>
      <c r="E4218" t="s">
        <v>5032</v>
      </c>
      <c r="F4218" t="s">
        <v>5041</v>
      </c>
      <c r="G4218" s="3">
        <v>3766.71</v>
      </c>
      <c r="H4218" s="3">
        <v>0</v>
      </c>
      <c r="I4218" s="3">
        <f>SUM(Tabla1[[#This Row],[Monto_Base]],H4218)</f>
        <v>3766.71</v>
      </c>
      <c r="J4218" t="s">
        <v>5043</v>
      </c>
      <c r="K4218" t="s">
        <v>5047</v>
      </c>
      <c r="L4218" t="s">
        <v>5053</v>
      </c>
      <c r="M4218" t="s">
        <v>5055</v>
      </c>
    </row>
    <row r="4219" spans="1:13" x14ac:dyDescent="0.3">
      <c r="A4219" s="1">
        <v>45651</v>
      </c>
      <c r="B4219" s="1" t="str">
        <f>TEXT(Tabla1[[#This Row],[Fecha]],"MMMM")</f>
        <v>diciembre</v>
      </c>
      <c r="C4219" t="s">
        <v>4229</v>
      </c>
      <c r="D4219" t="s">
        <v>5028</v>
      </c>
      <c r="E4219" t="s">
        <v>5032</v>
      </c>
      <c r="F4219" t="s">
        <v>5034</v>
      </c>
      <c r="G4219" s="3">
        <v>1193.72</v>
      </c>
      <c r="H4219" s="3">
        <v>0</v>
      </c>
      <c r="I4219" s="3">
        <f>SUM(Tabla1[[#This Row],[Monto_Base]],H4219)</f>
        <v>1193.72</v>
      </c>
      <c r="J4219" t="s">
        <v>5043</v>
      </c>
      <c r="K4219" t="s">
        <v>5048</v>
      </c>
      <c r="L4219" t="s">
        <v>5053</v>
      </c>
      <c r="M4219" t="s">
        <v>5055</v>
      </c>
    </row>
    <row r="4220" spans="1:13" x14ac:dyDescent="0.3">
      <c r="A4220" s="1">
        <v>45351</v>
      </c>
      <c r="B4220" s="1" t="str">
        <f>TEXT(Tabla1[[#This Row],[Fecha]],"MMMM")</f>
        <v>febrero</v>
      </c>
      <c r="C4220" t="s">
        <v>4230</v>
      </c>
      <c r="D4220" t="s">
        <v>5031</v>
      </c>
      <c r="E4220" t="s">
        <v>5033</v>
      </c>
      <c r="F4220" t="s">
        <v>5041</v>
      </c>
      <c r="G4220" s="3">
        <v>327.19</v>
      </c>
      <c r="H4220" s="3">
        <v>42.53</v>
      </c>
      <c r="I4220" s="3">
        <f>SUM(Tabla1[[#This Row],[Monto_Base]],H4220)</f>
        <v>369.72</v>
      </c>
      <c r="J4220" t="s">
        <v>5042</v>
      </c>
      <c r="K4220" t="s">
        <v>5048</v>
      </c>
      <c r="L4220" t="s">
        <v>5050</v>
      </c>
      <c r="M4220" t="s">
        <v>5055</v>
      </c>
    </row>
    <row r="4221" spans="1:13" x14ac:dyDescent="0.3">
      <c r="A4221" s="1">
        <v>45459</v>
      </c>
      <c r="B4221" s="1" t="str">
        <f>TEXT(Tabla1[[#This Row],[Fecha]],"MMMM")</f>
        <v>junio</v>
      </c>
      <c r="C4221" t="s">
        <v>4231</v>
      </c>
      <c r="D4221" t="s">
        <v>5022</v>
      </c>
      <c r="E4221" t="s">
        <v>5032</v>
      </c>
      <c r="F4221" t="s">
        <v>5039</v>
      </c>
      <c r="G4221" s="3">
        <v>8491.66</v>
      </c>
      <c r="H4221" s="3">
        <v>0</v>
      </c>
      <c r="I4221" s="3">
        <f>SUM(Tabla1[[#This Row],[Monto_Base]],H4221)</f>
        <v>8491.66</v>
      </c>
      <c r="J4221" t="s">
        <v>5044</v>
      </c>
      <c r="K4221" t="s">
        <v>5047</v>
      </c>
      <c r="L4221" t="s">
        <v>5051</v>
      </c>
      <c r="M4221" t="s">
        <v>5055</v>
      </c>
    </row>
    <row r="4222" spans="1:13" x14ac:dyDescent="0.3">
      <c r="A4222" s="1">
        <v>45370</v>
      </c>
      <c r="B4222" s="1" t="str">
        <f>TEXT(Tabla1[[#This Row],[Fecha]],"MMMM")</f>
        <v>marzo</v>
      </c>
      <c r="C4222" t="s">
        <v>4232</v>
      </c>
      <c r="D4222" t="s">
        <v>5023</v>
      </c>
      <c r="E4222" t="s">
        <v>5033</v>
      </c>
      <c r="F4222" t="s">
        <v>5038</v>
      </c>
      <c r="G4222" s="3">
        <v>6731.34</v>
      </c>
      <c r="H4222" s="3">
        <v>875.07</v>
      </c>
      <c r="I4222" s="3">
        <f>SUM(Tabla1[[#This Row],[Monto_Base]],H4222)</f>
        <v>7606.41</v>
      </c>
      <c r="J4222" t="s">
        <v>5043</v>
      </c>
      <c r="K4222" t="s">
        <v>5048</v>
      </c>
      <c r="L4222" t="s">
        <v>5053</v>
      </c>
      <c r="M4222" t="s">
        <v>5055</v>
      </c>
    </row>
    <row r="4223" spans="1:13" x14ac:dyDescent="0.3">
      <c r="A4223" s="1">
        <v>45617</v>
      </c>
      <c r="B4223" s="1" t="str">
        <f>TEXT(Tabla1[[#This Row],[Fecha]],"MMMM")</f>
        <v>noviembre</v>
      </c>
      <c r="C4223" t="s">
        <v>4233</v>
      </c>
      <c r="D4223" t="s">
        <v>5031</v>
      </c>
      <c r="E4223" t="s">
        <v>5033</v>
      </c>
      <c r="F4223" t="s">
        <v>5038</v>
      </c>
      <c r="G4223" s="3">
        <v>1200.6199999999999</v>
      </c>
      <c r="H4223" s="3">
        <v>156.08000000000001</v>
      </c>
      <c r="I4223" s="3">
        <f>SUM(Tabla1[[#This Row],[Monto_Base]],H4223)</f>
        <v>1356.6999999999998</v>
      </c>
      <c r="J4223" t="s">
        <v>5045</v>
      </c>
      <c r="K4223" t="s">
        <v>5047</v>
      </c>
      <c r="L4223" t="s">
        <v>5051</v>
      </c>
      <c r="M4223" t="s">
        <v>5055</v>
      </c>
    </row>
    <row r="4224" spans="1:13" x14ac:dyDescent="0.3">
      <c r="A4224" s="1">
        <v>45605</v>
      </c>
      <c r="B4224" s="1" t="str">
        <f>TEXT(Tabla1[[#This Row],[Fecha]],"MMMM")</f>
        <v>noviembre</v>
      </c>
      <c r="C4224" t="s">
        <v>4234</v>
      </c>
      <c r="D4224" t="s">
        <v>5027</v>
      </c>
      <c r="E4224" t="s">
        <v>5033</v>
      </c>
      <c r="F4224" t="s">
        <v>5041</v>
      </c>
      <c r="G4224" s="3">
        <v>7716.35</v>
      </c>
      <c r="H4224" s="3">
        <v>1003.13</v>
      </c>
      <c r="I4224" s="3">
        <f>SUM(Tabla1[[#This Row],[Monto_Base]],H4224)</f>
        <v>8719.48</v>
      </c>
      <c r="J4224" t="s">
        <v>5045</v>
      </c>
      <c r="K4224" t="s">
        <v>5049</v>
      </c>
      <c r="L4224" t="s">
        <v>5053</v>
      </c>
      <c r="M4224" t="s">
        <v>5055</v>
      </c>
    </row>
    <row r="4225" spans="1:13" x14ac:dyDescent="0.3">
      <c r="A4225" s="1">
        <v>45352</v>
      </c>
      <c r="B4225" s="1" t="str">
        <f>TEXT(Tabla1[[#This Row],[Fecha]],"MMMM")</f>
        <v>marzo</v>
      </c>
      <c r="C4225" t="s">
        <v>4235</v>
      </c>
      <c r="D4225" t="s">
        <v>5013</v>
      </c>
      <c r="E4225" t="s">
        <v>5033</v>
      </c>
      <c r="F4225" t="s">
        <v>5039</v>
      </c>
      <c r="G4225" s="3">
        <v>14402.4</v>
      </c>
      <c r="H4225" s="3">
        <v>1872.31</v>
      </c>
      <c r="I4225" s="3">
        <f>SUM(Tabla1[[#This Row],[Monto_Base]],H4225)</f>
        <v>16274.71</v>
      </c>
      <c r="J4225" t="s">
        <v>5043</v>
      </c>
      <c r="K4225" t="s">
        <v>5049</v>
      </c>
      <c r="L4225" t="s">
        <v>5051</v>
      </c>
      <c r="M4225" t="s">
        <v>5054</v>
      </c>
    </row>
    <row r="4226" spans="1:13" x14ac:dyDescent="0.3">
      <c r="A4226" s="1">
        <v>45386</v>
      </c>
      <c r="B4226" s="1" t="str">
        <f>TEXT(Tabla1[[#This Row],[Fecha]],"MMMM")</f>
        <v>abril</v>
      </c>
      <c r="C4226" t="s">
        <v>4236</v>
      </c>
      <c r="D4226" t="s">
        <v>5026</v>
      </c>
      <c r="E4226" t="s">
        <v>5033</v>
      </c>
      <c r="F4226" t="s">
        <v>5034</v>
      </c>
      <c r="G4226" s="3">
        <v>14335.79</v>
      </c>
      <c r="H4226" s="3">
        <v>1863.65</v>
      </c>
      <c r="I4226" s="3">
        <f>SUM(Tabla1[[#This Row],[Monto_Base]],H4226)</f>
        <v>16199.44</v>
      </c>
      <c r="J4226" t="s">
        <v>5044</v>
      </c>
      <c r="K4226" t="s">
        <v>5048</v>
      </c>
      <c r="L4226" t="s">
        <v>5050</v>
      </c>
      <c r="M4226" t="s">
        <v>5055</v>
      </c>
    </row>
    <row r="4227" spans="1:13" x14ac:dyDescent="0.3">
      <c r="A4227" s="1">
        <v>45468</v>
      </c>
      <c r="B4227" s="1" t="str">
        <f>TEXT(Tabla1[[#This Row],[Fecha]],"MMMM")</f>
        <v>junio</v>
      </c>
      <c r="C4227" t="s">
        <v>4237</v>
      </c>
      <c r="D4227" t="s">
        <v>5015</v>
      </c>
      <c r="E4227" t="s">
        <v>5033</v>
      </c>
      <c r="F4227" t="s">
        <v>5034</v>
      </c>
      <c r="G4227" s="3">
        <v>7810.59</v>
      </c>
      <c r="H4227" s="3">
        <v>1015.38</v>
      </c>
      <c r="I4227" s="3">
        <f>SUM(Tabla1[[#This Row],[Monto_Base]],H4227)</f>
        <v>8825.9699999999993</v>
      </c>
      <c r="J4227" t="s">
        <v>5043</v>
      </c>
      <c r="K4227" t="s">
        <v>5047</v>
      </c>
      <c r="L4227" t="s">
        <v>5050</v>
      </c>
      <c r="M4227" t="s">
        <v>5054</v>
      </c>
    </row>
    <row r="4228" spans="1:13" x14ac:dyDescent="0.3">
      <c r="A4228" s="1">
        <v>45381</v>
      </c>
      <c r="B4228" s="1" t="str">
        <f>TEXT(Tabla1[[#This Row],[Fecha]],"MMMM")</f>
        <v>marzo</v>
      </c>
      <c r="C4228" t="s">
        <v>4238</v>
      </c>
      <c r="D4228" t="s">
        <v>5030</v>
      </c>
      <c r="E4228" t="s">
        <v>5032</v>
      </c>
      <c r="F4228" t="s">
        <v>5036</v>
      </c>
      <c r="G4228" s="3">
        <v>2882.72</v>
      </c>
      <c r="H4228" s="3">
        <v>0</v>
      </c>
      <c r="I4228" s="3">
        <f>SUM(Tabla1[[#This Row],[Monto_Base]],H4228)</f>
        <v>2882.72</v>
      </c>
      <c r="J4228" t="s">
        <v>5043</v>
      </c>
      <c r="K4228" t="s">
        <v>5049</v>
      </c>
      <c r="L4228" t="s">
        <v>5050</v>
      </c>
      <c r="M4228" t="s">
        <v>5054</v>
      </c>
    </row>
    <row r="4229" spans="1:13" x14ac:dyDescent="0.3">
      <c r="A4229" s="1">
        <v>45542</v>
      </c>
      <c r="B4229" s="1" t="str">
        <f>TEXT(Tabla1[[#This Row],[Fecha]],"MMMM")</f>
        <v>septiembre</v>
      </c>
      <c r="C4229" t="s">
        <v>4239</v>
      </c>
      <c r="D4229" t="s">
        <v>5017</v>
      </c>
      <c r="E4229" t="s">
        <v>5032</v>
      </c>
      <c r="F4229" t="s">
        <v>5041</v>
      </c>
      <c r="G4229" s="3">
        <v>3526.22</v>
      </c>
      <c r="H4229" s="3">
        <v>0</v>
      </c>
      <c r="I4229" s="3">
        <f>SUM(Tabla1[[#This Row],[Monto_Base]],H4229)</f>
        <v>3526.22</v>
      </c>
      <c r="J4229" t="s">
        <v>5044</v>
      </c>
      <c r="K4229" t="s">
        <v>5047</v>
      </c>
      <c r="L4229" t="s">
        <v>5053</v>
      </c>
      <c r="M4229" t="s">
        <v>5055</v>
      </c>
    </row>
    <row r="4230" spans="1:13" x14ac:dyDescent="0.3">
      <c r="A4230" s="1">
        <v>45596</v>
      </c>
      <c r="B4230" s="1" t="str">
        <f>TEXT(Tabla1[[#This Row],[Fecha]],"MMMM")</f>
        <v>octubre</v>
      </c>
      <c r="C4230" t="s">
        <v>4240</v>
      </c>
      <c r="D4230" t="s">
        <v>5012</v>
      </c>
      <c r="E4230" t="s">
        <v>5032</v>
      </c>
      <c r="F4230" t="s">
        <v>5039</v>
      </c>
      <c r="G4230" s="3">
        <v>568.55999999999995</v>
      </c>
      <c r="H4230" s="3">
        <v>0</v>
      </c>
      <c r="I4230" s="3">
        <f>SUM(Tabla1[[#This Row],[Monto_Base]],H4230)</f>
        <v>568.55999999999995</v>
      </c>
      <c r="J4230" t="s">
        <v>5046</v>
      </c>
      <c r="K4230" t="s">
        <v>5048</v>
      </c>
      <c r="L4230" t="s">
        <v>5051</v>
      </c>
      <c r="M4230" t="s">
        <v>5054</v>
      </c>
    </row>
    <row r="4231" spans="1:13" x14ac:dyDescent="0.3">
      <c r="A4231" s="1">
        <v>45607</v>
      </c>
      <c r="B4231" s="1" t="str">
        <f>TEXT(Tabla1[[#This Row],[Fecha]],"MMMM")</f>
        <v>noviembre</v>
      </c>
      <c r="C4231" t="s">
        <v>4241</v>
      </c>
      <c r="D4231" t="s">
        <v>5016</v>
      </c>
      <c r="E4231" t="s">
        <v>5032</v>
      </c>
      <c r="F4231" t="s">
        <v>5036</v>
      </c>
      <c r="G4231" s="3">
        <v>9283.32</v>
      </c>
      <c r="H4231" s="3">
        <v>0</v>
      </c>
      <c r="I4231" s="3">
        <f>SUM(Tabla1[[#This Row],[Monto_Base]],H4231)</f>
        <v>9283.32</v>
      </c>
      <c r="J4231" t="s">
        <v>5044</v>
      </c>
      <c r="K4231" t="s">
        <v>5047</v>
      </c>
      <c r="L4231" t="s">
        <v>5051</v>
      </c>
      <c r="M4231" t="s">
        <v>5054</v>
      </c>
    </row>
    <row r="4232" spans="1:13" x14ac:dyDescent="0.3">
      <c r="A4232" s="1">
        <v>45620</v>
      </c>
      <c r="B4232" s="1" t="str">
        <f>TEXT(Tabla1[[#This Row],[Fecha]],"MMMM")</f>
        <v>noviembre</v>
      </c>
      <c r="C4232" t="s">
        <v>4242</v>
      </c>
      <c r="D4232" t="s">
        <v>5014</v>
      </c>
      <c r="E4232" t="s">
        <v>5033</v>
      </c>
      <c r="F4232" t="s">
        <v>5040</v>
      </c>
      <c r="G4232" s="3">
        <v>3432.06</v>
      </c>
      <c r="H4232" s="3">
        <v>446.17</v>
      </c>
      <c r="I4232" s="3">
        <f>SUM(Tabla1[[#This Row],[Monto_Base]],H4232)</f>
        <v>3878.23</v>
      </c>
      <c r="J4232" t="s">
        <v>5045</v>
      </c>
      <c r="K4232" t="s">
        <v>5049</v>
      </c>
      <c r="L4232" t="s">
        <v>5051</v>
      </c>
      <c r="M4232" t="s">
        <v>5055</v>
      </c>
    </row>
    <row r="4233" spans="1:13" x14ac:dyDescent="0.3">
      <c r="A4233" s="1">
        <v>45385</v>
      </c>
      <c r="B4233" s="1" t="str">
        <f>TEXT(Tabla1[[#This Row],[Fecha]],"MMMM")</f>
        <v>abril</v>
      </c>
      <c r="C4233" t="s">
        <v>4243</v>
      </c>
      <c r="D4233" t="s">
        <v>5025</v>
      </c>
      <c r="E4233" t="s">
        <v>5033</v>
      </c>
      <c r="F4233" t="s">
        <v>5037</v>
      </c>
      <c r="G4233" s="3">
        <v>4465.9799999999996</v>
      </c>
      <c r="H4233" s="3">
        <v>580.58000000000004</v>
      </c>
      <c r="I4233" s="3">
        <f>SUM(Tabla1[[#This Row],[Monto_Base]],H4233)</f>
        <v>5046.5599999999995</v>
      </c>
      <c r="J4233" t="s">
        <v>5043</v>
      </c>
      <c r="K4233" t="s">
        <v>5047</v>
      </c>
      <c r="L4233" t="s">
        <v>5050</v>
      </c>
      <c r="M4233" t="s">
        <v>5055</v>
      </c>
    </row>
    <row r="4234" spans="1:13" x14ac:dyDescent="0.3">
      <c r="A4234" s="1">
        <v>45640</v>
      </c>
      <c r="B4234" s="1" t="str">
        <f>TEXT(Tabla1[[#This Row],[Fecha]],"MMMM")</f>
        <v>diciembre</v>
      </c>
      <c r="C4234" t="s">
        <v>4244</v>
      </c>
      <c r="D4234" t="s">
        <v>5028</v>
      </c>
      <c r="E4234" t="s">
        <v>5033</v>
      </c>
      <c r="F4234" t="s">
        <v>5036</v>
      </c>
      <c r="G4234" s="3">
        <v>6363.02</v>
      </c>
      <c r="H4234" s="3">
        <v>827.19</v>
      </c>
      <c r="I4234" s="3">
        <f>SUM(Tabla1[[#This Row],[Monto_Base]],H4234)</f>
        <v>7190.2100000000009</v>
      </c>
      <c r="J4234" t="s">
        <v>5045</v>
      </c>
      <c r="K4234" t="s">
        <v>5047</v>
      </c>
      <c r="L4234" t="s">
        <v>5052</v>
      </c>
      <c r="M4234" t="s">
        <v>5054</v>
      </c>
    </row>
    <row r="4235" spans="1:13" x14ac:dyDescent="0.3">
      <c r="A4235" s="1">
        <v>45617</v>
      </c>
      <c r="B4235" s="1" t="str">
        <f>TEXT(Tabla1[[#This Row],[Fecha]],"MMMM")</f>
        <v>noviembre</v>
      </c>
      <c r="C4235" t="s">
        <v>4245</v>
      </c>
      <c r="D4235" t="s">
        <v>5015</v>
      </c>
      <c r="E4235" t="s">
        <v>5033</v>
      </c>
      <c r="F4235" t="s">
        <v>5036</v>
      </c>
      <c r="G4235" s="3">
        <v>9912.59</v>
      </c>
      <c r="H4235" s="3">
        <v>1288.6400000000001</v>
      </c>
      <c r="I4235" s="3">
        <f>SUM(Tabla1[[#This Row],[Monto_Base]],H4235)</f>
        <v>11201.23</v>
      </c>
      <c r="J4235" t="s">
        <v>5045</v>
      </c>
      <c r="K4235" t="s">
        <v>5047</v>
      </c>
      <c r="L4235" t="s">
        <v>5052</v>
      </c>
      <c r="M4235" t="s">
        <v>5054</v>
      </c>
    </row>
    <row r="4236" spans="1:13" x14ac:dyDescent="0.3">
      <c r="A4236" s="1">
        <v>45638</v>
      </c>
      <c r="B4236" s="1" t="str">
        <f>TEXT(Tabla1[[#This Row],[Fecha]],"MMMM")</f>
        <v>diciembre</v>
      </c>
      <c r="C4236" t="s">
        <v>4246</v>
      </c>
      <c r="D4236" t="s">
        <v>5012</v>
      </c>
      <c r="E4236" t="s">
        <v>5032</v>
      </c>
      <c r="F4236" t="s">
        <v>5040</v>
      </c>
      <c r="G4236" s="3">
        <v>2856.47</v>
      </c>
      <c r="H4236" s="3">
        <v>0</v>
      </c>
      <c r="I4236" s="3">
        <f>SUM(Tabla1[[#This Row],[Monto_Base]],H4236)</f>
        <v>2856.47</v>
      </c>
      <c r="J4236" t="s">
        <v>5045</v>
      </c>
      <c r="K4236" t="s">
        <v>5047</v>
      </c>
      <c r="L4236" t="s">
        <v>5051</v>
      </c>
      <c r="M4236" t="s">
        <v>5055</v>
      </c>
    </row>
    <row r="4237" spans="1:13" x14ac:dyDescent="0.3">
      <c r="A4237" s="1">
        <v>45363</v>
      </c>
      <c r="B4237" s="1" t="str">
        <f>TEXT(Tabla1[[#This Row],[Fecha]],"MMMM")</f>
        <v>marzo</v>
      </c>
      <c r="C4237" t="s">
        <v>4247</v>
      </c>
      <c r="D4237" t="s">
        <v>5016</v>
      </c>
      <c r="E4237" t="s">
        <v>5032</v>
      </c>
      <c r="F4237" t="s">
        <v>5036</v>
      </c>
      <c r="G4237" s="3">
        <v>2599.4299999999998</v>
      </c>
      <c r="H4237" s="3">
        <v>0</v>
      </c>
      <c r="I4237" s="3">
        <f>SUM(Tabla1[[#This Row],[Monto_Base]],H4237)</f>
        <v>2599.4299999999998</v>
      </c>
      <c r="J4237" t="s">
        <v>5046</v>
      </c>
      <c r="K4237" t="s">
        <v>5047</v>
      </c>
      <c r="L4237" t="s">
        <v>5052</v>
      </c>
      <c r="M4237" t="s">
        <v>5054</v>
      </c>
    </row>
    <row r="4238" spans="1:13" x14ac:dyDescent="0.3">
      <c r="A4238" s="1">
        <v>45456</v>
      </c>
      <c r="B4238" s="1" t="str">
        <f>TEXT(Tabla1[[#This Row],[Fecha]],"MMMM")</f>
        <v>junio</v>
      </c>
      <c r="C4238" t="s">
        <v>4248</v>
      </c>
      <c r="D4238" t="s">
        <v>5023</v>
      </c>
      <c r="E4238" t="s">
        <v>5032</v>
      </c>
      <c r="F4238" t="s">
        <v>5034</v>
      </c>
      <c r="G4238" s="3">
        <v>7879.65</v>
      </c>
      <c r="H4238" s="3">
        <v>0</v>
      </c>
      <c r="I4238" s="3">
        <f>SUM(Tabla1[[#This Row],[Monto_Base]],H4238)</f>
        <v>7879.65</v>
      </c>
      <c r="J4238" t="s">
        <v>5043</v>
      </c>
      <c r="K4238" t="s">
        <v>5047</v>
      </c>
      <c r="L4238" t="s">
        <v>5051</v>
      </c>
      <c r="M4238" t="s">
        <v>5054</v>
      </c>
    </row>
    <row r="4239" spans="1:13" x14ac:dyDescent="0.3">
      <c r="A4239" s="1">
        <v>45472</v>
      </c>
      <c r="B4239" s="1" t="str">
        <f>TEXT(Tabla1[[#This Row],[Fecha]],"MMMM")</f>
        <v>junio</v>
      </c>
      <c r="C4239" t="s">
        <v>4249</v>
      </c>
      <c r="D4239" t="s">
        <v>5017</v>
      </c>
      <c r="E4239" t="s">
        <v>5032</v>
      </c>
      <c r="F4239" t="s">
        <v>5035</v>
      </c>
      <c r="G4239" s="3">
        <v>14760.51</v>
      </c>
      <c r="H4239" s="3">
        <v>0</v>
      </c>
      <c r="I4239" s="3">
        <f>SUM(Tabla1[[#This Row],[Monto_Base]],H4239)</f>
        <v>14760.51</v>
      </c>
      <c r="J4239" t="s">
        <v>5042</v>
      </c>
      <c r="K4239" t="s">
        <v>5048</v>
      </c>
      <c r="L4239" t="s">
        <v>5052</v>
      </c>
      <c r="M4239" t="s">
        <v>5055</v>
      </c>
    </row>
    <row r="4240" spans="1:13" x14ac:dyDescent="0.3">
      <c r="A4240" s="1">
        <v>45575</v>
      </c>
      <c r="B4240" s="1" t="str">
        <f>TEXT(Tabla1[[#This Row],[Fecha]],"MMMM")</f>
        <v>octubre</v>
      </c>
      <c r="C4240" t="s">
        <v>4250</v>
      </c>
      <c r="D4240" t="s">
        <v>5013</v>
      </c>
      <c r="E4240" t="s">
        <v>5033</v>
      </c>
      <c r="F4240" t="s">
        <v>5036</v>
      </c>
      <c r="G4240" s="3">
        <v>6392.55</v>
      </c>
      <c r="H4240" s="3">
        <v>831.03</v>
      </c>
      <c r="I4240" s="3">
        <f>SUM(Tabla1[[#This Row],[Monto_Base]],H4240)</f>
        <v>7223.58</v>
      </c>
      <c r="J4240" t="s">
        <v>5046</v>
      </c>
      <c r="K4240" t="s">
        <v>5047</v>
      </c>
      <c r="L4240" t="s">
        <v>5050</v>
      </c>
      <c r="M4240" t="s">
        <v>5054</v>
      </c>
    </row>
    <row r="4241" spans="1:13" x14ac:dyDescent="0.3">
      <c r="A4241" s="1">
        <v>45346</v>
      </c>
      <c r="B4241" s="1" t="str">
        <f>TEXT(Tabla1[[#This Row],[Fecha]],"MMMM")</f>
        <v>febrero</v>
      </c>
      <c r="C4241" t="s">
        <v>4251</v>
      </c>
      <c r="D4241" t="s">
        <v>5031</v>
      </c>
      <c r="E4241" t="s">
        <v>5033</v>
      </c>
      <c r="F4241" t="s">
        <v>5041</v>
      </c>
      <c r="G4241" s="3">
        <v>1060.71</v>
      </c>
      <c r="H4241" s="3">
        <v>137.88999999999999</v>
      </c>
      <c r="I4241" s="3">
        <f>SUM(Tabla1[[#This Row],[Monto_Base]],H4241)</f>
        <v>1198.5999999999999</v>
      </c>
      <c r="J4241" t="s">
        <v>5042</v>
      </c>
      <c r="K4241" t="s">
        <v>5047</v>
      </c>
      <c r="L4241" t="s">
        <v>5053</v>
      </c>
      <c r="M4241" t="s">
        <v>5055</v>
      </c>
    </row>
    <row r="4242" spans="1:13" x14ac:dyDescent="0.3">
      <c r="A4242" s="1">
        <v>45618</v>
      </c>
      <c r="B4242" s="1" t="str">
        <f>TEXT(Tabla1[[#This Row],[Fecha]],"MMMM")</f>
        <v>noviembre</v>
      </c>
      <c r="C4242" t="s">
        <v>4252</v>
      </c>
      <c r="D4242" t="s">
        <v>5029</v>
      </c>
      <c r="E4242" t="s">
        <v>5033</v>
      </c>
      <c r="F4242" t="s">
        <v>5035</v>
      </c>
      <c r="G4242" s="3">
        <v>3000.27</v>
      </c>
      <c r="H4242" s="3">
        <v>390.04</v>
      </c>
      <c r="I4242" s="3">
        <f>SUM(Tabla1[[#This Row],[Monto_Base]],H4242)</f>
        <v>3390.31</v>
      </c>
      <c r="J4242" t="s">
        <v>5044</v>
      </c>
      <c r="K4242" t="s">
        <v>5049</v>
      </c>
      <c r="L4242" t="s">
        <v>5050</v>
      </c>
      <c r="M4242" t="s">
        <v>5054</v>
      </c>
    </row>
    <row r="4243" spans="1:13" x14ac:dyDescent="0.3">
      <c r="A4243" s="1">
        <v>45635</v>
      </c>
      <c r="B4243" s="1" t="str">
        <f>TEXT(Tabla1[[#This Row],[Fecha]],"MMMM")</f>
        <v>diciembre</v>
      </c>
      <c r="C4243" t="s">
        <v>4253</v>
      </c>
      <c r="D4243" t="s">
        <v>5013</v>
      </c>
      <c r="E4243" t="s">
        <v>5033</v>
      </c>
      <c r="F4243" t="s">
        <v>5034</v>
      </c>
      <c r="G4243" s="3">
        <v>6708.54</v>
      </c>
      <c r="H4243" s="3">
        <v>872.11</v>
      </c>
      <c r="I4243" s="3">
        <f>SUM(Tabla1[[#This Row],[Monto_Base]],H4243)</f>
        <v>7580.65</v>
      </c>
      <c r="J4243" t="s">
        <v>5044</v>
      </c>
      <c r="K4243" t="s">
        <v>5049</v>
      </c>
      <c r="L4243" t="s">
        <v>5051</v>
      </c>
      <c r="M4243" t="s">
        <v>5055</v>
      </c>
    </row>
    <row r="4244" spans="1:13" x14ac:dyDescent="0.3">
      <c r="A4244" s="1">
        <v>45517</v>
      </c>
      <c r="B4244" s="1" t="str">
        <f>TEXT(Tabla1[[#This Row],[Fecha]],"MMMM")</f>
        <v>agosto</v>
      </c>
      <c r="C4244" t="s">
        <v>4254</v>
      </c>
      <c r="D4244" t="s">
        <v>5021</v>
      </c>
      <c r="E4244" t="s">
        <v>5032</v>
      </c>
      <c r="F4244" t="s">
        <v>5040</v>
      </c>
      <c r="G4244" s="3">
        <v>4663.37</v>
      </c>
      <c r="H4244" s="3">
        <v>0</v>
      </c>
      <c r="I4244" s="3">
        <f>SUM(Tabla1[[#This Row],[Monto_Base]],H4244)</f>
        <v>4663.37</v>
      </c>
      <c r="J4244" t="s">
        <v>5043</v>
      </c>
      <c r="K4244" t="s">
        <v>5047</v>
      </c>
      <c r="L4244" t="s">
        <v>5053</v>
      </c>
      <c r="M4244" t="s">
        <v>5055</v>
      </c>
    </row>
    <row r="4245" spans="1:13" x14ac:dyDescent="0.3">
      <c r="A4245" s="1">
        <v>45427</v>
      </c>
      <c r="B4245" s="1" t="str">
        <f>TEXT(Tabla1[[#This Row],[Fecha]],"MMMM")</f>
        <v>mayo</v>
      </c>
      <c r="C4245" t="s">
        <v>4255</v>
      </c>
      <c r="D4245" t="s">
        <v>5015</v>
      </c>
      <c r="E4245" t="s">
        <v>5032</v>
      </c>
      <c r="F4245" t="s">
        <v>5039</v>
      </c>
      <c r="G4245" s="3">
        <v>12818.14</v>
      </c>
      <c r="H4245" s="3">
        <v>0</v>
      </c>
      <c r="I4245" s="3">
        <f>SUM(Tabla1[[#This Row],[Monto_Base]],H4245)</f>
        <v>12818.14</v>
      </c>
      <c r="J4245" t="s">
        <v>5042</v>
      </c>
      <c r="K4245" t="s">
        <v>5049</v>
      </c>
      <c r="L4245" t="s">
        <v>5053</v>
      </c>
      <c r="M4245" t="s">
        <v>5054</v>
      </c>
    </row>
    <row r="4246" spans="1:13" x14ac:dyDescent="0.3">
      <c r="A4246" s="1">
        <v>45456</v>
      </c>
      <c r="B4246" s="1" t="str">
        <f>TEXT(Tabla1[[#This Row],[Fecha]],"MMMM")</f>
        <v>junio</v>
      </c>
      <c r="C4246" t="s">
        <v>4256</v>
      </c>
      <c r="D4246" t="s">
        <v>5023</v>
      </c>
      <c r="E4246" t="s">
        <v>5033</v>
      </c>
      <c r="F4246" t="s">
        <v>5034</v>
      </c>
      <c r="G4246" s="3">
        <v>7786.24</v>
      </c>
      <c r="H4246" s="3">
        <v>1012.21</v>
      </c>
      <c r="I4246" s="3">
        <f>SUM(Tabla1[[#This Row],[Monto_Base]],H4246)</f>
        <v>8798.4500000000007</v>
      </c>
      <c r="J4246" t="s">
        <v>5045</v>
      </c>
      <c r="K4246" t="s">
        <v>5047</v>
      </c>
      <c r="L4246" t="s">
        <v>5051</v>
      </c>
      <c r="M4246" t="s">
        <v>5055</v>
      </c>
    </row>
    <row r="4247" spans="1:13" x14ac:dyDescent="0.3">
      <c r="A4247" s="1">
        <v>45473</v>
      </c>
      <c r="B4247" s="1" t="str">
        <f>TEXT(Tabla1[[#This Row],[Fecha]],"MMMM")</f>
        <v>junio</v>
      </c>
      <c r="C4247" t="s">
        <v>4257</v>
      </c>
      <c r="D4247" t="s">
        <v>5014</v>
      </c>
      <c r="E4247" t="s">
        <v>5033</v>
      </c>
      <c r="F4247" t="s">
        <v>5040</v>
      </c>
      <c r="G4247" s="3">
        <v>7755.91</v>
      </c>
      <c r="H4247" s="3">
        <v>1008.27</v>
      </c>
      <c r="I4247" s="3">
        <f>SUM(Tabla1[[#This Row],[Monto_Base]],H4247)</f>
        <v>8764.18</v>
      </c>
      <c r="J4247" t="s">
        <v>5046</v>
      </c>
      <c r="K4247" t="s">
        <v>5048</v>
      </c>
      <c r="L4247" t="s">
        <v>5053</v>
      </c>
      <c r="M4247" t="s">
        <v>5055</v>
      </c>
    </row>
    <row r="4248" spans="1:13" x14ac:dyDescent="0.3">
      <c r="A4248" s="1">
        <v>45412</v>
      </c>
      <c r="B4248" s="1" t="str">
        <f>TEXT(Tabla1[[#This Row],[Fecha]],"MMMM")</f>
        <v>abril</v>
      </c>
      <c r="C4248" t="s">
        <v>4258</v>
      </c>
      <c r="D4248" t="s">
        <v>5029</v>
      </c>
      <c r="E4248" t="s">
        <v>5033</v>
      </c>
      <c r="F4248" t="s">
        <v>5040</v>
      </c>
      <c r="G4248" s="3">
        <v>13269.57</v>
      </c>
      <c r="H4248" s="3">
        <v>1725.04</v>
      </c>
      <c r="I4248" s="3">
        <f>SUM(Tabla1[[#This Row],[Monto_Base]],H4248)</f>
        <v>14994.61</v>
      </c>
      <c r="J4248" t="s">
        <v>5046</v>
      </c>
      <c r="K4248" t="s">
        <v>5049</v>
      </c>
      <c r="L4248" t="s">
        <v>5053</v>
      </c>
      <c r="M4248" t="s">
        <v>5055</v>
      </c>
    </row>
    <row r="4249" spans="1:13" x14ac:dyDescent="0.3">
      <c r="A4249" s="1">
        <v>45544</v>
      </c>
      <c r="B4249" s="1" t="str">
        <f>TEXT(Tabla1[[#This Row],[Fecha]],"MMMM")</f>
        <v>septiembre</v>
      </c>
      <c r="C4249" t="s">
        <v>4259</v>
      </c>
      <c r="D4249" t="s">
        <v>5027</v>
      </c>
      <c r="E4249" t="s">
        <v>5032</v>
      </c>
      <c r="F4249" t="s">
        <v>5037</v>
      </c>
      <c r="G4249" s="3">
        <v>10231.89</v>
      </c>
      <c r="H4249" s="3">
        <v>0</v>
      </c>
      <c r="I4249" s="3">
        <f>SUM(Tabla1[[#This Row],[Monto_Base]],H4249)</f>
        <v>10231.89</v>
      </c>
      <c r="J4249" t="s">
        <v>5045</v>
      </c>
      <c r="K4249" t="s">
        <v>5049</v>
      </c>
      <c r="L4249" t="s">
        <v>5050</v>
      </c>
      <c r="M4249" t="s">
        <v>5054</v>
      </c>
    </row>
    <row r="4250" spans="1:13" x14ac:dyDescent="0.3">
      <c r="A4250" s="1">
        <v>45648</v>
      </c>
      <c r="B4250" s="1" t="str">
        <f>TEXT(Tabla1[[#This Row],[Fecha]],"MMMM")</f>
        <v>diciembre</v>
      </c>
      <c r="C4250" t="s">
        <v>4260</v>
      </c>
      <c r="D4250" t="s">
        <v>5013</v>
      </c>
      <c r="E4250" t="s">
        <v>5033</v>
      </c>
      <c r="F4250" t="s">
        <v>5036</v>
      </c>
      <c r="G4250" s="3">
        <v>10793.57</v>
      </c>
      <c r="H4250" s="3">
        <v>1403.16</v>
      </c>
      <c r="I4250" s="3">
        <f>SUM(Tabla1[[#This Row],[Monto_Base]],H4250)</f>
        <v>12196.73</v>
      </c>
      <c r="J4250" t="s">
        <v>5045</v>
      </c>
      <c r="K4250" t="s">
        <v>5047</v>
      </c>
      <c r="L4250" t="s">
        <v>5051</v>
      </c>
      <c r="M4250" t="s">
        <v>5055</v>
      </c>
    </row>
    <row r="4251" spans="1:13" x14ac:dyDescent="0.3">
      <c r="A4251" s="1">
        <v>45350</v>
      </c>
      <c r="B4251" s="1" t="str">
        <f>TEXT(Tabla1[[#This Row],[Fecha]],"MMMM")</f>
        <v>febrero</v>
      </c>
      <c r="C4251" t="s">
        <v>4261</v>
      </c>
      <c r="D4251" t="s">
        <v>5012</v>
      </c>
      <c r="E4251" t="s">
        <v>5033</v>
      </c>
      <c r="F4251" t="s">
        <v>5041</v>
      </c>
      <c r="G4251" s="3">
        <v>3123.15</v>
      </c>
      <c r="H4251" s="3">
        <v>406.01</v>
      </c>
      <c r="I4251" s="3">
        <f>SUM(Tabla1[[#This Row],[Monto_Base]],H4251)</f>
        <v>3529.16</v>
      </c>
      <c r="J4251" t="s">
        <v>5046</v>
      </c>
      <c r="K4251" t="s">
        <v>5048</v>
      </c>
      <c r="L4251" t="s">
        <v>5053</v>
      </c>
      <c r="M4251" t="s">
        <v>5054</v>
      </c>
    </row>
    <row r="4252" spans="1:13" x14ac:dyDescent="0.3">
      <c r="A4252" s="1">
        <v>45402</v>
      </c>
      <c r="B4252" s="1" t="str">
        <f>TEXT(Tabla1[[#This Row],[Fecha]],"MMMM")</f>
        <v>abril</v>
      </c>
      <c r="C4252" t="s">
        <v>4262</v>
      </c>
      <c r="D4252" t="s">
        <v>5025</v>
      </c>
      <c r="E4252" t="s">
        <v>5033</v>
      </c>
      <c r="F4252" t="s">
        <v>5041</v>
      </c>
      <c r="G4252" s="3">
        <v>175.9</v>
      </c>
      <c r="H4252" s="3">
        <v>22.87</v>
      </c>
      <c r="I4252" s="3">
        <f>SUM(Tabla1[[#This Row],[Monto_Base]],H4252)</f>
        <v>198.77</v>
      </c>
      <c r="J4252" t="s">
        <v>5043</v>
      </c>
      <c r="K4252" t="s">
        <v>5049</v>
      </c>
      <c r="L4252" t="s">
        <v>5052</v>
      </c>
      <c r="M4252" t="s">
        <v>5054</v>
      </c>
    </row>
    <row r="4253" spans="1:13" x14ac:dyDescent="0.3">
      <c r="A4253" s="1">
        <v>45438</v>
      </c>
      <c r="B4253" s="1" t="str">
        <f>TEXT(Tabla1[[#This Row],[Fecha]],"MMMM")</f>
        <v>mayo</v>
      </c>
      <c r="C4253" t="s">
        <v>4263</v>
      </c>
      <c r="D4253" t="s">
        <v>5030</v>
      </c>
      <c r="E4253" t="s">
        <v>5033</v>
      </c>
      <c r="F4253" t="s">
        <v>5035</v>
      </c>
      <c r="G4253" s="3">
        <v>13447.53</v>
      </c>
      <c r="H4253" s="3">
        <v>1748.18</v>
      </c>
      <c r="I4253" s="3">
        <f>SUM(Tabla1[[#This Row],[Monto_Base]],H4253)</f>
        <v>15195.710000000001</v>
      </c>
      <c r="J4253" t="s">
        <v>5044</v>
      </c>
      <c r="K4253" t="s">
        <v>5049</v>
      </c>
      <c r="L4253" t="s">
        <v>5052</v>
      </c>
      <c r="M4253" t="s">
        <v>5054</v>
      </c>
    </row>
    <row r="4254" spans="1:13" x14ac:dyDescent="0.3">
      <c r="A4254" s="1">
        <v>45430</v>
      </c>
      <c r="B4254" s="1" t="str">
        <f>TEXT(Tabla1[[#This Row],[Fecha]],"MMMM")</f>
        <v>mayo</v>
      </c>
      <c r="C4254" t="s">
        <v>4264</v>
      </c>
      <c r="D4254" t="s">
        <v>5028</v>
      </c>
      <c r="E4254" t="s">
        <v>5033</v>
      </c>
      <c r="F4254" t="s">
        <v>5037</v>
      </c>
      <c r="G4254" s="3">
        <v>2778.55</v>
      </c>
      <c r="H4254" s="3">
        <v>361.21</v>
      </c>
      <c r="I4254" s="3">
        <f>SUM(Tabla1[[#This Row],[Monto_Base]],H4254)</f>
        <v>3139.76</v>
      </c>
      <c r="J4254" t="s">
        <v>5043</v>
      </c>
      <c r="K4254" t="s">
        <v>5049</v>
      </c>
      <c r="L4254" t="s">
        <v>5051</v>
      </c>
      <c r="M4254" t="s">
        <v>5054</v>
      </c>
    </row>
    <row r="4255" spans="1:13" x14ac:dyDescent="0.3">
      <c r="A4255" s="1">
        <v>45476</v>
      </c>
      <c r="B4255" s="1" t="str">
        <f>TEXT(Tabla1[[#This Row],[Fecha]],"MMMM")</f>
        <v>julio</v>
      </c>
      <c r="C4255" t="s">
        <v>4265</v>
      </c>
      <c r="D4255" t="s">
        <v>5019</v>
      </c>
      <c r="E4255" t="s">
        <v>5032</v>
      </c>
      <c r="F4255" t="s">
        <v>5041</v>
      </c>
      <c r="G4255" s="3">
        <v>3695.32</v>
      </c>
      <c r="H4255" s="3">
        <v>0</v>
      </c>
      <c r="I4255" s="3">
        <f>SUM(Tabla1[[#This Row],[Monto_Base]],H4255)</f>
        <v>3695.32</v>
      </c>
      <c r="J4255" t="s">
        <v>5044</v>
      </c>
      <c r="K4255" t="s">
        <v>5047</v>
      </c>
      <c r="L4255" t="s">
        <v>5050</v>
      </c>
      <c r="M4255" t="s">
        <v>5055</v>
      </c>
    </row>
    <row r="4256" spans="1:13" x14ac:dyDescent="0.3">
      <c r="A4256" s="1">
        <v>45404</v>
      </c>
      <c r="B4256" s="1" t="str">
        <f>TEXT(Tabla1[[#This Row],[Fecha]],"MMMM")</f>
        <v>abril</v>
      </c>
      <c r="C4256" t="s">
        <v>4266</v>
      </c>
      <c r="D4256" t="s">
        <v>5031</v>
      </c>
      <c r="E4256" t="s">
        <v>5033</v>
      </c>
      <c r="F4256" t="s">
        <v>5040</v>
      </c>
      <c r="G4256" s="3">
        <v>10761.74</v>
      </c>
      <c r="H4256" s="3">
        <v>1399.03</v>
      </c>
      <c r="I4256" s="3">
        <f>SUM(Tabla1[[#This Row],[Monto_Base]],H4256)</f>
        <v>12160.77</v>
      </c>
      <c r="J4256" t="s">
        <v>5043</v>
      </c>
      <c r="K4256" t="s">
        <v>5048</v>
      </c>
      <c r="L4256" t="s">
        <v>5053</v>
      </c>
      <c r="M4256" t="s">
        <v>5054</v>
      </c>
    </row>
    <row r="4257" spans="1:13" x14ac:dyDescent="0.3">
      <c r="A4257" s="1">
        <v>45536</v>
      </c>
      <c r="B4257" s="1" t="str">
        <f>TEXT(Tabla1[[#This Row],[Fecha]],"MMMM")</f>
        <v>septiembre</v>
      </c>
      <c r="C4257" t="s">
        <v>4267</v>
      </c>
      <c r="D4257" t="s">
        <v>5018</v>
      </c>
      <c r="E4257" t="s">
        <v>5033</v>
      </c>
      <c r="F4257" t="s">
        <v>5035</v>
      </c>
      <c r="G4257" s="3">
        <v>9339.9</v>
      </c>
      <c r="H4257" s="3">
        <v>1214.19</v>
      </c>
      <c r="I4257" s="3">
        <f>SUM(Tabla1[[#This Row],[Monto_Base]],H4257)</f>
        <v>10554.09</v>
      </c>
      <c r="J4257" t="s">
        <v>5042</v>
      </c>
      <c r="K4257" t="s">
        <v>5049</v>
      </c>
      <c r="L4257" t="s">
        <v>5053</v>
      </c>
      <c r="M4257" t="s">
        <v>5054</v>
      </c>
    </row>
    <row r="4258" spans="1:13" x14ac:dyDescent="0.3">
      <c r="A4258" s="1">
        <v>45504</v>
      </c>
      <c r="B4258" s="1" t="str">
        <f>TEXT(Tabla1[[#This Row],[Fecha]],"MMMM")</f>
        <v>julio</v>
      </c>
      <c r="C4258" t="s">
        <v>4268</v>
      </c>
      <c r="D4258" t="s">
        <v>5020</v>
      </c>
      <c r="E4258" t="s">
        <v>5033</v>
      </c>
      <c r="F4258" t="s">
        <v>5036</v>
      </c>
      <c r="G4258" s="3">
        <v>8547.1299999999992</v>
      </c>
      <c r="H4258" s="3">
        <v>1111.1300000000001</v>
      </c>
      <c r="I4258" s="3">
        <f>SUM(Tabla1[[#This Row],[Monto_Base]],H4258)</f>
        <v>9658.2599999999984</v>
      </c>
      <c r="J4258" t="s">
        <v>5042</v>
      </c>
      <c r="K4258" t="s">
        <v>5049</v>
      </c>
      <c r="L4258" t="s">
        <v>5051</v>
      </c>
      <c r="M4258" t="s">
        <v>5055</v>
      </c>
    </row>
    <row r="4259" spans="1:13" x14ac:dyDescent="0.3">
      <c r="A4259" s="1">
        <v>45648</v>
      </c>
      <c r="B4259" s="1" t="str">
        <f>TEXT(Tabla1[[#This Row],[Fecha]],"MMMM")</f>
        <v>diciembre</v>
      </c>
      <c r="C4259" t="s">
        <v>4269</v>
      </c>
      <c r="D4259" t="s">
        <v>5019</v>
      </c>
      <c r="E4259" t="s">
        <v>5032</v>
      </c>
      <c r="F4259" t="s">
        <v>5041</v>
      </c>
      <c r="G4259" s="3">
        <v>14983.52</v>
      </c>
      <c r="H4259" s="3">
        <v>0</v>
      </c>
      <c r="I4259" s="3">
        <f>SUM(Tabla1[[#This Row],[Monto_Base]],H4259)</f>
        <v>14983.52</v>
      </c>
      <c r="J4259" t="s">
        <v>5042</v>
      </c>
      <c r="K4259" t="s">
        <v>5047</v>
      </c>
      <c r="L4259" t="s">
        <v>5050</v>
      </c>
      <c r="M4259" t="s">
        <v>5055</v>
      </c>
    </row>
    <row r="4260" spans="1:13" x14ac:dyDescent="0.3">
      <c r="A4260" s="1">
        <v>45617</v>
      </c>
      <c r="B4260" s="1" t="str">
        <f>TEXT(Tabla1[[#This Row],[Fecha]],"MMMM")</f>
        <v>noviembre</v>
      </c>
      <c r="C4260" t="s">
        <v>4270</v>
      </c>
      <c r="D4260" t="s">
        <v>5028</v>
      </c>
      <c r="E4260" t="s">
        <v>5033</v>
      </c>
      <c r="F4260" t="s">
        <v>5040</v>
      </c>
      <c r="G4260" s="3">
        <v>3941.48</v>
      </c>
      <c r="H4260" s="3">
        <v>512.39</v>
      </c>
      <c r="I4260" s="3">
        <f>SUM(Tabla1[[#This Row],[Monto_Base]],H4260)</f>
        <v>4453.87</v>
      </c>
      <c r="J4260" t="s">
        <v>5044</v>
      </c>
      <c r="K4260" t="s">
        <v>5047</v>
      </c>
      <c r="L4260" t="s">
        <v>5051</v>
      </c>
      <c r="M4260" t="s">
        <v>5055</v>
      </c>
    </row>
    <row r="4261" spans="1:13" x14ac:dyDescent="0.3">
      <c r="A4261" s="1">
        <v>45381</v>
      </c>
      <c r="B4261" s="1" t="str">
        <f>TEXT(Tabla1[[#This Row],[Fecha]],"MMMM")</f>
        <v>marzo</v>
      </c>
      <c r="C4261" t="s">
        <v>4271</v>
      </c>
      <c r="D4261" t="s">
        <v>5025</v>
      </c>
      <c r="E4261" t="s">
        <v>5032</v>
      </c>
      <c r="F4261" t="s">
        <v>5035</v>
      </c>
      <c r="G4261" s="3">
        <v>8481.4500000000007</v>
      </c>
      <c r="H4261" s="3">
        <v>0</v>
      </c>
      <c r="I4261" s="3">
        <f>SUM(Tabla1[[#This Row],[Monto_Base]],H4261)</f>
        <v>8481.4500000000007</v>
      </c>
      <c r="J4261" t="s">
        <v>5045</v>
      </c>
      <c r="K4261" t="s">
        <v>5047</v>
      </c>
      <c r="L4261" t="s">
        <v>5050</v>
      </c>
      <c r="M4261" t="s">
        <v>5055</v>
      </c>
    </row>
    <row r="4262" spans="1:13" x14ac:dyDescent="0.3">
      <c r="A4262" s="1">
        <v>45304</v>
      </c>
      <c r="B4262" s="1" t="str">
        <f>TEXT(Tabla1[[#This Row],[Fecha]],"MMMM")</f>
        <v>enero</v>
      </c>
      <c r="C4262" t="s">
        <v>4272</v>
      </c>
      <c r="D4262" t="s">
        <v>5014</v>
      </c>
      <c r="E4262" t="s">
        <v>5033</v>
      </c>
      <c r="F4262" t="s">
        <v>5035</v>
      </c>
      <c r="G4262" s="3">
        <v>13875.1</v>
      </c>
      <c r="H4262" s="3">
        <v>1803.76</v>
      </c>
      <c r="I4262" s="3">
        <f>SUM(Tabla1[[#This Row],[Monto_Base]],H4262)</f>
        <v>15678.86</v>
      </c>
      <c r="J4262" t="s">
        <v>5045</v>
      </c>
      <c r="K4262" t="s">
        <v>5047</v>
      </c>
      <c r="L4262" t="s">
        <v>5051</v>
      </c>
      <c r="M4262" t="s">
        <v>5054</v>
      </c>
    </row>
    <row r="4263" spans="1:13" x14ac:dyDescent="0.3">
      <c r="A4263" s="1">
        <v>45537</v>
      </c>
      <c r="B4263" s="1" t="str">
        <f>TEXT(Tabla1[[#This Row],[Fecha]],"MMMM")</f>
        <v>septiembre</v>
      </c>
      <c r="C4263" t="s">
        <v>4273</v>
      </c>
      <c r="D4263" t="s">
        <v>5022</v>
      </c>
      <c r="E4263" t="s">
        <v>5032</v>
      </c>
      <c r="F4263" t="s">
        <v>5035</v>
      </c>
      <c r="G4263" s="3">
        <v>5844.6</v>
      </c>
      <c r="H4263" s="3">
        <v>0</v>
      </c>
      <c r="I4263" s="3">
        <f>SUM(Tabla1[[#This Row],[Monto_Base]],H4263)</f>
        <v>5844.6</v>
      </c>
      <c r="J4263" t="s">
        <v>5045</v>
      </c>
      <c r="K4263" t="s">
        <v>5049</v>
      </c>
      <c r="L4263" t="s">
        <v>5053</v>
      </c>
      <c r="M4263" t="s">
        <v>5055</v>
      </c>
    </row>
    <row r="4264" spans="1:13" x14ac:dyDescent="0.3">
      <c r="A4264" s="1">
        <v>45294</v>
      </c>
      <c r="B4264" s="1" t="str">
        <f>TEXT(Tabla1[[#This Row],[Fecha]],"MMMM")</f>
        <v>enero</v>
      </c>
      <c r="C4264" t="s">
        <v>4274</v>
      </c>
      <c r="D4264" t="s">
        <v>5019</v>
      </c>
      <c r="E4264" t="s">
        <v>5032</v>
      </c>
      <c r="F4264" t="s">
        <v>5038</v>
      </c>
      <c r="G4264" s="3">
        <v>7811.25</v>
      </c>
      <c r="H4264" s="3">
        <v>0</v>
      </c>
      <c r="I4264" s="3">
        <f>SUM(Tabla1[[#This Row],[Monto_Base]],H4264)</f>
        <v>7811.25</v>
      </c>
      <c r="J4264" t="s">
        <v>5045</v>
      </c>
      <c r="K4264" t="s">
        <v>5047</v>
      </c>
      <c r="L4264" t="s">
        <v>5053</v>
      </c>
      <c r="M4264" t="s">
        <v>5055</v>
      </c>
    </row>
    <row r="4265" spans="1:13" x14ac:dyDescent="0.3">
      <c r="A4265" s="1">
        <v>45475</v>
      </c>
      <c r="B4265" s="1" t="str">
        <f>TEXT(Tabla1[[#This Row],[Fecha]],"MMMM")</f>
        <v>julio</v>
      </c>
      <c r="C4265" t="s">
        <v>4275</v>
      </c>
      <c r="D4265" t="s">
        <v>5012</v>
      </c>
      <c r="E4265" t="s">
        <v>5032</v>
      </c>
      <c r="F4265" t="s">
        <v>5037</v>
      </c>
      <c r="G4265" s="3">
        <v>3860.31</v>
      </c>
      <c r="H4265" s="3">
        <v>0</v>
      </c>
      <c r="I4265" s="3">
        <f>SUM(Tabla1[[#This Row],[Monto_Base]],H4265)</f>
        <v>3860.31</v>
      </c>
      <c r="J4265" t="s">
        <v>5044</v>
      </c>
      <c r="K4265" t="s">
        <v>5049</v>
      </c>
      <c r="L4265" t="s">
        <v>5050</v>
      </c>
      <c r="M4265" t="s">
        <v>5055</v>
      </c>
    </row>
    <row r="4266" spans="1:13" x14ac:dyDescent="0.3">
      <c r="A4266" s="1">
        <v>45500</v>
      </c>
      <c r="B4266" s="1" t="str">
        <f>TEXT(Tabla1[[#This Row],[Fecha]],"MMMM")</f>
        <v>julio</v>
      </c>
      <c r="C4266" t="s">
        <v>4276</v>
      </c>
      <c r="D4266" t="s">
        <v>5021</v>
      </c>
      <c r="E4266" t="s">
        <v>5032</v>
      </c>
      <c r="F4266" t="s">
        <v>5040</v>
      </c>
      <c r="G4266" s="3">
        <v>2597.42</v>
      </c>
      <c r="H4266" s="3">
        <v>0</v>
      </c>
      <c r="I4266" s="3">
        <f>SUM(Tabla1[[#This Row],[Monto_Base]],H4266)</f>
        <v>2597.42</v>
      </c>
      <c r="J4266" t="s">
        <v>5045</v>
      </c>
      <c r="K4266" t="s">
        <v>5048</v>
      </c>
      <c r="L4266" t="s">
        <v>5052</v>
      </c>
      <c r="M4266" t="s">
        <v>5055</v>
      </c>
    </row>
    <row r="4267" spans="1:13" x14ac:dyDescent="0.3">
      <c r="A4267" s="1">
        <v>45322</v>
      </c>
      <c r="B4267" s="1" t="str">
        <f>TEXT(Tabla1[[#This Row],[Fecha]],"MMMM")</f>
        <v>enero</v>
      </c>
      <c r="C4267" t="s">
        <v>4277</v>
      </c>
      <c r="D4267" t="s">
        <v>5019</v>
      </c>
      <c r="E4267" t="s">
        <v>5033</v>
      </c>
      <c r="F4267" t="s">
        <v>5040</v>
      </c>
      <c r="G4267" s="3">
        <v>6680.07</v>
      </c>
      <c r="H4267" s="3">
        <v>868.41</v>
      </c>
      <c r="I4267" s="3">
        <f>SUM(Tabla1[[#This Row],[Monto_Base]],H4267)</f>
        <v>7548.48</v>
      </c>
      <c r="J4267" t="s">
        <v>5045</v>
      </c>
      <c r="K4267" t="s">
        <v>5047</v>
      </c>
      <c r="L4267" t="s">
        <v>5053</v>
      </c>
      <c r="M4267" t="s">
        <v>5055</v>
      </c>
    </row>
    <row r="4268" spans="1:13" x14ac:dyDescent="0.3">
      <c r="A4268" s="1">
        <v>45346</v>
      </c>
      <c r="B4268" s="1" t="str">
        <f>TEXT(Tabla1[[#This Row],[Fecha]],"MMMM")</f>
        <v>febrero</v>
      </c>
      <c r="C4268" t="s">
        <v>4278</v>
      </c>
      <c r="D4268" t="s">
        <v>5030</v>
      </c>
      <c r="E4268" t="s">
        <v>5033</v>
      </c>
      <c r="F4268" t="s">
        <v>5036</v>
      </c>
      <c r="G4268" s="3">
        <v>2601.04</v>
      </c>
      <c r="H4268" s="3">
        <v>338.14</v>
      </c>
      <c r="I4268" s="3">
        <f>SUM(Tabla1[[#This Row],[Monto_Base]],H4268)</f>
        <v>2939.18</v>
      </c>
      <c r="J4268" t="s">
        <v>5043</v>
      </c>
      <c r="K4268" t="s">
        <v>5048</v>
      </c>
      <c r="L4268" t="s">
        <v>5052</v>
      </c>
      <c r="M4268" t="s">
        <v>5055</v>
      </c>
    </row>
    <row r="4269" spans="1:13" x14ac:dyDescent="0.3">
      <c r="A4269" s="1">
        <v>45600</v>
      </c>
      <c r="B4269" s="1" t="str">
        <f>TEXT(Tabla1[[#This Row],[Fecha]],"MMMM")</f>
        <v>noviembre</v>
      </c>
      <c r="C4269" t="s">
        <v>4279</v>
      </c>
      <c r="D4269" t="s">
        <v>5023</v>
      </c>
      <c r="E4269" t="s">
        <v>5033</v>
      </c>
      <c r="F4269" t="s">
        <v>5040</v>
      </c>
      <c r="G4269" s="3">
        <v>8513.86</v>
      </c>
      <c r="H4269" s="3">
        <v>1106.8</v>
      </c>
      <c r="I4269" s="3">
        <f>SUM(Tabla1[[#This Row],[Monto_Base]],H4269)</f>
        <v>9620.66</v>
      </c>
      <c r="J4269" t="s">
        <v>5045</v>
      </c>
      <c r="K4269" t="s">
        <v>5048</v>
      </c>
      <c r="L4269" t="s">
        <v>5052</v>
      </c>
      <c r="M4269" t="s">
        <v>5054</v>
      </c>
    </row>
    <row r="4270" spans="1:13" x14ac:dyDescent="0.3">
      <c r="A4270" s="1">
        <v>45423</v>
      </c>
      <c r="B4270" s="1" t="str">
        <f>TEXT(Tabla1[[#This Row],[Fecha]],"MMMM")</f>
        <v>mayo</v>
      </c>
      <c r="C4270" t="s">
        <v>4280</v>
      </c>
      <c r="D4270" t="s">
        <v>5022</v>
      </c>
      <c r="E4270" t="s">
        <v>5032</v>
      </c>
      <c r="F4270" t="s">
        <v>5036</v>
      </c>
      <c r="G4270" s="3">
        <v>11649.44</v>
      </c>
      <c r="H4270" s="3">
        <v>0</v>
      </c>
      <c r="I4270" s="3">
        <f>SUM(Tabla1[[#This Row],[Monto_Base]],H4270)</f>
        <v>11649.44</v>
      </c>
      <c r="J4270" t="s">
        <v>5045</v>
      </c>
      <c r="K4270" t="s">
        <v>5049</v>
      </c>
      <c r="L4270" t="s">
        <v>5050</v>
      </c>
      <c r="M4270" t="s">
        <v>5055</v>
      </c>
    </row>
    <row r="4271" spans="1:13" x14ac:dyDescent="0.3">
      <c r="A4271" s="1">
        <v>45343</v>
      </c>
      <c r="B4271" s="1" t="str">
        <f>TEXT(Tabla1[[#This Row],[Fecha]],"MMMM")</f>
        <v>febrero</v>
      </c>
      <c r="C4271" t="s">
        <v>4281</v>
      </c>
      <c r="D4271" t="s">
        <v>5025</v>
      </c>
      <c r="E4271" t="s">
        <v>5032</v>
      </c>
      <c r="F4271" t="s">
        <v>5034</v>
      </c>
      <c r="G4271" s="3">
        <v>12287.45</v>
      </c>
      <c r="H4271" s="3">
        <v>0</v>
      </c>
      <c r="I4271" s="3">
        <f>SUM(Tabla1[[#This Row],[Monto_Base]],H4271)</f>
        <v>12287.45</v>
      </c>
      <c r="J4271" t="s">
        <v>5045</v>
      </c>
      <c r="K4271" t="s">
        <v>5049</v>
      </c>
      <c r="L4271" t="s">
        <v>5052</v>
      </c>
      <c r="M4271" t="s">
        <v>5054</v>
      </c>
    </row>
    <row r="4272" spans="1:13" x14ac:dyDescent="0.3">
      <c r="A4272" s="1">
        <v>45375</v>
      </c>
      <c r="B4272" s="1" t="str">
        <f>TEXT(Tabla1[[#This Row],[Fecha]],"MMMM")</f>
        <v>marzo</v>
      </c>
      <c r="C4272" t="s">
        <v>4282</v>
      </c>
      <c r="D4272" t="s">
        <v>5013</v>
      </c>
      <c r="E4272" t="s">
        <v>5032</v>
      </c>
      <c r="F4272" t="s">
        <v>5037</v>
      </c>
      <c r="G4272" s="3">
        <v>7103.56</v>
      </c>
      <c r="H4272" s="3">
        <v>0</v>
      </c>
      <c r="I4272" s="3">
        <f>SUM(Tabla1[[#This Row],[Monto_Base]],H4272)</f>
        <v>7103.56</v>
      </c>
      <c r="J4272" t="s">
        <v>5044</v>
      </c>
      <c r="K4272" t="s">
        <v>5048</v>
      </c>
      <c r="L4272" t="s">
        <v>5050</v>
      </c>
      <c r="M4272" t="s">
        <v>5054</v>
      </c>
    </row>
    <row r="4273" spans="1:13" x14ac:dyDescent="0.3">
      <c r="A4273" s="1">
        <v>45595</v>
      </c>
      <c r="B4273" s="1" t="str">
        <f>TEXT(Tabla1[[#This Row],[Fecha]],"MMMM")</f>
        <v>octubre</v>
      </c>
      <c r="C4273" t="s">
        <v>4283</v>
      </c>
      <c r="D4273" t="s">
        <v>5016</v>
      </c>
      <c r="E4273" t="s">
        <v>5032</v>
      </c>
      <c r="F4273" t="s">
        <v>5038</v>
      </c>
      <c r="G4273" s="3">
        <v>4207.05</v>
      </c>
      <c r="H4273" s="3">
        <v>0</v>
      </c>
      <c r="I4273" s="3">
        <f>SUM(Tabla1[[#This Row],[Monto_Base]],H4273)</f>
        <v>4207.05</v>
      </c>
      <c r="J4273" t="s">
        <v>5043</v>
      </c>
      <c r="K4273" t="s">
        <v>5048</v>
      </c>
      <c r="L4273" t="s">
        <v>5051</v>
      </c>
      <c r="M4273" t="s">
        <v>5054</v>
      </c>
    </row>
    <row r="4274" spans="1:13" x14ac:dyDescent="0.3">
      <c r="A4274" s="1">
        <v>45326</v>
      </c>
      <c r="B4274" s="1" t="str">
        <f>TEXT(Tabla1[[#This Row],[Fecha]],"MMMM")</f>
        <v>febrero</v>
      </c>
      <c r="C4274" t="s">
        <v>4284</v>
      </c>
      <c r="D4274" t="s">
        <v>5029</v>
      </c>
      <c r="E4274" t="s">
        <v>5033</v>
      </c>
      <c r="F4274" t="s">
        <v>5034</v>
      </c>
      <c r="G4274" s="3">
        <v>2819.04</v>
      </c>
      <c r="H4274" s="3">
        <v>366.48</v>
      </c>
      <c r="I4274" s="3">
        <f>SUM(Tabla1[[#This Row],[Monto_Base]],H4274)</f>
        <v>3185.52</v>
      </c>
      <c r="J4274" t="s">
        <v>5045</v>
      </c>
      <c r="K4274" t="s">
        <v>5047</v>
      </c>
      <c r="L4274" t="s">
        <v>5050</v>
      </c>
      <c r="M4274" t="s">
        <v>5054</v>
      </c>
    </row>
    <row r="4275" spans="1:13" x14ac:dyDescent="0.3">
      <c r="A4275" s="1">
        <v>45526</v>
      </c>
      <c r="B4275" s="1" t="str">
        <f>TEXT(Tabla1[[#This Row],[Fecha]],"MMMM")</f>
        <v>agosto</v>
      </c>
      <c r="C4275" t="s">
        <v>4285</v>
      </c>
      <c r="D4275" t="s">
        <v>5029</v>
      </c>
      <c r="E4275" t="s">
        <v>5032</v>
      </c>
      <c r="F4275" t="s">
        <v>5039</v>
      </c>
      <c r="G4275" s="3">
        <v>11728.05</v>
      </c>
      <c r="H4275" s="3">
        <v>0</v>
      </c>
      <c r="I4275" s="3">
        <f>SUM(Tabla1[[#This Row],[Monto_Base]],H4275)</f>
        <v>11728.05</v>
      </c>
      <c r="J4275" t="s">
        <v>5044</v>
      </c>
      <c r="K4275" t="s">
        <v>5049</v>
      </c>
      <c r="L4275" t="s">
        <v>5053</v>
      </c>
      <c r="M4275" t="s">
        <v>5055</v>
      </c>
    </row>
    <row r="4276" spans="1:13" x14ac:dyDescent="0.3">
      <c r="A4276" s="1">
        <v>45586</v>
      </c>
      <c r="B4276" s="1" t="str">
        <f>TEXT(Tabla1[[#This Row],[Fecha]],"MMMM")</f>
        <v>octubre</v>
      </c>
      <c r="C4276" t="s">
        <v>4286</v>
      </c>
      <c r="D4276" t="s">
        <v>5016</v>
      </c>
      <c r="E4276" t="s">
        <v>5032</v>
      </c>
      <c r="F4276" t="s">
        <v>5035</v>
      </c>
      <c r="G4276" s="3">
        <v>13341.6</v>
      </c>
      <c r="H4276" s="3">
        <v>0</v>
      </c>
      <c r="I4276" s="3">
        <f>SUM(Tabla1[[#This Row],[Monto_Base]],H4276)</f>
        <v>13341.6</v>
      </c>
      <c r="J4276" t="s">
        <v>5044</v>
      </c>
      <c r="K4276" t="s">
        <v>5048</v>
      </c>
      <c r="L4276" t="s">
        <v>5051</v>
      </c>
      <c r="M4276" t="s">
        <v>5055</v>
      </c>
    </row>
    <row r="4277" spans="1:13" x14ac:dyDescent="0.3">
      <c r="A4277" s="1">
        <v>45549</v>
      </c>
      <c r="B4277" s="1" t="str">
        <f>TEXT(Tabla1[[#This Row],[Fecha]],"MMMM")</f>
        <v>septiembre</v>
      </c>
      <c r="C4277" t="s">
        <v>4287</v>
      </c>
      <c r="D4277" t="s">
        <v>5024</v>
      </c>
      <c r="E4277" t="s">
        <v>5033</v>
      </c>
      <c r="F4277" t="s">
        <v>5038</v>
      </c>
      <c r="G4277" s="3">
        <v>8427.23</v>
      </c>
      <c r="H4277" s="3">
        <v>1095.54</v>
      </c>
      <c r="I4277" s="3">
        <f>SUM(Tabla1[[#This Row],[Monto_Base]],H4277)</f>
        <v>9522.77</v>
      </c>
      <c r="J4277" t="s">
        <v>5043</v>
      </c>
      <c r="K4277" t="s">
        <v>5049</v>
      </c>
      <c r="L4277" t="s">
        <v>5053</v>
      </c>
      <c r="M4277" t="s">
        <v>5055</v>
      </c>
    </row>
    <row r="4278" spans="1:13" x14ac:dyDescent="0.3">
      <c r="A4278" s="1">
        <v>45422</v>
      </c>
      <c r="B4278" s="1" t="str">
        <f>TEXT(Tabla1[[#This Row],[Fecha]],"MMMM")</f>
        <v>mayo</v>
      </c>
      <c r="C4278" t="s">
        <v>4288</v>
      </c>
      <c r="D4278" t="s">
        <v>5018</v>
      </c>
      <c r="E4278" t="s">
        <v>5032</v>
      </c>
      <c r="F4278" t="s">
        <v>5041</v>
      </c>
      <c r="G4278" s="3">
        <v>6300.03</v>
      </c>
      <c r="H4278" s="3">
        <v>0</v>
      </c>
      <c r="I4278" s="3">
        <f>SUM(Tabla1[[#This Row],[Monto_Base]],H4278)</f>
        <v>6300.03</v>
      </c>
      <c r="J4278" t="s">
        <v>5042</v>
      </c>
      <c r="K4278" t="s">
        <v>5048</v>
      </c>
      <c r="L4278" t="s">
        <v>5052</v>
      </c>
      <c r="M4278" t="s">
        <v>5055</v>
      </c>
    </row>
    <row r="4279" spans="1:13" x14ac:dyDescent="0.3">
      <c r="A4279" s="1">
        <v>45471</v>
      </c>
      <c r="B4279" s="1" t="str">
        <f>TEXT(Tabla1[[#This Row],[Fecha]],"MMMM")</f>
        <v>junio</v>
      </c>
      <c r="C4279" t="s">
        <v>4289</v>
      </c>
      <c r="D4279" t="s">
        <v>5015</v>
      </c>
      <c r="E4279" t="s">
        <v>5033</v>
      </c>
      <c r="F4279" t="s">
        <v>5038</v>
      </c>
      <c r="G4279" s="3">
        <v>12854.21</v>
      </c>
      <c r="H4279" s="3">
        <v>1671.05</v>
      </c>
      <c r="I4279" s="3">
        <f>SUM(Tabla1[[#This Row],[Monto_Base]],H4279)</f>
        <v>14525.259999999998</v>
      </c>
      <c r="J4279" t="s">
        <v>5045</v>
      </c>
      <c r="K4279" t="s">
        <v>5049</v>
      </c>
      <c r="L4279" t="s">
        <v>5053</v>
      </c>
      <c r="M4279" t="s">
        <v>5055</v>
      </c>
    </row>
    <row r="4280" spans="1:13" x14ac:dyDescent="0.3">
      <c r="A4280" s="1">
        <v>45514</v>
      </c>
      <c r="B4280" s="1" t="str">
        <f>TEXT(Tabla1[[#This Row],[Fecha]],"MMMM")</f>
        <v>agosto</v>
      </c>
      <c r="C4280" t="s">
        <v>4290</v>
      </c>
      <c r="D4280" t="s">
        <v>5027</v>
      </c>
      <c r="E4280" t="s">
        <v>5033</v>
      </c>
      <c r="F4280" t="s">
        <v>5041</v>
      </c>
      <c r="G4280" s="3">
        <v>4633.84</v>
      </c>
      <c r="H4280" s="3">
        <v>602.4</v>
      </c>
      <c r="I4280" s="3">
        <f>SUM(Tabla1[[#This Row],[Monto_Base]],H4280)</f>
        <v>5236.24</v>
      </c>
      <c r="J4280" t="s">
        <v>5043</v>
      </c>
      <c r="K4280" t="s">
        <v>5048</v>
      </c>
      <c r="L4280" t="s">
        <v>5050</v>
      </c>
      <c r="M4280" t="s">
        <v>5055</v>
      </c>
    </row>
    <row r="4281" spans="1:13" x14ac:dyDescent="0.3">
      <c r="A4281" s="1">
        <v>45478</v>
      </c>
      <c r="B4281" s="1" t="str">
        <f>TEXT(Tabla1[[#This Row],[Fecha]],"MMMM")</f>
        <v>julio</v>
      </c>
      <c r="C4281" t="s">
        <v>4291</v>
      </c>
      <c r="D4281" t="s">
        <v>5031</v>
      </c>
      <c r="E4281" t="s">
        <v>5033</v>
      </c>
      <c r="F4281" t="s">
        <v>5036</v>
      </c>
      <c r="G4281" s="3">
        <v>9040.75</v>
      </c>
      <c r="H4281" s="3">
        <v>1175.3</v>
      </c>
      <c r="I4281" s="3">
        <f>SUM(Tabla1[[#This Row],[Monto_Base]],H4281)</f>
        <v>10216.049999999999</v>
      </c>
      <c r="J4281" t="s">
        <v>5046</v>
      </c>
      <c r="K4281" t="s">
        <v>5048</v>
      </c>
      <c r="L4281" t="s">
        <v>5051</v>
      </c>
      <c r="M4281" t="s">
        <v>5054</v>
      </c>
    </row>
    <row r="4282" spans="1:13" x14ac:dyDescent="0.3">
      <c r="A4282" s="1">
        <v>45588</v>
      </c>
      <c r="B4282" s="1" t="str">
        <f>TEXT(Tabla1[[#This Row],[Fecha]],"MMMM")</f>
        <v>octubre</v>
      </c>
      <c r="C4282" t="s">
        <v>4292</v>
      </c>
      <c r="D4282" t="s">
        <v>5014</v>
      </c>
      <c r="E4282" t="s">
        <v>5033</v>
      </c>
      <c r="F4282" t="s">
        <v>5036</v>
      </c>
      <c r="G4282" s="3">
        <v>6752.45</v>
      </c>
      <c r="H4282" s="3">
        <v>877.82</v>
      </c>
      <c r="I4282" s="3">
        <f>SUM(Tabla1[[#This Row],[Monto_Base]],H4282)</f>
        <v>7630.2699999999995</v>
      </c>
      <c r="J4282" t="s">
        <v>5043</v>
      </c>
      <c r="K4282" t="s">
        <v>5047</v>
      </c>
      <c r="L4282" t="s">
        <v>5051</v>
      </c>
      <c r="M4282" t="s">
        <v>5055</v>
      </c>
    </row>
    <row r="4283" spans="1:13" x14ac:dyDescent="0.3">
      <c r="A4283" s="1">
        <v>45626</v>
      </c>
      <c r="B4283" s="1" t="str">
        <f>TEXT(Tabla1[[#This Row],[Fecha]],"MMMM")</f>
        <v>noviembre</v>
      </c>
      <c r="C4283" t="s">
        <v>4293</v>
      </c>
      <c r="D4283" t="s">
        <v>5020</v>
      </c>
      <c r="E4283" t="s">
        <v>5033</v>
      </c>
      <c r="F4283" t="s">
        <v>5035</v>
      </c>
      <c r="G4283" s="3">
        <v>9443.84</v>
      </c>
      <c r="H4283" s="3">
        <v>1227.7</v>
      </c>
      <c r="I4283" s="3">
        <f>SUM(Tabla1[[#This Row],[Monto_Base]],H4283)</f>
        <v>10671.54</v>
      </c>
      <c r="J4283" t="s">
        <v>5043</v>
      </c>
      <c r="K4283" t="s">
        <v>5049</v>
      </c>
      <c r="L4283" t="s">
        <v>5052</v>
      </c>
      <c r="M4283" t="s">
        <v>5055</v>
      </c>
    </row>
    <row r="4284" spans="1:13" x14ac:dyDescent="0.3">
      <c r="A4284" s="1">
        <v>45536</v>
      </c>
      <c r="B4284" s="1" t="str">
        <f>TEXT(Tabla1[[#This Row],[Fecha]],"MMMM")</f>
        <v>septiembre</v>
      </c>
      <c r="C4284" t="s">
        <v>4294</v>
      </c>
      <c r="D4284" t="s">
        <v>5022</v>
      </c>
      <c r="E4284" t="s">
        <v>5032</v>
      </c>
      <c r="F4284" t="s">
        <v>5038</v>
      </c>
      <c r="G4284" s="3">
        <v>11787.2</v>
      </c>
      <c r="H4284" s="3">
        <v>0</v>
      </c>
      <c r="I4284" s="3">
        <f>SUM(Tabla1[[#This Row],[Monto_Base]],H4284)</f>
        <v>11787.2</v>
      </c>
      <c r="J4284" t="s">
        <v>5043</v>
      </c>
      <c r="K4284" t="s">
        <v>5047</v>
      </c>
      <c r="L4284" t="s">
        <v>5051</v>
      </c>
      <c r="M4284" t="s">
        <v>5054</v>
      </c>
    </row>
    <row r="4285" spans="1:13" x14ac:dyDescent="0.3">
      <c r="A4285" s="1">
        <v>45478</v>
      </c>
      <c r="B4285" s="1" t="str">
        <f>TEXT(Tabla1[[#This Row],[Fecha]],"MMMM")</f>
        <v>julio</v>
      </c>
      <c r="C4285" t="s">
        <v>4295</v>
      </c>
      <c r="D4285" t="s">
        <v>5025</v>
      </c>
      <c r="E4285" t="s">
        <v>5032</v>
      </c>
      <c r="F4285" t="s">
        <v>5035</v>
      </c>
      <c r="G4285" s="3">
        <v>2064.8000000000002</v>
      </c>
      <c r="H4285" s="3">
        <v>0</v>
      </c>
      <c r="I4285" s="3">
        <f>SUM(Tabla1[[#This Row],[Monto_Base]],H4285)</f>
        <v>2064.8000000000002</v>
      </c>
      <c r="J4285" t="s">
        <v>5045</v>
      </c>
      <c r="K4285" t="s">
        <v>5049</v>
      </c>
      <c r="L4285" t="s">
        <v>5053</v>
      </c>
      <c r="M4285" t="s">
        <v>5055</v>
      </c>
    </row>
    <row r="4286" spans="1:13" x14ac:dyDescent="0.3">
      <c r="A4286" s="1">
        <v>45609</v>
      </c>
      <c r="B4286" s="1" t="str">
        <f>TEXT(Tabla1[[#This Row],[Fecha]],"MMMM")</f>
        <v>noviembre</v>
      </c>
      <c r="C4286" t="s">
        <v>4296</v>
      </c>
      <c r="D4286" t="s">
        <v>5029</v>
      </c>
      <c r="E4286" t="s">
        <v>5032</v>
      </c>
      <c r="F4286" t="s">
        <v>5038</v>
      </c>
      <c r="G4286" s="3">
        <v>584.92999999999995</v>
      </c>
      <c r="H4286" s="3">
        <v>0</v>
      </c>
      <c r="I4286" s="3">
        <f>SUM(Tabla1[[#This Row],[Monto_Base]],H4286)</f>
        <v>584.92999999999995</v>
      </c>
      <c r="J4286" t="s">
        <v>5042</v>
      </c>
      <c r="K4286" t="s">
        <v>5049</v>
      </c>
      <c r="L4286" t="s">
        <v>5051</v>
      </c>
      <c r="M4286" t="s">
        <v>5055</v>
      </c>
    </row>
    <row r="4287" spans="1:13" x14ac:dyDescent="0.3">
      <c r="A4287" s="1">
        <v>45402</v>
      </c>
      <c r="B4287" s="1" t="str">
        <f>TEXT(Tabla1[[#This Row],[Fecha]],"MMMM")</f>
        <v>abril</v>
      </c>
      <c r="C4287" t="s">
        <v>4297</v>
      </c>
      <c r="D4287" t="s">
        <v>5028</v>
      </c>
      <c r="E4287" t="s">
        <v>5032</v>
      </c>
      <c r="F4287" t="s">
        <v>5037</v>
      </c>
      <c r="G4287" s="3">
        <v>14900.76</v>
      </c>
      <c r="H4287" s="3">
        <v>0</v>
      </c>
      <c r="I4287" s="3">
        <f>SUM(Tabla1[[#This Row],[Monto_Base]],H4287)</f>
        <v>14900.76</v>
      </c>
      <c r="J4287" t="s">
        <v>5043</v>
      </c>
      <c r="K4287" t="s">
        <v>5048</v>
      </c>
      <c r="L4287" t="s">
        <v>5051</v>
      </c>
      <c r="M4287" t="s">
        <v>5055</v>
      </c>
    </row>
    <row r="4288" spans="1:13" x14ac:dyDescent="0.3">
      <c r="A4288" s="1">
        <v>45636</v>
      </c>
      <c r="B4288" s="1" t="str">
        <f>TEXT(Tabla1[[#This Row],[Fecha]],"MMMM")</f>
        <v>diciembre</v>
      </c>
      <c r="C4288" t="s">
        <v>4298</v>
      </c>
      <c r="D4288" t="s">
        <v>5020</v>
      </c>
      <c r="E4288" t="s">
        <v>5032</v>
      </c>
      <c r="F4288" t="s">
        <v>5041</v>
      </c>
      <c r="G4288" s="3">
        <v>5886.13</v>
      </c>
      <c r="H4288" s="3">
        <v>0</v>
      </c>
      <c r="I4288" s="3">
        <f>SUM(Tabla1[[#This Row],[Monto_Base]],H4288)</f>
        <v>5886.13</v>
      </c>
      <c r="J4288" t="s">
        <v>5043</v>
      </c>
      <c r="K4288" t="s">
        <v>5047</v>
      </c>
      <c r="L4288" t="s">
        <v>5052</v>
      </c>
      <c r="M4288" t="s">
        <v>5055</v>
      </c>
    </row>
    <row r="4289" spans="1:13" x14ac:dyDescent="0.3">
      <c r="A4289" s="1">
        <v>45581</v>
      </c>
      <c r="B4289" s="1" t="str">
        <f>TEXT(Tabla1[[#This Row],[Fecha]],"MMMM")</f>
        <v>octubre</v>
      </c>
      <c r="C4289" t="s">
        <v>4299</v>
      </c>
      <c r="D4289" t="s">
        <v>5028</v>
      </c>
      <c r="E4289" t="s">
        <v>5033</v>
      </c>
      <c r="F4289" t="s">
        <v>5040</v>
      </c>
      <c r="G4289" s="3">
        <v>444.45</v>
      </c>
      <c r="H4289" s="3">
        <v>57.78</v>
      </c>
      <c r="I4289" s="3">
        <f>SUM(Tabla1[[#This Row],[Monto_Base]],H4289)</f>
        <v>502.23</v>
      </c>
      <c r="J4289" t="s">
        <v>5044</v>
      </c>
      <c r="K4289" t="s">
        <v>5047</v>
      </c>
      <c r="L4289" t="s">
        <v>5053</v>
      </c>
      <c r="M4289" t="s">
        <v>5055</v>
      </c>
    </row>
    <row r="4290" spans="1:13" x14ac:dyDescent="0.3">
      <c r="A4290" s="1">
        <v>45653</v>
      </c>
      <c r="B4290" s="1" t="str">
        <f>TEXT(Tabla1[[#This Row],[Fecha]],"MMMM")</f>
        <v>diciembre</v>
      </c>
      <c r="C4290" t="s">
        <v>4300</v>
      </c>
      <c r="D4290" t="s">
        <v>5018</v>
      </c>
      <c r="E4290" t="s">
        <v>5032</v>
      </c>
      <c r="F4290" t="s">
        <v>5039</v>
      </c>
      <c r="G4290" s="3">
        <v>7943.18</v>
      </c>
      <c r="H4290" s="3">
        <v>0</v>
      </c>
      <c r="I4290" s="3">
        <f>SUM(Tabla1[[#This Row],[Monto_Base]],H4290)</f>
        <v>7943.18</v>
      </c>
      <c r="J4290" t="s">
        <v>5046</v>
      </c>
      <c r="K4290" t="s">
        <v>5048</v>
      </c>
      <c r="L4290" t="s">
        <v>5050</v>
      </c>
      <c r="M4290" t="s">
        <v>5055</v>
      </c>
    </row>
    <row r="4291" spans="1:13" x14ac:dyDescent="0.3">
      <c r="A4291" s="1">
        <v>45622</v>
      </c>
      <c r="B4291" s="1" t="str">
        <f>TEXT(Tabla1[[#This Row],[Fecha]],"MMMM")</f>
        <v>noviembre</v>
      </c>
      <c r="C4291" t="s">
        <v>4301</v>
      </c>
      <c r="D4291" t="s">
        <v>5022</v>
      </c>
      <c r="E4291" t="s">
        <v>5032</v>
      </c>
      <c r="F4291" t="s">
        <v>5039</v>
      </c>
      <c r="G4291" s="3">
        <v>11043.95</v>
      </c>
      <c r="H4291" s="3">
        <v>0</v>
      </c>
      <c r="I4291" s="3">
        <f>SUM(Tabla1[[#This Row],[Monto_Base]],H4291)</f>
        <v>11043.95</v>
      </c>
      <c r="J4291" t="s">
        <v>5043</v>
      </c>
      <c r="K4291" t="s">
        <v>5048</v>
      </c>
      <c r="L4291" t="s">
        <v>5053</v>
      </c>
      <c r="M4291" t="s">
        <v>5054</v>
      </c>
    </row>
    <row r="4292" spans="1:13" x14ac:dyDescent="0.3">
      <c r="A4292" s="1">
        <v>45514</v>
      </c>
      <c r="B4292" s="1" t="str">
        <f>TEXT(Tabla1[[#This Row],[Fecha]],"MMMM")</f>
        <v>agosto</v>
      </c>
      <c r="C4292" t="s">
        <v>4302</v>
      </c>
      <c r="D4292" t="s">
        <v>5019</v>
      </c>
      <c r="E4292" t="s">
        <v>5033</v>
      </c>
      <c r="F4292" t="s">
        <v>5039</v>
      </c>
      <c r="G4292" s="3">
        <v>11679.13</v>
      </c>
      <c r="H4292" s="3">
        <v>1518.29</v>
      </c>
      <c r="I4292" s="3">
        <f>SUM(Tabla1[[#This Row],[Monto_Base]],H4292)</f>
        <v>13197.419999999998</v>
      </c>
      <c r="J4292" t="s">
        <v>5044</v>
      </c>
      <c r="K4292" t="s">
        <v>5048</v>
      </c>
      <c r="L4292" t="s">
        <v>5052</v>
      </c>
      <c r="M4292" t="s">
        <v>5055</v>
      </c>
    </row>
    <row r="4293" spans="1:13" x14ac:dyDescent="0.3">
      <c r="A4293" s="1">
        <v>45600</v>
      </c>
      <c r="B4293" s="1" t="str">
        <f>TEXT(Tabla1[[#This Row],[Fecha]],"MMMM")</f>
        <v>noviembre</v>
      </c>
      <c r="C4293" t="s">
        <v>4303</v>
      </c>
      <c r="D4293" t="s">
        <v>5015</v>
      </c>
      <c r="E4293" t="s">
        <v>5033</v>
      </c>
      <c r="F4293" t="s">
        <v>5035</v>
      </c>
      <c r="G4293" s="3">
        <v>14409.56</v>
      </c>
      <c r="H4293" s="3">
        <v>1873.24</v>
      </c>
      <c r="I4293" s="3">
        <f>SUM(Tabla1[[#This Row],[Monto_Base]],H4293)</f>
        <v>16282.8</v>
      </c>
      <c r="J4293" t="s">
        <v>5043</v>
      </c>
      <c r="K4293" t="s">
        <v>5047</v>
      </c>
      <c r="L4293" t="s">
        <v>5050</v>
      </c>
      <c r="M4293" t="s">
        <v>5055</v>
      </c>
    </row>
    <row r="4294" spans="1:13" x14ac:dyDescent="0.3">
      <c r="A4294" s="1">
        <v>45423</v>
      </c>
      <c r="B4294" s="1" t="str">
        <f>TEXT(Tabla1[[#This Row],[Fecha]],"MMMM")</f>
        <v>mayo</v>
      </c>
      <c r="C4294" t="s">
        <v>4304</v>
      </c>
      <c r="D4294" t="s">
        <v>5018</v>
      </c>
      <c r="E4294" t="s">
        <v>5032</v>
      </c>
      <c r="F4294" t="s">
        <v>5041</v>
      </c>
      <c r="G4294" s="3">
        <v>10227.41</v>
      </c>
      <c r="H4294" s="3">
        <v>0</v>
      </c>
      <c r="I4294" s="3">
        <f>SUM(Tabla1[[#This Row],[Monto_Base]],H4294)</f>
        <v>10227.41</v>
      </c>
      <c r="J4294" t="s">
        <v>5046</v>
      </c>
      <c r="K4294" t="s">
        <v>5048</v>
      </c>
      <c r="L4294" t="s">
        <v>5050</v>
      </c>
      <c r="M4294" t="s">
        <v>5054</v>
      </c>
    </row>
    <row r="4295" spans="1:13" x14ac:dyDescent="0.3">
      <c r="A4295" s="1">
        <v>45640</v>
      </c>
      <c r="B4295" s="1" t="str">
        <f>TEXT(Tabla1[[#This Row],[Fecha]],"MMMM")</f>
        <v>diciembre</v>
      </c>
      <c r="C4295" t="s">
        <v>4305</v>
      </c>
      <c r="D4295" t="s">
        <v>5029</v>
      </c>
      <c r="E4295" t="s">
        <v>5033</v>
      </c>
      <c r="F4295" t="s">
        <v>5036</v>
      </c>
      <c r="G4295" s="3">
        <v>5874.39</v>
      </c>
      <c r="H4295" s="3">
        <v>763.67</v>
      </c>
      <c r="I4295" s="3">
        <f>SUM(Tabla1[[#This Row],[Monto_Base]],H4295)</f>
        <v>6638.06</v>
      </c>
      <c r="J4295" t="s">
        <v>5043</v>
      </c>
      <c r="K4295" t="s">
        <v>5049</v>
      </c>
      <c r="L4295" t="s">
        <v>5051</v>
      </c>
      <c r="M4295" t="s">
        <v>5054</v>
      </c>
    </row>
    <row r="4296" spans="1:13" x14ac:dyDescent="0.3">
      <c r="A4296" s="1">
        <v>45342</v>
      </c>
      <c r="B4296" s="1" t="str">
        <f>TEXT(Tabla1[[#This Row],[Fecha]],"MMMM")</f>
        <v>febrero</v>
      </c>
      <c r="C4296" t="s">
        <v>4306</v>
      </c>
      <c r="D4296" t="s">
        <v>5028</v>
      </c>
      <c r="E4296" t="s">
        <v>5032</v>
      </c>
      <c r="F4296" t="s">
        <v>5039</v>
      </c>
      <c r="G4296" s="3">
        <v>5196.8100000000004</v>
      </c>
      <c r="H4296" s="3">
        <v>0</v>
      </c>
      <c r="I4296" s="3">
        <f>SUM(Tabla1[[#This Row],[Monto_Base]],H4296)</f>
        <v>5196.8100000000004</v>
      </c>
      <c r="J4296" t="s">
        <v>5043</v>
      </c>
      <c r="K4296" t="s">
        <v>5049</v>
      </c>
      <c r="L4296" t="s">
        <v>5053</v>
      </c>
      <c r="M4296" t="s">
        <v>5055</v>
      </c>
    </row>
    <row r="4297" spans="1:13" x14ac:dyDescent="0.3">
      <c r="A4297" s="1">
        <v>45552</v>
      </c>
      <c r="B4297" s="1" t="str">
        <f>TEXT(Tabla1[[#This Row],[Fecha]],"MMMM")</f>
        <v>septiembre</v>
      </c>
      <c r="C4297" t="s">
        <v>4307</v>
      </c>
      <c r="D4297" t="s">
        <v>5014</v>
      </c>
      <c r="E4297" t="s">
        <v>5032</v>
      </c>
      <c r="F4297" t="s">
        <v>5035</v>
      </c>
      <c r="G4297" s="3">
        <v>7231.36</v>
      </c>
      <c r="H4297" s="3">
        <v>0</v>
      </c>
      <c r="I4297" s="3">
        <f>SUM(Tabla1[[#This Row],[Monto_Base]],H4297)</f>
        <v>7231.36</v>
      </c>
      <c r="J4297" t="s">
        <v>5046</v>
      </c>
      <c r="K4297" t="s">
        <v>5047</v>
      </c>
      <c r="L4297" t="s">
        <v>5053</v>
      </c>
      <c r="M4297" t="s">
        <v>5055</v>
      </c>
    </row>
    <row r="4298" spans="1:13" x14ac:dyDescent="0.3">
      <c r="A4298" s="1">
        <v>45449</v>
      </c>
      <c r="B4298" s="1" t="str">
        <f>TEXT(Tabla1[[#This Row],[Fecha]],"MMMM")</f>
        <v>junio</v>
      </c>
      <c r="C4298" t="s">
        <v>4308</v>
      </c>
      <c r="D4298" t="s">
        <v>5012</v>
      </c>
      <c r="E4298" t="s">
        <v>5033</v>
      </c>
      <c r="F4298" t="s">
        <v>5034</v>
      </c>
      <c r="G4298" s="3">
        <v>3275.6</v>
      </c>
      <c r="H4298" s="3">
        <v>425.83</v>
      </c>
      <c r="I4298" s="3">
        <f>SUM(Tabla1[[#This Row],[Monto_Base]],H4298)</f>
        <v>3701.43</v>
      </c>
      <c r="J4298" t="s">
        <v>5042</v>
      </c>
      <c r="K4298" t="s">
        <v>5047</v>
      </c>
      <c r="L4298" t="s">
        <v>5052</v>
      </c>
      <c r="M4298" t="s">
        <v>5054</v>
      </c>
    </row>
    <row r="4299" spans="1:13" x14ac:dyDescent="0.3">
      <c r="A4299" s="1">
        <v>45513</v>
      </c>
      <c r="B4299" s="1" t="str">
        <f>TEXT(Tabla1[[#This Row],[Fecha]],"MMMM")</f>
        <v>agosto</v>
      </c>
      <c r="C4299" t="s">
        <v>4309</v>
      </c>
      <c r="D4299" t="s">
        <v>5029</v>
      </c>
      <c r="E4299" t="s">
        <v>5033</v>
      </c>
      <c r="F4299" t="s">
        <v>5039</v>
      </c>
      <c r="G4299" s="3">
        <v>12476.47</v>
      </c>
      <c r="H4299" s="3">
        <v>1621.94</v>
      </c>
      <c r="I4299" s="3">
        <f>SUM(Tabla1[[#This Row],[Monto_Base]],H4299)</f>
        <v>14098.41</v>
      </c>
      <c r="J4299" t="s">
        <v>5042</v>
      </c>
      <c r="K4299" t="s">
        <v>5049</v>
      </c>
      <c r="L4299" t="s">
        <v>5052</v>
      </c>
      <c r="M4299" t="s">
        <v>5055</v>
      </c>
    </row>
    <row r="4300" spans="1:13" x14ac:dyDescent="0.3">
      <c r="A4300" s="1">
        <v>45636</v>
      </c>
      <c r="B4300" s="1" t="str">
        <f>TEXT(Tabla1[[#This Row],[Fecha]],"MMMM")</f>
        <v>diciembre</v>
      </c>
      <c r="C4300" t="s">
        <v>4310</v>
      </c>
      <c r="D4300" t="s">
        <v>5030</v>
      </c>
      <c r="E4300" t="s">
        <v>5033</v>
      </c>
      <c r="F4300" t="s">
        <v>5036</v>
      </c>
      <c r="G4300" s="3">
        <v>10465.719999999999</v>
      </c>
      <c r="H4300" s="3">
        <v>1360.54</v>
      </c>
      <c r="I4300" s="3">
        <f>SUM(Tabla1[[#This Row],[Monto_Base]],H4300)</f>
        <v>11826.259999999998</v>
      </c>
      <c r="J4300" t="s">
        <v>5042</v>
      </c>
      <c r="K4300" t="s">
        <v>5049</v>
      </c>
      <c r="L4300" t="s">
        <v>5051</v>
      </c>
      <c r="M4300" t="s">
        <v>5054</v>
      </c>
    </row>
    <row r="4301" spans="1:13" x14ac:dyDescent="0.3">
      <c r="A4301" s="1">
        <v>45312</v>
      </c>
      <c r="B4301" s="1" t="str">
        <f>TEXT(Tabla1[[#This Row],[Fecha]],"MMMM")</f>
        <v>enero</v>
      </c>
      <c r="C4301" t="s">
        <v>4311</v>
      </c>
      <c r="D4301" t="s">
        <v>5026</v>
      </c>
      <c r="E4301" t="s">
        <v>5032</v>
      </c>
      <c r="F4301" t="s">
        <v>5037</v>
      </c>
      <c r="G4301" s="3">
        <v>13521.62</v>
      </c>
      <c r="H4301" s="3">
        <v>0</v>
      </c>
      <c r="I4301" s="3">
        <f>SUM(Tabla1[[#This Row],[Monto_Base]],H4301)</f>
        <v>13521.62</v>
      </c>
      <c r="J4301" t="s">
        <v>5046</v>
      </c>
      <c r="K4301" t="s">
        <v>5047</v>
      </c>
      <c r="L4301" t="s">
        <v>5053</v>
      </c>
      <c r="M4301" t="s">
        <v>5054</v>
      </c>
    </row>
    <row r="4302" spans="1:13" x14ac:dyDescent="0.3">
      <c r="A4302" s="1">
        <v>45474</v>
      </c>
      <c r="B4302" s="1" t="str">
        <f>TEXT(Tabla1[[#This Row],[Fecha]],"MMMM")</f>
        <v>julio</v>
      </c>
      <c r="C4302" t="s">
        <v>4312</v>
      </c>
      <c r="D4302" t="s">
        <v>5014</v>
      </c>
      <c r="E4302" t="s">
        <v>5033</v>
      </c>
      <c r="F4302" t="s">
        <v>5038</v>
      </c>
      <c r="G4302" s="3">
        <v>6547.96</v>
      </c>
      <c r="H4302" s="3">
        <v>851.23</v>
      </c>
      <c r="I4302" s="3">
        <f>SUM(Tabla1[[#This Row],[Monto_Base]],H4302)</f>
        <v>7399.1900000000005</v>
      </c>
      <c r="J4302" t="s">
        <v>5042</v>
      </c>
      <c r="K4302" t="s">
        <v>5048</v>
      </c>
      <c r="L4302" t="s">
        <v>5053</v>
      </c>
      <c r="M4302" t="s">
        <v>5054</v>
      </c>
    </row>
    <row r="4303" spans="1:13" x14ac:dyDescent="0.3">
      <c r="A4303" s="1">
        <v>45322</v>
      </c>
      <c r="B4303" s="1" t="str">
        <f>TEXT(Tabla1[[#This Row],[Fecha]],"MMMM")</f>
        <v>enero</v>
      </c>
      <c r="C4303" t="s">
        <v>4313</v>
      </c>
      <c r="D4303" t="s">
        <v>5012</v>
      </c>
      <c r="E4303" t="s">
        <v>5033</v>
      </c>
      <c r="F4303" t="s">
        <v>5034</v>
      </c>
      <c r="G4303" s="3">
        <v>8465.09</v>
      </c>
      <c r="H4303" s="3">
        <v>1100.46</v>
      </c>
      <c r="I4303" s="3">
        <f>SUM(Tabla1[[#This Row],[Monto_Base]],H4303)</f>
        <v>9565.5499999999993</v>
      </c>
      <c r="J4303" t="s">
        <v>5044</v>
      </c>
      <c r="K4303" t="s">
        <v>5049</v>
      </c>
      <c r="L4303" t="s">
        <v>5050</v>
      </c>
      <c r="M4303" t="s">
        <v>5055</v>
      </c>
    </row>
    <row r="4304" spans="1:13" x14ac:dyDescent="0.3">
      <c r="A4304" s="1">
        <v>45440</v>
      </c>
      <c r="B4304" s="1" t="str">
        <f>TEXT(Tabla1[[#This Row],[Fecha]],"MMMM")</f>
        <v>mayo</v>
      </c>
      <c r="C4304" t="s">
        <v>4314</v>
      </c>
      <c r="D4304" t="s">
        <v>5014</v>
      </c>
      <c r="E4304" t="s">
        <v>5032</v>
      </c>
      <c r="F4304" t="s">
        <v>5039</v>
      </c>
      <c r="G4304" s="3">
        <v>3291.8</v>
      </c>
      <c r="H4304" s="3">
        <v>0</v>
      </c>
      <c r="I4304" s="3">
        <f>SUM(Tabla1[[#This Row],[Monto_Base]],H4304)</f>
        <v>3291.8</v>
      </c>
      <c r="J4304" t="s">
        <v>5046</v>
      </c>
      <c r="K4304" t="s">
        <v>5049</v>
      </c>
      <c r="L4304" t="s">
        <v>5052</v>
      </c>
      <c r="M4304" t="s">
        <v>5055</v>
      </c>
    </row>
    <row r="4305" spans="1:13" x14ac:dyDescent="0.3">
      <c r="A4305" s="1">
        <v>45534</v>
      </c>
      <c r="B4305" s="1" t="str">
        <f>TEXT(Tabla1[[#This Row],[Fecha]],"MMMM")</f>
        <v>agosto</v>
      </c>
      <c r="C4305" t="s">
        <v>4315</v>
      </c>
      <c r="D4305" t="s">
        <v>5029</v>
      </c>
      <c r="E4305" t="s">
        <v>5033</v>
      </c>
      <c r="F4305" t="s">
        <v>5038</v>
      </c>
      <c r="G4305" s="3">
        <v>5804.36</v>
      </c>
      <c r="H4305" s="3">
        <v>754.57</v>
      </c>
      <c r="I4305" s="3">
        <f>SUM(Tabla1[[#This Row],[Monto_Base]],H4305)</f>
        <v>6558.9299999999994</v>
      </c>
      <c r="J4305" t="s">
        <v>5043</v>
      </c>
      <c r="K4305" t="s">
        <v>5047</v>
      </c>
      <c r="L4305" t="s">
        <v>5051</v>
      </c>
      <c r="M4305" t="s">
        <v>5055</v>
      </c>
    </row>
    <row r="4306" spans="1:13" x14ac:dyDescent="0.3">
      <c r="A4306" s="1">
        <v>45535</v>
      </c>
      <c r="B4306" s="1" t="str">
        <f>TEXT(Tabla1[[#This Row],[Fecha]],"MMMM")</f>
        <v>agosto</v>
      </c>
      <c r="C4306" t="s">
        <v>4316</v>
      </c>
      <c r="D4306" t="s">
        <v>5017</v>
      </c>
      <c r="E4306" t="s">
        <v>5033</v>
      </c>
      <c r="F4306" t="s">
        <v>5039</v>
      </c>
      <c r="G4306" s="3">
        <v>13119.29</v>
      </c>
      <c r="H4306" s="3">
        <v>1705.51</v>
      </c>
      <c r="I4306" s="3">
        <f>SUM(Tabla1[[#This Row],[Monto_Base]],H4306)</f>
        <v>14824.800000000001</v>
      </c>
      <c r="J4306" t="s">
        <v>5046</v>
      </c>
      <c r="K4306" t="s">
        <v>5049</v>
      </c>
      <c r="L4306" t="s">
        <v>5053</v>
      </c>
      <c r="M4306" t="s">
        <v>5055</v>
      </c>
    </row>
    <row r="4307" spans="1:13" x14ac:dyDescent="0.3">
      <c r="A4307" s="1">
        <v>45460</v>
      </c>
      <c r="B4307" s="1" t="str">
        <f>TEXT(Tabla1[[#This Row],[Fecha]],"MMMM")</f>
        <v>junio</v>
      </c>
      <c r="C4307" t="s">
        <v>4317</v>
      </c>
      <c r="D4307" t="s">
        <v>5013</v>
      </c>
      <c r="E4307" t="s">
        <v>5032</v>
      </c>
      <c r="F4307" t="s">
        <v>5039</v>
      </c>
      <c r="G4307" s="3">
        <v>5398.36</v>
      </c>
      <c r="H4307" s="3">
        <v>0</v>
      </c>
      <c r="I4307" s="3">
        <f>SUM(Tabla1[[#This Row],[Monto_Base]],H4307)</f>
        <v>5398.36</v>
      </c>
      <c r="J4307" t="s">
        <v>5044</v>
      </c>
      <c r="K4307" t="s">
        <v>5047</v>
      </c>
      <c r="L4307" t="s">
        <v>5052</v>
      </c>
      <c r="M4307" t="s">
        <v>5055</v>
      </c>
    </row>
    <row r="4308" spans="1:13" x14ac:dyDescent="0.3">
      <c r="A4308" s="1">
        <v>45627</v>
      </c>
      <c r="B4308" s="1" t="str">
        <f>TEXT(Tabla1[[#This Row],[Fecha]],"MMMM")</f>
        <v>diciembre</v>
      </c>
      <c r="C4308" t="s">
        <v>4318</v>
      </c>
      <c r="D4308" t="s">
        <v>5014</v>
      </c>
      <c r="E4308" t="s">
        <v>5033</v>
      </c>
      <c r="F4308" t="s">
        <v>5038</v>
      </c>
      <c r="G4308" s="3">
        <v>12935.63</v>
      </c>
      <c r="H4308" s="3">
        <v>1681.63</v>
      </c>
      <c r="I4308" s="3">
        <f>SUM(Tabla1[[#This Row],[Monto_Base]],H4308)</f>
        <v>14617.259999999998</v>
      </c>
      <c r="J4308" t="s">
        <v>5044</v>
      </c>
      <c r="K4308" t="s">
        <v>5049</v>
      </c>
      <c r="L4308" t="s">
        <v>5052</v>
      </c>
      <c r="M4308" t="s">
        <v>5055</v>
      </c>
    </row>
    <row r="4309" spans="1:13" x14ac:dyDescent="0.3">
      <c r="A4309" s="1">
        <v>45415</v>
      </c>
      <c r="B4309" s="1" t="str">
        <f>TEXT(Tabla1[[#This Row],[Fecha]],"MMMM")</f>
        <v>mayo</v>
      </c>
      <c r="C4309" t="s">
        <v>4319</v>
      </c>
      <c r="D4309" t="s">
        <v>5027</v>
      </c>
      <c r="E4309" t="s">
        <v>5032</v>
      </c>
      <c r="F4309" t="s">
        <v>5041</v>
      </c>
      <c r="G4309" s="3">
        <v>8858.2999999999993</v>
      </c>
      <c r="H4309" s="3">
        <v>0</v>
      </c>
      <c r="I4309" s="3">
        <f>SUM(Tabla1[[#This Row],[Monto_Base]],H4309)</f>
        <v>8858.2999999999993</v>
      </c>
      <c r="J4309" t="s">
        <v>5042</v>
      </c>
      <c r="K4309" t="s">
        <v>5049</v>
      </c>
      <c r="L4309" t="s">
        <v>5051</v>
      </c>
      <c r="M4309" t="s">
        <v>5054</v>
      </c>
    </row>
    <row r="4310" spans="1:13" x14ac:dyDescent="0.3">
      <c r="A4310" s="1">
        <v>45541</v>
      </c>
      <c r="B4310" s="1" t="str">
        <f>TEXT(Tabla1[[#This Row],[Fecha]],"MMMM")</f>
        <v>septiembre</v>
      </c>
      <c r="C4310" t="s">
        <v>4320</v>
      </c>
      <c r="D4310" t="s">
        <v>5023</v>
      </c>
      <c r="E4310" t="s">
        <v>5032</v>
      </c>
      <c r="F4310" t="s">
        <v>5041</v>
      </c>
      <c r="G4310" s="3">
        <v>2527.84</v>
      </c>
      <c r="H4310" s="3">
        <v>0</v>
      </c>
      <c r="I4310" s="3">
        <f>SUM(Tabla1[[#This Row],[Monto_Base]],H4310)</f>
        <v>2527.84</v>
      </c>
      <c r="J4310" t="s">
        <v>5043</v>
      </c>
      <c r="K4310" t="s">
        <v>5048</v>
      </c>
      <c r="L4310" t="s">
        <v>5050</v>
      </c>
      <c r="M4310" t="s">
        <v>5055</v>
      </c>
    </row>
    <row r="4311" spans="1:13" x14ac:dyDescent="0.3">
      <c r="A4311" s="1">
        <v>45652</v>
      </c>
      <c r="B4311" s="1" t="str">
        <f>TEXT(Tabla1[[#This Row],[Fecha]],"MMMM")</f>
        <v>diciembre</v>
      </c>
      <c r="C4311" t="s">
        <v>4321</v>
      </c>
      <c r="D4311" t="s">
        <v>5012</v>
      </c>
      <c r="E4311" t="s">
        <v>5032</v>
      </c>
      <c r="F4311" t="s">
        <v>5035</v>
      </c>
      <c r="G4311" s="3">
        <v>6674.55</v>
      </c>
      <c r="H4311" s="3">
        <v>0</v>
      </c>
      <c r="I4311" s="3">
        <f>SUM(Tabla1[[#This Row],[Monto_Base]],H4311)</f>
        <v>6674.55</v>
      </c>
      <c r="J4311" t="s">
        <v>5046</v>
      </c>
      <c r="K4311" t="s">
        <v>5049</v>
      </c>
      <c r="L4311" t="s">
        <v>5050</v>
      </c>
      <c r="M4311" t="s">
        <v>5055</v>
      </c>
    </row>
    <row r="4312" spans="1:13" x14ac:dyDescent="0.3">
      <c r="A4312" s="1">
        <v>45540</v>
      </c>
      <c r="B4312" s="1" t="str">
        <f>TEXT(Tabla1[[#This Row],[Fecha]],"MMMM")</f>
        <v>septiembre</v>
      </c>
      <c r="C4312" t="s">
        <v>4322</v>
      </c>
      <c r="D4312" t="s">
        <v>5028</v>
      </c>
      <c r="E4312" t="s">
        <v>5032</v>
      </c>
      <c r="F4312" t="s">
        <v>5036</v>
      </c>
      <c r="G4312" s="3">
        <v>11167.65</v>
      </c>
      <c r="H4312" s="3">
        <v>0</v>
      </c>
      <c r="I4312" s="3">
        <f>SUM(Tabla1[[#This Row],[Monto_Base]],H4312)</f>
        <v>11167.65</v>
      </c>
      <c r="J4312" t="s">
        <v>5046</v>
      </c>
      <c r="K4312" t="s">
        <v>5047</v>
      </c>
      <c r="L4312" t="s">
        <v>5053</v>
      </c>
      <c r="M4312" t="s">
        <v>5054</v>
      </c>
    </row>
    <row r="4313" spans="1:13" x14ac:dyDescent="0.3">
      <c r="A4313" s="1">
        <v>45296</v>
      </c>
      <c r="B4313" s="1" t="str">
        <f>TEXT(Tabla1[[#This Row],[Fecha]],"MMMM")</f>
        <v>enero</v>
      </c>
      <c r="C4313" t="s">
        <v>4323</v>
      </c>
      <c r="D4313" t="s">
        <v>5021</v>
      </c>
      <c r="E4313" t="s">
        <v>5033</v>
      </c>
      <c r="F4313" t="s">
        <v>5038</v>
      </c>
      <c r="G4313" s="3">
        <v>1208.52</v>
      </c>
      <c r="H4313" s="3">
        <v>157.11000000000001</v>
      </c>
      <c r="I4313" s="3">
        <f>SUM(Tabla1[[#This Row],[Monto_Base]],H4313)</f>
        <v>1365.63</v>
      </c>
      <c r="J4313" t="s">
        <v>5043</v>
      </c>
      <c r="K4313" t="s">
        <v>5047</v>
      </c>
      <c r="L4313" t="s">
        <v>5053</v>
      </c>
      <c r="M4313" t="s">
        <v>5054</v>
      </c>
    </row>
    <row r="4314" spans="1:13" x14ac:dyDescent="0.3">
      <c r="A4314" s="1">
        <v>45384</v>
      </c>
      <c r="B4314" s="1" t="str">
        <f>TEXT(Tabla1[[#This Row],[Fecha]],"MMMM")</f>
        <v>abril</v>
      </c>
      <c r="C4314" t="s">
        <v>4324</v>
      </c>
      <c r="D4314" t="s">
        <v>5024</v>
      </c>
      <c r="E4314" t="s">
        <v>5033</v>
      </c>
      <c r="F4314" t="s">
        <v>5041</v>
      </c>
      <c r="G4314" s="3">
        <v>890.63</v>
      </c>
      <c r="H4314" s="3">
        <v>115.78</v>
      </c>
      <c r="I4314" s="3">
        <f>SUM(Tabla1[[#This Row],[Monto_Base]],H4314)</f>
        <v>1006.41</v>
      </c>
      <c r="J4314" t="s">
        <v>5043</v>
      </c>
      <c r="K4314" t="s">
        <v>5048</v>
      </c>
      <c r="L4314" t="s">
        <v>5050</v>
      </c>
      <c r="M4314" t="s">
        <v>5054</v>
      </c>
    </row>
    <row r="4315" spans="1:13" x14ac:dyDescent="0.3">
      <c r="A4315" s="1">
        <v>45454</v>
      </c>
      <c r="B4315" s="1" t="str">
        <f>TEXT(Tabla1[[#This Row],[Fecha]],"MMMM")</f>
        <v>junio</v>
      </c>
      <c r="C4315" t="s">
        <v>4325</v>
      </c>
      <c r="D4315" t="s">
        <v>5014</v>
      </c>
      <c r="E4315" t="s">
        <v>5032</v>
      </c>
      <c r="F4315" t="s">
        <v>5034</v>
      </c>
      <c r="G4315" s="3">
        <v>12015.44</v>
      </c>
      <c r="H4315" s="3">
        <v>0</v>
      </c>
      <c r="I4315" s="3">
        <f>SUM(Tabla1[[#This Row],[Monto_Base]],H4315)</f>
        <v>12015.44</v>
      </c>
      <c r="J4315" t="s">
        <v>5045</v>
      </c>
      <c r="K4315" t="s">
        <v>5047</v>
      </c>
      <c r="L4315" t="s">
        <v>5052</v>
      </c>
      <c r="M4315" t="s">
        <v>5055</v>
      </c>
    </row>
    <row r="4316" spans="1:13" x14ac:dyDescent="0.3">
      <c r="A4316" s="1">
        <v>45457</v>
      </c>
      <c r="B4316" s="1" t="str">
        <f>TEXT(Tabla1[[#This Row],[Fecha]],"MMMM")</f>
        <v>junio</v>
      </c>
      <c r="C4316" t="s">
        <v>4326</v>
      </c>
      <c r="D4316" t="s">
        <v>5013</v>
      </c>
      <c r="E4316" t="s">
        <v>5033</v>
      </c>
      <c r="F4316" t="s">
        <v>5035</v>
      </c>
      <c r="G4316" s="3">
        <v>13239.78</v>
      </c>
      <c r="H4316" s="3">
        <v>1721.17</v>
      </c>
      <c r="I4316" s="3">
        <f>SUM(Tabla1[[#This Row],[Monto_Base]],H4316)</f>
        <v>14960.95</v>
      </c>
      <c r="J4316" t="s">
        <v>5042</v>
      </c>
      <c r="K4316" t="s">
        <v>5048</v>
      </c>
      <c r="L4316" t="s">
        <v>5051</v>
      </c>
      <c r="M4316" t="s">
        <v>5055</v>
      </c>
    </row>
    <row r="4317" spans="1:13" x14ac:dyDescent="0.3">
      <c r="A4317" s="1">
        <v>45647</v>
      </c>
      <c r="B4317" s="1" t="str">
        <f>TEXT(Tabla1[[#This Row],[Fecha]],"MMMM")</f>
        <v>diciembre</v>
      </c>
      <c r="C4317" t="s">
        <v>4327</v>
      </c>
      <c r="D4317" t="s">
        <v>5024</v>
      </c>
      <c r="E4317" t="s">
        <v>5033</v>
      </c>
      <c r="F4317" t="s">
        <v>5034</v>
      </c>
      <c r="G4317" s="3">
        <v>7183.39</v>
      </c>
      <c r="H4317" s="3">
        <v>933.84</v>
      </c>
      <c r="I4317" s="3">
        <f>SUM(Tabla1[[#This Row],[Monto_Base]],H4317)</f>
        <v>8117.2300000000005</v>
      </c>
      <c r="J4317" t="s">
        <v>5045</v>
      </c>
      <c r="K4317" t="s">
        <v>5049</v>
      </c>
      <c r="L4317" t="s">
        <v>5053</v>
      </c>
      <c r="M4317" t="s">
        <v>5055</v>
      </c>
    </row>
    <row r="4318" spans="1:13" x14ac:dyDescent="0.3">
      <c r="A4318" s="1">
        <v>45522</v>
      </c>
      <c r="B4318" s="1" t="str">
        <f>TEXT(Tabla1[[#This Row],[Fecha]],"MMMM")</f>
        <v>agosto</v>
      </c>
      <c r="C4318" t="s">
        <v>4328</v>
      </c>
      <c r="D4318" t="s">
        <v>5014</v>
      </c>
      <c r="E4318" t="s">
        <v>5033</v>
      </c>
      <c r="F4318" t="s">
        <v>5036</v>
      </c>
      <c r="G4318" s="3">
        <v>13582.6</v>
      </c>
      <c r="H4318" s="3">
        <v>1765.74</v>
      </c>
      <c r="I4318" s="3">
        <f>SUM(Tabla1[[#This Row],[Monto_Base]],H4318)</f>
        <v>15348.34</v>
      </c>
      <c r="J4318" t="s">
        <v>5044</v>
      </c>
      <c r="K4318" t="s">
        <v>5048</v>
      </c>
      <c r="L4318" t="s">
        <v>5053</v>
      </c>
      <c r="M4318" t="s">
        <v>5055</v>
      </c>
    </row>
    <row r="4319" spans="1:13" x14ac:dyDescent="0.3">
      <c r="A4319" s="1">
        <v>45650</v>
      </c>
      <c r="B4319" s="1" t="str">
        <f>TEXT(Tabla1[[#This Row],[Fecha]],"MMMM")</f>
        <v>diciembre</v>
      </c>
      <c r="C4319" t="s">
        <v>4329</v>
      </c>
      <c r="D4319" t="s">
        <v>5012</v>
      </c>
      <c r="E4319" t="s">
        <v>5033</v>
      </c>
      <c r="F4319" t="s">
        <v>5036</v>
      </c>
      <c r="G4319" s="3">
        <v>10599.37</v>
      </c>
      <c r="H4319" s="3">
        <v>1377.92</v>
      </c>
      <c r="I4319" s="3">
        <f>SUM(Tabla1[[#This Row],[Monto_Base]],H4319)</f>
        <v>11977.29</v>
      </c>
      <c r="J4319" t="s">
        <v>5043</v>
      </c>
      <c r="K4319" t="s">
        <v>5047</v>
      </c>
      <c r="L4319" t="s">
        <v>5050</v>
      </c>
      <c r="M4319" t="s">
        <v>5054</v>
      </c>
    </row>
    <row r="4320" spans="1:13" x14ac:dyDescent="0.3">
      <c r="A4320" s="1">
        <v>45294</v>
      </c>
      <c r="B4320" s="1" t="str">
        <f>TEXT(Tabla1[[#This Row],[Fecha]],"MMMM")</f>
        <v>enero</v>
      </c>
      <c r="C4320" t="s">
        <v>4330</v>
      </c>
      <c r="D4320" t="s">
        <v>5031</v>
      </c>
      <c r="E4320" t="s">
        <v>5032</v>
      </c>
      <c r="F4320" t="s">
        <v>5035</v>
      </c>
      <c r="G4320" s="3">
        <v>1297.24</v>
      </c>
      <c r="H4320" s="3">
        <v>0</v>
      </c>
      <c r="I4320" s="3">
        <f>SUM(Tabla1[[#This Row],[Monto_Base]],H4320)</f>
        <v>1297.24</v>
      </c>
      <c r="J4320" t="s">
        <v>5045</v>
      </c>
      <c r="K4320" t="s">
        <v>5049</v>
      </c>
      <c r="L4320" t="s">
        <v>5051</v>
      </c>
      <c r="M4320" t="s">
        <v>5054</v>
      </c>
    </row>
    <row r="4321" spans="1:13" x14ac:dyDescent="0.3">
      <c r="A4321" s="1">
        <v>45373</v>
      </c>
      <c r="B4321" s="1" t="str">
        <f>TEXT(Tabla1[[#This Row],[Fecha]],"MMMM")</f>
        <v>marzo</v>
      </c>
      <c r="C4321" t="s">
        <v>4331</v>
      </c>
      <c r="D4321" t="s">
        <v>5028</v>
      </c>
      <c r="E4321" t="s">
        <v>5033</v>
      </c>
      <c r="F4321" t="s">
        <v>5039</v>
      </c>
      <c r="G4321" s="3">
        <v>13794.12</v>
      </c>
      <c r="H4321" s="3">
        <v>1793.24</v>
      </c>
      <c r="I4321" s="3">
        <f>SUM(Tabla1[[#This Row],[Monto_Base]],H4321)</f>
        <v>15587.36</v>
      </c>
      <c r="J4321" t="s">
        <v>5044</v>
      </c>
      <c r="K4321" t="s">
        <v>5047</v>
      </c>
      <c r="L4321" t="s">
        <v>5053</v>
      </c>
      <c r="M4321" t="s">
        <v>5055</v>
      </c>
    </row>
    <row r="4322" spans="1:13" x14ac:dyDescent="0.3">
      <c r="A4322" s="1">
        <v>45646</v>
      </c>
      <c r="B4322" s="1" t="str">
        <f>TEXT(Tabla1[[#This Row],[Fecha]],"MMMM")</f>
        <v>diciembre</v>
      </c>
      <c r="C4322" t="s">
        <v>4332</v>
      </c>
      <c r="D4322" t="s">
        <v>5017</v>
      </c>
      <c r="E4322" t="s">
        <v>5032</v>
      </c>
      <c r="F4322" t="s">
        <v>5040</v>
      </c>
      <c r="G4322" s="3">
        <v>4085.36</v>
      </c>
      <c r="H4322" s="3">
        <v>0</v>
      </c>
      <c r="I4322" s="3">
        <f>SUM(Tabla1[[#This Row],[Monto_Base]],H4322)</f>
        <v>4085.36</v>
      </c>
      <c r="J4322" t="s">
        <v>5042</v>
      </c>
      <c r="K4322" t="s">
        <v>5048</v>
      </c>
      <c r="L4322" t="s">
        <v>5050</v>
      </c>
      <c r="M4322" t="s">
        <v>5054</v>
      </c>
    </row>
    <row r="4323" spans="1:13" x14ac:dyDescent="0.3">
      <c r="A4323" s="1">
        <v>45569</v>
      </c>
      <c r="B4323" s="1" t="str">
        <f>TEXT(Tabla1[[#This Row],[Fecha]],"MMMM")</f>
        <v>octubre</v>
      </c>
      <c r="C4323" t="s">
        <v>4333</v>
      </c>
      <c r="D4323" t="s">
        <v>5015</v>
      </c>
      <c r="E4323" t="s">
        <v>5033</v>
      </c>
      <c r="F4323" t="s">
        <v>5038</v>
      </c>
      <c r="G4323" s="3">
        <v>3780.79</v>
      </c>
      <c r="H4323" s="3">
        <v>491.5</v>
      </c>
      <c r="I4323" s="3">
        <f>SUM(Tabla1[[#This Row],[Monto_Base]],H4323)</f>
        <v>4272.29</v>
      </c>
      <c r="J4323" t="s">
        <v>5045</v>
      </c>
      <c r="K4323" t="s">
        <v>5048</v>
      </c>
      <c r="L4323" t="s">
        <v>5050</v>
      </c>
      <c r="M4323" t="s">
        <v>5054</v>
      </c>
    </row>
    <row r="4324" spans="1:13" x14ac:dyDescent="0.3">
      <c r="A4324" s="1">
        <v>45465</v>
      </c>
      <c r="B4324" s="1" t="str">
        <f>TEXT(Tabla1[[#This Row],[Fecha]],"MMMM")</f>
        <v>junio</v>
      </c>
      <c r="C4324" t="s">
        <v>4334</v>
      </c>
      <c r="D4324" t="s">
        <v>5023</v>
      </c>
      <c r="E4324" t="s">
        <v>5033</v>
      </c>
      <c r="F4324" t="s">
        <v>5035</v>
      </c>
      <c r="G4324" s="3">
        <v>14354.97</v>
      </c>
      <c r="H4324" s="3">
        <v>1866.15</v>
      </c>
      <c r="I4324" s="3">
        <f>SUM(Tabla1[[#This Row],[Monto_Base]],H4324)</f>
        <v>16221.119999999999</v>
      </c>
      <c r="J4324" t="s">
        <v>5045</v>
      </c>
      <c r="K4324" t="s">
        <v>5047</v>
      </c>
      <c r="L4324" t="s">
        <v>5051</v>
      </c>
      <c r="M4324" t="s">
        <v>5054</v>
      </c>
    </row>
    <row r="4325" spans="1:13" x14ac:dyDescent="0.3">
      <c r="A4325" s="1">
        <v>45369</v>
      </c>
      <c r="B4325" s="1" t="str">
        <f>TEXT(Tabla1[[#This Row],[Fecha]],"MMMM")</f>
        <v>marzo</v>
      </c>
      <c r="C4325" t="s">
        <v>4335</v>
      </c>
      <c r="D4325" t="s">
        <v>5013</v>
      </c>
      <c r="E4325" t="s">
        <v>5032</v>
      </c>
      <c r="F4325" t="s">
        <v>5037</v>
      </c>
      <c r="G4325" s="3">
        <v>918.87</v>
      </c>
      <c r="H4325" s="3">
        <v>0</v>
      </c>
      <c r="I4325" s="3">
        <f>SUM(Tabla1[[#This Row],[Monto_Base]],H4325)</f>
        <v>918.87</v>
      </c>
      <c r="J4325" t="s">
        <v>5043</v>
      </c>
      <c r="K4325" t="s">
        <v>5048</v>
      </c>
      <c r="L4325" t="s">
        <v>5052</v>
      </c>
      <c r="M4325" t="s">
        <v>5055</v>
      </c>
    </row>
    <row r="4326" spans="1:13" x14ac:dyDescent="0.3">
      <c r="A4326" s="1">
        <v>45459</v>
      </c>
      <c r="B4326" s="1" t="str">
        <f>TEXT(Tabla1[[#This Row],[Fecha]],"MMMM")</f>
        <v>junio</v>
      </c>
      <c r="C4326" t="s">
        <v>4336</v>
      </c>
      <c r="D4326" t="s">
        <v>5025</v>
      </c>
      <c r="E4326" t="s">
        <v>5032</v>
      </c>
      <c r="F4326" t="s">
        <v>5037</v>
      </c>
      <c r="G4326" s="3">
        <v>792.8</v>
      </c>
      <c r="H4326" s="3">
        <v>0</v>
      </c>
      <c r="I4326" s="3">
        <f>SUM(Tabla1[[#This Row],[Monto_Base]],H4326)</f>
        <v>792.8</v>
      </c>
      <c r="J4326" t="s">
        <v>5044</v>
      </c>
      <c r="K4326" t="s">
        <v>5049</v>
      </c>
      <c r="L4326" t="s">
        <v>5051</v>
      </c>
      <c r="M4326" t="s">
        <v>5055</v>
      </c>
    </row>
    <row r="4327" spans="1:13" x14ac:dyDescent="0.3">
      <c r="A4327" s="1">
        <v>45431</v>
      </c>
      <c r="B4327" s="1" t="str">
        <f>TEXT(Tabla1[[#This Row],[Fecha]],"MMMM")</f>
        <v>mayo</v>
      </c>
      <c r="C4327" t="s">
        <v>4337</v>
      </c>
      <c r="D4327" t="s">
        <v>5015</v>
      </c>
      <c r="E4327" t="s">
        <v>5032</v>
      </c>
      <c r="F4327" t="s">
        <v>5040</v>
      </c>
      <c r="G4327" s="3">
        <v>173.04</v>
      </c>
      <c r="H4327" s="3">
        <v>0</v>
      </c>
      <c r="I4327" s="3">
        <f>SUM(Tabla1[[#This Row],[Monto_Base]],H4327)</f>
        <v>173.04</v>
      </c>
      <c r="J4327" t="s">
        <v>5046</v>
      </c>
      <c r="K4327" t="s">
        <v>5047</v>
      </c>
      <c r="L4327" t="s">
        <v>5051</v>
      </c>
      <c r="M4327" t="s">
        <v>5055</v>
      </c>
    </row>
    <row r="4328" spans="1:13" x14ac:dyDescent="0.3">
      <c r="A4328" s="1">
        <v>45646</v>
      </c>
      <c r="B4328" s="1" t="str">
        <f>TEXT(Tabla1[[#This Row],[Fecha]],"MMMM")</f>
        <v>diciembre</v>
      </c>
      <c r="C4328" t="s">
        <v>4338</v>
      </c>
      <c r="D4328" t="s">
        <v>5022</v>
      </c>
      <c r="E4328" t="s">
        <v>5032</v>
      </c>
      <c r="F4328" t="s">
        <v>5038</v>
      </c>
      <c r="G4328" s="3">
        <v>9960.73</v>
      </c>
      <c r="H4328" s="3">
        <v>0</v>
      </c>
      <c r="I4328" s="3">
        <f>SUM(Tabla1[[#This Row],[Monto_Base]],H4328)</f>
        <v>9960.73</v>
      </c>
      <c r="J4328" t="s">
        <v>5042</v>
      </c>
      <c r="K4328" t="s">
        <v>5048</v>
      </c>
      <c r="L4328" t="s">
        <v>5053</v>
      </c>
      <c r="M4328" t="s">
        <v>5055</v>
      </c>
    </row>
    <row r="4329" spans="1:13" x14ac:dyDescent="0.3">
      <c r="A4329" s="1">
        <v>45547</v>
      </c>
      <c r="B4329" s="1" t="str">
        <f>TEXT(Tabla1[[#This Row],[Fecha]],"MMMM")</f>
        <v>septiembre</v>
      </c>
      <c r="C4329" t="s">
        <v>4339</v>
      </c>
      <c r="D4329" t="s">
        <v>5029</v>
      </c>
      <c r="E4329" t="s">
        <v>5033</v>
      </c>
      <c r="F4329" t="s">
        <v>5039</v>
      </c>
      <c r="G4329" s="3">
        <v>7504.71</v>
      </c>
      <c r="H4329" s="3">
        <v>975.61</v>
      </c>
      <c r="I4329" s="3">
        <f>SUM(Tabla1[[#This Row],[Monto_Base]],H4329)</f>
        <v>8480.32</v>
      </c>
      <c r="J4329" t="s">
        <v>5045</v>
      </c>
      <c r="K4329" t="s">
        <v>5047</v>
      </c>
      <c r="L4329" t="s">
        <v>5051</v>
      </c>
      <c r="M4329" t="s">
        <v>5054</v>
      </c>
    </row>
    <row r="4330" spans="1:13" x14ac:dyDescent="0.3">
      <c r="A4330" s="1">
        <v>45582</v>
      </c>
      <c r="B4330" s="1" t="str">
        <f>TEXT(Tabla1[[#This Row],[Fecha]],"MMMM")</f>
        <v>octubre</v>
      </c>
      <c r="C4330" t="s">
        <v>4340</v>
      </c>
      <c r="D4330" t="s">
        <v>5022</v>
      </c>
      <c r="E4330" t="s">
        <v>5032</v>
      </c>
      <c r="F4330" t="s">
        <v>5035</v>
      </c>
      <c r="G4330" s="3">
        <v>14211.39</v>
      </c>
      <c r="H4330" s="3">
        <v>0</v>
      </c>
      <c r="I4330" s="3">
        <f>SUM(Tabla1[[#This Row],[Monto_Base]],H4330)</f>
        <v>14211.39</v>
      </c>
      <c r="J4330" t="s">
        <v>5043</v>
      </c>
      <c r="K4330" t="s">
        <v>5049</v>
      </c>
      <c r="L4330" t="s">
        <v>5051</v>
      </c>
      <c r="M4330" t="s">
        <v>5055</v>
      </c>
    </row>
    <row r="4331" spans="1:13" x14ac:dyDescent="0.3">
      <c r="A4331" s="1">
        <v>45572</v>
      </c>
      <c r="B4331" s="1" t="str">
        <f>TEXT(Tabla1[[#This Row],[Fecha]],"MMMM")</f>
        <v>octubre</v>
      </c>
      <c r="C4331" t="s">
        <v>4341</v>
      </c>
      <c r="D4331" t="s">
        <v>5022</v>
      </c>
      <c r="E4331" t="s">
        <v>5033</v>
      </c>
      <c r="F4331" t="s">
        <v>5037</v>
      </c>
      <c r="G4331" s="3">
        <v>7403.97</v>
      </c>
      <c r="H4331" s="3">
        <v>962.52</v>
      </c>
      <c r="I4331" s="3">
        <f>SUM(Tabla1[[#This Row],[Monto_Base]],H4331)</f>
        <v>8366.49</v>
      </c>
      <c r="J4331" t="s">
        <v>5043</v>
      </c>
      <c r="K4331" t="s">
        <v>5048</v>
      </c>
      <c r="L4331" t="s">
        <v>5053</v>
      </c>
      <c r="M4331" t="s">
        <v>5055</v>
      </c>
    </row>
    <row r="4332" spans="1:13" x14ac:dyDescent="0.3">
      <c r="A4332" s="1">
        <v>45434</v>
      </c>
      <c r="B4332" s="1" t="str">
        <f>TEXT(Tabla1[[#This Row],[Fecha]],"MMMM")</f>
        <v>mayo</v>
      </c>
      <c r="C4332" t="s">
        <v>4342</v>
      </c>
      <c r="D4332" t="s">
        <v>5029</v>
      </c>
      <c r="E4332" t="s">
        <v>5033</v>
      </c>
      <c r="F4332" t="s">
        <v>5038</v>
      </c>
      <c r="G4332" s="3">
        <v>13596.75</v>
      </c>
      <c r="H4332" s="3">
        <v>1767.58</v>
      </c>
      <c r="I4332" s="3">
        <f>SUM(Tabla1[[#This Row],[Monto_Base]],H4332)</f>
        <v>15364.33</v>
      </c>
      <c r="J4332" t="s">
        <v>5046</v>
      </c>
      <c r="K4332" t="s">
        <v>5049</v>
      </c>
      <c r="L4332" t="s">
        <v>5051</v>
      </c>
      <c r="M4332" t="s">
        <v>5054</v>
      </c>
    </row>
    <row r="4333" spans="1:13" x14ac:dyDescent="0.3">
      <c r="A4333" s="1">
        <v>45314</v>
      </c>
      <c r="B4333" s="1" t="str">
        <f>TEXT(Tabla1[[#This Row],[Fecha]],"MMMM")</f>
        <v>enero</v>
      </c>
      <c r="C4333" t="s">
        <v>4343</v>
      </c>
      <c r="D4333" t="s">
        <v>5025</v>
      </c>
      <c r="E4333" t="s">
        <v>5033</v>
      </c>
      <c r="F4333" t="s">
        <v>5035</v>
      </c>
      <c r="G4333" s="3">
        <v>10514.67</v>
      </c>
      <c r="H4333" s="3">
        <v>1366.91</v>
      </c>
      <c r="I4333" s="3">
        <f>SUM(Tabla1[[#This Row],[Monto_Base]],H4333)</f>
        <v>11881.58</v>
      </c>
      <c r="J4333" t="s">
        <v>5045</v>
      </c>
      <c r="K4333" t="s">
        <v>5048</v>
      </c>
      <c r="L4333" t="s">
        <v>5053</v>
      </c>
      <c r="M4333" t="s">
        <v>5054</v>
      </c>
    </row>
    <row r="4334" spans="1:13" x14ac:dyDescent="0.3">
      <c r="A4334" s="1">
        <v>45421</v>
      </c>
      <c r="B4334" s="1" t="str">
        <f>TEXT(Tabla1[[#This Row],[Fecha]],"MMMM")</f>
        <v>mayo</v>
      </c>
      <c r="C4334" t="s">
        <v>4344</v>
      </c>
      <c r="D4334" t="s">
        <v>5016</v>
      </c>
      <c r="E4334" t="s">
        <v>5032</v>
      </c>
      <c r="F4334" t="s">
        <v>5039</v>
      </c>
      <c r="G4334" s="3">
        <v>6190.07</v>
      </c>
      <c r="H4334" s="3">
        <v>0</v>
      </c>
      <c r="I4334" s="3">
        <f>SUM(Tabla1[[#This Row],[Monto_Base]],H4334)</f>
        <v>6190.07</v>
      </c>
      <c r="J4334" t="s">
        <v>5042</v>
      </c>
      <c r="K4334" t="s">
        <v>5048</v>
      </c>
      <c r="L4334" t="s">
        <v>5053</v>
      </c>
      <c r="M4334" t="s">
        <v>5055</v>
      </c>
    </row>
    <row r="4335" spans="1:13" x14ac:dyDescent="0.3">
      <c r="A4335" s="1">
        <v>45632</v>
      </c>
      <c r="B4335" s="1" t="str">
        <f>TEXT(Tabla1[[#This Row],[Fecha]],"MMMM")</f>
        <v>diciembre</v>
      </c>
      <c r="C4335" t="s">
        <v>4345</v>
      </c>
      <c r="D4335" t="s">
        <v>5021</v>
      </c>
      <c r="E4335" t="s">
        <v>5033</v>
      </c>
      <c r="F4335" t="s">
        <v>5037</v>
      </c>
      <c r="G4335" s="3">
        <v>10898.01</v>
      </c>
      <c r="H4335" s="3">
        <v>1416.74</v>
      </c>
      <c r="I4335" s="3">
        <f>SUM(Tabla1[[#This Row],[Monto_Base]],H4335)</f>
        <v>12314.75</v>
      </c>
      <c r="J4335" t="s">
        <v>5042</v>
      </c>
      <c r="K4335" t="s">
        <v>5047</v>
      </c>
      <c r="L4335" t="s">
        <v>5051</v>
      </c>
      <c r="M4335" t="s">
        <v>5054</v>
      </c>
    </row>
    <row r="4336" spans="1:13" x14ac:dyDescent="0.3">
      <c r="A4336" s="1">
        <v>45297</v>
      </c>
      <c r="B4336" s="1" t="str">
        <f>TEXT(Tabla1[[#This Row],[Fecha]],"MMMM")</f>
        <v>enero</v>
      </c>
      <c r="C4336" t="s">
        <v>4346</v>
      </c>
      <c r="D4336" t="s">
        <v>5018</v>
      </c>
      <c r="E4336" t="s">
        <v>5032</v>
      </c>
      <c r="F4336" t="s">
        <v>5036</v>
      </c>
      <c r="G4336" s="3">
        <v>6615.12</v>
      </c>
      <c r="H4336" s="3">
        <v>0</v>
      </c>
      <c r="I4336" s="3">
        <f>SUM(Tabla1[[#This Row],[Monto_Base]],H4336)</f>
        <v>6615.12</v>
      </c>
      <c r="J4336" t="s">
        <v>5045</v>
      </c>
      <c r="K4336" t="s">
        <v>5048</v>
      </c>
      <c r="L4336" t="s">
        <v>5053</v>
      </c>
      <c r="M4336" t="s">
        <v>5055</v>
      </c>
    </row>
    <row r="4337" spans="1:13" x14ac:dyDescent="0.3">
      <c r="A4337" s="1">
        <v>45407</v>
      </c>
      <c r="B4337" s="1" t="str">
        <f>TEXT(Tabla1[[#This Row],[Fecha]],"MMMM")</f>
        <v>abril</v>
      </c>
      <c r="C4337" t="s">
        <v>4347</v>
      </c>
      <c r="D4337" t="s">
        <v>5027</v>
      </c>
      <c r="E4337" t="s">
        <v>5032</v>
      </c>
      <c r="F4337" t="s">
        <v>5041</v>
      </c>
      <c r="G4337" s="3">
        <v>2354.71</v>
      </c>
      <c r="H4337" s="3">
        <v>0</v>
      </c>
      <c r="I4337" s="3">
        <f>SUM(Tabla1[[#This Row],[Monto_Base]],H4337)</f>
        <v>2354.71</v>
      </c>
      <c r="J4337" t="s">
        <v>5042</v>
      </c>
      <c r="K4337" t="s">
        <v>5049</v>
      </c>
      <c r="L4337" t="s">
        <v>5050</v>
      </c>
      <c r="M4337" t="s">
        <v>5055</v>
      </c>
    </row>
    <row r="4338" spans="1:13" x14ac:dyDescent="0.3">
      <c r="A4338" s="1">
        <v>45527</v>
      </c>
      <c r="B4338" s="1" t="str">
        <f>TEXT(Tabla1[[#This Row],[Fecha]],"MMMM")</f>
        <v>agosto</v>
      </c>
      <c r="C4338" t="s">
        <v>4348</v>
      </c>
      <c r="D4338" t="s">
        <v>5030</v>
      </c>
      <c r="E4338" t="s">
        <v>5033</v>
      </c>
      <c r="F4338" t="s">
        <v>5040</v>
      </c>
      <c r="G4338" s="3">
        <v>3811.05</v>
      </c>
      <c r="H4338" s="3">
        <v>495.44</v>
      </c>
      <c r="I4338" s="3">
        <f>SUM(Tabla1[[#This Row],[Monto_Base]],H4338)</f>
        <v>4306.49</v>
      </c>
      <c r="J4338" t="s">
        <v>5045</v>
      </c>
      <c r="K4338" t="s">
        <v>5048</v>
      </c>
      <c r="L4338" t="s">
        <v>5053</v>
      </c>
      <c r="M4338" t="s">
        <v>5054</v>
      </c>
    </row>
    <row r="4339" spans="1:13" x14ac:dyDescent="0.3">
      <c r="A4339" s="1">
        <v>45526</v>
      </c>
      <c r="B4339" s="1" t="str">
        <f>TEXT(Tabla1[[#This Row],[Fecha]],"MMMM")</f>
        <v>agosto</v>
      </c>
      <c r="C4339" t="s">
        <v>4349</v>
      </c>
      <c r="D4339" t="s">
        <v>5019</v>
      </c>
      <c r="E4339" t="s">
        <v>5033</v>
      </c>
      <c r="F4339" t="s">
        <v>5036</v>
      </c>
      <c r="G4339" s="3">
        <v>10332.790000000001</v>
      </c>
      <c r="H4339" s="3">
        <v>1343.26</v>
      </c>
      <c r="I4339" s="3">
        <f>SUM(Tabla1[[#This Row],[Monto_Base]],H4339)</f>
        <v>11676.050000000001</v>
      </c>
      <c r="J4339" t="s">
        <v>5044</v>
      </c>
      <c r="K4339" t="s">
        <v>5047</v>
      </c>
      <c r="L4339" t="s">
        <v>5053</v>
      </c>
      <c r="M4339" t="s">
        <v>5054</v>
      </c>
    </row>
    <row r="4340" spans="1:13" x14ac:dyDescent="0.3">
      <c r="A4340" s="1">
        <v>45480</v>
      </c>
      <c r="B4340" s="1" t="str">
        <f>TEXT(Tabla1[[#This Row],[Fecha]],"MMMM")</f>
        <v>julio</v>
      </c>
      <c r="C4340" t="s">
        <v>4350</v>
      </c>
      <c r="D4340" t="s">
        <v>5025</v>
      </c>
      <c r="E4340" t="s">
        <v>5032</v>
      </c>
      <c r="F4340" t="s">
        <v>5039</v>
      </c>
      <c r="G4340" s="3">
        <v>7628.21</v>
      </c>
      <c r="H4340" s="3">
        <v>0</v>
      </c>
      <c r="I4340" s="3">
        <f>SUM(Tabla1[[#This Row],[Monto_Base]],H4340)</f>
        <v>7628.21</v>
      </c>
      <c r="J4340" t="s">
        <v>5044</v>
      </c>
      <c r="K4340" t="s">
        <v>5048</v>
      </c>
      <c r="L4340" t="s">
        <v>5050</v>
      </c>
      <c r="M4340" t="s">
        <v>5054</v>
      </c>
    </row>
    <row r="4341" spans="1:13" x14ac:dyDescent="0.3">
      <c r="A4341" s="1">
        <v>45541</v>
      </c>
      <c r="B4341" s="1" t="str">
        <f>TEXT(Tabla1[[#This Row],[Fecha]],"MMMM")</f>
        <v>septiembre</v>
      </c>
      <c r="C4341" t="s">
        <v>4351</v>
      </c>
      <c r="D4341" t="s">
        <v>5025</v>
      </c>
      <c r="E4341" t="s">
        <v>5032</v>
      </c>
      <c r="F4341" t="s">
        <v>5035</v>
      </c>
      <c r="G4341" s="3">
        <v>6530.36</v>
      </c>
      <c r="H4341" s="3">
        <v>0</v>
      </c>
      <c r="I4341" s="3">
        <f>SUM(Tabla1[[#This Row],[Monto_Base]],H4341)</f>
        <v>6530.36</v>
      </c>
      <c r="J4341" t="s">
        <v>5046</v>
      </c>
      <c r="K4341" t="s">
        <v>5049</v>
      </c>
      <c r="L4341" t="s">
        <v>5053</v>
      </c>
      <c r="M4341" t="s">
        <v>5054</v>
      </c>
    </row>
    <row r="4342" spans="1:13" x14ac:dyDescent="0.3">
      <c r="A4342" s="1">
        <v>45352</v>
      </c>
      <c r="B4342" s="1" t="str">
        <f>TEXT(Tabla1[[#This Row],[Fecha]],"MMMM")</f>
        <v>marzo</v>
      </c>
      <c r="C4342" t="s">
        <v>4352</v>
      </c>
      <c r="D4342" t="s">
        <v>5023</v>
      </c>
      <c r="E4342" t="s">
        <v>5033</v>
      </c>
      <c r="F4342" t="s">
        <v>5038</v>
      </c>
      <c r="G4342" s="3">
        <v>8813.61</v>
      </c>
      <c r="H4342" s="3">
        <v>1145.77</v>
      </c>
      <c r="I4342" s="3">
        <f>SUM(Tabla1[[#This Row],[Monto_Base]],H4342)</f>
        <v>9959.380000000001</v>
      </c>
      <c r="J4342" t="s">
        <v>5044</v>
      </c>
      <c r="K4342" t="s">
        <v>5047</v>
      </c>
      <c r="L4342" t="s">
        <v>5053</v>
      </c>
      <c r="M4342" t="s">
        <v>5054</v>
      </c>
    </row>
    <row r="4343" spans="1:13" x14ac:dyDescent="0.3">
      <c r="A4343" s="1">
        <v>45478</v>
      </c>
      <c r="B4343" s="1" t="str">
        <f>TEXT(Tabla1[[#This Row],[Fecha]],"MMMM")</f>
        <v>julio</v>
      </c>
      <c r="C4343" t="s">
        <v>4353</v>
      </c>
      <c r="D4343" t="s">
        <v>5015</v>
      </c>
      <c r="E4343" t="s">
        <v>5033</v>
      </c>
      <c r="F4343" t="s">
        <v>5041</v>
      </c>
      <c r="G4343" s="3">
        <v>14283.22</v>
      </c>
      <c r="H4343" s="3">
        <v>1856.82</v>
      </c>
      <c r="I4343" s="3">
        <f>SUM(Tabla1[[#This Row],[Monto_Base]],H4343)</f>
        <v>16140.039999999999</v>
      </c>
      <c r="J4343" t="s">
        <v>5042</v>
      </c>
      <c r="K4343" t="s">
        <v>5048</v>
      </c>
      <c r="L4343" t="s">
        <v>5052</v>
      </c>
      <c r="M4343" t="s">
        <v>5054</v>
      </c>
    </row>
    <row r="4344" spans="1:13" x14ac:dyDescent="0.3">
      <c r="A4344" s="1">
        <v>45639</v>
      </c>
      <c r="B4344" s="1" t="str">
        <f>TEXT(Tabla1[[#This Row],[Fecha]],"MMMM")</f>
        <v>diciembre</v>
      </c>
      <c r="C4344" t="s">
        <v>4354</v>
      </c>
      <c r="D4344" t="s">
        <v>5025</v>
      </c>
      <c r="E4344" t="s">
        <v>5032</v>
      </c>
      <c r="F4344" t="s">
        <v>5035</v>
      </c>
      <c r="G4344" s="3">
        <v>13434.84</v>
      </c>
      <c r="H4344" s="3">
        <v>0</v>
      </c>
      <c r="I4344" s="3">
        <f>SUM(Tabla1[[#This Row],[Monto_Base]],H4344)</f>
        <v>13434.84</v>
      </c>
      <c r="J4344" t="s">
        <v>5042</v>
      </c>
      <c r="K4344" t="s">
        <v>5047</v>
      </c>
      <c r="L4344" t="s">
        <v>5052</v>
      </c>
      <c r="M4344" t="s">
        <v>5054</v>
      </c>
    </row>
    <row r="4345" spans="1:13" x14ac:dyDescent="0.3">
      <c r="A4345" s="1">
        <v>45613</v>
      </c>
      <c r="B4345" s="1" t="str">
        <f>TEXT(Tabla1[[#This Row],[Fecha]],"MMMM")</f>
        <v>noviembre</v>
      </c>
      <c r="C4345" t="s">
        <v>4355</v>
      </c>
      <c r="D4345" t="s">
        <v>5014</v>
      </c>
      <c r="E4345" t="s">
        <v>5032</v>
      </c>
      <c r="F4345" t="s">
        <v>5038</v>
      </c>
      <c r="G4345" s="3">
        <v>10336.700000000001</v>
      </c>
      <c r="H4345" s="3">
        <v>0</v>
      </c>
      <c r="I4345" s="3">
        <f>SUM(Tabla1[[#This Row],[Monto_Base]],H4345)</f>
        <v>10336.700000000001</v>
      </c>
      <c r="J4345" t="s">
        <v>5043</v>
      </c>
      <c r="K4345" t="s">
        <v>5049</v>
      </c>
      <c r="L4345" t="s">
        <v>5053</v>
      </c>
      <c r="M4345" t="s">
        <v>5054</v>
      </c>
    </row>
    <row r="4346" spans="1:13" x14ac:dyDescent="0.3">
      <c r="A4346" s="1">
        <v>45323</v>
      </c>
      <c r="B4346" s="1" t="str">
        <f>TEXT(Tabla1[[#This Row],[Fecha]],"MMMM")</f>
        <v>febrero</v>
      </c>
      <c r="C4346" t="s">
        <v>4356</v>
      </c>
      <c r="D4346" t="s">
        <v>5026</v>
      </c>
      <c r="E4346" t="s">
        <v>5032</v>
      </c>
      <c r="F4346" t="s">
        <v>5037</v>
      </c>
      <c r="G4346" s="3">
        <v>11974.08</v>
      </c>
      <c r="H4346" s="3">
        <v>0</v>
      </c>
      <c r="I4346" s="3">
        <f>SUM(Tabla1[[#This Row],[Monto_Base]],H4346)</f>
        <v>11974.08</v>
      </c>
      <c r="J4346" t="s">
        <v>5042</v>
      </c>
      <c r="K4346" t="s">
        <v>5047</v>
      </c>
      <c r="L4346" t="s">
        <v>5050</v>
      </c>
      <c r="M4346" t="s">
        <v>5054</v>
      </c>
    </row>
    <row r="4347" spans="1:13" x14ac:dyDescent="0.3">
      <c r="A4347" s="1">
        <v>45628</v>
      </c>
      <c r="B4347" s="1" t="str">
        <f>TEXT(Tabla1[[#This Row],[Fecha]],"MMMM")</f>
        <v>diciembre</v>
      </c>
      <c r="C4347" t="s">
        <v>4357</v>
      </c>
      <c r="D4347" t="s">
        <v>5023</v>
      </c>
      <c r="E4347" t="s">
        <v>5033</v>
      </c>
      <c r="F4347" t="s">
        <v>5039</v>
      </c>
      <c r="G4347" s="3">
        <v>5397.26</v>
      </c>
      <c r="H4347" s="3">
        <v>701.64</v>
      </c>
      <c r="I4347" s="3">
        <f>SUM(Tabla1[[#This Row],[Monto_Base]],H4347)</f>
        <v>6098.9000000000005</v>
      </c>
      <c r="J4347" t="s">
        <v>5045</v>
      </c>
      <c r="K4347" t="s">
        <v>5047</v>
      </c>
      <c r="L4347" t="s">
        <v>5050</v>
      </c>
      <c r="M4347" t="s">
        <v>5054</v>
      </c>
    </row>
    <row r="4348" spans="1:13" x14ac:dyDescent="0.3">
      <c r="A4348" s="1">
        <v>45482</v>
      </c>
      <c r="B4348" s="1" t="str">
        <f>TEXT(Tabla1[[#This Row],[Fecha]],"MMMM")</f>
        <v>julio</v>
      </c>
      <c r="C4348" t="s">
        <v>4358</v>
      </c>
      <c r="D4348" t="s">
        <v>5027</v>
      </c>
      <c r="E4348" t="s">
        <v>5033</v>
      </c>
      <c r="F4348" t="s">
        <v>5041</v>
      </c>
      <c r="G4348" s="3">
        <v>980.92</v>
      </c>
      <c r="H4348" s="3">
        <v>127.52</v>
      </c>
      <c r="I4348" s="3">
        <f>SUM(Tabla1[[#This Row],[Monto_Base]],H4348)</f>
        <v>1108.44</v>
      </c>
      <c r="J4348" t="s">
        <v>5044</v>
      </c>
      <c r="K4348" t="s">
        <v>5049</v>
      </c>
      <c r="L4348" t="s">
        <v>5051</v>
      </c>
      <c r="M4348" t="s">
        <v>5054</v>
      </c>
    </row>
    <row r="4349" spans="1:13" x14ac:dyDescent="0.3">
      <c r="A4349" s="1">
        <v>45331</v>
      </c>
      <c r="B4349" s="1" t="str">
        <f>TEXT(Tabla1[[#This Row],[Fecha]],"MMMM")</f>
        <v>febrero</v>
      </c>
      <c r="C4349" t="s">
        <v>4359</v>
      </c>
      <c r="D4349" t="s">
        <v>5030</v>
      </c>
      <c r="E4349" t="s">
        <v>5032</v>
      </c>
      <c r="F4349" t="s">
        <v>5041</v>
      </c>
      <c r="G4349" s="3">
        <v>13490.21</v>
      </c>
      <c r="H4349" s="3">
        <v>0</v>
      </c>
      <c r="I4349" s="3">
        <f>SUM(Tabla1[[#This Row],[Monto_Base]],H4349)</f>
        <v>13490.21</v>
      </c>
      <c r="J4349" t="s">
        <v>5043</v>
      </c>
      <c r="K4349" t="s">
        <v>5049</v>
      </c>
      <c r="L4349" t="s">
        <v>5050</v>
      </c>
      <c r="M4349" t="s">
        <v>5054</v>
      </c>
    </row>
    <row r="4350" spans="1:13" x14ac:dyDescent="0.3">
      <c r="A4350" s="1">
        <v>45319</v>
      </c>
      <c r="B4350" s="1" t="str">
        <f>TEXT(Tabla1[[#This Row],[Fecha]],"MMMM")</f>
        <v>enero</v>
      </c>
      <c r="C4350" t="s">
        <v>4360</v>
      </c>
      <c r="D4350" t="s">
        <v>5020</v>
      </c>
      <c r="E4350" t="s">
        <v>5032</v>
      </c>
      <c r="F4350" t="s">
        <v>5034</v>
      </c>
      <c r="G4350" s="3">
        <v>5817.12</v>
      </c>
      <c r="H4350" s="3">
        <v>0</v>
      </c>
      <c r="I4350" s="3">
        <f>SUM(Tabla1[[#This Row],[Monto_Base]],H4350)</f>
        <v>5817.12</v>
      </c>
      <c r="J4350" t="s">
        <v>5046</v>
      </c>
      <c r="K4350" t="s">
        <v>5048</v>
      </c>
      <c r="L4350" t="s">
        <v>5052</v>
      </c>
      <c r="M4350" t="s">
        <v>5055</v>
      </c>
    </row>
    <row r="4351" spans="1:13" x14ac:dyDescent="0.3">
      <c r="A4351" s="1">
        <v>45383</v>
      </c>
      <c r="B4351" s="1" t="str">
        <f>TEXT(Tabla1[[#This Row],[Fecha]],"MMMM")</f>
        <v>abril</v>
      </c>
      <c r="C4351" t="s">
        <v>4361</v>
      </c>
      <c r="D4351" t="s">
        <v>5024</v>
      </c>
      <c r="E4351" t="s">
        <v>5033</v>
      </c>
      <c r="F4351" t="s">
        <v>5035</v>
      </c>
      <c r="G4351" s="3">
        <v>9301.5</v>
      </c>
      <c r="H4351" s="3">
        <v>1209.19</v>
      </c>
      <c r="I4351" s="3">
        <f>SUM(Tabla1[[#This Row],[Monto_Base]],H4351)</f>
        <v>10510.69</v>
      </c>
      <c r="J4351" t="s">
        <v>5044</v>
      </c>
      <c r="K4351" t="s">
        <v>5048</v>
      </c>
      <c r="L4351" t="s">
        <v>5051</v>
      </c>
      <c r="M4351" t="s">
        <v>5054</v>
      </c>
    </row>
    <row r="4352" spans="1:13" x14ac:dyDescent="0.3">
      <c r="A4352" s="1">
        <v>45578</v>
      </c>
      <c r="B4352" s="1" t="str">
        <f>TEXT(Tabla1[[#This Row],[Fecha]],"MMMM")</f>
        <v>octubre</v>
      </c>
      <c r="C4352" t="s">
        <v>4362</v>
      </c>
      <c r="D4352" t="s">
        <v>5027</v>
      </c>
      <c r="E4352" t="s">
        <v>5032</v>
      </c>
      <c r="F4352" t="s">
        <v>5035</v>
      </c>
      <c r="G4352" s="3">
        <v>9207.35</v>
      </c>
      <c r="H4352" s="3">
        <v>0</v>
      </c>
      <c r="I4352" s="3">
        <f>SUM(Tabla1[[#This Row],[Monto_Base]],H4352)</f>
        <v>9207.35</v>
      </c>
      <c r="J4352" t="s">
        <v>5043</v>
      </c>
      <c r="K4352" t="s">
        <v>5047</v>
      </c>
      <c r="L4352" t="s">
        <v>5050</v>
      </c>
      <c r="M4352" t="s">
        <v>5054</v>
      </c>
    </row>
    <row r="4353" spans="1:13" x14ac:dyDescent="0.3">
      <c r="A4353" s="1">
        <v>45619</v>
      </c>
      <c r="B4353" s="1" t="str">
        <f>TEXT(Tabla1[[#This Row],[Fecha]],"MMMM")</f>
        <v>noviembre</v>
      </c>
      <c r="C4353" t="s">
        <v>4363</v>
      </c>
      <c r="D4353" t="s">
        <v>5021</v>
      </c>
      <c r="E4353" t="s">
        <v>5033</v>
      </c>
      <c r="F4353" t="s">
        <v>5035</v>
      </c>
      <c r="G4353" s="3">
        <v>14734.51</v>
      </c>
      <c r="H4353" s="3">
        <v>1915.49</v>
      </c>
      <c r="I4353" s="3">
        <f>SUM(Tabla1[[#This Row],[Monto_Base]],H4353)</f>
        <v>16650</v>
      </c>
      <c r="J4353" t="s">
        <v>5045</v>
      </c>
      <c r="K4353" t="s">
        <v>5048</v>
      </c>
      <c r="L4353" t="s">
        <v>5050</v>
      </c>
      <c r="M4353" t="s">
        <v>5055</v>
      </c>
    </row>
    <row r="4354" spans="1:13" x14ac:dyDescent="0.3">
      <c r="A4354" s="1">
        <v>45580</v>
      </c>
      <c r="B4354" s="1" t="str">
        <f>TEXT(Tabla1[[#This Row],[Fecha]],"MMMM")</f>
        <v>octubre</v>
      </c>
      <c r="C4354" t="s">
        <v>4364</v>
      </c>
      <c r="D4354" t="s">
        <v>5016</v>
      </c>
      <c r="E4354" t="s">
        <v>5032</v>
      </c>
      <c r="F4354" t="s">
        <v>5034</v>
      </c>
      <c r="G4354" s="3">
        <v>12782.17</v>
      </c>
      <c r="H4354" s="3">
        <v>0</v>
      </c>
      <c r="I4354" s="3">
        <f>SUM(Tabla1[[#This Row],[Monto_Base]],H4354)</f>
        <v>12782.17</v>
      </c>
      <c r="J4354" t="s">
        <v>5046</v>
      </c>
      <c r="K4354" t="s">
        <v>5047</v>
      </c>
      <c r="L4354" t="s">
        <v>5053</v>
      </c>
      <c r="M4354" t="s">
        <v>5055</v>
      </c>
    </row>
    <row r="4355" spans="1:13" x14ac:dyDescent="0.3">
      <c r="A4355" s="1">
        <v>45657</v>
      </c>
      <c r="B4355" s="1" t="str">
        <f>TEXT(Tabla1[[#This Row],[Fecha]],"MMMM")</f>
        <v>diciembre</v>
      </c>
      <c r="C4355" t="s">
        <v>4365</v>
      </c>
      <c r="D4355" t="s">
        <v>5022</v>
      </c>
      <c r="E4355" t="s">
        <v>5033</v>
      </c>
      <c r="F4355" t="s">
        <v>5040</v>
      </c>
      <c r="G4355" s="3">
        <v>12556.3</v>
      </c>
      <c r="H4355" s="3">
        <v>1632.32</v>
      </c>
      <c r="I4355" s="3">
        <f>SUM(Tabla1[[#This Row],[Monto_Base]],H4355)</f>
        <v>14188.619999999999</v>
      </c>
      <c r="J4355" t="s">
        <v>5043</v>
      </c>
      <c r="K4355" t="s">
        <v>5047</v>
      </c>
      <c r="L4355" t="s">
        <v>5050</v>
      </c>
      <c r="M4355" t="s">
        <v>5054</v>
      </c>
    </row>
    <row r="4356" spans="1:13" x14ac:dyDescent="0.3">
      <c r="A4356" s="1">
        <v>45294</v>
      </c>
      <c r="B4356" s="1" t="str">
        <f>TEXT(Tabla1[[#This Row],[Fecha]],"MMMM")</f>
        <v>enero</v>
      </c>
      <c r="C4356" t="s">
        <v>4366</v>
      </c>
      <c r="D4356" t="s">
        <v>5029</v>
      </c>
      <c r="E4356" t="s">
        <v>5033</v>
      </c>
      <c r="F4356" t="s">
        <v>5041</v>
      </c>
      <c r="G4356" s="3">
        <v>5625.8</v>
      </c>
      <c r="H4356" s="3">
        <v>731.35</v>
      </c>
      <c r="I4356" s="3">
        <f>SUM(Tabla1[[#This Row],[Monto_Base]],H4356)</f>
        <v>6357.1500000000005</v>
      </c>
      <c r="J4356" t="s">
        <v>5044</v>
      </c>
      <c r="K4356" t="s">
        <v>5048</v>
      </c>
      <c r="L4356" t="s">
        <v>5050</v>
      </c>
      <c r="M4356" t="s">
        <v>5054</v>
      </c>
    </row>
    <row r="4357" spans="1:13" x14ac:dyDescent="0.3">
      <c r="A4357" s="1">
        <v>45299</v>
      </c>
      <c r="B4357" s="1" t="str">
        <f>TEXT(Tabla1[[#This Row],[Fecha]],"MMMM")</f>
        <v>enero</v>
      </c>
      <c r="C4357" t="s">
        <v>4367</v>
      </c>
      <c r="D4357" t="s">
        <v>5016</v>
      </c>
      <c r="E4357" t="s">
        <v>5033</v>
      </c>
      <c r="F4357" t="s">
        <v>5035</v>
      </c>
      <c r="G4357" s="3">
        <v>3978.93</v>
      </c>
      <c r="H4357" s="3">
        <v>517.26</v>
      </c>
      <c r="I4357" s="3">
        <f>SUM(Tabla1[[#This Row],[Monto_Base]],H4357)</f>
        <v>4496.1899999999996</v>
      </c>
      <c r="J4357" t="s">
        <v>5046</v>
      </c>
      <c r="K4357" t="s">
        <v>5048</v>
      </c>
      <c r="L4357" t="s">
        <v>5053</v>
      </c>
      <c r="M4357" t="s">
        <v>5054</v>
      </c>
    </row>
    <row r="4358" spans="1:13" x14ac:dyDescent="0.3">
      <c r="A4358" s="1">
        <v>45388</v>
      </c>
      <c r="B4358" s="1" t="str">
        <f>TEXT(Tabla1[[#This Row],[Fecha]],"MMMM")</f>
        <v>abril</v>
      </c>
      <c r="C4358" t="s">
        <v>4368</v>
      </c>
      <c r="D4358" t="s">
        <v>5019</v>
      </c>
      <c r="E4358" t="s">
        <v>5032</v>
      </c>
      <c r="F4358" t="s">
        <v>5040</v>
      </c>
      <c r="G4358" s="3">
        <v>1748.05</v>
      </c>
      <c r="H4358" s="3">
        <v>0</v>
      </c>
      <c r="I4358" s="3">
        <f>SUM(Tabla1[[#This Row],[Monto_Base]],H4358)</f>
        <v>1748.05</v>
      </c>
      <c r="J4358" t="s">
        <v>5045</v>
      </c>
      <c r="K4358" t="s">
        <v>5049</v>
      </c>
      <c r="L4358" t="s">
        <v>5053</v>
      </c>
      <c r="M4358" t="s">
        <v>5055</v>
      </c>
    </row>
    <row r="4359" spans="1:13" x14ac:dyDescent="0.3">
      <c r="A4359" s="1">
        <v>45538</v>
      </c>
      <c r="B4359" s="1" t="str">
        <f>TEXT(Tabla1[[#This Row],[Fecha]],"MMMM")</f>
        <v>septiembre</v>
      </c>
      <c r="C4359" t="s">
        <v>4369</v>
      </c>
      <c r="D4359" t="s">
        <v>5013</v>
      </c>
      <c r="E4359" t="s">
        <v>5032</v>
      </c>
      <c r="F4359" t="s">
        <v>5041</v>
      </c>
      <c r="G4359" s="3">
        <v>4959.63</v>
      </c>
      <c r="H4359" s="3">
        <v>0</v>
      </c>
      <c r="I4359" s="3">
        <f>SUM(Tabla1[[#This Row],[Monto_Base]],H4359)</f>
        <v>4959.63</v>
      </c>
      <c r="J4359" t="s">
        <v>5046</v>
      </c>
      <c r="K4359" t="s">
        <v>5049</v>
      </c>
      <c r="L4359" t="s">
        <v>5053</v>
      </c>
      <c r="M4359" t="s">
        <v>5055</v>
      </c>
    </row>
    <row r="4360" spans="1:13" x14ac:dyDescent="0.3">
      <c r="A4360" s="1">
        <v>45553</v>
      </c>
      <c r="B4360" s="1" t="str">
        <f>TEXT(Tabla1[[#This Row],[Fecha]],"MMMM")</f>
        <v>septiembre</v>
      </c>
      <c r="C4360" t="s">
        <v>4370</v>
      </c>
      <c r="D4360" t="s">
        <v>5018</v>
      </c>
      <c r="E4360" t="s">
        <v>5032</v>
      </c>
      <c r="F4360" t="s">
        <v>5035</v>
      </c>
      <c r="G4360" s="3">
        <v>5772.99</v>
      </c>
      <c r="H4360" s="3">
        <v>0</v>
      </c>
      <c r="I4360" s="3">
        <f>SUM(Tabla1[[#This Row],[Monto_Base]],H4360)</f>
        <v>5772.99</v>
      </c>
      <c r="J4360" t="s">
        <v>5046</v>
      </c>
      <c r="K4360" t="s">
        <v>5049</v>
      </c>
      <c r="L4360" t="s">
        <v>5051</v>
      </c>
      <c r="M4360" t="s">
        <v>5054</v>
      </c>
    </row>
    <row r="4361" spans="1:13" x14ac:dyDescent="0.3">
      <c r="A4361" s="1">
        <v>45298</v>
      </c>
      <c r="B4361" s="1" t="str">
        <f>TEXT(Tabla1[[#This Row],[Fecha]],"MMMM")</f>
        <v>enero</v>
      </c>
      <c r="C4361" t="s">
        <v>4371</v>
      </c>
      <c r="D4361" t="s">
        <v>5028</v>
      </c>
      <c r="E4361" t="s">
        <v>5032</v>
      </c>
      <c r="F4361" t="s">
        <v>5040</v>
      </c>
      <c r="G4361" s="3">
        <v>3394.25</v>
      </c>
      <c r="H4361" s="3">
        <v>0</v>
      </c>
      <c r="I4361" s="3">
        <f>SUM(Tabla1[[#This Row],[Monto_Base]],H4361)</f>
        <v>3394.25</v>
      </c>
      <c r="J4361" t="s">
        <v>5044</v>
      </c>
      <c r="K4361" t="s">
        <v>5049</v>
      </c>
      <c r="L4361" t="s">
        <v>5052</v>
      </c>
      <c r="M4361" t="s">
        <v>5055</v>
      </c>
    </row>
    <row r="4362" spans="1:13" x14ac:dyDescent="0.3">
      <c r="A4362" s="1">
        <v>45460</v>
      </c>
      <c r="B4362" s="1" t="str">
        <f>TEXT(Tabla1[[#This Row],[Fecha]],"MMMM")</f>
        <v>junio</v>
      </c>
      <c r="C4362" t="s">
        <v>4372</v>
      </c>
      <c r="D4362" t="s">
        <v>5015</v>
      </c>
      <c r="E4362" t="s">
        <v>5032</v>
      </c>
      <c r="F4362" t="s">
        <v>5035</v>
      </c>
      <c r="G4362" s="3">
        <v>1800.14</v>
      </c>
      <c r="H4362" s="3">
        <v>0</v>
      </c>
      <c r="I4362" s="3">
        <f>SUM(Tabla1[[#This Row],[Monto_Base]],H4362)</f>
        <v>1800.14</v>
      </c>
      <c r="J4362" t="s">
        <v>5046</v>
      </c>
      <c r="K4362" t="s">
        <v>5048</v>
      </c>
      <c r="L4362" t="s">
        <v>5050</v>
      </c>
      <c r="M4362" t="s">
        <v>5054</v>
      </c>
    </row>
    <row r="4363" spans="1:13" x14ac:dyDescent="0.3">
      <c r="A4363" s="1">
        <v>45477</v>
      </c>
      <c r="B4363" s="1" t="str">
        <f>TEXT(Tabla1[[#This Row],[Fecha]],"MMMM")</f>
        <v>julio</v>
      </c>
      <c r="C4363" t="s">
        <v>4373</v>
      </c>
      <c r="D4363" t="s">
        <v>5018</v>
      </c>
      <c r="E4363" t="s">
        <v>5032</v>
      </c>
      <c r="F4363" t="s">
        <v>5040</v>
      </c>
      <c r="G4363" s="3">
        <v>251.21</v>
      </c>
      <c r="H4363" s="3">
        <v>0</v>
      </c>
      <c r="I4363" s="3">
        <f>SUM(Tabla1[[#This Row],[Monto_Base]],H4363)</f>
        <v>251.21</v>
      </c>
      <c r="J4363" t="s">
        <v>5045</v>
      </c>
      <c r="K4363" t="s">
        <v>5047</v>
      </c>
      <c r="L4363" t="s">
        <v>5053</v>
      </c>
      <c r="M4363" t="s">
        <v>5055</v>
      </c>
    </row>
    <row r="4364" spans="1:13" x14ac:dyDescent="0.3">
      <c r="A4364" s="1">
        <v>45440</v>
      </c>
      <c r="B4364" s="1" t="str">
        <f>TEXT(Tabla1[[#This Row],[Fecha]],"MMMM")</f>
        <v>mayo</v>
      </c>
      <c r="C4364" t="s">
        <v>4374</v>
      </c>
      <c r="D4364" t="s">
        <v>5023</v>
      </c>
      <c r="E4364" t="s">
        <v>5033</v>
      </c>
      <c r="F4364" t="s">
        <v>5040</v>
      </c>
      <c r="G4364" s="3">
        <v>11242.43</v>
      </c>
      <c r="H4364" s="3">
        <v>1461.52</v>
      </c>
      <c r="I4364" s="3">
        <f>SUM(Tabla1[[#This Row],[Monto_Base]],H4364)</f>
        <v>12703.95</v>
      </c>
      <c r="J4364" t="s">
        <v>5045</v>
      </c>
      <c r="K4364" t="s">
        <v>5047</v>
      </c>
      <c r="L4364" t="s">
        <v>5053</v>
      </c>
      <c r="M4364" t="s">
        <v>5054</v>
      </c>
    </row>
    <row r="4365" spans="1:13" x14ac:dyDescent="0.3">
      <c r="A4365" s="1">
        <v>45483</v>
      </c>
      <c r="B4365" s="1" t="str">
        <f>TEXT(Tabla1[[#This Row],[Fecha]],"MMMM")</f>
        <v>julio</v>
      </c>
      <c r="C4365" t="s">
        <v>4375</v>
      </c>
      <c r="D4365" t="s">
        <v>5029</v>
      </c>
      <c r="E4365" t="s">
        <v>5033</v>
      </c>
      <c r="F4365" t="s">
        <v>5038</v>
      </c>
      <c r="G4365" s="3">
        <v>11037.9</v>
      </c>
      <c r="H4365" s="3">
        <v>1434.93</v>
      </c>
      <c r="I4365" s="3">
        <f>SUM(Tabla1[[#This Row],[Monto_Base]],H4365)</f>
        <v>12472.83</v>
      </c>
      <c r="J4365" t="s">
        <v>5045</v>
      </c>
      <c r="K4365" t="s">
        <v>5048</v>
      </c>
      <c r="L4365" t="s">
        <v>5050</v>
      </c>
      <c r="M4365" t="s">
        <v>5054</v>
      </c>
    </row>
    <row r="4366" spans="1:13" x14ac:dyDescent="0.3">
      <c r="A4366" s="1">
        <v>45366</v>
      </c>
      <c r="B4366" s="1" t="str">
        <f>TEXT(Tabla1[[#This Row],[Fecha]],"MMMM")</f>
        <v>marzo</v>
      </c>
      <c r="C4366" t="s">
        <v>4376</v>
      </c>
      <c r="D4366" t="s">
        <v>5026</v>
      </c>
      <c r="E4366" t="s">
        <v>5032</v>
      </c>
      <c r="F4366" t="s">
        <v>5037</v>
      </c>
      <c r="G4366" s="3">
        <v>10517.35</v>
      </c>
      <c r="H4366" s="3">
        <v>0</v>
      </c>
      <c r="I4366" s="3">
        <f>SUM(Tabla1[[#This Row],[Monto_Base]],H4366)</f>
        <v>10517.35</v>
      </c>
      <c r="J4366" t="s">
        <v>5043</v>
      </c>
      <c r="K4366" t="s">
        <v>5049</v>
      </c>
      <c r="L4366" t="s">
        <v>5051</v>
      </c>
      <c r="M4366" t="s">
        <v>5055</v>
      </c>
    </row>
    <row r="4367" spans="1:13" x14ac:dyDescent="0.3">
      <c r="A4367" s="1">
        <v>45369</v>
      </c>
      <c r="B4367" s="1" t="str">
        <f>TEXT(Tabla1[[#This Row],[Fecha]],"MMMM")</f>
        <v>marzo</v>
      </c>
      <c r="C4367" t="s">
        <v>4377</v>
      </c>
      <c r="D4367" t="s">
        <v>5023</v>
      </c>
      <c r="E4367" t="s">
        <v>5032</v>
      </c>
      <c r="F4367" t="s">
        <v>5034</v>
      </c>
      <c r="G4367" s="3">
        <v>678.53</v>
      </c>
      <c r="H4367" s="3">
        <v>0</v>
      </c>
      <c r="I4367" s="3">
        <f>SUM(Tabla1[[#This Row],[Monto_Base]],H4367)</f>
        <v>678.53</v>
      </c>
      <c r="J4367" t="s">
        <v>5044</v>
      </c>
      <c r="K4367" t="s">
        <v>5047</v>
      </c>
      <c r="L4367" t="s">
        <v>5052</v>
      </c>
      <c r="M4367" t="s">
        <v>5054</v>
      </c>
    </row>
    <row r="4368" spans="1:13" x14ac:dyDescent="0.3">
      <c r="A4368" s="1">
        <v>45315</v>
      </c>
      <c r="B4368" s="1" t="str">
        <f>TEXT(Tabla1[[#This Row],[Fecha]],"MMMM")</f>
        <v>enero</v>
      </c>
      <c r="C4368" t="s">
        <v>4378</v>
      </c>
      <c r="D4368" t="s">
        <v>5022</v>
      </c>
      <c r="E4368" t="s">
        <v>5032</v>
      </c>
      <c r="F4368" t="s">
        <v>5037</v>
      </c>
      <c r="G4368" s="3">
        <v>3020.49</v>
      </c>
      <c r="H4368" s="3">
        <v>0</v>
      </c>
      <c r="I4368" s="3">
        <f>SUM(Tabla1[[#This Row],[Monto_Base]],H4368)</f>
        <v>3020.49</v>
      </c>
      <c r="J4368" t="s">
        <v>5043</v>
      </c>
      <c r="K4368" t="s">
        <v>5047</v>
      </c>
      <c r="L4368" t="s">
        <v>5052</v>
      </c>
      <c r="M4368" t="s">
        <v>5055</v>
      </c>
    </row>
    <row r="4369" spans="1:13" x14ac:dyDescent="0.3">
      <c r="A4369" s="1">
        <v>45444</v>
      </c>
      <c r="B4369" s="1" t="str">
        <f>TEXT(Tabla1[[#This Row],[Fecha]],"MMMM")</f>
        <v>junio</v>
      </c>
      <c r="C4369" t="s">
        <v>4379</v>
      </c>
      <c r="D4369" t="s">
        <v>5017</v>
      </c>
      <c r="E4369" t="s">
        <v>5032</v>
      </c>
      <c r="F4369" t="s">
        <v>5034</v>
      </c>
      <c r="G4369" s="3">
        <v>9165.67</v>
      </c>
      <c r="H4369" s="3">
        <v>0</v>
      </c>
      <c r="I4369" s="3">
        <f>SUM(Tabla1[[#This Row],[Monto_Base]],H4369)</f>
        <v>9165.67</v>
      </c>
      <c r="J4369" t="s">
        <v>5042</v>
      </c>
      <c r="K4369" t="s">
        <v>5047</v>
      </c>
      <c r="L4369" t="s">
        <v>5052</v>
      </c>
      <c r="M4369" t="s">
        <v>5055</v>
      </c>
    </row>
    <row r="4370" spans="1:13" x14ac:dyDescent="0.3">
      <c r="A4370" s="1">
        <v>45439</v>
      </c>
      <c r="B4370" s="1" t="str">
        <f>TEXT(Tabla1[[#This Row],[Fecha]],"MMMM")</f>
        <v>mayo</v>
      </c>
      <c r="C4370" t="s">
        <v>4380</v>
      </c>
      <c r="D4370" t="s">
        <v>5031</v>
      </c>
      <c r="E4370" t="s">
        <v>5033</v>
      </c>
      <c r="F4370" t="s">
        <v>5037</v>
      </c>
      <c r="G4370" s="3">
        <v>5871.1</v>
      </c>
      <c r="H4370" s="3">
        <v>763.24</v>
      </c>
      <c r="I4370" s="3">
        <f>SUM(Tabla1[[#This Row],[Monto_Base]],H4370)</f>
        <v>6634.34</v>
      </c>
      <c r="J4370" t="s">
        <v>5046</v>
      </c>
      <c r="K4370" t="s">
        <v>5048</v>
      </c>
      <c r="L4370" t="s">
        <v>5051</v>
      </c>
      <c r="M4370" t="s">
        <v>5054</v>
      </c>
    </row>
    <row r="4371" spans="1:13" x14ac:dyDescent="0.3">
      <c r="A4371" s="1">
        <v>45453</v>
      </c>
      <c r="B4371" s="1" t="str">
        <f>TEXT(Tabla1[[#This Row],[Fecha]],"MMMM")</f>
        <v>junio</v>
      </c>
      <c r="C4371" t="s">
        <v>4381</v>
      </c>
      <c r="D4371" t="s">
        <v>5020</v>
      </c>
      <c r="E4371" t="s">
        <v>5033</v>
      </c>
      <c r="F4371" t="s">
        <v>5036</v>
      </c>
      <c r="G4371" s="3">
        <v>9883.92</v>
      </c>
      <c r="H4371" s="3">
        <v>1284.9100000000001</v>
      </c>
      <c r="I4371" s="3">
        <f>SUM(Tabla1[[#This Row],[Monto_Base]],H4371)</f>
        <v>11168.83</v>
      </c>
      <c r="J4371" t="s">
        <v>5042</v>
      </c>
      <c r="K4371" t="s">
        <v>5048</v>
      </c>
      <c r="L4371" t="s">
        <v>5051</v>
      </c>
      <c r="M4371" t="s">
        <v>5055</v>
      </c>
    </row>
    <row r="4372" spans="1:13" x14ac:dyDescent="0.3">
      <c r="A4372" s="1">
        <v>45442</v>
      </c>
      <c r="B4372" s="1" t="str">
        <f>TEXT(Tabla1[[#This Row],[Fecha]],"MMMM")</f>
        <v>mayo</v>
      </c>
      <c r="C4372" t="s">
        <v>4382</v>
      </c>
      <c r="D4372" t="s">
        <v>5015</v>
      </c>
      <c r="E4372" t="s">
        <v>5033</v>
      </c>
      <c r="F4372" t="s">
        <v>5040</v>
      </c>
      <c r="G4372" s="3">
        <v>14883.88</v>
      </c>
      <c r="H4372" s="3">
        <v>1934.9</v>
      </c>
      <c r="I4372" s="3">
        <f>SUM(Tabla1[[#This Row],[Monto_Base]],H4372)</f>
        <v>16818.78</v>
      </c>
      <c r="J4372" t="s">
        <v>5043</v>
      </c>
      <c r="K4372" t="s">
        <v>5049</v>
      </c>
      <c r="L4372" t="s">
        <v>5052</v>
      </c>
      <c r="M4372" t="s">
        <v>5054</v>
      </c>
    </row>
    <row r="4373" spans="1:13" x14ac:dyDescent="0.3">
      <c r="A4373" s="1">
        <v>45414</v>
      </c>
      <c r="B4373" s="1" t="str">
        <f>TEXT(Tabla1[[#This Row],[Fecha]],"MMMM")</f>
        <v>mayo</v>
      </c>
      <c r="C4373" t="s">
        <v>4383</v>
      </c>
      <c r="D4373" t="s">
        <v>5014</v>
      </c>
      <c r="E4373" t="s">
        <v>5032</v>
      </c>
      <c r="F4373" t="s">
        <v>5037</v>
      </c>
      <c r="G4373" s="3">
        <v>11726.78</v>
      </c>
      <c r="H4373" s="3">
        <v>0</v>
      </c>
      <c r="I4373" s="3">
        <f>SUM(Tabla1[[#This Row],[Monto_Base]],H4373)</f>
        <v>11726.78</v>
      </c>
      <c r="J4373" t="s">
        <v>5045</v>
      </c>
      <c r="K4373" t="s">
        <v>5047</v>
      </c>
      <c r="L4373" t="s">
        <v>5052</v>
      </c>
      <c r="M4373" t="s">
        <v>5054</v>
      </c>
    </row>
    <row r="4374" spans="1:13" x14ac:dyDescent="0.3">
      <c r="A4374" s="1">
        <v>45646</v>
      </c>
      <c r="B4374" s="1" t="str">
        <f>TEXT(Tabla1[[#This Row],[Fecha]],"MMMM")</f>
        <v>diciembre</v>
      </c>
      <c r="C4374" t="s">
        <v>4384</v>
      </c>
      <c r="D4374" t="s">
        <v>5028</v>
      </c>
      <c r="E4374" t="s">
        <v>5033</v>
      </c>
      <c r="F4374" t="s">
        <v>5034</v>
      </c>
      <c r="G4374" s="3">
        <v>12203.4</v>
      </c>
      <c r="H4374" s="3">
        <v>1586.44</v>
      </c>
      <c r="I4374" s="3">
        <f>SUM(Tabla1[[#This Row],[Monto_Base]],H4374)</f>
        <v>13789.84</v>
      </c>
      <c r="J4374" t="s">
        <v>5042</v>
      </c>
      <c r="K4374" t="s">
        <v>5049</v>
      </c>
      <c r="L4374" t="s">
        <v>5052</v>
      </c>
      <c r="M4374" t="s">
        <v>5054</v>
      </c>
    </row>
    <row r="4375" spans="1:13" x14ac:dyDescent="0.3">
      <c r="A4375" s="1">
        <v>45657</v>
      </c>
      <c r="B4375" s="1" t="str">
        <f>TEXT(Tabla1[[#This Row],[Fecha]],"MMMM")</f>
        <v>diciembre</v>
      </c>
      <c r="C4375" t="s">
        <v>4385</v>
      </c>
      <c r="D4375" t="s">
        <v>5022</v>
      </c>
      <c r="E4375" t="s">
        <v>5033</v>
      </c>
      <c r="F4375" t="s">
        <v>5040</v>
      </c>
      <c r="G4375" s="3">
        <v>455.07</v>
      </c>
      <c r="H4375" s="3">
        <v>59.16</v>
      </c>
      <c r="I4375" s="3">
        <f>SUM(Tabla1[[#This Row],[Monto_Base]],H4375)</f>
        <v>514.23</v>
      </c>
      <c r="J4375" t="s">
        <v>5046</v>
      </c>
      <c r="K4375" t="s">
        <v>5048</v>
      </c>
      <c r="L4375" t="s">
        <v>5053</v>
      </c>
      <c r="M4375" t="s">
        <v>5055</v>
      </c>
    </row>
    <row r="4376" spans="1:13" x14ac:dyDescent="0.3">
      <c r="A4376" s="1">
        <v>45571</v>
      </c>
      <c r="B4376" s="1" t="str">
        <f>TEXT(Tabla1[[#This Row],[Fecha]],"MMMM")</f>
        <v>octubre</v>
      </c>
      <c r="C4376" t="s">
        <v>4386</v>
      </c>
      <c r="D4376" t="s">
        <v>5012</v>
      </c>
      <c r="E4376" t="s">
        <v>5032</v>
      </c>
      <c r="F4376" t="s">
        <v>5034</v>
      </c>
      <c r="G4376" s="3">
        <v>11633</v>
      </c>
      <c r="H4376" s="3">
        <v>0</v>
      </c>
      <c r="I4376" s="3">
        <f>SUM(Tabla1[[#This Row],[Monto_Base]],H4376)</f>
        <v>11633</v>
      </c>
      <c r="J4376" t="s">
        <v>5043</v>
      </c>
      <c r="K4376" t="s">
        <v>5048</v>
      </c>
      <c r="L4376" t="s">
        <v>5050</v>
      </c>
      <c r="M4376" t="s">
        <v>5055</v>
      </c>
    </row>
    <row r="4377" spans="1:13" x14ac:dyDescent="0.3">
      <c r="A4377" s="1">
        <v>45374</v>
      </c>
      <c r="B4377" s="1" t="str">
        <f>TEXT(Tabla1[[#This Row],[Fecha]],"MMMM")</f>
        <v>marzo</v>
      </c>
      <c r="C4377" t="s">
        <v>4387</v>
      </c>
      <c r="D4377" t="s">
        <v>5022</v>
      </c>
      <c r="E4377" t="s">
        <v>5032</v>
      </c>
      <c r="F4377" t="s">
        <v>5039</v>
      </c>
      <c r="G4377" s="3">
        <v>5861.04</v>
      </c>
      <c r="H4377" s="3">
        <v>0</v>
      </c>
      <c r="I4377" s="3">
        <f>SUM(Tabla1[[#This Row],[Monto_Base]],H4377)</f>
        <v>5861.04</v>
      </c>
      <c r="J4377" t="s">
        <v>5043</v>
      </c>
      <c r="K4377" t="s">
        <v>5048</v>
      </c>
      <c r="L4377" t="s">
        <v>5050</v>
      </c>
      <c r="M4377" t="s">
        <v>5055</v>
      </c>
    </row>
    <row r="4378" spans="1:13" x14ac:dyDescent="0.3">
      <c r="A4378" s="1">
        <v>45540</v>
      </c>
      <c r="B4378" s="1" t="str">
        <f>TEXT(Tabla1[[#This Row],[Fecha]],"MMMM")</f>
        <v>septiembre</v>
      </c>
      <c r="C4378" t="s">
        <v>4388</v>
      </c>
      <c r="D4378" t="s">
        <v>5024</v>
      </c>
      <c r="E4378" t="s">
        <v>5032</v>
      </c>
      <c r="F4378" t="s">
        <v>5035</v>
      </c>
      <c r="G4378" s="3">
        <v>5386</v>
      </c>
      <c r="H4378" s="3">
        <v>0</v>
      </c>
      <c r="I4378" s="3">
        <f>SUM(Tabla1[[#This Row],[Monto_Base]],H4378)</f>
        <v>5386</v>
      </c>
      <c r="J4378" t="s">
        <v>5046</v>
      </c>
      <c r="K4378" t="s">
        <v>5049</v>
      </c>
      <c r="L4378" t="s">
        <v>5053</v>
      </c>
      <c r="M4378" t="s">
        <v>5054</v>
      </c>
    </row>
    <row r="4379" spans="1:13" x14ac:dyDescent="0.3">
      <c r="A4379" s="1">
        <v>45603</v>
      </c>
      <c r="B4379" s="1" t="str">
        <f>TEXT(Tabla1[[#This Row],[Fecha]],"MMMM")</f>
        <v>noviembre</v>
      </c>
      <c r="C4379" t="s">
        <v>4389</v>
      </c>
      <c r="D4379" t="s">
        <v>5017</v>
      </c>
      <c r="E4379" t="s">
        <v>5033</v>
      </c>
      <c r="F4379" t="s">
        <v>5041</v>
      </c>
      <c r="G4379" s="3">
        <v>491.66</v>
      </c>
      <c r="H4379" s="3">
        <v>63.92</v>
      </c>
      <c r="I4379" s="3">
        <f>SUM(Tabla1[[#This Row],[Monto_Base]],H4379)</f>
        <v>555.58000000000004</v>
      </c>
      <c r="J4379" t="s">
        <v>5042</v>
      </c>
      <c r="K4379" t="s">
        <v>5049</v>
      </c>
      <c r="L4379" t="s">
        <v>5052</v>
      </c>
      <c r="M4379" t="s">
        <v>5055</v>
      </c>
    </row>
    <row r="4380" spans="1:13" x14ac:dyDescent="0.3">
      <c r="A4380" s="1">
        <v>45560</v>
      </c>
      <c r="B4380" s="1" t="str">
        <f>TEXT(Tabla1[[#This Row],[Fecha]],"MMMM")</f>
        <v>septiembre</v>
      </c>
      <c r="C4380" t="s">
        <v>4390</v>
      </c>
      <c r="D4380" t="s">
        <v>5025</v>
      </c>
      <c r="E4380" t="s">
        <v>5033</v>
      </c>
      <c r="F4380" t="s">
        <v>5041</v>
      </c>
      <c r="G4380" s="3">
        <v>5460.96</v>
      </c>
      <c r="H4380" s="3">
        <v>709.92</v>
      </c>
      <c r="I4380" s="3">
        <f>SUM(Tabla1[[#This Row],[Monto_Base]],H4380)</f>
        <v>6170.88</v>
      </c>
      <c r="J4380" t="s">
        <v>5043</v>
      </c>
      <c r="K4380" t="s">
        <v>5047</v>
      </c>
      <c r="L4380" t="s">
        <v>5053</v>
      </c>
      <c r="M4380" t="s">
        <v>5054</v>
      </c>
    </row>
    <row r="4381" spans="1:13" x14ac:dyDescent="0.3">
      <c r="A4381" s="1">
        <v>45643</v>
      </c>
      <c r="B4381" s="1" t="str">
        <f>TEXT(Tabla1[[#This Row],[Fecha]],"MMMM")</f>
        <v>diciembre</v>
      </c>
      <c r="C4381" t="s">
        <v>4391</v>
      </c>
      <c r="D4381" t="s">
        <v>5024</v>
      </c>
      <c r="E4381" t="s">
        <v>5032</v>
      </c>
      <c r="F4381" t="s">
        <v>5041</v>
      </c>
      <c r="G4381" s="3">
        <v>7934.66</v>
      </c>
      <c r="H4381" s="3">
        <v>0</v>
      </c>
      <c r="I4381" s="3">
        <f>SUM(Tabla1[[#This Row],[Monto_Base]],H4381)</f>
        <v>7934.66</v>
      </c>
      <c r="J4381" t="s">
        <v>5046</v>
      </c>
      <c r="K4381" t="s">
        <v>5049</v>
      </c>
      <c r="L4381" t="s">
        <v>5053</v>
      </c>
      <c r="M4381" t="s">
        <v>5055</v>
      </c>
    </row>
    <row r="4382" spans="1:13" x14ac:dyDescent="0.3">
      <c r="A4382" s="1">
        <v>45496</v>
      </c>
      <c r="B4382" s="1" t="str">
        <f>TEXT(Tabla1[[#This Row],[Fecha]],"MMMM")</f>
        <v>julio</v>
      </c>
      <c r="C4382" t="s">
        <v>4392</v>
      </c>
      <c r="D4382" t="s">
        <v>5022</v>
      </c>
      <c r="E4382" t="s">
        <v>5033</v>
      </c>
      <c r="F4382" t="s">
        <v>5037</v>
      </c>
      <c r="G4382" s="3">
        <v>11636.76</v>
      </c>
      <c r="H4382" s="3">
        <v>1512.78</v>
      </c>
      <c r="I4382" s="3">
        <f>SUM(Tabla1[[#This Row],[Monto_Base]],H4382)</f>
        <v>13149.54</v>
      </c>
      <c r="J4382" t="s">
        <v>5042</v>
      </c>
      <c r="K4382" t="s">
        <v>5049</v>
      </c>
      <c r="L4382" t="s">
        <v>5053</v>
      </c>
      <c r="M4382" t="s">
        <v>5054</v>
      </c>
    </row>
    <row r="4383" spans="1:13" x14ac:dyDescent="0.3">
      <c r="A4383" s="1">
        <v>45375</v>
      </c>
      <c r="B4383" s="1" t="str">
        <f>TEXT(Tabla1[[#This Row],[Fecha]],"MMMM")</f>
        <v>marzo</v>
      </c>
      <c r="C4383" t="s">
        <v>4393</v>
      </c>
      <c r="D4383" t="s">
        <v>5014</v>
      </c>
      <c r="E4383" t="s">
        <v>5033</v>
      </c>
      <c r="F4383" t="s">
        <v>5038</v>
      </c>
      <c r="G4383" s="3">
        <v>10917.34</v>
      </c>
      <c r="H4383" s="3">
        <v>1419.25</v>
      </c>
      <c r="I4383" s="3">
        <f>SUM(Tabla1[[#This Row],[Monto_Base]],H4383)</f>
        <v>12336.59</v>
      </c>
      <c r="J4383" t="s">
        <v>5044</v>
      </c>
      <c r="K4383" t="s">
        <v>5047</v>
      </c>
      <c r="L4383" t="s">
        <v>5051</v>
      </c>
      <c r="M4383" t="s">
        <v>5055</v>
      </c>
    </row>
    <row r="4384" spans="1:13" x14ac:dyDescent="0.3">
      <c r="A4384" s="1">
        <v>45330</v>
      </c>
      <c r="B4384" s="1" t="str">
        <f>TEXT(Tabla1[[#This Row],[Fecha]],"MMMM")</f>
        <v>febrero</v>
      </c>
      <c r="C4384" t="s">
        <v>4394</v>
      </c>
      <c r="D4384" t="s">
        <v>5016</v>
      </c>
      <c r="E4384" t="s">
        <v>5033</v>
      </c>
      <c r="F4384" t="s">
        <v>5037</v>
      </c>
      <c r="G4384" s="3">
        <v>8211.68</v>
      </c>
      <c r="H4384" s="3">
        <v>1067.52</v>
      </c>
      <c r="I4384" s="3">
        <f>SUM(Tabla1[[#This Row],[Monto_Base]],H4384)</f>
        <v>9279.2000000000007</v>
      </c>
      <c r="J4384" t="s">
        <v>5043</v>
      </c>
      <c r="K4384" t="s">
        <v>5049</v>
      </c>
      <c r="L4384" t="s">
        <v>5052</v>
      </c>
      <c r="M4384" t="s">
        <v>5054</v>
      </c>
    </row>
    <row r="4385" spans="1:13" x14ac:dyDescent="0.3">
      <c r="A4385" s="1">
        <v>45355</v>
      </c>
      <c r="B4385" s="1" t="str">
        <f>TEXT(Tabla1[[#This Row],[Fecha]],"MMMM")</f>
        <v>marzo</v>
      </c>
      <c r="C4385" t="s">
        <v>4395</v>
      </c>
      <c r="D4385" t="s">
        <v>5030</v>
      </c>
      <c r="E4385" t="s">
        <v>5032</v>
      </c>
      <c r="F4385" t="s">
        <v>5041</v>
      </c>
      <c r="G4385" s="3">
        <v>175.4</v>
      </c>
      <c r="H4385" s="3">
        <v>0</v>
      </c>
      <c r="I4385" s="3">
        <f>SUM(Tabla1[[#This Row],[Monto_Base]],H4385)</f>
        <v>175.4</v>
      </c>
      <c r="J4385" t="s">
        <v>5045</v>
      </c>
      <c r="K4385" t="s">
        <v>5049</v>
      </c>
      <c r="L4385" t="s">
        <v>5053</v>
      </c>
      <c r="M4385" t="s">
        <v>5054</v>
      </c>
    </row>
    <row r="4386" spans="1:13" x14ac:dyDescent="0.3">
      <c r="A4386" s="1">
        <v>45424</v>
      </c>
      <c r="B4386" s="1" t="str">
        <f>TEXT(Tabla1[[#This Row],[Fecha]],"MMMM")</f>
        <v>mayo</v>
      </c>
      <c r="C4386" t="s">
        <v>4396</v>
      </c>
      <c r="D4386" t="s">
        <v>5016</v>
      </c>
      <c r="E4386" t="s">
        <v>5033</v>
      </c>
      <c r="F4386" t="s">
        <v>5040</v>
      </c>
      <c r="G4386" s="3">
        <v>13281.22</v>
      </c>
      <c r="H4386" s="3">
        <v>1726.56</v>
      </c>
      <c r="I4386" s="3">
        <f>SUM(Tabla1[[#This Row],[Monto_Base]],H4386)</f>
        <v>15007.779999999999</v>
      </c>
      <c r="J4386" t="s">
        <v>5044</v>
      </c>
      <c r="K4386" t="s">
        <v>5049</v>
      </c>
      <c r="L4386" t="s">
        <v>5050</v>
      </c>
      <c r="M4386" t="s">
        <v>5054</v>
      </c>
    </row>
    <row r="4387" spans="1:13" x14ac:dyDescent="0.3">
      <c r="A4387" s="1">
        <v>45454</v>
      </c>
      <c r="B4387" s="1" t="str">
        <f>TEXT(Tabla1[[#This Row],[Fecha]],"MMMM")</f>
        <v>junio</v>
      </c>
      <c r="C4387" t="s">
        <v>4397</v>
      </c>
      <c r="D4387" t="s">
        <v>5016</v>
      </c>
      <c r="E4387" t="s">
        <v>5033</v>
      </c>
      <c r="F4387" t="s">
        <v>5034</v>
      </c>
      <c r="G4387" s="3">
        <v>3861.92</v>
      </c>
      <c r="H4387" s="3">
        <v>502.05</v>
      </c>
      <c r="I4387" s="3">
        <f>SUM(Tabla1[[#This Row],[Monto_Base]],H4387)</f>
        <v>4363.97</v>
      </c>
      <c r="J4387" t="s">
        <v>5042</v>
      </c>
      <c r="K4387" t="s">
        <v>5048</v>
      </c>
      <c r="L4387" t="s">
        <v>5050</v>
      </c>
      <c r="M4387" t="s">
        <v>5054</v>
      </c>
    </row>
    <row r="4388" spans="1:13" x14ac:dyDescent="0.3">
      <c r="A4388" s="1">
        <v>45635</v>
      </c>
      <c r="B4388" s="1" t="str">
        <f>TEXT(Tabla1[[#This Row],[Fecha]],"MMMM")</f>
        <v>diciembre</v>
      </c>
      <c r="C4388" t="s">
        <v>4398</v>
      </c>
      <c r="D4388" t="s">
        <v>5022</v>
      </c>
      <c r="E4388" t="s">
        <v>5033</v>
      </c>
      <c r="F4388" t="s">
        <v>5036</v>
      </c>
      <c r="G4388" s="3">
        <v>3287.44</v>
      </c>
      <c r="H4388" s="3">
        <v>427.37</v>
      </c>
      <c r="I4388" s="3">
        <f>SUM(Tabla1[[#This Row],[Monto_Base]],H4388)</f>
        <v>3714.81</v>
      </c>
      <c r="J4388" t="s">
        <v>5042</v>
      </c>
      <c r="K4388" t="s">
        <v>5049</v>
      </c>
      <c r="L4388" t="s">
        <v>5053</v>
      </c>
      <c r="M4388" t="s">
        <v>5055</v>
      </c>
    </row>
    <row r="4389" spans="1:13" x14ac:dyDescent="0.3">
      <c r="A4389" s="1">
        <v>45619</v>
      </c>
      <c r="B4389" s="1" t="str">
        <f>TEXT(Tabla1[[#This Row],[Fecha]],"MMMM")</f>
        <v>noviembre</v>
      </c>
      <c r="C4389" t="s">
        <v>4399</v>
      </c>
      <c r="D4389" t="s">
        <v>5019</v>
      </c>
      <c r="E4389" t="s">
        <v>5032</v>
      </c>
      <c r="F4389" t="s">
        <v>5035</v>
      </c>
      <c r="G4389" s="3">
        <v>4836.6400000000003</v>
      </c>
      <c r="H4389" s="3">
        <v>0</v>
      </c>
      <c r="I4389" s="3">
        <f>SUM(Tabla1[[#This Row],[Monto_Base]],H4389)</f>
        <v>4836.6400000000003</v>
      </c>
      <c r="J4389" t="s">
        <v>5042</v>
      </c>
      <c r="K4389" t="s">
        <v>5049</v>
      </c>
      <c r="L4389" t="s">
        <v>5050</v>
      </c>
      <c r="M4389" t="s">
        <v>5055</v>
      </c>
    </row>
    <row r="4390" spans="1:13" x14ac:dyDescent="0.3">
      <c r="A4390" s="1">
        <v>45400</v>
      </c>
      <c r="B4390" s="1" t="str">
        <f>TEXT(Tabla1[[#This Row],[Fecha]],"MMMM")</f>
        <v>abril</v>
      </c>
      <c r="C4390" t="s">
        <v>4400</v>
      </c>
      <c r="D4390" t="s">
        <v>5012</v>
      </c>
      <c r="E4390" t="s">
        <v>5032</v>
      </c>
      <c r="F4390" t="s">
        <v>5035</v>
      </c>
      <c r="G4390" s="3">
        <v>12635.87</v>
      </c>
      <c r="H4390" s="3">
        <v>0</v>
      </c>
      <c r="I4390" s="3">
        <f>SUM(Tabla1[[#This Row],[Monto_Base]],H4390)</f>
        <v>12635.87</v>
      </c>
      <c r="J4390" t="s">
        <v>5043</v>
      </c>
      <c r="K4390" t="s">
        <v>5049</v>
      </c>
      <c r="L4390" t="s">
        <v>5052</v>
      </c>
      <c r="M4390" t="s">
        <v>5055</v>
      </c>
    </row>
    <row r="4391" spans="1:13" x14ac:dyDescent="0.3">
      <c r="A4391" s="1">
        <v>45561</v>
      </c>
      <c r="B4391" s="1" t="str">
        <f>TEXT(Tabla1[[#This Row],[Fecha]],"MMMM")</f>
        <v>septiembre</v>
      </c>
      <c r="C4391" t="s">
        <v>4401</v>
      </c>
      <c r="D4391" t="s">
        <v>5018</v>
      </c>
      <c r="E4391" t="s">
        <v>5033</v>
      </c>
      <c r="F4391" t="s">
        <v>5039</v>
      </c>
      <c r="G4391" s="3">
        <v>6303.11</v>
      </c>
      <c r="H4391" s="3">
        <v>819.4</v>
      </c>
      <c r="I4391" s="3">
        <f>SUM(Tabla1[[#This Row],[Monto_Base]],H4391)</f>
        <v>7122.5099999999993</v>
      </c>
      <c r="J4391" t="s">
        <v>5042</v>
      </c>
      <c r="K4391" t="s">
        <v>5048</v>
      </c>
      <c r="L4391" t="s">
        <v>5053</v>
      </c>
      <c r="M4391" t="s">
        <v>5055</v>
      </c>
    </row>
    <row r="4392" spans="1:13" x14ac:dyDescent="0.3">
      <c r="A4392" s="1">
        <v>45617</v>
      </c>
      <c r="B4392" s="1" t="str">
        <f>TEXT(Tabla1[[#This Row],[Fecha]],"MMMM")</f>
        <v>noviembre</v>
      </c>
      <c r="C4392" t="s">
        <v>4402</v>
      </c>
      <c r="D4392" t="s">
        <v>5015</v>
      </c>
      <c r="E4392" t="s">
        <v>5032</v>
      </c>
      <c r="F4392" t="s">
        <v>5041</v>
      </c>
      <c r="G4392" s="3">
        <v>8130.66</v>
      </c>
      <c r="H4392" s="3">
        <v>0</v>
      </c>
      <c r="I4392" s="3">
        <f>SUM(Tabla1[[#This Row],[Monto_Base]],H4392)</f>
        <v>8130.66</v>
      </c>
      <c r="J4392" t="s">
        <v>5045</v>
      </c>
      <c r="K4392" t="s">
        <v>5047</v>
      </c>
      <c r="L4392" t="s">
        <v>5050</v>
      </c>
      <c r="M4392" t="s">
        <v>5054</v>
      </c>
    </row>
    <row r="4393" spans="1:13" x14ac:dyDescent="0.3">
      <c r="A4393" s="1">
        <v>45634</v>
      </c>
      <c r="B4393" s="1" t="str">
        <f>TEXT(Tabla1[[#This Row],[Fecha]],"MMMM")</f>
        <v>diciembre</v>
      </c>
      <c r="C4393" t="s">
        <v>4403</v>
      </c>
      <c r="D4393" t="s">
        <v>5021</v>
      </c>
      <c r="E4393" t="s">
        <v>5033</v>
      </c>
      <c r="F4393" t="s">
        <v>5036</v>
      </c>
      <c r="G4393" s="3">
        <v>12618.94</v>
      </c>
      <c r="H4393" s="3">
        <v>1640.46</v>
      </c>
      <c r="I4393" s="3">
        <f>SUM(Tabla1[[#This Row],[Monto_Base]],H4393)</f>
        <v>14259.400000000001</v>
      </c>
      <c r="J4393" t="s">
        <v>5044</v>
      </c>
      <c r="K4393" t="s">
        <v>5048</v>
      </c>
      <c r="L4393" t="s">
        <v>5052</v>
      </c>
      <c r="M4393" t="s">
        <v>5055</v>
      </c>
    </row>
    <row r="4394" spans="1:13" x14ac:dyDescent="0.3">
      <c r="A4394" s="1">
        <v>45348</v>
      </c>
      <c r="B4394" s="1" t="str">
        <f>TEXT(Tabla1[[#This Row],[Fecha]],"MMMM")</f>
        <v>febrero</v>
      </c>
      <c r="C4394" t="s">
        <v>4404</v>
      </c>
      <c r="D4394" t="s">
        <v>5014</v>
      </c>
      <c r="E4394" t="s">
        <v>5032</v>
      </c>
      <c r="F4394" t="s">
        <v>5038</v>
      </c>
      <c r="G4394" s="3">
        <v>3731.47</v>
      </c>
      <c r="H4394" s="3">
        <v>0</v>
      </c>
      <c r="I4394" s="3">
        <f>SUM(Tabla1[[#This Row],[Monto_Base]],H4394)</f>
        <v>3731.47</v>
      </c>
      <c r="J4394" t="s">
        <v>5043</v>
      </c>
      <c r="K4394" t="s">
        <v>5049</v>
      </c>
      <c r="L4394" t="s">
        <v>5052</v>
      </c>
      <c r="M4394" t="s">
        <v>5055</v>
      </c>
    </row>
    <row r="4395" spans="1:13" x14ac:dyDescent="0.3">
      <c r="A4395" s="1">
        <v>45361</v>
      </c>
      <c r="B4395" s="1" t="str">
        <f>TEXT(Tabla1[[#This Row],[Fecha]],"MMMM")</f>
        <v>marzo</v>
      </c>
      <c r="C4395" t="s">
        <v>4405</v>
      </c>
      <c r="D4395" t="s">
        <v>5012</v>
      </c>
      <c r="E4395" t="s">
        <v>5032</v>
      </c>
      <c r="F4395" t="s">
        <v>5041</v>
      </c>
      <c r="G4395" s="3">
        <v>6157.11</v>
      </c>
      <c r="H4395" s="3">
        <v>0</v>
      </c>
      <c r="I4395" s="3">
        <f>SUM(Tabla1[[#This Row],[Monto_Base]],H4395)</f>
        <v>6157.11</v>
      </c>
      <c r="J4395" t="s">
        <v>5045</v>
      </c>
      <c r="K4395" t="s">
        <v>5049</v>
      </c>
      <c r="L4395" t="s">
        <v>5051</v>
      </c>
      <c r="M4395" t="s">
        <v>5054</v>
      </c>
    </row>
    <row r="4396" spans="1:13" x14ac:dyDescent="0.3">
      <c r="A4396" s="1">
        <v>45298</v>
      </c>
      <c r="B4396" s="1" t="str">
        <f>TEXT(Tabla1[[#This Row],[Fecha]],"MMMM")</f>
        <v>enero</v>
      </c>
      <c r="C4396" t="s">
        <v>4406</v>
      </c>
      <c r="D4396" t="s">
        <v>5016</v>
      </c>
      <c r="E4396" t="s">
        <v>5032</v>
      </c>
      <c r="F4396" t="s">
        <v>5037</v>
      </c>
      <c r="G4396" s="3">
        <v>3833.35</v>
      </c>
      <c r="H4396" s="3">
        <v>0</v>
      </c>
      <c r="I4396" s="3">
        <f>SUM(Tabla1[[#This Row],[Monto_Base]],H4396)</f>
        <v>3833.35</v>
      </c>
      <c r="J4396" t="s">
        <v>5045</v>
      </c>
      <c r="K4396" t="s">
        <v>5048</v>
      </c>
      <c r="L4396" t="s">
        <v>5050</v>
      </c>
      <c r="M4396" t="s">
        <v>5055</v>
      </c>
    </row>
    <row r="4397" spans="1:13" x14ac:dyDescent="0.3">
      <c r="A4397" s="1">
        <v>45606</v>
      </c>
      <c r="B4397" s="1" t="str">
        <f>TEXT(Tabla1[[#This Row],[Fecha]],"MMMM")</f>
        <v>noviembre</v>
      </c>
      <c r="C4397" t="s">
        <v>4407</v>
      </c>
      <c r="D4397" t="s">
        <v>5019</v>
      </c>
      <c r="E4397" t="s">
        <v>5032</v>
      </c>
      <c r="F4397" t="s">
        <v>5039</v>
      </c>
      <c r="G4397" s="3">
        <v>1796.82</v>
      </c>
      <c r="H4397" s="3">
        <v>0</v>
      </c>
      <c r="I4397" s="3">
        <f>SUM(Tabla1[[#This Row],[Monto_Base]],H4397)</f>
        <v>1796.82</v>
      </c>
      <c r="J4397" t="s">
        <v>5043</v>
      </c>
      <c r="K4397" t="s">
        <v>5049</v>
      </c>
      <c r="L4397" t="s">
        <v>5051</v>
      </c>
      <c r="M4397" t="s">
        <v>5055</v>
      </c>
    </row>
    <row r="4398" spans="1:13" x14ac:dyDescent="0.3">
      <c r="A4398" s="1">
        <v>45445</v>
      </c>
      <c r="B4398" s="1" t="str">
        <f>TEXT(Tabla1[[#This Row],[Fecha]],"MMMM")</f>
        <v>junio</v>
      </c>
      <c r="C4398" t="s">
        <v>4408</v>
      </c>
      <c r="D4398" t="s">
        <v>5028</v>
      </c>
      <c r="E4398" t="s">
        <v>5032</v>
      </c>
      <c r="F4398" t="s">
        <v>5040</v>
      </c>
      <c r="G4398" s="3">
        <v>9976.6299999999992</v>
      </c>
      <c r="H4398" s="3">
        <v>0</v>
      </c>
      <c r="I4398" s="3">
        <f>SUM(Tabla1[[#This Row],[Monto_Base]],H4398)</f>
        <v>9976.6299999999992</v>
      </c>
      <c r="J4398" t="s">
        <v>5046</v>
      </c>
      <c r="K4398" t="s">
        <v>5048</v>
      </c>
      <c r="L4398" t="s">
        <v>5051</v>
      </c>
      <c r="M4398" t="s">
        <v>5055</v>
      </c>
    </row>
    <row r="4399" spans="1:13" x14ac:dyDescent="0.3">
      <c r="A4399" s="1">
        <v>45320</v>
      </c>
      <c r="B4399" s="1" t="str">
        <f>TEXT(Tabla1[[#This Row],[Fecha]],"MMMM")</f>
        <v>enero</v>
      </c>
      <c r="C4399" t="s">
        <v>4409</v>
      </c>
      <c r="D4399" t="s">
        <v>5025</v>
      </c>
      <c r="E4399" t="s">
        <v>5033</v>
      </c>
      <c r="F4399" t="s">
        <v>5039</v>
      </c>
      <c r="G4399" s="3">
        <v>8609.68</v>
      </c>
      <c r="H4399" s="3">
        <v>1119.26</v>
      </c>
      <c r="I4399" s="3">
        <f>SUM(Tabla1[[#This Row],[Monto_Base]],H4399)</f>
        <v>9728.94</v>
      </c>
      <c r="J4399" t="s">
        <v>5043</v>
      </c>
      <c r="K4399" t="s">
        <v>5047</v>
      </c>
      <c r="L4399" t="s">
        <v>5052</v>
      </c>
      <c r="M4399" t="s">
        <v>5055</v>
      </c>
    </row>
    <row r="4400" spans="1:13" x14ac:dyDescent="0.3">
      <c r="A4400" s="1">
        <v>45304</v>
      </c>
      <c r="B4400" s="1" t="str">
        <f>TEXT(Tabla1[[#This Row],[Fecha]],"MMMM")</f>
        <v>enero</v>
      </c>
      <c r="C4400" t="s">
        <v>4410</v>
      </c>
      <c r="D4400" t="s">
        <v>5014</v>
      </c>
      <c r="E4400" t="s">
        <v>5032</v>
      </c>
      <c r="F4400" t="s">
        <v>5035</v>
      </c>
      <c r="G4400" s="3">
        <v>6530.15</v>
      </c>
      <c r="H4400" s="3">
        <v>0</v>
      </c>
      <c r="I4400" s="3">
        <f>SUM(Tabla1[[#This Row],[Monto_Base]],H4400)</f>
        <v>6530.15</v>
      </c>
      <c r="J4400" t="s">
        <v>5045</v>
      </c>
      <c r="K4400" t="s">
        <v>5048</v>
      </c>
      <c r="L4400" t="s">
        <v>5051</v>
      </c>
      <c r="M4400" t="s">
        <v>5054</v>
      </c>
    </row>
    <row r="4401" spans="1:13" x14ac:dyDescent="0.3">
      <c r="A4401" s="1">
        <v>45411</v>
      </c>
      <c r="B4401" s="1" t="str">
        <f>TEXT(Tabla1[[#This Row],[Fecha]],"MMMM")</f>
        <v>abril</v>
      </c>
      <c r="C4401" t="s">
        <v>4411</v>
      </c>
      <c r="D4401" t="s">
        <v>5023</v>
      </c>
      <c r="E4401" t="s">
        <v>5033</v>
      </c>
      <c r="F4401" t="s">
        <v>5041</v>
      </c>
      <c r="G4401" s="3">
        <v>10773.18</v>
      </c>
      <c r="H4401" s="3">
        <v>1400.51</v>
      </c>
      <c r="I4401" s="3">
        <f>SUM(Tabla1[[#This Row],[Monto_Base]],H4401)</f>
        <v>12173.69</v>
      </c>
      <c r="J4401" t="s">
        <v>5042</v>
      </c>
      <c r="K4401" t="s">
        <v>5048</v>
      </c>
      <c r="L4401" t="s">
        <v>5052</v>
      </c>
      <c r="M4401" t="s">
        <v>5054</v>
      </c>
    </row>
    <row r="4402" spans="1:13" x14ac:dyDescent="0.3">
      <c r="A4402" s="1">
        <v>45623</v>
      </c>
      <c r="B4402" s="1" t="str">
        <f>TEXT(Tabla1[[#This Row],[Fecha]],"MMMM")</f>
        <v>noviembre</v>
      </c>
      <c r="C4402" t="s">
        <v>4412</v>
      </c>
      <c r="D4402" t="s">
        <v>5017</v>
      </c>
      <c r="E4402" t="s">
        <v>5032</v>
      </c>
      <c r="F4402" t="s">
        <v>5039</v>
      </c>
      <c r="G4402" s="3">
        <v>2369.27</v>
      </c>
      <c r="H4402" s="3">
        <v>0</v>
      </c>
      <c r="I4402" s="3">
        <f>SUM(Tabla1[[#This Row],[Monto_Base]],H4402)</f>
        <v>2369.27</v>
      </c>
      <c r="J4402" t="s">
        <v>5044</v>
      </c>
      <c r="K4402" t="s">
        <v>5048</v>
      </c>
      <c r="L4402" t="s">
        <v>5050</v>
      </c>
      <c r="M4402" t="s">
        <v>5054</v>
      </c>
    </row>
    <row r="4403" spans="1:13" x14ac:dyDescent="0.3">
      <c r="A4403" s="1">
        <v>45497</v>
      </c>
      <c r="B4403" s="1" t="str">
        <f>TEXT(Tabla1[[#This Row],[Fecha]],"MMMM")</f>
        <v>julio</v>
      </c>
      <c r="C4403" t="s">
        <v>4413</v>
      </c>
      <c r="D4403" t="s">
        <v>5019</v>
      </c>
      <c r="E4403" t="s">
        <v>5033</v>
      </c>
      <c r="F4403" t="s">
        <v>5035</v>
      </c>
      <c r="G4403" s="3">
        <v>3438.5</v>
      </c>
      <c r="H4403" s="3">
        <v>447</v>
      </c>
      <c r="I4403" s="3">
        <f>SUM(Tabla1[[#This Row],[Monto_Base]],H4403)</f>
        <v>3885.5</v>
      </c>
      <c r="J4403" t="s">
        <v>5044</v>
      </c>
      <c r="K4403" t="s">
        <v>5048</v>
      </c>
      <c r="L4403" t="s">
        <v>5051</v>
      </c>
      <c r="M4403" t="s">
        <v>5054</v>
      </c>
    </row>
    <row r="4404" spans="1:13" x14ac:dyDescent="0.3">
      <c r="A4404" s="1">
        <v>45588</v>
      </c>
      <c r="B4404" s="1" t="str">
        <f>TEXT(Tabla1[[#This Row],[Fecha]],"MMMM")</f>
        <v>octubre</v>
      </c>
      <c r="C4404" t="s">
        <v>4414</v>
      </c>
      <c r="D4404" t="s">
        <v>5024</v>
      </c>
      <c r="E4404" t="s">
        <v>5032</v>
      </c>
      <c r="F4404" t="s">
        <v>5036</v>
      </c>
      <c r="G4404" s="3">
        <v>10605.2</v>
      </c>
      <c r="H4404" s="3">
        <v>0</v>
      </c>
      <c r="I4404" s="3">
        <f>SUM(Tabla1[[#This Row],[Monto_Base]],H4404)</f>
        <v>10605.2</v>
      </c>
      <c r="J4404" t="s">
        <v>5046</v>
      </c>
      <c r="K4404" t="s">
        <v>5048</v>
      </c>
      <c r="L4404" t="s">
        <v>5052</v>
      </c>
      <c r="M4404" t="s">
        <v>5055</v>
      </c>
    </row>
    <row r="4405" spans="1:13" x14ac:dyDescent="0.3">
      <c r="A4405" s="1">
        <v>45331</v>
      </c>
      <c r="B4405" s="1" t="str">
        <f>TEXT(Tabla1[[#This Row],[Fecha]],"MMMM")</f>
        <v>febrero</v>
      </c>
      <c r="C4405" t="s">
        <v>4415</v>
      </c>
      <c r="D4405" t="s">
        <v>5015</v>
      </c>
      <c r="E4405" t="s">
        <v>5033</v>
      </c>
      <c r="F4405" t="s">
        <v>5037</v>
      </c>
      <c r="G4405" s="3">
        <v>520.25</v>
      </c>
      <c r="H4405" s="3">
        <v>67.63</v>
      </c>
      <c r="I4405" s="3">
        <f>SUM(Tabla1[[#This Row],[Monto_Base]],H4405)</f>
        <v>587.88</v>
      </c>
      <c r="J4405" t="s">
        <v>5046</v>
      </c>
      <c r="K4405" t="s">
        <v>5048</v>
      </c>
      <c r="L4405" t="s">
        <v>5050</v>
      </c>
      <c r="M4405" t="s">
        <v>5055</v>
      </c>
    </row>
    <row r="4406" spans="1:13" x14ac:dyDescent="0.3">
      <c r="A4406" s="1">
        <v>45310</v>
      </c>
      <c r="B4406" s="1" t="str">
        <f>TEXT(Tabla1[[#This Row],[Fecha]],"MMMM")</f>
        <v>enero</v>
      </c>
      <c r="C4406" t="s">
        <v>4416</v>
      </c>
      <c r="D4406" t="s">
        <v>5022</v>
      </c>
      <c r="E4406" t="s">
        <v>5032</v>
      </c>
      <c r="F4406" t="s">
        <v>5036</v>
      </c>
      <c r="G4406" s="3">
        <v>4306.91</v>
      </c>
      <c r="H4406" s="3">
        <v>0</v>
      </c>
      <c r="I4406" s="3">
        <f>SUM(Tabla1[[#This Row],[Monto_Base]],H4406)</f>
        <v>4306.91</v>
      </c>
      <c r="J4406" t="s">
        <v>5042</v>
      </c>
      <c r="K4406" t="s">
        <v>5047</v>
      </c>
      <c r="L4406" t="s">
        <v>5053</v>
      </c>
      <c r="M4406" t="s">
        <v>5054</v>
      </c>
    </row>
    <row r="4407" spans="1:13" x14ac:dyDescent="0.3">
      <c r="A4407" s="1">
        <v>45595</v>
      </c>
      <c r="B4407" s="1" t="str">
        <f>TEXT(Tabla1[[#This Row],[Fecha]],"MMMM")</f>
        <v>octubre</v>
      </c>
      <c r="C4407" t="s">
        <v>4417</v>
      </c>
      <c r="D4407" t="s">
        <v>5027</v>
      </c>
      <c r="E4407" t="s">
        <v>5032</v>
      </c>
      <c r="F4407" t="s">
        <v>5040</v>
      </c>
      <c r="G4407" s="3">
        <v>12526.24</v>
      </c>
      <c r="H4407" s="3">
        <v>0</v>
      </c>
      <c r="I4407" s="3">
        <f>SUM(Tabla1[[#This Row],[Monto_Base]],H4407)</f>
        <v>12526.24</v>
      </c>
      <c r="J4407" t="s">
        <v>5044</v>
      </c>
      <c r="K4407" t="s">
        <v>5048</v>
      </c>
      <c r="L4407" t="s">
        <v>5051</v>
      </c>
      <c r="M4407" t="s">
        <v>5055</v>
      </c>
    </row>
    <row r="4408" spans="1:13" x14ac:dyDescent="0.3">
      <c r="A4408" s="1">
        <v>45557</v>
      </c>
      <c r="B4408" s="1" t="str">
        <f>TEXT(Tabla1[[#This Row],[Fecha]],"MMMM")</f>
        <v>septiembre</v>
      </c>
      <c r="C4408" t="s">
        <v>4418</v>
      </c>
      <c r="D4408" t="s">
        <v>5012</v>
      </c>
      <c r="E4408" t="s">
        <v>5033</v>
      </c>
      <c r="F4408" t="s">
        <v>5036</v>
      </c>
      <c r="G4408" s="3">
        <v>7144.83</v>
      </c>
      <c r="H4408" s="3">
        <v>928.83</v>
      </c>
      <c r="I4408" s="3">
        <f>SUM(Tabla1[[#This Row],[Monto_Base]],H4408)</f>
        <v>8073.66</v>
      </c>
      <c r="J4408" t="s">
        <v>5044</v>
      </c>
      <c r="K4408" t="s">
        <v>5048</v>
      </c>
      <c r="L4408" t="s">
        <v>5052</v>
      </c>
      <c r="M4408" t="s">
        <v>5055</v>
      </c>
    </row>
    <row r="4409" spans="1:13" x14ac:dyDescent="0.3">
      <c r="A4409" s="1">
        <v>45657</v>
      </c>
      <c r="B4409" s="1" t="str">
        <f>TEXT(Tabla1[[#This Row],[Fecha]],"MMMM")</f>
        <v>diciembre</v>
      </c>
      <c r="C4409" t="s">
        <v>4419</v>
      </c>
      <c r="D4409" t="s">
        <v>5028</v>
      </c>
      <c r="E4409" t="s">
        <v>5033</v>
      </c>
      <c r="F4409" t="s">
        <v>5040</v>
      </c>
      <c r="G4409" s="3">
        <v>2754.42</v>
      </c>
      <c r="H4409" s="3">
        <v>358.07</v>
      </c>
      <c r="I4409" s="3">
        <f>SUM(Tabla1[[#This Row],[Monto_Base]],H4409)</f>
        <v>3112.4900000000002</v>
      </c>
      <c r="J4409" t="s">
        <v>5046</v>
      </c>
      <c r="K4409" t="s">
        <v>5048</v>
      </c>
      <c r="L4409" t="s">
        <v>5050</v>
      </c>
      <c r="M4409" t="s">
        <v>5054</v>
      </c>
    </row>
    <row r="4410" spans="1:13" x14ac:dyDescent="0.3">
      <c r="A4410" s="1">
        <v>45495</v>
      </c>
      <c r="B4410" s="1" t="str">
        <f>TEXT(Tabla1[[#This Row],[Fecha]],"MMMM")</f>
        <v>julio</v>
      </c>
      <c r="C4410" t="s">
        <v>4420</v>
      </c>
      <c r="D4410" t="s">
        <v>5018</v>
      </c>
      <c r="E4410" t="s">
        <v>5033</v>
      </c>
      <c r="F4410" t="s">
        <v>5039</v>
      </c>
      <c r="G4410" s="3">
        <v>1679.66</v>
      </c>
      <c r="H4410" s="3">
        <v>218.36</v>
      </c>
      <c r="I4410" s="3">
        <f>SUM(Tabla1[[#This Row],[Monto_Base]],H4410)</f>
        <v>1898.02</v>
      </c>
      <c r="J4410" t="s">
        <v>5044</v>
      </c>
      <c r="K4410" t="s">
        <v>5048</v>
      </c>
      <c r="L4410" t="s">
        <v>5053</v>
      </c>
      <c r="M4410" t="s">
        <v>5054</v>
      </c>
    </row>
    <row r="4411" spans="1:13" x14ac:dyDescent="0.3">
      <c r="A4411" s="1">
        <v>45545</v>
      </c>
      <c r="B4411" s="1" t="str">
        <f>TEXT(Tabla1[[#This Row],[Fecha]],"MMMM")</f>
        <v>septiembre</v>
      </c>
      <c r="C4411" t="s">
        <v>4421</v>
      </c>
      <c r="D4411" t="s">
        <v>5022</v>
      </c>
      <c r="E4411" t="s">
        <v>5032</v>
      </c>
      <c r="F4411" t="s">
        <v>5036</v>
      </c>
      <c r="G4411" s="3">
        <v>12974.73</v>
      </c>
      <c r="H4411" s="3">
        <v>0</v>
      </c>
      <c r="I4411" s="3">
        <f>SUM(Tabla1[[#This Row],[Monto_Base]],H4411)</f>
        <v>12974.73</v>
      </c>
      <c r="J4411" t="s">
        <v>5045</v>
      </c>
      <c r="K4411" t="s">
        <v>5047</v>
      </c>
      <c r="L4411" t="s">
        <v>5051</v>
      </c>
      <c r="M4411" t="s">
        <v>5054</v>
      </c>
    </row>
    <row r="4412" spans="1:13" x14ac:dyDescent="0.3">
      <c r="A4412" s="1">
        <v>45382</v>
      </c>
      <c r="B4412" s="1" t="str">
        <f>TEXT(Tabla1[[#This Row],[Fecha]],"MMMM")</f>
        <v>marzo</v>
      </c>
      <c r="C4412" t="s">
        <v>4422</v>
      </c>
      <c r="D4412" t="s">
        <v>5015</v>
      </c>
      <c r="E4412" t="s">
        <v>5033</v>
      </c>
      <c r="F4412" t="s">
        <v>5035</v>
      </c>
      <c r="G4412" s="3">
        <v>6136.83</v>
      </c>
      <c r="H4412" s="3">
        <v>797.79</v>
      </c>
      <c r="I4412" s="3">
        <f>SUM(Tabla1[[#This Row],[Monto_Base]],H4412)</f>
        <v>6934.62</v>
      </c>
      <c r="J4412" t="s">
        <v>5046</v>
      </c>
      <c r="K4412" t="s">
        <v>5048</v>
      </c>
      <c r="L4412" t="s">
        <v>5050</v>
      </c>
      <c r="M4412" t="s">
        <v>5055</v>
      </c>
    </row>
    <row r="4413" spans="1:13" x14ac:dyDescent="0.3">
      <c r="A4413" s="1">
        <v>45512</v>
      </c>
      <c r="B4413" s="1" t="str">
        <f>TEXT(Tabla1[[#This Row],[Fecha]],"MMMM")</f>
        <v>agosto</v>
      </c>
      <c r="C4413" t="s">
        <v>4423</v>
      </c>
      <c r="D4413" t="s">
        <v>5021</v>
      </c>
      <c r="E4413" t="s">
        <v>5032</v>
      </c>
      <c r="F4413" t="s">
        <v>5037</v>
      </c>
      <c r="G4413" s="3">
        <v>5109.55</v>
      </c>
      <c r="H4413" s="3">
        <v>0</v>
      </c>
      <c r="I4413" s="3">
        <f>SUM(Tabla1[[#This Row],[Monto_Base]],H4413)</f>
        <v>5109.55</v>
      </c>
      <c r="J4413" t="s">
        <v>5044</v>
      </c>
      <c r="K4413" t="s">
        <v>5047</v>
      </c>
      <c r="L4413" t="s">
        <v>5051</v>
      </c>
      <c r="M4413" t="s">
        <v>5054</v>
      </c>
    </row>
    <row r="4414" spans="1:13" x14ac:dyDescent="0.3">
      <c r="A4414" s="1">
        <v>45502</v>
      </c>
      <c r="B4414" s="1" t="str">
        <f>TEXT(Tabla1[[#This Row],[Fecha]],"MMMM")</f>
        <v>julio</v>
      </c>
      <c r="C4414" t="s">
        <v>4424</v>
      </c>
      <c r="D4414" t="s">
        <v>5025</v>
      </c>
      <c r="E4414" t="s">
        <v>5032</v>
      </c>
      <c r="F4414" t="s">
        <v>5038</v>
      </c>
      <c r="G4414" s="3">
        <v>1239</v>
      </c>
      <c r="H4414" s="3">
        <v>0</v>
      </c>
      <c r="I4414" s="3">
        <f>SUM(Tabla1[[#This Row],[Monto_Base]],H4414)</f>
        <v>1239</v>
      </c>
      <c r="J4414" t="s">
        <v>5045</v>
      </c>
      <c r="K4414" t="s">
        <v>5047</v>
      </c>
      <c r="L4414" t="s">
        <v>5051</v>
      </c>
      <c r="M4414" t="s">
        <v>5055</v>
      </c>
    </row>
    <row r="4415" spans="1:13" x14ac:dyDescent="0.3">
      <c r="A4415" s="1">
        <v>45619</v>
      </c>
      <c r="B4415" s="1" t="str">
        <f>TEXT(Tabla1[[#This Row],[Fecha]],"MMMM")</f>
        <v>noviembre</v>
      </c>
      <c r="C4415" t="s">
        <v>4425</v>
      </c>
      <c r="D4415" t="s">
        <v>5023</v>
      </c>
      <c r="E4415" t="s">
        <v>5032</v>
      </c>
      <c r="F4415" t="s">
        <v>5040</v>
      </c>
      <c r="G4415" s="3">
        <v>5419.3</v>
      </c>
      <c r="H4415" s="3">
        <v>0</v>
      </c>
      <c r="I4415" s="3">
        <f>SUM(Tabla1[[#This Row],[Monto_Base]],H4415)</f>
        <v>5419.3</v>
      </c>
      <c r="J4415" t="s">
        <v>5042</v>
      </c>
      <c r="K4415" t="s">
        <v>5048</v>
      </c>
      <c r="L4415" t="s">
        <v>5051</v>
      </c>
      <c r="M4415" t="s">
        <v>5054</v>
      </c>
    </row>
    <row r="4416" spans="1:13" x14ac:dyDescent="0.3">
      <c r="A4416" s="1">
        <v>45375</v>
      </c>
      <c r="B4416" s="1" t="str">
        <f>TEXT(Tabla1[[#This Row],[Fecha]],"MMMM")</f>
        <v>marzo</v>
      </c>
      <c r="C4416" t="s">
        <v>4426</v>
      </c>
      <c r="D4416" t="s">
        <v>5021</v>
      </c>
      <c r="E4416" t="s">
        <v>5033</v>
      </c>
      <c r="F4416" t="s">
        <v>5040</v>
      </c>
      <c r="G4416" s="3">
        <v>13229.98</v>
      </c>
      <c r="H4416" s="3">
        <v>1719.9</v>
      </c>
      <c r="I4416" s="3">
        <f>SUM(Tabla1[[#This Row],[Monto_Base]],H4416)</f>
        <v>14949.88</v>
      </c>
      <c r="J4416" t="s">
        <v>5042</v>
      </c>
      <c r="K4416" t="s">
        <v>5049</v>
      </c>
      <c r="L4416" t="s">
        <v>5052</v>
      </c>
      <c r="M4416" t="s">
        <v>5054</v>
      </c>
    </row>
    <row r="4417" spans="1:13" x14ac:dyDescent="0.3">
      <c r="A4417" s="1">
        <v>45302</v>
      </c>
      <c r="B4417" s="1" t="str">
        <f>TEXT(Tabla1[[#This Row],[Fecha]],"MMMM")</f>
        <v>enero</v>
      </c>
      <c r="C4417" t="s">
        <v>4427</v>
      </c>
      <c r="D4417" t="s">
        <v>5013</v>
      </c>
      <c r="E4417" t="s">
        <v>5032</v>
      </c>
      <c r="F4417" t="s">
        <v>5038</v>
      </c>
      <c r="G4417" s="3">
        <v>10941.59</v>
      </c>
      <c r="H4417" s="3">
        <v>0</v>
      </c>
      <c r="I4417" s="3">
        <f>SUM(Tabla1[[#This Row],[Monto_Base]],H4417)</f>
        <v>10941.59</v>
      </c>
      <c r="J4417" t="s">
        <v>5046</v>
      </c>
      <c r="K4417" t="s">
        <v>5049</v>
      </c>
      <c r="L4417" t="s">
        <v>5052</v>
      </c>
      <c r="M4417" t="s">
        <v>5055</v>
      </c>
    </row>
    <row r="4418" spans="1:13" x14ac:dyDescent="0.3">
      <c r="A4418" s="1">
        <v>45366</v>
      </c>
      <c r="B4418" s="1" t="str">
        <f>TEXT(Tabla1[[#This Row],[Fecha]],"MMMM")</f>
        <v>marzo</v>
      </c>
      <c r="C4418" t="s">
        <v>4428</v>
      </c>
      <c r="D4418" t="s">
        <v>5029</v>
      </c>
      <c r="E4418" t="s">
        <v>5032</v>
      </c>
      <c r="F4418" t="s">
        <v>5038</v>
      </c>
      <c r="G4418" s="3">
        <v>3447.59</v>
      </c>
      <c r="H4418" s="3">
        <v>0</v>
      </c>
      <c r="I4418" s="3">
        <f>SUM(Tabla1[[#This Row],[Monto_Base]],H4418)</f>
        <v>3447.59</v>
      </c>
      <c r="J4418" t="s">
        <v>5042</v>
      </c>
      <c r="K4418" t="s">
        <v>5049</v>
      </c>
      <c r="L4418" t="s">
        <v>5051</v>
      </c>
      <c r="M4418" t="s">
        <v>5055</v>
      </c>
    </row>
    <row r="4419" spans="1:13" x14ac:dyDescent="0.3">
      <c r="A4419" s="1">
        <v>45436</v>
      </c>
      <c r="B4419" s="1" t="str">
        <f>TEXT(Tabla1[[#This Row],[Fecha]],"MMMM")</f>
        <v>mayo</v>
      </c>
      <c r="C4419" t="s">
        <v>4429</v>
      </c>
      <c r="D4419" t="s">
        <v>5016</v>
      </c>
      <c r="E4419" t="s">
        <v>5032</v>
      </c>
      <c r="F4419" t="s">
        <v>5041</v>
      </c>
      <c r="G4419" s="3">
        <v>10413.76</v>
      </c>
      <c r="H4419" s="3">
        <v>0</v>
      </c>
      <c r="I4419" s="3">
        <f>SUM(Tabla1[[#This Row],[Monto_Base]],H4419)</f>
        <v>10413.76</v>
      </c>
      <c r="J4419" t="s">
        <v>5045</v>
      </c>
      <c r="K4419" t="s">
        <v>5048</v>
      </c>
      <c r="L4419" t="s">
        <v>5050</v>
      </c>
      <c r="M4419" t="s">
        <v>5055</v>
      </c>
    </row>
    <row r="4420" spans="1:13" x14ac:dyDescent="0.3">
      <c r="A4420" s="1">
        <v>45538</v>
      </c>
      <c r="B4420" s="1" t="str">
        <f>TEXT(Tabla1[[#This Row],[Fecha]],"MMMM")</f>
        <v>septiembre</v>
      </c>
      <c r="C4420" t="s">
        <v>4430</v>
      </c>
      <c r="D4420" t="s">
        <v>5021</v>
      </c>
      <c r="E4420" t="s">
        <v>5032</v>
      </c>
      <c r="F4420" t="s">
        <v>5038</v>
      </c>
      <c r="G4420" s="3">
        <v>13706.99</v>
      </c>
      <c r="H4420" s="3">
        <v>0</v>
      </c>
      <c r="I4420" s="3">
        <f>SUM(Tabla1[[#This Row],[Monto_Base]],H4420)</f>
        <v>13706.99</v>
      </c>
      <c r="J4420" t="s">
        <v>5046</v>
      </c>
      <c r="K4420" t="s">
        <v>5049</v>
      </c>
      <c r="L4420" t="s">
        <v>5052</v>
      </c>
      <c r="M4420" t="s">
        <v>5055</v>
      </c>
    </row>
    <row r="4421" spans="1:13" x14ac:dyDescent="0.3">
      <c r="A4421" s="1">
        <v>45629</v>
      </c>
      <c r="B4421" s="1" t="str">
        <f>TEXT(Tabla1[[#This Row],[Fecha]],"MMMM")</f>
        <v>diciembre</v>
      </c>
      <c r="C4421" t="s">
        <v>4431</v>
      </c>
      <c r="D4421" t="s">
        <v>5031</v>
      </c>
      <c r="E4421" t="s">
        <v>5033</v>
      </c>
      <c r="F4421" t="s">
        <v>5037</v>
      </c>
      <c r="G4421" s="3">
        <v>6787.7</v>
      </c>
      <c r="H4421" s="3">
        <v>882.4</v>
      </c>
      <c r="I4421" s="3">
        <f>SUM(Tabla1[[#This Row],[Monto_Base]],H4421)</f>
        <v>7670.0999999999995</v>
      </c>
      <c r="J4421" t="s">
        <v>5045</v>
      </c>
      <c r="K4421" t="s">
        <v>5047</v>
      </c>
      <c r="L4421" t="s">
        <v>5053</v>
      </c>
      <c r="M4421" t="s">
        <v>5055</v>
      </c>
    </row>
    <row r="4422" spans="1:13" x14ac:dyDescent="0.3">
      <c r="A4422" s="1">
        <v>45418</v>
      </c>
      <c r="B4422" s="1" t="str">
        <f>TEXT(Tabla1[[#This Row],[Fecha]],"MMMM")</f>
        <v>mayo</v>
      </c>
      <c r="C4422" t="s">
        <v>4432</v>
      </c>
      <c r="D4422" t="s">
        <v>5029</v>
      </c>
      <c r="E4422" t="s">
        <v>5033</v>
      </c>
      <c r="F4422" t="s">
        <v>5039</v>
      </c>
      <c r="G4422" s="3">
        <v>8705.15</v>
      </c>
      <c r="H4422" s="3">
        <v>1131.67</v>
      </c>
      <c r="I4422" s="3">
        <f>SUM(Tabla1[[#This Row],[Monto_Base]],H4422)</f>
        <v>9836.82</v>
      </c>
      <c r="J4422" t="s">
        <v>5045</v>
      </c>
      <c r="K4422" t="s">
        <v>5048</v>
      </c>
      <c r="L4422" t="s">
        <v>5051</v>
      </c>
      <c r="M4422" t="s">
        <v>5054</v>
      </c>
    </row>
    <row r="4423" spans="1:13" x14ac:dyDescent="0.3">
      <c r="A4423" s="1">
        <v>45470</v>
      </c>
      <c r="B4423" s="1" t="str">
        <f>TEXT(Tabla1[[#This Row],[Fecha]],"MMMM")</f>
        <v>junio</v>
      </c>
      <c r="C4423" t="s">
        <v>4433</v>
      </c>
      <c r="D4423" t="s">
        <v>5026</v>
      </c>
      <c r="E4423" t="s">
        <v>5033</v>
      </c>
      <c r="F4423" t="s">
        <v>5037</v>
      </c>
      <c r="G4423" s="3">
        <v>5364.66</v>
      </c>
      <c r="H4423" s="3">
        <v>697.41</v>
      </c>
      <c r="I4423" s="3">
        <f>SUM(Tabla1[[#This Row],[Monto_Base]],H4423)</f>
        <v>6062.07</v>
      </c>
      <c r="J4423" t="s">
        <v>5042</v>
      </c>
      <c r="K4423" t="s">
        <v>5048</v>
      </c>
      <c r="L4423" t="s">
        <v>5053</v>
      </c>
      <c r="M4423" t="s">
        <v>5054</v>
      </c>
    </row>
    <row r="4424" spans="1:13" x14ac:dyDescent="0.3">
      <c r="A4424" s="1">
        <v>45478</v>
      </c>
      <c r="B4424" s="1" t="str">
        <f>TEXT(Tabla1[[#This Row],[Fecha]],"MMMM")</f>
        <v>julio</v>
      </c>
      <c r="C4424" t="s">
        <v>4434</v>
      </c>
      <c r="D4424" t="s">
        <v>5016</v>
      </c>
      <c r="E4424" t="s">
        <v>5033</v>
      </c>
      <c r="F4424" t="s">
        <v>5035</v>
      </c>
      <c r="G4424" s="3">
        <v>5168.6899999999996</v>
      </c>
      <c r="H4424" s="3">
        <v>671.93</v>
      </c>
      <c r="I4424" s="3">
        <f>SUM(Tabla1[[#This Row],[Monto_Base]],H4424)</f>
        <v>5840.62</v>
      </c>
      <c r="J4424" t="s">
        <v>5043</v>
      </c>
      <c r="K4424" t="s">
        <v>5049</v>
      </c>
      <c r="L4424" t="s">
        <v>5053</v>
      </c>
      <c r="M4424" t="s">
        <v>5055</v>
      </c>
    </row>
    <row r="4425" spans="1:13" x14ac:dyDescent="0.3">
      <c r="A4425" s="1">
        <v>45471</v>
      </c>
      <c r="B4425" s="1" t="str">
        <f>TEXT(Tabla1[[#This Row],[Fecha]],"MMMM")</f>
        <v>junio</v>
      </c>
      <c r="C4425" t="s">
        <v>4435</v>
      </c>
      <c r="D4425" t="s">
        <v>5024</v>
      </c>
      <c r="E4425" t="s">
        <v>5032</v>
      </c>
      <c r="F4425" t="s">
        <v>5040</v>
      </c>
      <c r="G4425" s="3">
        <v>13388.96</v>
      </c>
      <c r="H4425" s="3">
        <v>0</v>
      </c>
      <c r="I4425" s="3">
        <f>SUM(Tabla1[[#This Row],[Monto_Base]],H4425)</f>
        <v>13388.96</v>
      </c>
      <c r="J4425" t="s">
        <v>5045</v>
      </c>
      <c r="K4425" t="s">
        <v>5049</v>
      </c>
      <c r="L4425" t="s">
        <v>5052</v>
      </c>
      <c r="M4425" t="s">
        <v>5054</v>
      </c>
    </row>
    <row r="4426" spans="1:13" x14ac:dyDescent="0.3">
      <c r="A4426" s="1">
        <v>45531</v>
      </c>
      <c r="B4426" s="1" t="str">
        <f>TEXT(Tabla1[[#This Row],[Fecha]],"MMMM")</f>
        <v>agosto</v>
      </c>
      <c r="C4426" t="s">
        <v>4436</v>
      </c>
      <c r="D4426" t="s">
        <v>5024</v>
      </c>
      <c r="E4426" t="s">
        <v>5032</v>
      </c>
      <c r="F4426" t="s">
        <v>5038</v>
      </c>
      <c r="G4426" s="3">
        <v>885.31</v>
      </c>
      <c r="H4426" s="3">
        <v>0</v>
      </c>
      <c r="I4426" s="3">
        <f>SUM(Tabla1[[#This Row],[Monto_Base]],H4426)</f>
        <v>885.31</v>
      </c>
      <c r="J4426" t="s">
        <v>5045</v>
      </c>
      <c r="K4426" t="s">
        <v>5049</v>
      </c>
      <c r="L4426" t="s">
        <v>5053</v>
      </c>
      <c r="M4426" t="s">
        <v>5055</v>
      </c>
    </row>
    <row r="4427" spans="1:13" x14ac:dyDescent="0.3">
      <c r="A4427" s="1">
        <v>45441</v>
      </c>
      <c r="B4427" s="1" t="str">
        <f>TEXT(Tabla1[[#This Row],[Fecha]],"MMMM")</f>
        <v>mayo</v>
      </c>
      <c r="C4427" t="s">
        <v>4437</v>
      </c>
      <c r="D4427" t="s">
        <v>5013</v>
      </c>
      <c r="E4427" t="s">
        <v>5033</v>
      </c>
      <c r="F4427" t="s">
        <v>5040</v>
      </c>
      <c r="G4427" s="3">
        <v>9174.75</v>
      </c>
      <c r="H4427" s="3">
        <v>1192.72</v>
      </c>
      <c r="I4427" s="3">
        <f>SUM(Tabla1[[#This Row],[Monto_Base]],H4427)</f>
        <v>10367.469999999999</v>
      </c>
      <c r="J4427" t="s">
        <v>5046</v>
      </c>
      <c r="K4427" t="s">
        <v>5048</v>
      </c>
      <c r="L4427" t="s">
        <v>5050</v>
      </c>
      <c r="M4427" t="s">
        <v>5055</v>
      </c>
    </row>
    <row r="4428" spans="1:13" x14ac:dyDescent="0.3">
      <c r="A4428" s="1">
        <v>45645</v>
      </c>
      <c r="B4428" s="1" t="str">
        <f>TEXT(Tabla1[[#This Row],[Fecha]],"MMMM")</f>
        <v>diciembre</v>
      </c>
      <c r="C4428" t="s">
        <v>4438</v>
      </c>
      <c r="D4428" t="s">
        <v>5014</v>
      </c>
      <c r="E4428" t="s">
        <v>5033</v>
      </c>
      <c r="F4428" t="s">
        <v>5041</v>
      </c>
      <c r="G4428" s="3">
        <v>3178.6</v>
      </c>
      <c r="H4428" s="3">
        <v>413.22</v>
      </c>
      <c r="I4428" s="3">
        <f>SUM(Tabla1[[#This Row],[Monto_Base]],H4428)</f>
        <v>3591.8199999999997</v>
      </c>
      <c r="J4428" t="s">
        <v>5045</v>
      </c>
      <c r="K4428" t="s">
        <v>5047</v>
      </c>
      <c r="L4428" t="s">
        <v>5052</v>
      </c>
      <c r="M4428" t="s">
        <v>5054</v>
      </c>
    </row>
    <row r="4429" spans="1:13" x14ac:dyDescent="0.3">
      <c r="A4429" s="1">
        <v>45369</v>
      </c>
      <c r="B4429" s="1" t="str">
        <f>TEXT(Tabla1[[#This Row],[Fecha]],"MMMM")</f>
        <v>marzo</v>
      </c>
      <c r="C4429" t="s">
        <v>4439</v>
      </c>
      <c r="D4429" t="s">
        <v>5013</v>
      </c>
      <c r="E4429" t="s">
        <v>5033</v>
      </c>
      <c r="F4429" t="s">
        <v>5037</v>
      </c>
      <c r="G4429" s="3">
        <v>4663.08</v>
      </c>
      <c r="H4429" s="3">
        <v>606.20000000000005</v>
      </c>
      <c r="I4429" s="3">
        <f>SUM(Tabla1[[#This Row],[Monto_Base]],H4429)</f>
        <v>5269.28</v>
      </c>
      <c r="J4429" t="s">
        <v>5045</v>
      </c>
      <c r="K4429" t="s">
        <v>5049</v>
      </c>
      <c r="L4429" t="s">
        <v>5053</v>
      </c>
      <c r="M4429" t="s">
        <v>5055</v>
      </c>
    </row>
    <row r="4430" spans="1:13" x14ac:dyDescent="0.3">
      <c r="A4430" s="1">
        <v>45617</v>
      </c>
      <c r="B4430" s="1" t="str">
        <f>TEXT(Tabla1[[#This Row],[Fecha]],"MMMM")</f>
        <v>noviembre</v>
      </c>
      <c r="C4430" t="s">
        <v>4440</v>
      </c>
      <c r="D4430" t="s">
        <v>5029</v>
      </c>
      <c r="E4430" t="s">
        <v>5032</v>
      </c>
      <c r="F4430" t="s">
        <v>5034</v>
      </c>
      <c r="G4430" s="3">
        <v>11519.86</v>
      </c>
      <c r="H4430" s="3">
        <v>0</v>
      </c>
      <c r="I4430" s="3">
        <f>SUM(Tabla1[[#This Row],[Monto_Base]],H4430)</f>
        <v>11519.86</v>
      </c>
      <c r="J4430" t="s">
        <v>5043</v>
      </c>
      <c r="K4430" t="s">
        <v>5047</v>
      </c>
      <c r="L4430" t="s">
        <v>5050</v>
      </c>
      <c r="M4430" t="s">
        <v>5054</v>
      </c>
    </row>
    <row r="4431" spans="1:13" x14ac:dyDescent="0.3">
      <c r="A4431" s="1">
        <v>45622</v>
      </c>
      <c r="B4431" s="1" t="str">
        <f>TEXT(Tabla1[[#This Row],[Fecha]],"MMMM")</f>
        <v>noviembre</v>
      </c>
      <c r="C4431" t="s">
        <v>4441</v>
      </c>
      <c r="D4431" t="s">
        <v>5022</v>
      </c>
      <c r="E4431" t="s">
        <v>5032</v>
      </c>
      <c r="F4431" t="s">
        <v>5035</v>
      </c>
      <c r="G4431" s="3">
        <v>9344.65</v>
      </c>
      <c r="H4431" s="3">
        <v>0</v>
      </c>
      <c r="I4431" s="3">
        <f>SUM(Tabla1[[#This Row],[Monto_Base]],H4431)</f>
        <v>9344.65</v>
      </c>
      <c r="J4431" t="s">
        <v>5045</v>
      </c>
      <c r="K4431" t="s">
        <v>5049</v>
      </c>
      <c r="L4431" t="s">
        <v>5050</v>
      </c>
      <c r="M4431" t="s">
        <v>5054</v>
      </c>
    </row>
    <row r="4432" spans="1:13" x14ac:dyDescent="0.3">
      <c r="A4432" s="1">
        <v>45422</v>
      </c>
      <c r="B4432" s="1" t="str">
        <f>TEXT(Tabla1[[#This Row],[Fecha]],"MMMM")</f>
        <v>mayo</v>
      </c>
      <c r="C4432" t="s">
        <v>4442</v>
      </c>
      <c r="D4432" t="s">
        <v>5024</v>
      </c>
      <c r="E4432" t="s">
        <v>5033</v>
      </c>
      <c r="F4432" t="s">
        <v>5041</v>
      </c>
      <c r="G4432" s="3">
        <v>6099.73</v>
      </c>
      <c r="H4432" s="3">
        <v>792.96</v>
      </c>
      <c r="I4432" s="3">
        <f>SUM(Tabla1[[#This Row],[Monto_Base]],H4432)</f>
        <v>6892.69</v>
      </c>
      <c r="J4432" t="s">
        <v>5046</v>
      </c>
      <c r="K4432" t="s">
        <v>5047</v>
      </c>
      <c r="L4432" t="s">
        <v>5050</v>
      </c>
      <c r="M4432" t="s">
        <v>5055</v>
      </c>
    </row>
    <row r="4433" spans="1:13" x14ac:dyDescent="0.3">
      <c r="A4433" s="1">
        <v>45318</v>
      </c>
      <c r="B4433" s="1" t="str">
        <f>TEXT(Tabla1[[#This Row],[Fecha]],"MMMM")</f>
        <v>enero</v>
      </c>
      <c r="C4433" t="s">
        <v>4443</v>
      </c>
      <c r="D4433" t="s">
        <v>5028</v>
      </c>
      <c r="E4433" t="s">
        <v>5033</v>
      </c>
      <c r="F4433" t="s">
        <v>5041</v>
      </c>
      <c r="G4433" s="3">
        <v>9115.2099999999991</v>
      </c>
      <c r="H4433" s="3">
        <v>1184.98</v>
      </c>
      <c r="I4433" s="3">
        <f>SUM(Tabla1[[#This Row],[Monto_Base]],H4433)</f>
        <v>10300.189999999999</v>
      </c>
      <c r="J4433" t="s">
        <v>5044</v>
      </c>
      <c r="K4433" t="s">
        <v>5049</v>
      </c>
      <c r="L4433" t="s">
        <v>5050</v>
      </c>
      <c r="M4433" t="s">
        <v>5054</v>
      </c>
    </row>
    <row r="4434" spans="1:13" x14ac:dyDescent="0.3">
      <c r="A4434" s="1">
        <v>45556</v>
      </c>
      <c r="B4434" s="1" t="str">
        <f>TEXT(Tabla1[[#This Row],[Fecha]],"MMMM")</f>
        <v>septiembre</v>
      </c>
      <c r="C4434" t="s">
        <v>4444</v>
      </c>
      <c r="D4434" t="s">
        <v>5016</v>
      </c>
      <c r="E4434" t="s">
        <v>5033</v>
      </c>
      <c r="F4434" t="s">
        <v>5041</v>
      </c>
      <c r="G4434" s="3">
        <v>9083.77</v>
      </c>
      <c r="H4434" s="3">
        <v>1180.8900000000001</v>
      </c>
      <c r="I4434" s="3">
        <f>SUM(Tabla1[[#This Row],[Monto_Base]],H4434)</f>
        <v>10264.66</v>
      </c>
      <c r="J4434" t="s">
        <v>5043</v>
      </c>
      <c r="K4434" t="s">
        <v>5048</v>
      </c>
      <c r="L4434" t="s">
        <v>5051</v>
      </c>
      <c r="M4434" t="s">
        <v>5054</v>
      </c>
    </row>
    <row r="4435" spans="1:13" x14ac:dyDescent="0.3">
      <c r="A4435" s="1">
        <v>45347</v>
      </c>
      <c r="B4435" s="1" t="str">
        <f>TEXT(Tabla1[[#This Row],[Fecha]],"MMMM")</f>
        <v>febrero</v>
      </c>
      <c r="C4435" t="s">
        <v>4445</v>
      </c>
      <c r="D4435" t="s">
        <v>5031</v>
      </c>
      <c r="E4435" t="s">
        <v>5032</v>
      </c>
      <c r="F4435" t="s">
        <v>5034</v>
      </c>
      <c r="G4435" s="3">
        <v>5862.61</v>
      </c>
      <c r="H4435" s="3">
        <v>0</v>
      </c>
      <c r="I4435" s="3">
        <f>SUM(Tabla1[[#This Row],[Monto_Base]],H4435)</f>
        <v>5862.61</v>
      </c>
      <c r="J4435" t="s">
        <v>5042</v>
      </c>
      <c r="K4435" t="s">
        <v>5048</v>
      </c>
      <c r="L4435" t="s">
        <v>5051</v>
      </c>
      <c r="M4435" t="s">
        <v>5055</v>
      </c>
    </row>
    <row r="4436" spans="1:13" x14ac:dyDescent="0.3">
      <c r="A4436" s="1">
        <v>45583</v>
      </c>
      <c r="B4436" s="1" t="str">
        <f>TEXT(Tabla1[[#This Row],[Fecha]],"MMMM")</f>
        <v>octubre</v>
      </c>
      <c r="C4436" t="s">
        <v>4446</v>
      </c>
      <c r="D4436" t="s">
        <v>5030</v>
      </c>
      <c r="E4436" t="s">
        <v>5033</v>
      </c>
      <c r="F4436" t="s">
        <v>5040</v>
      </c>
      <c r="G4436" s="3">
        <v>6812.99</v>
      </c>
      <c r="H4436" s="3">
        <v>885.69</v>
      </c>
      <c r="I4436" s="3">
        <f>SUM(Tabla1[[#This Row],[Monto_Base]],H4436)</f>
        <v>7698.68</v>
      </c>
      <c r="J4436" t="s">
        <v>5046</v>
      </c>
      <c r="K4436" t="s">
        <v>5049</v>
      </c>
      <c r="L4436" t="s">
        <v>5052</v>
      </c>
      <c r="M4436" t="s">
        <v>5055</v>
      </c>
    </row>
    <row r="4437" spans="1:13" x14ac:dyDescent="0.3">
      <c r="A4437" s="1">
        <v>45472</v>
      </c>
      <c r="B4437" s="1" t="str">
        <f>TEXT(Tabla1[[#This Row],[Fecha]],"MMMM")</f>
        <v>junio</v>
      </c>
      <c r="C4437" t="s">
        <v>4447</v>
      </c>
      <c r="D4437" t="s">
        <v>5031</v>
      </c>
      <c r="E4437" t="s">
        <v>5033</v>
      </c>
      <c r="F4437" t="s">
        <v>5036</v>
      </c>
      <c r="G4437" s="3">
        <v>6320.17</v>
      </c>
      <c r="H4437" s="3">
        <v>821.62</v>
      </c>
      <c r="I4437" s="3">
        <f>SUM(Tabla1[[#This Row],[Monto_Base]],H4437)</f>
        <v>7141.79</v>
      </c>
      <c r="J4437" t="s">
        <v>5045</v>
      </c>
      <c r="K4437" t="s">
        <v>5048</v>
      </c>
      <c r="L4437" t="s">
        <v>5051</v>
      </c>
      <c r="M4437" t="s">
        <v>5054</v>
      </c>
    </row>
    <row r="4438" spans="1:13" x14ac:dyDescent="0.3">
      <c r="A4438" s="1">
        <v>45476</v>
      </c>
      <c r="B4438" s="1" t="str">
        <f>TEXT(Tabla1[[#This Row],[Fecha]],"MMMM")</f>
        <v>julio</v>
      </c>
      <c r="C4438" t="s">
        <v>4448</v>
      </c>
      <c r="D4438" t="s">
        <v>5029</v>
      </c>
      <c r="E4438" t="s">
        <v>5032</v>
      </c>
      <c r="F4438" t="s">
        <v>5041</v>
      </c>
      <c r="G4438" s="3">
        <v>14368.24</v>
      </c>
      <c r="H4438" s="3">
        <v>0</v>
      </c>
      <c r="I4438" s="3">
        <f>SUM(Tabla1[[#This Row],[Monto_Base]],H4438)</f>
        <v>14368.24</v>
      </c>
      <c r="J4438" t="s">
        <v>5044</v>
      </c>
      <c r="K4438" t="s">
        <v>5049</v>
      </c>
      <c r="L4438" t="s">
        <v>5052</v>
      </c>
      <c r="M4438" t="s">
        <v>5054</v>
      </c>
    </row>
    <row r="4439" spans="1:13" x14ac:dyDescent="0.3">
      <c r="A4439" s="1">
        <v>45632</v>
      </c>
      <c r="B4439" s="1" t="str">
        <f>TEXT(Tabla1[[#This Row],[Fecha]],"MMMM")</f>
        <v>diciembre</v>
      </c>
      <c r="C4439" t="s">
        <v>4449</v>
      </c>
      <c r="D4439" t="s">
        <v>5013</v>
      </c>
      <c r="E4439" t="s">
        <v>5032</v>
      </c>
      <c r="F4439" t="s">
        <v>5034</v>
      </c>
      <c r="G4439" s="3">
        <v>1114.93</v>
      </c>
      <c r="H4439" s="3">
        <v>0</v>
      </c>
      <c r="I4439" s="3">
        <f>SUM(Tabla1[[#This Row],[Monto_Base]],H4439)</f>
        <v>1114.93</v>
      </c>
      <c r="J4439" t="s">
        <v>5046</v>
      </c>
      <c r="K4439" t="s">
        <v>5049</v>
      </c>
      <c r="L4439" t="s">
        <v>5051</v>
      </c>
      <c r="M4439" t="s">
        <v>5055</v>
      </c>
    </row>
    <row r="4440" spans="1:13" x14ac:dyDescent="0.3">
      <c r="A4440" s="1">
        <v>45529</v>
      </c>
      <c r="B4440" s="1" t="str">
        <f>TEXT(Tabla1[[#This Row],[Fecha]],"MMMM")</f>
        <v>agosto</v>
      </c>
      <c r="C4440" t="s">
        <v>4450</v>
      </c>
      <c r="D4440" t="s">
        <v>5019</v>
      </c>
      <c r="E4440" t="s">
        <v>5033</v>
      </c>
      <c r="F4440" t="s">
        <v>5037</v>
      </c>
      <c r="G4440" s="3">
        <v>11254.13</v>
      </c>
      <c r="H4440" s="3">
        <v>1463.04</v>
      </c>
      <c r="I4440" s="3">
        <f>SUM(Tabla1[[#This Row],[Monto_Base]],H4440)</f>
        <v>12717.169999999998</v>
      </c>
      <c r="J4440" t="s">
        <v>5043</v>
      </c>
      <c r="K4440" t="s">
        <v>5048</v>
      </c>
      <c r="L4440" t="s">
        <v>5053</v>
      </c>
      <c r="M4440" t="s">
        <v>5054</v>
      </c>
    </row>
    <row r="4441" spans="1:13" x14ac:dyDescent="0.3">
      <c r="A4441" s="1">
        <v>45562</v>
      </c>
      <c r="B4441" s="1" t="str">
        <f>TEXT(Tabla1[[#This Row],[Fecha]],"MMMM")</f>
        <v>septiembre</v>
      </c>
      <c r="C4441" t="s">
        <v>4451</v>
      </c>
      <c r="D4441" t="s">
        <v>5012</v>
      </c>
      <c r="E4441" t="s">
        <v>5033</v>
      </c>
      <c r="F4441" t="s">
        <v>5035</v>
      </c>
      <c r="G4441" s="3">
        <v>2614.37</v>
      </c>
      <c r="H4441" s="3">
        <v>339.87</v>
      </c>
      <c r="I4441" s="3">
        <f>SUM(Tabla1[[#This Row],[Monto_Base]],H4441)</f>
        <v>2954.24</v>
      </c>
      <c r="J4441" t="s">
        <v>5043</v>
      </c>
      <c r="K4441" t="s">
        <v>5048</v>
      </c>
      <c r="L4441" t="s">
        <v>5051</v>
      </c>
      <c r="M4441" t="s">
        <v>5055</v>
      </c>
    </row>
    <row r="4442" spans="1:13" x14ac:dyDescent="0.3">
      <c r="A4442" s="1">
        <v>45458</v>
      </c>
      <c r="B4442" s="1" t="str">
        <f>TEXT(Tabla1[[#This Row],[Fecha]],"MMMM")</f>
        <v>junio</v>
      </c>
      <c r="C4442" t="s">
        <v>4452</v>
      </c>
      <c r="D4442" t="s">
        <v>5012</v>
      </c>
      <c r="E4442" t="s">
        <v>5032</v>
      </c>
      <c r="F4442" t="s">
        <v>5036</v>
      </c>
      <c r="G4442" s="3">
        <v>9565.67</v>
      </c>
      <c r="H4442" s="3">
        <v>0</v>
      </c>
      <c r="I4442" s="3">
        <f>SUM(Tabla1[[#This Row],[Monto_Base]],H4442)</f>
        <v>9565.67</v>
      </c>
      <c r="J4442" t="s">
        <v>5046</v>
      </c>
      <c r="K4442" t="s">
        <v>5049</v>
      </c>
      <c r="L4442" t="s">
        <v>5053</v>
      </c>
      <c r="M4442" t="s">
        <v>5055</v>
      </c>
    </row>
    <row r="4443" spans="1:13" x14ac:dyDescent="0.3">
      <c r="A4443" s="1">
        <v>45545</v>
      </c>
      <c r="B4443" s="1" t="str">
        <f>TEXT(Tabla1[[#This Row],[Fecha]],"MMMM")</f>
        <v>septiembre</v>
      </c>
      <c r="C4443" t="s">
        <v>4453</v>
      </c>
      <c r="D4443" t="s">
        <v>5013</v>
      </c>
      <c r="E4443" t="s">
        <v>5033</v>
      </c>
      <c r="F4443" t="s">
        <v>5040</v>
      </c>
      <c r="G4443" s="3">
        <v>13510.07</v>
      </c>
      <c r="H4443" s="3">
        <v>1756.31</v>
      </c>
      <c r="I4443" s="3">
        <f>SUM(Tabla1[[#This Row],[Monto_Base]],H4443)</f>
        <v>15266.38</v>
      </c>
      <c r="J4443" t="s">
        <v>5043</v>
      </c>
      <c r="K4443" t="s">
        <v>5049</v>
      </c>
      <c r="L4443" t="s">
        <v>5052</v>
      </c>
      <c r="M4443" t="s">
        <v>5054</v>
      </c>
    </row>
    <row r="4444" spans="1:13" x14ac:dyDescent="0.3">
      <c r="A4444" s="1">
        <v>45489</v>
      </c>
      <c r="B4444" s="1" t="str">
        <f>TEXT(Tabla1[[#This Row],[Fecha]],"MMMM")</f>
        <v>julio</v>
      </c>
      <c r="C4444" t="s">
        <v>4454</v>
      </c>
      <c r="D4444" t="s">
        <v>5014</v>
      </c>
      <c r="E4444" t="s">
        <v>5033</v>
      </c>
      <c r="F4444" t="s">
        <v>5041</v>
      </c>
      <c r="G4444" s="3">
        <v>4340.42</v>
      </c>
      <c r="H4444" s="3">
        <v>564.25</v>
      </c>
      <c r="I4444" s="3">
        <f>SUM(Tabla1[[#This Row],[Monto_Base]],H4444)</f>
        <v>4904.67</v>
      </c>
      <c r="J4444" t="s">
        <v>5046</v>
      </c>
      <c r="K4444" t="s">
        <v>5047</v>
      </c>
      <c r="L4444" t="s">
        <v>5050</v>
      </c>
      <c r="M4444" t="s">
        <v>5055</v>
      </c>
    </row>
    <row r="4445" spans="1:13" x14ac:dyDescent="0.3">
      <c r="A4445" s="1">
        <v>45470</v>
      </c>
      <c r="B4445" s="1" t="str">
        <f>TEXT(Tabla1[[#This Row],[Fecha]],"MMMM")</f>
        <v>junio</v>
      </c>
      <c r="C4445" t="s">
        <v>4455</v>
      </c>
      <c r="D4445" t="s">
        <v>5024</v>
      </c>
      <c r="E4445" t="s">
        <v>5033</v>
      </c>
      <c r="F4445" t="s">
        <v>5036</v>
      </c>
      <c r="G4445" s="3">
        <v>11215.56</v>
      </c>
      <c r="H4445" s="3">
        <v>1458.02</v>
      </c>
      <c r="I4445" s="3">
        <f>SUM(Tabla1[[#This Row],[Monto_Base]],H4445)</f>
        <v>12673.58</v>
      </c>
      <c r="J4445" t="s">
        <v>5046</v>
      </c>
      <c r="K4445" t="s">
        <v>5049</v>
      </c>
      <c r="L4445" t="s">
        <v>5051</v>
      </c>
      <c r="M4445" t="s">
        <v>5054</v>
      </c>
    </row>
    <row r="4446" spans="1:13" x14ac:dyDescent="0.3">
      <c r="A4446" s="1">
        <v>45600</v>
      </c>
      <c r="B4446" s="1" t="str">
        <f>TEXT(Tabla1[[#This Row],[Fecha]],"MMMM")</f>
        <v>noviembre</v>
      </c>
      <c r="C4446" t="s">
        <v>4456</v>
      </c>
      <c r="D4446" t="s">
        <v>5028</v>
      </c>
      <c r="E4446" t="s">
        <v>5033</v>
      </c>
      <c r="F4446" t="s">
        <v>5041</v>
      </c>
      <c r="G4446" s="3">
        <v>4911.32</v>
      </c>
      <c r="H4446" s="3">
        <v>638.47</v>
      </c>
      <c r="I4446" s="3">
        <f>SUM(Tabla1[[#This Row],[Monto_Base]],H4446)</f>
        <v>5549.79</v>
      </c>
      <c r="J4446" t="s">
        <v>5046</v>
      </c>
      <c r="K4446" t="s">
        <v>5049</v>
      </c>
      <c r="L4446" t="s">
        <v>5053</v>
      </c>
      <c r="M4446" t="s">
        <v>5055</v>
      </c>
    </row>
    <row r="4447" spans="1:13" x14ac:dyDescent="0.3">
      <c r="A4447" s="1">
        <v>45581</v>
      </c>
      <c r="B4447" s="1" t="str">
        <f>TEXT(Tabla1[[#This Row],[Fecha]],"MMMM")</f>
        <v>octubre</v>
      </c>
      <c r="C4447" t="s">
        <v>4457</v>
      </c>
      <c r="D4447" t="s">
        <v>5029</v>
      </c>
      <c r="E4447" t="s">
        <v>5032</v>
      </c>
      <c r="F4447" t="s">
        <v>5036</v>
      </c>
      <c r="G4447" s="3">
        <v>8926.0400000000009</v>
      </c>
      <c r="H4447" s="3">
        <v>0</v>
      </c>
      <c r="I4447" s="3">
        <f>SUM(Tabla1[[#This Row],[Monto_Base]],H4447)</f>
        <v>8926.0400000000009</v>
      </c>
      <c r="J4447" t="s">
        <v>5043</v>
      </c>
      <c r="K4447" t="s">
        <v>5049</v>
      </c>
      <c r="L4447" t="s">
        <v>5051</v>
      </c>
      <c r="M4447" t="s">
        <v>5055</v>
      </c>
    </row>
    <row r="4448" spans="1:13" x14ac:dyDescent="0.3">
      <c r="A4448" s="1">
        <v>45295</v>
      </c>
      <c r="B4448" s="1" t="str">
        <f>TEXT(Tabla1[[#This Row],[Fecha]],"MMMM")</f>
        <v>enero</v>
      </c>
      <c r="C4448" t="s">
        <v>4458</v>
      </c>
      <c r="D4448" t="s">
        <v>5028</v>
      </c>
      <c r="E4448" t="s">
        <v>5032</v>
      </c>
      <c r="F4448" t="s">
        <v>5034</v>
      </c>
      <c r="G4448" s="3">
        <v>8315.31</v>
      </c>
      <c r="H4448" s="3">
        <v>0</v>
      </c>
      <c r="I4448" s="3">
        <f>SUM(Tabla1[[#This Row],[Monto_Base]],H4448)</f>
        <v>8315.31</v>
      </c>
      <c r="J4448" t="s">
        <v>5042</v>
      </c>
      <c r="K4448" t="s">
        <v>5049</v>
      </c>
      <c r="L4448" t="s">
        <v>5052</v>
      </c>
      <c r="M4448" t="s">
        <v>5055</v>
      </c>
    </row>
    <row r="4449" spans="1:13" x14ac:dyDescent="0.3">
      <c r="A4449" s="1">
        <v>45409</v>
      </c>
      <c r="B4449" s="1" t="str">
        <f>TEXT(Tabla1[[#This Row],[Fecha]],"MMMM")</f>
        <v>abril</v>
      </c>
      <c r="C4449" t="s">
        <v>4459</v>
      </c>
      <c r="D4449" t="s">
        <v>5030</v>
      </c>
      <c r="E4449" t="s">
        <v>5032</v>
      </c>
      <c r="F4449" t="s">
        <v>5041</v>
      </c>
      <c r="G4449" s="3">
        <v>12813.16</v>
      </c>
      <c r="H4449" s="3">
        <v>0</v>
      </c>
      <c r="I4449" s="3">
        <f>SUM(Tabla1[[#This Row],[Monto_Base]],H4449)</f>
        <v>12813.16</v>
      </c>
      <c r="J4449" t="s">
        <v>5043</v>
      </c>
      <c r="K4449" t="s">
        <v>5049</v>
      </c>
      <c r="L4449" t="s">
        <v>5051</v>
      </c>
      <c r="M4449" t="s">
        <v>5054</v>
      </c>
    </row>
    <row r="4450" spans="1:13" x14ac:dyDescent="0.3">
      <c r="A4450" s="1">
        <v>45371</v>
      </c>
      <c r="B4450" s="1" t="str">
        <f>TEXT(Tabla1[[#This Row],[Fecha]],"MMMM")</f>
        <v>marzo</v>
      </c>
      <c r="C4450" t="s">
        <v>4460</v>
      </c>
      <c r="D4450" t="s">
        <v>5022</v>
      </c>
      <c r="E4450" t="s">
        <v>5032</v>
      </c>
      <c r="F4450" t="s">
        <v>5036</v>
      </c>
      <c r="G4450" s="3">
        <v>13440.7</v>
      </c>
      <c r="H4450" s="3">
        <v>0</v>
      </c>
      <c r="I4450" s="3">
        <f>SUM(Tabla1[[#This Row],[Monto_Base]],H4450)</f>
        <v>13440.7</v>
      </c>
      <c r="J4450" t="s">
        <v>5044</v>
      </c>
      <c r="K4450" t="s">
        <v>5047</v>
      </c>
      <c r="L4450" t="s">
        <v>5053</v>
      </c>
      <c r="M4450" t="s">
        <v>5054</v>
      </c>
    </row>
    <row r="4451" spans="1:13" x14ac:dyDescent="0.3">
      <c r="A4451" s="1">
        <v>45301</v>
      </c>
      <c r="B4451" s="1" t="str">
        <f>TEXT(Tabla1[[#This Row],[Fecha]],"MMMM")</f>
        <v>enero</v>
      </c>
      <c r="C4451" t="s">
        <v>4461</v>
      </c>
      <c r="D4451" t="s">
        <v>5013</v>
      </c>
      <c r="E4451" t="s">
        <v>5032</v>
      </c>
      <c r="F4451" t="s">
        <v>5041</v>
      </c>
      <c r="G4451" s="3">
        <v>2002.17</v>
      </c>
      <c r="H4451" s="3">
        <v>0</v>
      </c>
      <c r="I4451" s="3">
        <f>SUM(Tabla1[[#This Row],[Monto_Base]],H4451)</f>
        <v>2002.17</v>
      </c>
      <c r="J4451" t="s">
        <v>5043</v>
      </c>
      <c r="K4451" t="s">
        <v>5048</v>
      </c>
      <c r="L4451" t="s">
        <v>5053</v>
      </c>
      <c r="M4451" t="s">
        <v>5055</v>
      </c>
    </row>
    <row r="4452" spans="1:13" x14ac:dyDescent="0.3">
      <c r="A4452" s="1">
        <v>45331</v>
      </c>
      <c r="B4452" s="1" t="str">
        <f>TEXT(Tabla1[[#This Row],[Fecha]],"MMMM")</f>
        <v>febrero</v>
      </c>
      <c r="C4452" t="s">
        <v>4462</v>
      </c>
      <c r="D4452" t="s">
        <v>5020</v>
      </c>
      <c r="E4452" t="s">
        <v>5032</v>
      </c>
      <c r="F4452" t="s">
        <v>5037</v>
      </c>
      <c r="G4452" s="3">
        <v>14271.4</v>
      </c>
      <c r="H4452" s="3">
        <v>0</v>
      </c>
      <c r="I4452" s="3">
        <f>SUM(Tabla1[[#This Row],[Monto_Base]],H4452)</f>
        <v>14271.4</v>
      </c>
      <c r="J4452" t="s">
        <v>5042</v>
      </c>
      <c r="K4452" t="s">
        <v>5048</v>
      </c>
      <c r="L4452" t="s">
        <v>5050</v>
      </c>
      <c r="M4452" t="s">
        <v>5055</v>
      </c>
    </row>
    <row r="4453" spans="1:13" x14ac:dyDescent="0.3">
      <c r="A4453" s="1">
        <v>45430</v>
      </c>
      <c r="B4453" s="1" t="str">
        <f>TEXT(Tabla1[[#This Row],[Fecha]],"MMMM")</f>
        <v>mayo</v>
      </c>
      <c r="C4453" t="s">
        <v>4463</v>
      </c>
      <c r="D4453" t="s">
        <v>5022</v>
      </c>
      <c r="E4453" t="s">
        <v>5033</v>
      </c>
      <c r="F4453" t="s">
        <v>5040</v>
      </c>
      <c r="G4453" s="3">
        <v>866.15</v>
      </c>
      <c r="H4453" s="3">
        <v>112.6</v>
      </c>
      <c r="I4453" s="3">
        <f>SUM(Tabla1[[#This Row],[Monto_Base]],H4453)</f>
        <v>978.75</v>
      </c>
      <c r="J4453" t="s">
        <v>5046</v>
      </c>
      <c r="K4453" t="s">
        <v>5048</v>
      </c>
      <c r="L4453" t="s">
        <v>5053</v>
      </c>
      <c r="M4453" t="s">
        <v>5054</v>
      </c>
    </row>
    <row r="4454" spans="1:13" x14ac:dyDescent="0.3">
      <c r="A4454" s="1">
        <v>45485</v>
      </c>
      <c r="B4454" s="1" t="str">
        <f>TEXT(Tabla1[[#This Row],[Fecha]],"MMMM")</f>
        <v>julio</v>
      </c>
      <c r="C4454" t="s">
        <v>4464</v>
      </c>
      <c r="D4454" t="s">
        <v>5026</v>
      </c>
      <c r="E4454" t="s">
        <v>5032</v>
      </c>
      <c r="F4454" t="s">
        <v>5040</v>
      </c>
      <c r="G4454" s="3">
        <v>5165.3599999999997</v>
      </c>
      <c r="H4454" s="3">
        <v>0</v>
      </c>
      <c r="I4454" s="3">
        <f>SUM(Tabla1[[#This Row],[Monto_Base]],H4454)</f>
        <v>5165.3599999999997</v>
      </c>
      <c r="J4454" t="s">
        <v>5044</v>
      </c>
      <c r="K4454" t="s">
        <v>5048</v>
      </c>
      <c r="L4454" t="s">
        <v>5051</v>
      </c>
      <c r="M4454" t="s">
        <v>5055</v>
      </c>
    </row>
    <row r="4455" spans="1:13" x14ac:dyDescent="0.3">
      <c r="A4455" s="1">
        <v>45593</v>
      </c>
      <c r="B4455" s="1" t="str">
        <f>TEXT(Tabla1[[#This Row],[Fecha]],"MMMM")</f>
        <v>octubre</v>
      </c>
      <c r="C4455" t="s">
        <v>4465</v>
      </c>
      <c r="D4455" t="s">
        <v>5020</v>
      </c>
      <c r="E4455" t="s">
        <v>5032</v>
      </c>
      <c r="F4455" t="s">
        <v>5034</v>
      </c>
      <c r="G4455" s="3">
        <v>10890.51</v>
      </c>
      <c r="H4455" s="3">
        <v>0</v>
      </c>
      <c r="I4455" s="3">
        <f>SUM(Tabla1[[#This Row],[Monto_Base]],H4455)</f>
        <v>10890.51</v>
      </c>
      <c r="J4455" t="s">
        <v>5043</v>
      </c>
      <c r="K4455" t="s">
        <v>5048</v>
      </c>
      <c r="L4455" t="s">
        <v>5051</v>
      </c>
      <c r="M4455" t="s">
        <v>5054</v>
      </c>
    </row>
    <row r="4456" spans="1:13" x14ac:dyDescent="0.3">
      <c r="A4456" s="1">
        <v>45606</v>
      </c>
      <c r="B4456" s="1" t="str">
        <f>TEXT(Tabla1[[#This Row],[Fecha]],"MMMM")</f>
        <v>noviembre</v>
      </c>
      <c r="C4456" t="s">
        <v>4466</v>
      </c>
      <c r="D4456" t="s">
        <v>5015</v>
      </c>
      <c r="E4456" t="s">
        <v>5033</v>
      </c>
      <c r="F4456" t="s">
        <v>5037</v>
      </c>
      <c r="G4456" s="3">
        <v>7818.8</v>
      </c>
      <c r="H4456" s="3">
        <v>1016.44</v>
      </c>
      <c r="I4456" s="3">
        <f>SUM(Tabla1[[#This Row],[Monto_Base]],H4456)</f>
        <v>8835.24</v>
      </c>
      <c r="J4456" t="s">
        <v>5045</v>
      </c>
      <c r="K4456" t="s">
        <v>5049</v>
      </c>
      <c r="L4456" t="s">
        <v>5052</v>
      </c>
      <c r="M4456" t="s">
        <v>5054</v>
      </c>
    </row>
    <row r="4457" spans="1:13" x14ac:dyDescent="0.3">
      <c r="A4457" s="1">
        <v>45387</v>
      </c>
      <c r="B4457" s="1" t="str">
        <f>TEXT(Tabla1[[#This Row],[Fecha]],"MMMM")</f>
        <v>abril</v>
      </c>
      <c r="C4457" t="s">
        <v>4467</v>
      </c>
      <c r="D4457" t="s">
        <v>5012</v>
      </c>
      <c r="E4457" t="s">
        <v>5032</v>
      </c>
      <c r="F4457" t="s">
        <v>5037</v>
      </c>
      <c r="G4457" s="3">
        <v>11423.32</v>
      </c>
      <c r="H4457" s="3">
        <v>0</v>
      </c>
      <c r="I4457" s="3">
        <f>SUM(Tabla1[[#This Row],[Monto_Base]],H4457)</f>
        <v>11423.32</v>
      </c>
      <c r="J4457" t="s">
        <v>5045</v>
      </c>
      <c r="K4457" t="s">
        <v>5048</v>
      </c>
      <c r="L4457" t="s">
        <v>5050</v>
      </c>
      <c r="M4457" t="s">
        <v>5054</v>
      </c>
    </row>
    <row r="4458" spans="1:13" x14ac:dyDescent="0.3">
      <c r="A4458" s="1">
        <v>45528</v>
      </c>
      <c r="B4458" s="1" t="str">
        <f>TEXT(Tabla1[[#This Row],[Fecha]],"MMMM")</f>
        <v>agosto</v>
      </c>
      <c r="C4458" t="s">
        <v>4468</v>
      </c>
      <c r="D4458" t="s">
        <v>5030</v>
      </c>
      <c r="E4458" t="s">
        <v>5032</v>
      </c>
      <c r="F4458" t="s">
        <v>5040</v>
      </c>
      <c r="G4458" s="3">
        <v>3343.51</v>
      </c>
      <c r="H4458" s="3">
        <v>0</v>
      </c>
      <c r="I4458" s="3">
        <f>SUM(Tabla1[[#This Row],[Monto_Base]],H4458)</f>
        <v>3343.51</v>
      </c>
      <c r="J4458" t="s">
        <v>5046</v>
      </c>
      <c r="K4458" t="s">
        <v>5047</v>
      </c>
      <c r="L4458" t="s">
        <v>5051</v>
      </c>
      <c r="M4458" t="s">
        <v>5054</v>
      </c>
    </row>
    <row r="4459" spans="1:13" x14ac:dyDescent="0.3">
      <c r="A4459" s="1">
        <v>45327</v>
      </c>
      <c r="B4459" s="1" t="str">
        <f>TEXT(Tabla1[[#This Row],[Fecha]],"MMMM")</f>
        <v>febrero</v>
      </c>
      <c r="C4459" t="s">
        <v>4469</v>
      </c>
      <c r="D4459" t="s">
        <v>5028</v>
      </c>
      <c r="E4459" t="s">
        <v>5033</v>
      </c>
      <c r="F4459" t="s">
        <v>5041</v>
      </c>
      <c r="G4459" s="3">
        <v>10654.66</v>
      </c>
      <c r="H4459" s="3">
        <v>1385.11</v>
      </c>
      <c r="I4459" s="3">
        <f>SUM(Tabla1[[#This Row],[Monto_Base]],H4459)</f>
        <v>12039.77</v>
      </c>
      <c r="J4459" t="s">
        <v>5043</v>
      </c>
      <c r="K4459" t="s">
        <v>5047</v>
      </c>
      <c r="L4459" t="s">
        <v>5052</v>
      </c>
      <c r="M4459" t="s">
        <v>5054</v>
      </c>
    </row>
    <row r="4460" spans="1:13" x14ac:dyDescent="0.3">
      <c r="A4460" s="1">
        <v>45317</v>
      </c>
      <c r="B4460" s="1" t="str">
        <f>TEXT(Tabla1[[#This Row],[Fecha]],"MMMM")</f>
        <v>enero</v>
      </c>
      <c r="C4460" t="s">
        <v>4470</v>
      </c>
      <c r="D4460" t="s">
        <v>5030</v>
      </c>
      <c r="E4460" t="s">
        <v>5032</v>
      </c>
      <c r="F4460" t="s">
        <v>5035</v>
      </c>
      <c r="G4460" s="3">
        <v>7211.09</v>
      </c>
      <c r="H4460" s="3">
        <v>0</v>
      </c>
      <c r="I4460" s="3">
        <f>SUM(Tabla1[[#This Row],[Monto_Base]],H4460)</f>
        <v>7211.09</v>
      </c>
      <c r="J4460" t="s">
        <v>5043</v>
      </c>
      <c r="K4460" t="s">
        <v>5048</v>
      </c>
      <c r="L4460" t="s">
        <v>5053</v>
      </c>
      <c r="M4460" t="s">
        <v>5055</v>
      </c>
    </row>
    <row r="4461" spans="1:13" x14ac:dyDescent="0.3">
      <c r="A4461" s="1">
        <v>45587</v>
      </c>
      <c r="B4461" s="1" t="str">
        <f>TEXT(Tabla1[[#This Row],[Fecha]],"MMMM")</f>
        <v>octubre</v>
      </c>
      <c r="C4461" t="s">
        <v>4471</v>
      </c>
      <c r="D4461" t="s">
        <v>5017</v>
      </c>
      <c r="E4461" t="s">
        <v>5032</v>
      </c>
      <c r="F4461" t="s">
        <v>5041</v>
      </c>
      <c r="G4461" s="3">
        <v>912.31</v>
      </c>
      <c r="H4461" s="3">
        <v>0</v>
      </c>
      <c r="I4461" s="3">
        <f>SUM(Tabla1[[#This Row],[Monto_Base]],H4461)</f>
        <v>912.31</v>
      </c>
      <c r="J4461" t="s">
        <v>5045</v>
      </c>
      <c r="K4461" t="s">
        <v>5048</v>
      </c>
      <c r="L4461" t="s">
        <v>5053</v>
      </c>
      <c r="M4461" t="s">
        <v>5054</v>
      </c>
    </row>
    <row r="4462" spans="1:13" x14ac:dyDescent="0.3">
      <c r="A4462" s="1">
        <v>45637</v>
      </c>
      <c r="B4462" s="1" t="str">
        <f>TEXT(Tabla1[[#This Row],[Fecha]],"MMMM")</f>
        <v>diciembre</v>
      </c>
      <c r="C4462" t="s">
        <v>4472</v>
      </c>
      <c r="D4462" t="s">
        <v>5014</v>
      </c>
      <c r="E4462" t="s">
        <v>5032</v>
      </c>
      <c r="F4462" t="s">
        <v>5041</v>
      </c>
      <c r="G4462" s="3">
        <v>9151.2800000000007</v>
      </c>
      <c r="H4462" s="3">
        <v>0</v>
      </c>
      <c r="I4462" s="3">
        <f>SUM(Tabla1[[#This Row],[Monto_Base]],H4462)</f>
        <v>9151.2800000000007</v>
      </c>
      <c r="J4462" t="s">
        <v>5046</v>
      </c>
      <c r="K4462" t="s">
        <v>5047</v>
      </c>
      <c r="L4462" t="s">
        <v>5051</v>
      </c>
      <c r="M4462" t="s">
        <v>5055</v>
      </c>
    </row>
    <row r="4463" spans="1:13" x14ac:dyDescent="0.3">
      <c r="A4463" s="1">
        <v>45430</v>
      </c>
      <c r="B4463" s="1" t="str">
        <f>TEXT(Tabla1[[#This Row],[Fecha]],"MMMM")</f>
        <v>mayo</v>
      </c>
      <c r="C4463" t="s">
        <v>4473</v>
      </c>
      <c r="D4463" t="s">
        <v>5022</v>
      </c>
      <c r="E4463" t="s">
        <v>5032</v>
      </c>
      <c r="F4463" t="s">
        <v>5035</v>
      </c>
      <c r="G4463" s="3">
        <v>8265.09</v>
      </c>
      <c r="H4463" s="3">
        <v>0</v>
      </c>
      <c r="I4463" s="3">
        <f>SUM(Tabla1[[#This Row],[Monto_Base]],H4463)</f>
        <v>8265.09</v>
      </c>
      <c r="J4463" t="s">
        <v>5042</v>
      </c>
      <c r="K4463" t="s">
        <v>5048</v>
      </c>
      <c r="L4463" t="s">
        <v>5053</v>
      </c>
      <c r="M4463" t="s">
        <v>5054</v>
      </c>
    </row>
    <row r="4464" spans="1:13" x14ac:dyDescent="0.3">
      <c r="A4464" s="1">
        <v>45542</v>
      </c>
      <c r="B4464" s="1" t="str">
        <f>TEXT(Tabla1[[#This Row],[Fecha]],"MMMM")</f>
        <v>septiembre</v>
      </c>
      <c r="C4464" t="s">
        <v>4474</v>
      </c>
      <c r="D4464" t="s">
        <v>5031</v>
      </c>
      <c r="E4464" t="s">
        <v>5033</v>
      </c>
      <c r="F4464" t="s">
        <v>5035</v>
      </c>
      <c r="G4464" s="3">
        <v>7721.08</v>
      </c>
      <c r="H4464" s="3">
        <v>1003.74</v>
      </c>
      <c r="I4464" s="3">
        <f>SUM(Tabla1[[#This Row],[Monto_Base]],H4464)</f>
        <v>8724.82</v>
      </c>
      <c r="J4464" t="s">
        <v>5042</v>
      </c>
      <c r="K4464" t="s">
        <v>5049</v>
      </c>
      <c r="L4464" t="s">
        <v>5051</v>
      </c>
      <c r="M4464" t="s">
        <v>5055</v>
      </c>
    </row>
    <row r="4465" spans="1:13" x14ac:dyDescent="0.3">
      <c r="A4465" s="1">
        <v>45525</v>
      </c>
      <c r="B4465" s="1" t="str">
        <f>TEXT(Tabla1[[#This Row],[Fecha]],"MMMM")</f>
        <v>agosto</v>
      </c>
      <c r="C4465" t="s">
        <v>4475</v>
      </c>
      <c r="D4465" t="s">
        <v>5014</v>
      </c>
      <c r="E4465" t="s">
        <v>5033</v>
      </c>
      <c r="F4465" t="s">
        <v>5038</v>
      </c>
      <c r="G4465" s="3">
        <v>11676.37</v>
      </c>
      <c r="H4465" s="3">
        <v>1517.93</v>
      </c>
      <c r="I4465" s="3">
        <f>SUM(Tabla1[[#This Row],[Monto_Base]],H4465)</f>
        <v>13194.300000000001</v>
      </c>
      <c r="J4465" t="s">
        <v>5044</v>
      </c>
      <c r="K4465" t="s">
        <v>5049</v>
      </c>
      <c r="L4465" t="s">
        <v>5050</v>
      </c>
      <c r="M4465" t="s">
        <v>5055</v>
      </c>
    </row>
    <row r="4466" spans="1:13" x14ac:dyDescent="0.3">
      <c r="A4466" s="1">
        <v>45387</v>
      </c>
      <c r="B4466" s="1" t="str">
        <f>TEXT(Tabla1[[#This Row],[Fecha]],"MMMM")</f>
        <v>abril</v>
      </c>
      <c r="C4466" t="s">
        <v>4476</v>
      </c>
      <c r="D4466" t="s">
        <v>5028</v>
      </c>
      <c r="E4466" t="s">
        <v>5032</v>
      </c>
      <c r="F4466" t="s">
        <v>5038</v>
      </c>
      <c r="G4466" s="3">
        <v>13812.92</v>
      </c>
      <c r="H4466" s="3">
        <v>0</v>
      </c>
      <c r="I4466" s="3">
        <f>SUM(Tabla1[[#This Row],[Monto_Base]],H4466)</f>
        <v>13812.92</v>
      </c>
      <c r="J4466" t="s">
        <v>5046</v>
      </c>
      <c r="K4466" t="s">
        <v>5047</v>
      </c>
      <c r="L4466" t="s">
        <v>5053</v>
      </c>
      <c r="M4466" t="s">
        <v>5055</v>
      </c>
    </row>
    <row r="4467" spans="1:13" x14ac:dyDescent="0.3">
      <c r="A4467" s="1">
        <v>45594</v>
      </c>
      <c r="B4467" s="1" t="str">
        <f>TEXT(Tabla1[[#This Row],[Fecha]],"MMMM")</f>
        <v>octubre</v>
      </c>
      <c r="C4467" t="s">
        <v>4477</v>
      </c>
      <c r="D4467" t="s">
        <v>5015</v>
      </c>
      <c r="E4467" t="s">
        <v>5032</v>
      </c>
      <c r="F4467" t="s">
        <v>5041</v>
      </c>
      <c r="G4467" s="3">
        <v>12224.88</v>
      </c>
      <c r="H4467" s="3">
        <v>0</v>
      </c>
      <c r="I4467" s="3">
        <f>SUM(Tabla1[[#This Row],[Monto_Base]],H4467)</f>
        <v>12224.88</v>
      </c>
      <c r="J4467" t="s">
        <v>5044</v>
      </c>
      <c r="K4467" t="s">
        <v>5047</v>
      </c>
      <c r="L4467" t="s">
        <v>5053</v>
      </c>
      <c r="M4467" t="s">
        <v>5054</v>
      </c>
    </row>
    <row r="4468" spans="1:13" x14ac:dyDescent="0.3">
      <c r="A4468" s="1">
        <v>45336</v>
      </c>
      <c r="B4468" s="1" t="str">
        <f>TEXT(Tabla1[[#This Row],[Fecha]],"MMMM")</f>
        <v>febrero</v>
      </c>
      <c r="C4468" t="s">
        <v>4478</v>
      </c>
      <c r="D4468" t="s">
        <v>5027</v>
      </c>
      <c r="E4468" t="s">
        <v>5032</v>
      </c>
      <c r="F4468" t="s">
        <v>5039</v>
      </c>
      <c r="G4468" s="3">
        <v>10916.01</v>
      </c>
      <c r="H4468" s="3">
        <v>0</v>
      </c>
      <c r="I4468" s="3">
        <f>SUM(Tabla1[[#This Row],[Monto_Base]],H4468)</f>
        <v>10916.01</v>
      </c>
      <c r="J4468" t="s">
        <v>5045</v>
      </c>
      <c r="K4468" t="s">
        <v>5048</v>
      </c>
      <c r="L4468" t="s">
        <v>5050</v>
      </c>
      <c r="M4468" t="s">
        <v>5055</v>
      </c>
    </row>
    <row r="4469" spans="1:13" x14ac:dyDescent="0.3">
      <c r="A4469" s="1">
        <v>45385</v>
      </c>
      <c r="B4469" s="1" t="str">
        <f>TEXT(Tabla1[[#This Row],[Fecha]],"MMMM")</f>
        <v>abril</v>
      </c>
      <c r="C4469" t="s">
        <v>4479</v>
      </c>
      <c r="D4469" t="s">
        <v>5021</v>
      </c>
      <c r="E4469" t="s">
        <v>5033</v>
      </c>
      <c r="F4469" t="s">
        <v>5039</v>
      </c>
      <c r="G4469" s="3">
        <v>13599.1</v>
      </c>
      <c r="H4469" s="3">
        <v>1767.88</v>
      </c>
      <c r="I4469" s="3">
        <f>SUM(Tabla1[[#This Row],[Monto_Base]],H4469)</f>
        <v>15366.98</v>
      </c>
      <c r="J4469" t="s">
        <v>5044</v>
      </c>
      <c r="K4469" t="s">
        <v>5048</v>
      </c>
      <c r="L4469" t="s">
        <v>5051</v>
      </c>
      <c r="M4469" t="s">
        <v>5054</v>
      </c>
    </row>
    <row r="4470" spans="1:13" x14ac:dyDescent="0.3">
      <c r="A4470" s="1">
        <v>45320</v>
      </c>
      <c r="B4470" s="1" t="str">
        <f>TEXT(Tabla1[[#This Row],[Fecha]],"MMMM")</f>
        <v>enero</v>
      </c>
      <c r="C4470" t="s">
        <v>4480</v>
      </c>
      <c r="D4470" t="s">
        <v>5018</v>
      </c>
      <c r="E4470" t="s">
        <v>5033</v>
      </c>
      <c r="F4470" t="s">
        <v>5037</v>
      </c>
      <c r="G4470" s="3">
        <v>11892.29</v>
      </c>
      <c r="H4470" s="3">
        <v>1546</v>
      </c>
      <c r="I4470" s="3">
        <f>SUM(Tabla1[[#This Row],[Monto_Base]],H4470)</f>
        <v>13438.29</v>
      </c>
      <c r="J4470" t="s">
        <v>5042</v>
      </c>
      <c r="K4470" t="s">
        <v>5048</v>
      </c>
      <c r="L4470" t="s">
        <v>5052</v>
      </c>
      <c r="M4470" t="s">
        <v>5054</v>
      </c>
    </row>
    <row r="4471" spans="1:13" x14ac:dyDescent="0.3">
      <c r="A4471" s="1">
        <v>45567</v>
      </c>
      <c r="B4471" s="1" t="str">
        <f>TEXT(Tabla1[[#This Row],[Fecha]],"MMMM")</f>
        <v>octubre</v>
      </c>
      <c r="C4471" t="s">
        <v>4481</v>
      </c>
      <c r="D4471" t="s">
        <v>5015</v>
      </c>
      <c r="E4471" t="s">
        <v>5032</v>
      </c>
      <c r="F4471" t="s">
        <v>5034</v>
      </c>
      <c r="G4471" s="3">
        <v>7064.29</v>
      </c>
      <c r="H4471" s="3">
        <v>0</v>
      </c>
      <c r="I4471" s="3">
        <f>SUM(Tabla1[[#This Row],[Monto_Base]],H4471)</f>
        <v>7064.29</v>
      </c>
      <c r="J4471" t="s">
        <v>5045</v>
      </c>
      <c r="K4471" t="s">
        <v>5047</v>
      </c>
      <c r="L4471" t="s">
        <v>5053</v>
      </c>
      <c r="M4471" t="s">
        <v>5054</v>
      </c>
    </row>
    <row r="4472" spans="1:13" x14ac:dyDescent="0.3">
      <c r="A4472" s="1">
        <v>45589</v>
      </c>
      <c r="B4472" s="1" t="str">
        <f>TEXT(Tabla1[[#This Row],[Fecha]],"MMMM")</f>
        <v>octubre</v>
      </c>
      <c r="C4472" t="s">
        <v>4482</v>
      </c>
      <c r="D4472" t="s">
        <v>5030</v>
      </c>
      <c r="E4472" t="s">
        <v>5033</v>
      </c>
      <c r="F4472" t="s">
        <v>5034</v>
      </c>
      <c r="G4472" s="3">
        <v>5749.05</v>
      </c>
      <c r="H4472" s="3">
        <v>747.38</v>
      </c>
      <c r="I4472" s="3">
        <f>SUM(Tabla1[[#This Row],[Monto_Base]],H4472)</f>
        <v>6496.43</v>
      </c>
      <c r="J4472" t="s">
        <v>5045</v>
      </c>
      <c r="K4472" t="s">
        <v>5047</v>
      </c>
      <c r="L4472" t="s">
        <v>5051</v>
      </c>
      <c r="M4472" t="s">
        <v>5055</v>
      </c>
    </row>
    <row r="4473" spans="1:13" x14ac:dyDescent="0.3">
      <c r="A4473" s="1">
        <v>45426</v>
      </c>
      <c r="B4473" s="1" t="str">
        <f>TEXT(Tabla1[[#This Row],[Fecha]],"MMMM")</f>
        <v>mayo</v>
      </c>
      <c r="C4473" t="s">
        <v>4483</v>
      </c>
      <c r="D4473" t="s">
        <v>5021</v>
      </c>
      <c r="E4473" t="s">
        <v>5032</v>
      </c>
      <c r="F4473" t="s">
        <v>5038</v>
      </c>
      <c r="G4473" s="3">
        <v>4257.26</v>
      </c>
      <c r="H4473" s="3">
        <v>0</v>
      </c>
      <c r="I4473" s="3">
        <f>SUM(Tabla1[[#This Row],[Monto_Base]],H4473)</f>
        <v>4257.26</v>
      </c>
      <c r="J4473" t="s">
        <v>5045</v>
      </c>
      <c r="K4473" t="s">
        <v>5048</v>
      </c>
      <c r="L4473" t="s">
        <v>5053</v>
      </c>
      <c r="M4473" t="s">
        <v>5055</v>
      </c>
    </row>
    <row r="4474" spans="1:13" x14ac:dyDescent="0.3">
      <c r="A4474" s="1">
        <v>45545</v>
      </c>
      <c r="B4474" s="1" t="str">
        <f>TEXT(Tabla1[[#This Row],[Fecha]],"MMMM")</f>
        <v>septiembre</v>
      </c>
      <c r="C4474" t="s">
        <v>4484</v>
      </c>
      <c r="D4474" t="s">
        <v>5031</v>
      </c>
      <c r="E4474" t="s">
        <v>5033</v>
      </c>
      <c r="F4474" t="s">
        <v>5038</v>
      </c>
      <c r="G4474" s="3">
        <v>13621.39</v>
      </c>
      <c r="H4474" s="3">
        <v>1770.78</v>
      </c>
      <c r="I4474" s="3">
        <f>SUM(Tabla1[[#This Row],[Monto_Base]],H4474)</f>
        <v>15392.17</v>
      </c>
      <c r="J4474" t="s">
        <v>5042</v>
      </c>
      <c r="K4474" t="s">
        <v>5049</v>
      </c>
      <c r="L4474" t="s">
        <v>5053</v>
      </c>
      <c r="M4474" t="s">
        <v>5054</v>
      </c>
    </row>
    <row r="4475" spans="1:13" x14ac:dyDescent="0.3">
      <c r="A4475" s="1">
        <v>45510</v>
      </c>
      <c r="B4475" s="1" t="str">
        <f>TEXT(Tabla1[[#This Row],[Fecha]],"MMMM")</f>
        <v>agosto</v>
      </c>
      <c r="C4475" t="s">
        <v>4485</v>
      </c>
      <c r="D4475" t="s">
        <v>5027</v>
      </c>
      <c r="E4475" t="s">
        <v>5033</v>
      </c>
      <c r="F4475" t="s">
        <v>5035</v>
      </c>
      <c r="G4475" s="3">
        <v>9373.2800000000007</v>
      </c>
      <c r="H4475" s="3">
        <v>1218.53</v>
      </c>
      <c r="I4475" s="3">
        <f>SUM(Tabla1[[#This Row],[Monto_Base]],H4475)</f>
        <v>10591.810000000001</v>
      </c>
      <c r="J4475" t="s">
        <v>5045</v>
      </c>
      <c r="K4475" t="s">
        <v>5049</v>
      </c>
      <c r="L4475" t="s">
        <v>5050</v>
      </c>
      <c r="M4475" t="s">
        <v>5054</v>
      </c>
    </row>
    <row r="4476" spans="1:13" x14ac:dyDescent="0.3">
      <c r="A4476" s="1">
        <v>45510</v>
      </c>
      <c r="B4476" s="1" t="str">
        <f>TEXT(Tabla1[[#This Row],[Fecha]],"MMMM")</f>
        <v>agosto</v>
      </c>
      <c r="C4476" t="s">
        <v>4486</v>
      </c>
      <c r="D4476" t="s">
        <v>5029</v>
      </c>
      <c r="E4476" t="s">
        <v>5033</v>
      </c>
      <c r="F4476" t="s">
        <v>5037</v>
      </c>
      <c r="G4476" s="3">
        <v>13452.37</v>
      </c>
      <c r="H4476" s="3">
        <v>1748.81</v>
      </c>
      <c r="I4476" s="3">
        <f>SUM(Tabla1[[#This Row],[Monto_Base]],H4476)</f>
        <v>15201.18</v>
      </c>
      <c r="J4476" t="s">
        <v>5043</v>
      </c>
      <c r="K4476" t="s">
        <v>5047</v>
      </c>
      <c r="L4476" t="s">
        <v>5053</v>
      </c>
      <c r="M4476" t="s">
        <v>5055</v>
      </c>
    </row>
    <row r="4477" spans="1:13" x14ac:dyDescent="0.3">
      <c r="A4477" s="1">
        <v>45501</v>
      </c>
      <c r="B4477" s="1" t="str">
        <f>TEXT(Tabla1[[#This Row],[Fecha]],"MMMM")</f>
        <v>julio</v>
      </c>
      <c r="C4477" t="s">
        <v>4487</v>
      </c>
      <c r="D4477" t="s">
        <v>5028</v>
      </c>
      <c r="E4477" t="s">
        <v>5032</v>
      </c>
      <c r="F4477" t="s">
        <v>5039</v>
      </c>
      <c r="G4477" s="3">
        <v>14556.72</v>
      </c>
      <c r="H4477" s="3">
        <v>0</v>
      </c>
      <c r="I4477" s="3">
        <f>SUM(Tabla1[[#This Row],[Monto_Base]],H4477)</f>
        <v>14556.72</v>
      </c>
      <c r="J4477" t="s">
        <v>5043</v>
      </c>
      <c r="K4477" t="s">
        <v>5047</v>
      </c>
      <c r="L4477" t="s">
        <v>5053</v>
      </c>
      <c r="M4477" t="s">
        <v>5055</v>
      </c>
    </row>
    <row r="4478" spans="1:13" x14ac:dyDescent="0.3">
      <c r="A4478" s="1">
        <v>45297</v>
      </c>
      <c r="B4478" s="1" t="str">
        <f>TEXT(Tabla1[[#This Row],[Fecha]],"MMMM")</f>
        <v>enero</v>
      </c>
      <c r="C4478" t="s">
        <v>4488</v>
      </c>
      <c r="D4478" t="s">
        <v>5016</v>
      </c>
      <c r="E4478" t="s">
        <v>5033</v>
      </c>
      <c r="F4478" t="s">
        <v>5038</v>
      </c>
      <c r="G4478" s="3">
        <v>14983.99</v>
      </c>
      <c r="H4478" s="3">
        <v>1947.92</v>
      </c>
      <c r="I4478" s="3">
        <f>SUM(Tabla1[[#This Row],[Monto_Base]],H4478)</f>
        <v>16931.91</v>
      </c>
      <c r="J4478" t="s">
        <v>5044</v>
      </c>
      <c r="K4478" t="s">
        <v>5049</v>
      </c>
      <c r="L4478" t="s">
        <v>5050</v>
      </c>
      <c r="M4478" t="s">
        <v>5055</v>
      </c>
    </row>
    <row r="4479" spans="1:13" x14ac:dyDescent="0.3">
      <c r="A4479" s="1">
        <v>45309</v>
      </c>
      <c r="B4479" s="1" t="str">
        <f>TEXT(Tabla1[[#This Row],[Fecha]],"MMMM")</f>
        <v>enero</v>
      </c>
      <c r="C4479" t="s">
        <v>4489</v>
      </c>
      <c r="D4479" t="s">
        <v>5025</v>
      </c>
      <c r="E4479" t="s">
        <v>5033</v>
      </c>
      <c r="F4479" t="s">
        <v>5038</v>
      </c>
      <c r="G4479" s="3">
        <v>14977.05</v>
      </c>
      <c r="H4479" s="3">
        <v>1947.02</v>
      </c>
      <c r="I4479" s="3">
        <f>SUM(Tabla1[[#This Row],[Monto_Base]],H4479)</f>
        <v>16924.07</v>
      </c>
      <c r="J4479" t="s">
        <v>5046</v>
      </c>
      <c r="K4479" t="s">
        <v>5047</v>
      </c>
      <c r="L4479" t="s">
        <v>5052</v>
      </c>
      <c r="M4479" t="s">
        <v>5054</v>
      </c>
    </row>
    <row r="4480" spans="1:13" x14ac:dyDescent="0.3">
      <c r="A4480" s="1">
        <v>45593</v>
      </c>
      <c r="B4480" s="1" t="str">
        <f>TEXT(Tabla1[[#This Row],[Fecha]],"MMMM")</f>
        <v>octubre</v>
      </c>
      <c r="C4480" t="s">
        <v>4490</v>
      </c>
      <c r="D4480" t="s">
        <v>5030</v>
      </c>
      <c r="E4480" t="s">
        <v>5032</v>
      </c>
      <c r="F4480" t="s">
        <v>5036</v>
      </c>
      <c r="G4480" s="3">
        <v>6737.48</v>
      </c>
      <c r="H4480" s="3">
        <v>0</v>
      </c>
      <c r="I4480" s="3">
        <f>SUM(Tabla1[[#This Row],[Monto_Base]],H4480)</f>
        <v>6737.48</v>
      </c>
      <c r="J4480" t="s">
        <v>5042</v>
      </c>
      <c r="K4480" t="s">
        <v>5049</v>
      </c>
      <c r="L4480" t="s">
        <v>5050</v>
      </c>
      <c r="M4480" t="s">
        <v>5054</v>
      </c>
    </row>
    <row r="4481" spans="1:13" x14ac:dyDescent="0.3">
      <c r="A4481" s="1">
        <v>45622</v>
      </c>
      <c r="B4481" s="1" t="str">
        <f>TEXT(Tabla1[[#This Row],[Fecha]],"MMMM")</f>
        <v>noviembre</v>
      </c>
      <c r="C4481" t="s">
        <v>4491</v>
      </c>
      <c r="D4481" t="s">
        <v>5021</v>
      </c>
      <c r="E4481" t="s">
        <v>5032</v>
      </c>
      <c r="F4481" t="s">
        <v>5041</v>
      </c>
      <c r="G4481" s="3">
        <v>6319.21</v>
      </c>
      <c r="H4481" s="3">
        <v>0</v>
      </c>
      <c r="I4481" s="3">
        <f>SUM(Tabla1[[#This Row],[Monto_Base]],H4481)</f>
        <v>6319.21</v>
      </c>
      <c r="J4481" t="s">
        <v>5045</v>
      </c>
      <c r="K4481" t="s">
        <v>5049</v>
      </c>
      <c r="L4481" t="s">
        <v>5051</v>
      </c>
      <c r="M4481" t="s">
        <v>5055</v>
      </c>
    </row>
    <row r="4482" spans="1:13" x14ac:dyDescent="0.3">
      <c r="A4482" s="1">
        <v>45311</v>
      </c>
      <c r="B4482" s="1" t="str">
        <f>TEXT(Tabla1[[#This Row],[Fecha]],"MMMM")</f>
        <v>enero</v>
      </c>
      <c r="C4482" t="s">
        <v>4492</v>
      </c>
      <c r="D4482" t="s">
        <v>5026</v>
      </c>
      <c r="E4482" t="s">
        <v>5032</v>
      </c>
      <c r="F4482" t="s">
        <v>5036</v>
      </c>
      <c r="G4482" s="3">
        <v>9006.2999999999993</v>
      </c>
      <c r="H4482" s="3">
        <v>0</v>
      </c>
      <c r="I4482" s="3">
        <f>SUM(Tabla1[[#This Row],[Monto_Base]],H4482)</f>
        <v>9006.2999999999993</v>
      </c>
      <c r="J4482" t="s">
        <v>5045</v>
      </c>
      <c r="K4482" t="s">
        <v>5047</v>
      </c>
      <c r="L4482" t="s">
        <v>5052</v>
      </c>
      <c r="M4482" t="s">
        <v>5055</v>
      </c>
    </row>
    <row r="4483" spans="1:13" x14ac:dyDescent="0.3">
      <c r="A4483" s="1">
        <v>45518</v>
      </c>
      <c r="B4483" s="1" t="str">
        <f>TEXT(Tabla1[[#This Row],[Fecha]],"MMMM")</f>
        <v>agosto</v>
      </c>
      <c r="C4483" t="s">
        <v>4493</v>
      </c>
      <c r="D4483" t="s">
        <v>5017</v>
      </c>
      <c r="E4483" t="s">
        <v>5032</v>
      </c>
      <c r="F4483" t="s">
        <v>5039</v>
      </c>
      <c r="G4483" s="3">
        <v>14750.49</v>
      </c>
      <c r="H4483" s="3">
        <v>0</v>
      </c>
      <c r="I4483" s="3">
        <f>SUM(Tabla1[[#This Row],[Monto_Base]],H4483)</f>
        <v>14750.49</v>
      </c>
      <c r="J4483" t="s">
        <v>5043</v>
      </c>
      <c r="K4483" t="s">
        <v>5049</v>
      </c>
      <c r="L4483" t="s">
        <v>5050</v>
      </c>
      <c r="M4483" t="s">
        <v>5054</v>
      </c>
    </row>
    <row r="4484" spans="1:13" x14ac:dyDescent="0.3">
      <c r="A4484" s="1">
        <v>45380</v>
      </c>
      <c r="B4484" s="1" t="str">
        <f>TEXT(Tabla1[[#This Row],[Fecha]],"MMMM")</f>
        <v>marzo</v>
      </c>
      <c r="C4484" t="s">
        <v>4494</v>
      </c>
      <c r="D4484" t="s">
        <v>5014</v>
      </c>
      <c r="E4484" t="s">
        <v>5032</v>
      </c>
      <c r="F4484" t="s">
        <v>5039</v>
      </c>
      <c r="G4484" s="3">
        <v>6368.53</v>
      </c>
      <c r="H4484" s="3">
        <v>0</v>
      </c>
      <c r="I4484" s="3">
        <f>SUM(Tabla1[[#This Row],[Monto_Base]],H4484)</f>
        <v>6368.53</v>
      </c>
      <c r="J4484" t="s">
        <v>5046</v>
      </c>
      <c r="K4484" t="s">
        <v>5049</v>
      </c>
      <c r="L4484" t="s">
        <v>5051</v>
      </c>
      <c r="M4484" t="s">
        <v>5055</v>
      </c>
    </row>
    <row r="4485" spans="1:13" x14ac:dyDescent="0.3">
      <c r="A4485" s="1">
        <v>45385</v>
      </c>
      <c r="B4485" s="1" t="str">
        <f>TEXT(Tabla1[[#This Row],[Fecha]],"MMMM")</f>
        <v>abril</v>
      </c>
      <c r="C4485" t="s">
        <v>4495</v>
      </c>
      <c r="D4485" t="s">
        <v>5024</v>
      </c>
      <c r="E4485" t="s">
        <v>5032</v>
      </c>
      <c r="F4485" t="s">
        <v>5038</v>
      </c>
      <c r="G4485" s="3">
        <v>8096.22</v>
      </c>
      <c r="H4485" s="3">
        <v>0</v>
      </c>
      <c r="I4485" s="3">
        <f>SUM(Tabla1[[#This Row],[Monto_Base]],H4485)</f>
        <v>8096.22</v>
      </c>
      <c r="J4485" t="s">
        <v>5045</v>
      </c>
      <c r="K4485" t="s">
        <v>5047</v>
      </c>
      <c r="L4485" t="s">
        <v>5053</v>
      </c>
      <c r="M4485" t="s">
        <v>5054</v>
      </c>
    </row>
    <row r="4486" spans="1:13" x14ac:dyDescent="0.3">
      <c r="A4486" s="1">
        <v>45433</v>
      </c>
      <c r="B4486" s="1" t="str">
        <f>TEXT(Tabla1[[#This Row],[Fecha]],"MMMM")</f>
        <v>mayo</v>
      </c>
      <c r="C4486" t="s">
        <v>4496</v>
      </c>
      <c r="D4486" t="s">
        <v>5015</v>
      </c>
      <c r="E4486" t="s">
        <v>5032</v>
      </c>
      <c r="F4486" t="s">
        <v>5041</v>
      </c>
      <c r="G4486" s="3">
        <v>6110.73</v>
      </c>
      <c r="H4486" s="3">
        <v>0</v>
      </c>
      <c r="I4486" s="3">
        <f>SUM(Tabla1[[#This Row],[Monto_Base]],H4486)</f>
        <v>6110.73</v>
      </c>
      <c r="J4486" t="s">
        <v>5045</v>
      </c>
      <c r="K4486" t="s">
        <v>5049</v>
      </c>
      <c r="L4486" t="s">
        <v>5051</v>
      </c>
      <c r="M4486" t="s">
        <v>5054</v>
      </c>
    </row>
    <row r="4487" spans="1:13" x14ac:dyDescent="0.3">
      <c r="A4487" s="1">
        <v>45419</v>
      </c>
      <c r="B4487" s="1" t="str">
        <f>TEXT(Tabla1[[#This Row],[Fecha]],"MMMM")</f>
        <v>mayo</v>
      </c>
      <c r="C4487" t="s">
        <v>4497</v>
      </c>
      <c r="D4487" t="s">
        <v>5031</v>
      </c>
      <c r="E4487" t="s">
        <v>5032</v>
      </c>
      <c r="F4487" t="s">
        <v>5040</v>
      </c>
      <c r="G4487" s="3">
        <v>12099.47</v>
      </c>
      <c r="H4487" s="3">
        <v>0</v>
      </c>
      <c r="I4487" s="3">
        <f>SUM(Tabla1[[#This Row],[Monto_Base]],H4487)</f>
        <v>12099.47</v>
      </c>
      <c r="J4487" t="s">
        <v>5046</v>
      </c>
      <c r="K4487" t="s">
        <v>5047</v>
      </c>
      <c r="L4487" t="s">
        <v>5050</v>
      </c>
      <c r="M4487" t="s">
        <v>5055</v>
      </c>
    </row>
    <row r="4488" spans="1:13" x14ac:dyDescent="0.3">
      <c r="A4488" s="1">
        <v>45528</v>
      </c>
      <c r="B4488" s="1" t="str">
        <f>TEXT(Tabla1[[#This Row],[Fecha]],"MMMM")</f>
        <v>agosto</v>
      </c>
      <c r="C4488" t="s">
        <v>4498</v>
      </c>
      <c r="D4488" t="s">
        <v>5023</v>
      </c>
      <c r="E4488" t="s">
        <v>5033</v>
      </c>
      <c r="F4488" t="s">
        <v>5041</v>
      </c>
      <c r="G4488" s="3">
        <v>3671.09</v>
      </c>
      <c r="H4488" s="3">
        <v>477.24</v>
      </c>
      <c r="I4488" s="3">
        <f>SUM(Tabla1[[#This Row],[Monto_Base]],H4488)</f>
        <v>4148.33</v>
      </c>
      <c r="J4488" t="s">
        <v>5044</v>
      </c>
      <c r="K4488" t="s">
        <v>5047</v>
      </c>
      <c r="L4488" t="s">
        <v>5051</v>
      </c>
      <c r="M4488" t="s">
        <v>5054</v>
      </c>
    </row>
    <row r="4489" spans="1:13" x14ac:dyDescent="0.3">
      <c r="A4489" s="1">
        <v>45366</v>
      </c>
      <c r="B4489" s="1" t="str">
        <f>TEXT(Tabla1[[#This Row],[Fecha]],"MMMM")</f>
        <v>marzo</v>
      </c>
      <c r="C4489" t="s">
        <v>4499</v>
      </c>
      <c r="D4489" t="s">
        <v>5026</v>
      </c>
      <c r="E4489" t="s">
        <v>5032</v>
      </c>
      <c r="F4489" t="s">
        <v>5034</v>
      </c>
      <c r="G4489" s="3">
        <v>3804.17</v>
      </c>
      <c r="H4489" s="3">
        <v>0</v>
      </c>
      <c r="I4489" s="3">
        <f>SUM(Tabla1[[#This Row],[Monto_Base]],H4489)</f>
        <v>3804.17</v>
      </c>
      <c r="J4489" t="s">
        <v>5045</v>
      </c>
      <c r="K4489" t="s">
        <v>5049</v>
      </c>
      <c r="L4489" t="s">
        <v>5052</v>
      </c>
      <c r="M4489" t="s">
        <v>5055</v>
      </c>
    </row>
    <row r="4490" spans="1:13" x14ac:dyDescent="0.3">
      <c r="A4490" s="1">
        <v>45376</v>
      </c>
      <c r="B4490" s="1" t="str">
        <f>TEXT(Tabla1[[#This Row],[Fecha]],"MMMM")</f>
        <v>marzo</v>
      </c>
      <c r="C4490" t="s">
        <v>4500</v>
      </c>
      <c r="D4490" t="s">
        <v>5014</v>
      </c>
      <c r="E4490" t="s">
        <v>5032</v>
      </c>
      <c r="F4490" t="s">
        <v>5040</v>
      </c>
      <c r="G4490" s="3">
        <v>14149.95</v>
      </c>
      <c r="H4490" s="3">
        <v>0</v>
      </c>
      <c r="I4490" s="3">
        <f>SUM(Tabla1[[#This Row],[Monto_Base]],H4490)</f>
        <v>14149.95</v>
      </c>
      <c r="J4490" t="s">
        <v>5042</v>
      </c>
      <c r="K4490" t="s">
        <v>5047</v>
      </c>
      <c r="L4490" t="s">
        <v>5050</v>
      </c>
      <c r="M4490" t="s">
        <v>5054</v>
      </c>
    </row>
    <row r="4491" spans="1:13" x14ac:dyDescent="0.3">
      <c r="A4491" s="1">
        <v>45424</v>
      </c>
      <c r="B4491" s="1" t="str">
        <f>TEXT(Tabla1[[#This Row],[Fecha]],"MMMM")</f>
        <v>mayo</v>
      </c>
      <c r="C4491" t="s">
        <v>4501</v>
      </c>
      <c r="D4491" t="s">
        <v>5015</v>
      </c>
      <c r="E4491" t="s">
        <v>5033</v>
      </c>
      <c r="F4491" t="s">
        <v>5035</v>
      </c>
      <c r="G4491" s="3">
        <v>6333.74</v>
      </c>
      <c r="H4491" s="3">
        <v>823.39</v>
      </c>
      <c r="I4491" s="3">
        <f>SUM(Tabla1[[#This Row],[Monto_Base]],H4491)</f>
        <v>7157.13</v>
      </c>
      <c r="J4491" t="s">
        <v>5044</v>
      </c>
      <c r="K4491" t="s">
        <v>5048</v>
      </c>
      <c r="L4491" t="s">
        <v>5053</v>
      </c>
      <c r="M4491" t="s">
        <v>5055</v>
      </c>
    </row>
    <row r="4492" spans="1:13" x14ac:dyDescent="0.3">
      <c r="A4492" s="1">
        <v>45639</v>
      </c>
      <c r="B4492" s="1" t="str">
        <f>TEXT(Tabla1[[#This Row],[Fecha]],"MMMM")</f>
        <v>diciembre</v>
      </c>
      <c r="C4492" t="s">
        <v>4502</v>
      </c>
      <c r="D4492" t="s">
        <v>5031</v>
      </c>
      <c r="E4492" t="s">
        <v>5032</v>
      </c>
      <c r="F4492" t="s">
        <v>5035</v>
      </c>
      <c r="G4492" s="3">
        <v>7164.04</v>
      </c>
      <c r="H4492" s="3">
        <v>0</v>
      </c>
      <c r="I4492" s="3">
        <f>SUM(Tabla1[[#This Row],[Monto_Base]],H4492)</f>
        <v>7164.04</v>
      </c>
      <c r="J4492" t="s">
        <v>5042</v>
      </c>
      <c r="K4492" t="s">
        <v>5047</v>
      </c>
      <c r="L4492" t="s">
        <v>5050</v>
      </c>
      <c r="M4492" t="s">
        <v>5054</v>
      </c>
    </row>
    <row r="4493" spans="1:13" x14ac:dyDescent="0.3">
      <c r="A4493" s="1">
        <v>45523</v>
      </c>
      <c r="B4493" s="1" t="str">
        <f>TEXT(Tabla1[[#This Row],[Fecha]],"MMMM")</f>
        <v>agosto</v>
      </c>
      <c r="C4493" t="s">
        <v>4503</v>
      </c>
      <c r="D4493" t="s">
        <v>5020</v>
      </c>
      <c r="E4493" t="s">
        <v>5032</v>
      </c>
      <c r="F4493" t="s">
        <v>5039</v>
      </c>
      <c r="G4493" s="3">
        <v>8669.2800000000007</v>
      </c>
      <c r="H4493" s="3">
        <v>0</v>
      </c>
      <c r="I4493" s="3">
        <f>SUM(Tabla1[[#This Row],[Monto_Base]],H4493)</f>
        <v>8669.2800000000007</v>
      </c>
      <c r="J4493" t="s">
        <v>5045</v>
      </c>
      <c r="K4493" t="s">
        <v>5048</v>
      </c>
      <c r="L4493" t="s">
        <v>5052</v>
      </c>
      <c r="M4493" t="s">
        <v>5055</v>
      </c>
    </row>
    <row r="4494" spans="1:13" x14ac:dyDescent="0.3">
      <c r="A4494" s="1">
        <v>45480</v>
      </c>
      <c r="B4494" s="1" t="str">
        <f>TEXT(Tabla1[[#This Row],[Fecha]],"MMMM")</f>
        <v>julio</v>
      </c>
      <c r="C4494" t="s">
        <v>4504</v>
      </c>
      <c r="D4494" t="s">
        <v>5024</v>
      </c>
      <c r="E4494" t="s">
        <v>5032</v>
      </c>
      <c r="F4494" t="s">
        <v>5035</v>
      </c>
      <c r="G4494" s="3">
        <v>7877.47</v>
      </c>
      <c r="H4494" s="3">
        <v>0</v>
      </c>
      <c r="I4494" s="3">
        <f>SUM(Tabla1[[#This Row],[Monto_Base]],H4494)</f>
        <v>7877.47</v>
      </c>
      <c r="J4494" t="s">
        <v>5044</v>
      </c>
      <c r="K4494" t="s">
        <v>5049</v>
      </c>
      <c r="L4494" t="s">
        <v>5052</v>
      </c>
      <c r="M4494" t="s">
        <v>5054</v>
      </c>
    </row>
    <row r="4495" spans="1:13" x14ac:dyDescent="0.3">
      <c r="A4495" s="1">
        <v>45527</v>
      </c>
      <c r="B4495" s="1" t="str">
        <f>TEXT(Tabla1[[#This Row],[Fecha]],"MMMM")</f>
        <v>agosto</v>
      </c>
      <c r="C4495" t="s">
        <v>4505</v>
      </c>
      <c r="D4495" t="s">
        <v>5028</v>
      </c>
      <c r="E4495" t="s">
        <v>5033</v>
      </c>
      <c r="F4495" t="s">
        <v>5036</v>
      </c>
      <c r="G4495" s="3">
        <v>14580.8</v>
      </c>
      <c r="H4495" s="3">
        <v>1895.5</v>
      </c>
      <c r="I4495" s="3">
        <f>SUM(Tabla1[[#This Row],[Monto_Base]],H4495)</f>
        <v>16476.3</v>
      </c>
      <c r="J4495" t="s">
        <v>5044</v>
      </c>
      <c r="K4495" t="s">
        <v>5047</v>
      </c>
      <c r="L4495" t="s">
        <v>5053</v>
      </c>
      <c r="M4495" t="s">
        <v>5054</v>
      </c>
    </row>
    <row r="4496" spans="1:13" x14ac:dyDescent="0.3">
      <c r="A4496" s="1">
        <v>45402</v>
      </c>
      <c r="B4496" s="1" t="str">
        <f>TEXT(Tabla1[[#This Row],[Fecha]],"MMMM")</f>
        <v>abril</v>
      </c>
      <c r="C4496" t="s">
        <v>4506</v>
      </c>
      <c r="D4496" t="s">
        <v>5024</v>
      </c>
      <c r="E4496" t="s">
        <v>5033</v>
      </c>
      <c r="F4496" t="s">
        <v>5041</v>
      </c>
      <c r="G4496" s="3">
        <v>11221.61</v>
      </c>
      <c r="H4496" s="3">
        <v>1458.81</v>
      </c>
      <c r="I4496" s="3">
        <f>SUM(Tabla1[[#This Row],[Monto_Base]],H4496)</f>
        <v>12680.42</v>
      </c>
      <c r="J4496" t="s">
        <v>5044</v>
      </c>
      <c r="K4496" t="s">
        <v>5047</v>
      </c>
      <c r="L4496" t="s">
        <v>5051</v>
      </c>
      <c r="M4496" t="s">
        <v>5055</v>
      </c>
    </row>
    <row r="4497" spans="1:13" x14ac:dyDescent="0.3">
      <c r="A4497" s="1">
        <v>45541</v>
      </c>
      <c r="B4497" s="1" t="str">
        <f>TEXT(Tabla1[[#This Row],[Fecha]],"MMMM")</f>
        <v>septiembre</v>
      </c>
      <c r="C4497" t="s">
        <v>4507</v>
      </c>
      <c r="D4497" t="s">
        <v>5020</v>
      </c>
      <c r="E4497" t="s">
        <v>5032</v>
      </c>
      <c r="F4497" t="s">
        <v>5037</v>
      </c>
      <c r="G4497" s="3">
        <v>3212.58</v>
      </c>
      <c r="H4497" s="3">
        <v>0</v>
      </c>
      <c r="I4497" s="3">
        <f>SUM(Tabla1[[#This Row],[Monto_Base]],H4497)</f>
        <v>3212.58</v>
      </c>
      <c r="J4497" t="s">
        <v>5045</v>
      </c>
      <c r="K4497" t="s">
        <v>5047</v>
      </c>
      <c r="L4497" t="s">
        <v>5050</v>
      </c>
      <c r="M4497" t="s">
        <v>5055</v>
      </c>
    </row>
    <row r="4498" spans="1:13" x14ac:dyDescent="0.3">
      <c r="A4498" s="1">
        <v>45386</v>
      </c>
      <c r="B4498" s="1" t="str">
        <f>TEXT(Tabla1[[#This Row],[Fecha]],"MMMM")</f>
        <v>abril</v>
      </c>
      <c r="C4498" t="s">
        <v>4508</v>
      </c>
      <c r="D4498" t="s">
        <v>5023</v>
      </c>
      <c r="E4498" t="s">
        <v>5033</v>
      </c>
      <c r="F4498" t="s">
        <v>5040</v>
      </c>
      <c r="G4498" s="3">
        <v>3760.19</v>
      </c>
      <c r="H4498" s="3">
        <v>488.82</v>
      </c>
      <c r="I4498" s="3">
        <f>SUM(Tabla1[[#This Row],[Monto_Base]],H4498)</f>
        <v>4249.01</v>
      </c>
      <c r="J4498" t="s">
        <v>5042</v>
      </c>
      <c r="K4498" t="s">
        <v>5049</v>
      </c>
      <c r="L4498" t="s">
        <v>5053</v>
      </c>
      <c r="M4498" t="s">
        <v>5054</v>
      </c>
    </row>
    <row r="4499" spans="1:13" x14ac:dyDescent="0.3">
      <c r="A4499" s="1">
        <v>45478</v>
      </c>
      <c r="B4499" s="1" t="str">
        <f>TEXT(Tabla1[[#This Row],[Fecha]],"MMMM")</f>
        <v>julio</v>
      </c>
      <c r="C4499" t="s">
        <v>4509</v>
      </c>
      <c r="D4499" t="s">
        <v>5017</v>
      </c>
      <c r="E4499" t="s">
        <v>5032</v>
      </c>
      <c r="F4499" t="s">
        <v>5040</v>
      </c>
      <c r="G4499" s="3">
        <v>6820.87</v>
      </c>
      <c r="H4499" s="3">
        <v>0</v>
      </c>
      <c r="I4499" s="3">
        <f>SUM(Tabla1[[#This Row],[Monto_Base]],H4499)</f>
        <v>6820.87</v>
      </c>
      <c r="J4499" t="s">
        <v>5046</v>
      </c>
      <c r="K4499" t="s">
        <v>5049</v>
      </c>
      <c r="L4499" t="s">
        <v>5050</v>
      </c>
      <c r="M4499" t="s">
        <v>5055</v>
      </c>
    </row>
    <row r="4500" spans="1:13" x14ac:dyDescent="0.3">
      <c r="A4500" s="1">
        <v>45459</v>
      </c>
      <c r="B4500" s="1" t="str">
        <f>TEXT(Tabla1[[#This Row],[Fecha]],"MMMM")</f>
        <v>junio</v>
      </c>
      <c r="C4500" t="s">
        <v>4510</v>
      </c>
      <c r="D4500" t="s">
        <v>5029</v>
      </c>
      <c r="E4500" t="s">
        <v>5032</v>
      </c>
      <c r="F4500" t="s">
        <v>5036</v>
      </c>
      <c r="G4500" s="3">
        <v>2420.06</v>
      </c>
      <c r="H4500" s="3">
        <v>0</v>
      </c>
      <c r="I4500" s="3">
        <f>SUM(Tabla1[[#This Row],[Monto_Base]],H4500)</f>
        <v>2420.06</v>
      </c>
      <c r="J4500" t="s">
        <v>5043</v>
      </c>
      <c r="K4500" t="s">
        <v>5047</v>
      </c>
      <c r="L4500" t="s">
        <v>5052</v>
      </c>
      <c r="M4500" t="s">
        <v>5054</v>
      </c>
    </row>
    <row r="4501" spans="1:13" x14ac:dyDescent="0.3">
      <c r="A4501" s="1">
        <v>45423</v>
      </c>
      <c r="B4501" s="1" t="str">
        <f>TEXT(Tabla1[[#This Row],[Fecha]],"MMMM")</f>
        <v>mayo</v>
      </c>
      <c r="C4501" t="s">
        <v>4511</v>
      </c>
      <c r="D4501" t="s">
        <v>5023</v>
      </c>
      <c r="E4501" t="s">
        <v>5033</v>
      </c>
      <c r="F4501" t="s">
        <v>5038</v>
      </c>
      <c r="G4501" s="3">
        <v>11585.58</v>
      </c>
      <c r="H4501" s="3">
        <v>1506.13</v>
      </c>
      <c r="I4501" s="3">
        <f>SUM(Tabla1[[#This Row],[Monto_Base]],H4501)</f>
        <v>13091.71</v>
      </c>
      <c r="J4501" t="s">
        <v>5044</v>
      </c>
      <c r="K4501" t="s">
        <v>5047</v>
      </c>
      <c r="L4501" t="s">
        <v>5050</v>
      </c>
      <c r="M4501" t="s">
        <v>5054</v>
      </c>
    </row>
    <row r="4502" spans="1:13" x14ac:dyDescent="0.3">
      <c r="A4502" s="1">
        <v>45639</v>
      </c>
      <c r="B4502" s="1" t="str">
        <f>TEXT(Tabla1[[#This Row],[Fecha]],"MMMM")</f>
        <v>diciembre</v>
      </c>
      <c r="C4502" t="s">
        <v>4512</v>
      </c>
      <c r="D4502" t="s">
        <v>5023</v>
      </c>
      <c r="E4502" t="s">
        <v>5033</v>
      </c>
      <c r="F4502" t="s">
        <v>5041</v>
      </c>
      <c r="G4502" s="3">
        <v>1173.82</v>
      </c>
      <c r="H4502" s="3">
        <v>152.6</v>
      </c>
      <c r="I4502" s="3">
        <f>SUM(Tabla1[[#This Row],[Monto_Base]],H4502)</f>
        <v>1326.4199999999998</v>
      </c>
      <c r="J4502" t="s">
        <v>5043</v>
      </c>
      <c r="K4502" t="s">
        <v>5047</v>
      </c>
      <c r="L4502" t="s">
        <v>5050</v>
      </c>
      <c r="M4502" t="s">
        <v>5054</v>
      </c>
    </row>
    <row r="4503" spans="1:13" x14ac:dyDescent="0.3">
      <c r="A4503" s="1">
        <v>45628</v>
      </c>
      <c r="B4503" s="1" t="str">
        <f>TEXT(Tabla1[[#This Row],[Fecha]],"MMMM")</f>
        <v>diciembre</v>
      </c>
      <c r="C4503" t="s">
        <v>4513</v>
      </c>
      <c r="D4503" t="s">
        <v>5020</v>
      </c>
      <c r="E4503" t="s">
        <v>5033</v>
      </c>
      <c r="F4503" t="s">
        <v>5035</v>
      </c>
      <c r="G4503" s="3">
        <v>14269.95</v>
      </c>
      <c r="H4503" s="3">
        <v>1855.09</v>
      </c>
      <c r="I4503" s="3">
        <f>SUM(Tabla1[[#This Row],[Monto_Base]],H4503)</f>
        <v>16125.04</v>
      </c>
      <c r="J4503" t="s">
        <v>5042</v>
      </c>
      <c r="K4503" t="s">
        <v>5047</v>
      </c>
      <c r="L4503" t="s">
        <v>5052</v>
      </c>
      <c r="M4503" t="s">
        <v>5054</v>
      </c>
    </row>
    <row r="4504" spans="1:13" x14ac:dyDescent="0.3">
      <c r="A4504" s="1">
        <v>45647</v>
      </c>
      <c r="B4504" s="1" t="str">
        <f>TEXT(Tabla1[[#This Row],[Fecha]],"MMMM")</f>
        <v>diciembre</v>
      </c>
      <c r="C4504" t="s">
        <v>4514</v>
      </c>
      <c r="D4504" t="s">
        <v>5027</v>
      </c>
      <c r="E4504" t="s">
        <v>5033</v>
      </c>
      <c r="F4504" t="s">
        <v>5037</v>
      </c>
      <c r="G4504" s="3">
        <v>269.91000000000003</v>
      </c>
      <c r="H4504" s="3">
        <v>35.090000000000003</v>
      </c>
      <c r="I4504" s="3">
        <f>SUM(Tabla1[[#This Row],[Monto_Base]],H4504)</f>
        <v>305</v>
      </c>
      <c r="J4504" t="s">
        <v>5046</v>
      </c>
      <c r="K4504" t="s">
        <v>5048</v>
      </c>
      <c r="L4504" t="s">
        <v>5051</v>
      </c>
      <c r="M4504" t="s">
        <v>5055</v>
      </c>
    </row>
    <row r="4505" spans="1:13" x14ac:dyDescent="0.3">
      <c r="A4505" s="1">
        <v>45616</v>
      </c>
      <c r="B4505" s="1" t="str">
        <f>TEXT(Tabla1[[#This Row],[Fecha]],"MMMM")</f>
        <v>noviembre</v>
      </c>
      <c r="C4505" t="s">
        <v>4515</v>
      </c>
      <c r="D4505" t="s">
        <v>5012</v>
      </c>
      <c r="E4505" t="s">
        <v>5033</v>
      </c>
      <c r="F4505" t="s">
        <v>5037</v>
      </c>
      <c r="G4505" s="3">
        <v>9781.3799999999992</v>
      </c>
      <c r="H4505" s="3">
        <v>1271.58</v>
      </c>
      <c r="I4505" s="3">
        <f>SUM(Tabla1[[#This Row],[Monto_Base]],H4505)</f>
        <v>11052.96</v>
      </c>
      <c r="J4505" t="s">
        <v>5045</v>
      </c>
      <c r="K4505" t="s">
        <v>5048</v>
      </c>
      <c r="L4505" t="s">
        <v>5050</v>
      </c>
      <c r="M4505" t="s">
        <v>5055</v>
      </c>
    </row>
    <row r="4506" spans="1:13" x14ac:dyDescent="0.3">
      <c r="A4506" s="1">
        <v>45488</v>
      </c>
      <c r="B4506" s="1" t="str">
        <f>TEXT(Tabla1[[#This Row],[Fecha]],"MMMM")</f>
        <v>julio</v>
      </c>
      <c r="C4506" t="s">
        <v>4516</v>
      </c>
      <c r="D4506" t="s">
        <v>5028</v>
      </c>
      <c r="E4506" t="s">
        <v>5032</v>
      </c>
      <c r="F4506" t="s">
        <v>5035</v>
      </c>
      <c r="G4506" s="3">
        <v>10314.379999999999</v>
      </c>
      <c r="H4506" s="3">
        <v>0</v>
      </c>
      <c r="I4506" s="3">
        <f>SUM(Tabla1[[#This Row],[Monto_Base]],H4506)</f>
        <v>10314.379999999999</v>
      </c>
      <c r="J4506" t="s">
        <v>5042</v>
      </c>
      <c r="K4506" t="s">
        <v>5048</v>
      </c>
      <c r="L4506" t="s">
        <v>5053</v>
      </c>
      <c r="M4506" t="s">
        <v>5054</v>
      </c>
    </row>
    <row r="4507" spans="1:13" x14ac:dyDescent="0.3">
      <c r="A4507" s="1">
        <v>45572</v>
      </c>
      <c r="B4507" s="1" t="str">
        <f>TEXT(Tabla1[[#This Row],[Fecha]],"MMMM")</f>
        <v>octubre</v>
      </c>
      <c r="C4507" t="s">
        <v>4517</v>
      </c>
      <c r="D4507" t="s">
        <v>5015</v>
      </c>
      <c r="E4507" t="s">
        <v>5033</v>
      </c>
      <c r="F4507" t="s">
        <v>5035</v>
      </c>
      <c r="G4507" s="3">
        <v>10176.549999999999</v>
      </c>
      <c r="H4507" s="3">
        <v>1322.95</v>
      </c>
      <c r="I4507" s="3">
        <f>SUM(Tabla1[[#This Row],[Monto_Base]],H4507)</f>
        <v>11499.5</v>
      </c>
      <c r="J4507" t="s">
        <v>5042</v>
      </c>
      <c r="K4507" t="s">
        <v>5049</v>
      </c>
      <c r="L4507" t="s">
        <v>5050</v>
      </c>
      <c r="M4507" t="s">
        <v>5054</v>
      </c>
    </row>
    <row r="4508" spans="1:13" x14ac:dyDescent="0.3">
      <c r="A4508" s="1">
        <v>45597</v>
      </c>
      <c r="B4508" s="1" t="str">
        <f>TEXT(Tabla1[[#This Row],[Fecha]],"MMMM")</f>
        <v>noviembre</v>
      </c>
      <c r="C4508" t="s">
        <v>4518</v>
      </c>
      <c r="D4508" t="s">
        <v>5013</v>
      </c>
      <c r="E4508" t="s">
        <v>5033</v>
      </c>
      <c r="F4508" t="s">
        <v>5041</v>
      </c>
      <c r="G4508" s="3">
        <v>1536.96</v>
      </c>
      <c r="H4508" s="3">
        <v>199.8</v>
      </c>
      <c r="I4508" s="3">
        <f>SUM(Tabla1[[#This Row],[Monto_Base]],H4508)</f>
        <v>1736.76</v>
      </c>
      <c r="J4508" t="s">
        <v>5046</v>
      </c>
      <c r="K4508" t="s">
        <v>5047</v>
      </c>
      <c r="L4508" t="s">
        <v>5050</v>
      </c>
      <c r="M4508" t="s">
        <v>5054</v>
      </c>
    </row>
    <row r="4509" spans="1:13" x14ac:dyDescent="0.3">
      <c r="A4509" s="1">
        <v>45631</v>
      </c>
      <c r="B4509" s="1" t="str">
        <f>TEXT(Tabla1[[#This Row],[Fecha]],"MMMM")</f>
        <v>diciembre</v>
      </c>
      <c r="C4509" t="s">
        <v>4519</v>
      </c>
      <c r="D4509" t="s">
        <v>5027</v>
      </c>
      <c r="E4509" t="s">
        <v>5033</v>
      </c>
      <c r="F4509" t="s">
        <v>5040</v>
      </c>
      <c r="G4509" s="3">
        <v>14724.31</v>
      </c>
      <c r="H4509" s="3">
        <v>1914.16</v>
      </c>
      <c r="I4509" s="3">
        <f>SUM(Tabla1[[#This Row],[Monto_Base]],H4509)</f>
        <v>16638.47</v>
      </c>
      <c r="J4509" t="s">
        <v>5042</v>
      </c>
      <c r="K4509" t="s">
        <v>5048</v>
      </c>
      <c r="L4509" t="s">
        <v>5051</v>
      </c>
      <c r="M4509" t="s">
        <v>5055</v>
      </c>
    </row>
    <row r="4510" spans="1:13" x14ac:dyDescent="0.3">
      <c r="A4510" s="1">
        <v>45380</v>
      </c>
      <c r="B4510" s="1" t="str">
        <f>TEXT(Tabla1[[#This Row],[Fecha]],"MMMM")</f>
        <v>marzo</v>
      </c>
      <c r="C4510" t="s">
        <v>4520</v>
      </c>
      <c r="D4510" t="s">
        <v>5018</v>
      </c>
      <c r="E4510" t="s">
        <v>5033</v>
      </c>
      <c r="F4510" t="s">
        <v>5036</v>
      </c>
      <c r="G4510" s="3">
        <v>12614.18</v>
      </c>
      <c r="H4510" s="3">
        <v>1639.84</v>
      </c>
      <c r="I4510" s="3">
        <f>SUM(Tabla1[[#This Row],[Monto_Base]],H4510)</f>
        <v>14254.02</v>
      </c>
      <c r="J4510" t="s">
        <v>5043</v>
      </c>
      <c r="K4510" t="s">
        <v>5049</v>
      </c>
      <c r="L4510" t="s">
        <v>5050</v>
      </c>
      <c r="M4510" t="s">
        <v>5055</v>
      </c>
    </row>
    <row r="4511" spans="1:13" x14ac:dyDescent="0.3">
      <c r="A4511" s="1">
        <v>45330</v>
      </c>
      <c r="B4511" s="1" t="str">
        <f>TEXT(Tabla1[[#This Row],[Fecha]],"MMMM")</f>
        <v>febrero</v>
      </c>
      <c r="C4511" t="s">
        <v>4521</v>
      </c>
      <c r="D4511" t="s">
        <v>5024</v>
      </c>
      <c r="E4511" t="s">
        <v>5033</v>
      </c>
      <c r="F4511" t="s">
        <v>5036</v>
      </c>
      <c r="G4511" s="3">
        <v>10740.79</v>
      </c>
      <c r="H4511" s="3">
        <v>1396.3</v>
      </c>
      <c r="I4511" s="3">
        <f>SUM(Tabla1[[#This Row],[Monto_Base]],H4511)</f>
        <v>12137.09</v>
      </c>
      <c r="J4511" t="s">
        <v>5042</v>
      </c>
      <c r="K4511" t="s">
        <v>5047</v>
      </c>
      <c r="L4511" t="s">
        <v>5051</v>
      </c>
      <c r="M4511" t="s">
        <v>5054</v>
      </c>
    </row>
    <row r="4512" spans="1:13" x14ac:dyDescent="0.3">
      <c r="A4512" s="1">
        <v>45541</v>
      </c>
      <c r="B4512" s="1" t="str">
        <f>TEXT(Tabla1[[#This Row],[Fecha]],"MMMM")</f>
        <v>septiembre</v>
      </c>
      <c r="C4512" t="s">
        <v>4522</v>
      </c>
      <c r="D4512" t="s">
        <v>5024</v>
      </c>
      <c r="E4512" t="s">
        <v>5033</v>
      </c>
      <c r="F4512" t="s">
        <v>5041</v>
      </c>
      <c r="G4512" s="3">
        <v>8571.42</v>
      </c>
      <c r="H4512" s="3">
        <v>1114.28</v>
      </c>
      <c r="I4512" s="3">
        <f>SUM(Tabla1[[#This Row],[Monto_Base]],H4512)</f>
        <v>9685.7000000000007</v>
      </c>
      <c r="J4512" t="s">
        <v>5044</v>
      </c>
      <c r="K4512" t="s">
        <v>5048</v>
      </c>
      <c r="L4512" t="s">
        <v>5051</v>
      </c>
      <c r="M4512" t="s">
        <v>5054</v>
      </c>
    </row>
    <row r="4513" spans="1:13" x14ac:dyDescent="0.3">
      <c r="A4513" s="1">
        <v>45561</v>
      </c>
      <c r="B4513" s="1" t="str">
        <f>TEXT(Tabla1[[#This Row],[Fecha]],"MMMM")</f>
        <v>septiembre</v>
      </c>
      <c r="C4513" t="s">
        <v>4523</v>
      </c>
      <c r="D4513" t="s">
        <v>5023</v>
      </c>
      <c r="E4513" t="s">
        <v>5033</v>
      </c>
      <c r="F4513" t="s">
        <v>5035</v>
      </c>
      <c r="G4513" s="3">
        <v>1032.32</v>
      </c>
      <c r="H4513" s="3">
        <v>134.19999999999999</v>
      </c>
      <c r="I4513" s="3">
        <f>SUM(Tabla1[[#This Row],[Monto_Base]],H4513)</f>
        <v>1166.52</v>
      </c>
      <c r="J4513" t="s">
        <v>5043</v>
      </c>
      <c r="K4513" t="s">
        <v>5048</v>
      </c>
      <c r="L4513" t="s">
        <v>5050</v>
      </c>
      <c r="M4513" t="s">
        <v>5054</v>
      </c>
    </row>
    <row r="4514" spans="1:13" x14ac:dyDescent="0.3">
      <c r="A4514" s="1">
        <v>45489</v>
      </c>
      <c r="B4514" s="1" t="str">
        <f>TEXT(Tabla1[[#This Row],[Fecha]],"MMMM")</f>
        <v>julio</v>
      </c>
      <c r="C4514" t="s">
        <v>4524</v>
      </c>
      <c r="D4514" t="s">
        <v>5017</v>
      </c>
      <c r="E4514" t="s">
        <v>5033</v>
      </c>
      <c r="F4514" t="s">
        <v>5036</v>
      </c>
      <c r="G4514" s="3">
        <v>2434.36</v>
      </c>
      <c r="H4514" s="3">
        <v>316.47000000000003</v>
      </c>
      <c r="I4514" s="3">
        <f>SUM(Tabla1[[#This Row],[Monto_Base]],H4514)</f>
        <v>2750.83</v>
      </c>
      <c r="J4514" t="s">
        <v>5044</v>
      </c>
      <c r="K4514" t="s">
        <v>5049</v>
      </c>
      <c r="L4514" t="s">
        <v>5050</v>
      </c>
      <c r="M4514" t="s">
        <v>5055</v>
      </c>
    </row>
    <row r="4515" spans="1:13" x14ac:dyDescent="0.3">
      <c r="A4515" s="1">
        <v>45400</v>
      </c>
      <c r="B4515" s="1" t="str">
        <f>TEXT(Tabla1[[#This Row],[Fecha]],"MMMM")</f>
        <v>abril</v>
      </c>
      <c r="C4515" t="s">
        <v>4525</v>
      </c>
      <c r="D4515" t="s">
        <v>5022</v>
      </c>
      <c r="E4515" t="s">
        <v>5033</v>
      </c>
      <c r="F4515" t="s">
        <v>5035</v>
      </c>
      <c r="G4515" s="3">
        <v>2010.62</v>
      </c>
      <c r="H4515" s="3">
        <v>261.38</v>
      </c>
      <c r="I4515" s="3">
        <f>SUM(Tabla1[[#This Row],[Monto_Base]],H4515)</f>
        <v>2272</v>
      </c>
      <c r="J4515" t="s">
        <v>5045</v>
      </c>
      <c r="K4515" t="s">
        <v>5047</v>
      </c>
      <c r="L4515" t="s">
        <v>5053</v>
      </c>
      <c r="M4515" t="s">
        <v>5055</v>
      </c>
    </row>
    <row r="4516" spans="1:13" x14ac:dyDescent="0.3">
      <c r="A4516" s="1">
        <v>45417</v>
      </c>
      <c r="B4516" s="1" t="str">
        <f>TEXT(Tabla1[[#This Row],[Fecha]],"MMMM")</f>
        <v>mayo</v>
      </c>
      <c r="C4516" t="s">
        <v>4526</v>
      </c>
      <c r="D4516" t="s">
        <v>5018</v>
      </c>
      <c r="E4516" t="s">
        <v>5033</v>
      </c>
      <c r="F4516" t="s">
        <v>5038</v>
      </c>
      <c r="G4516" s="3">
        <v>2707.12</v>
      </c>
      <c r="H4516" s="3">
        <v>351.93</v>
      </c>
      <c r="I4516" s="3">
        <f>SUM(Tabla1[[#This Row],[Monto_Base]],H4516)</f>
        <v>3059.0499999999997</v>
      </c>
      <c r="J4516" t="s">
        <v>5046</v>
      </c>
      <c r="K4516" t="s">
        <v>5048</v>
      </c>
      <c r="L4516" t="s">
        <v>5051</v>
      </c>
      <c r="M4516" t="s">
        <v>5054</v>
      </c>
    </row>
    <row r="4517" spans="1:13" x14ac:dyDescent="0.3">
      <c r="A4517" s="1">
        <v>45403</v>
      </c>
      <c r="B4517" s="1" t="str">
        <f>TEXT(Tabla1[[#This Row],[Fecha]],"MMMM")</f>
        <v>abril</v>
      </c>
      <c r="C4517" t="s">
        <v>4527</v>
      </c>
      <c r="D4517" t="s">
        <v>5023</v>
      </c>
      <c r="E4517" t="s">
        <v>5032</v>
      </c>
      <c r="F4517" t="s">
        <v>5039</v>
      </c>
      <c r="G4517" s="3">
        <v>411.43</v>
      </c>
      <c r="H4517" s="3">
        <v>0</v>
      </c>
      <c r="I4517" s="3">
        <f>SUM(Tabla1[[#This Row],[Monto_Base]],H4517)</f>
        <v>411.43</v>
      </c>
      <c r="J4517" t="s">
        <v>5045</v>
      </c>
      <c r="K4517" t="s">
        <v>5048</v>
      </c>
      <c r="L4517" t="s">
        <v>5053</v>
      </c>
      <c r="M4517" t="s">
        <v>5055</v>
      </c>
    </row>
    <row r="4518" spans="1:13" x14ac:dyDescent="0.3">
      <c r="A4518" s="1">
        <v>45337</v>
      </c>
      <c r="B4518" s="1" t="str">
        <f>TEXT(Tabla1[[#This Row],[Fecha]],"MMMM")</f>
        <v>febrero</v>
      </c>
      <c r="C4518" t="s">
        <v>4528</v>
      </c>
      <c r="D4518" t="s">
        <v>5028</v>
      </c>
      <c r="E4518" t="s">
        <v>5032</v>
      </c>
      <c r="F4518" t="s">
        <v>5039</v>
      </c>
      <c r="G4518" s="3">
        <v>13158.42</v>
      </c>
      <c r="H4518" s="3">
        <v>0</v>
      </c>
      <c r="I4518" s="3">
        <f>SUM(Tabla1[[#This Row],[Monto_Base]],H4518)</f>
        <v>13158.42</v>
      </c>
      <c r="J4518" t="s">
        <v>5042</v>
      </c>
      <c r="K4518" t="s">
        <v>5049</v>
      </c>
      <c r="L4518" t="s">
        <v>5053</v>
      </c>
      <c r="M4518" t="s">
        <v>5054</v>
      </c>
    </row>
    <row r="4519" spans="1:13" x14ac:dyDescent="0.3">
      <c r="A4519" s="1">
        <v>45327</v>
      </c>
      <c r="B4519" s="1" t="str">
        <f>TEXT(Tabla1[[#This Row],[Fecha]],"MMMM")</f>
        <v>febrero</v>
      </c>
      <c r="C4519" t="s">
        <v>4529</v>
      </c>
      <c r="D4519" t="s">
        <v>5024</v>
      </c>
      <c r="E4519" t="s">
        <v>5033</v>
      </c>
      <c r="F4519" t="s">
        <v>5035</v>
      </c>
      <c r="G4519" s="3">
        <v>328.11</v>
      </c>
      <c r="H4519" s="3">
        <v>42.65</v>
      </c>
      <c r="I4519" s="3">
        <f>SUM(Tabla1[[#This Row],[Monto_Base]],H4519)</f>
        <v>370.76</v>
      </c>
      <c r="J4519" t="s">
        <v>5043</v>
      </c>
      <c r="K4519" t="s">
        <v>5049</v>
      </c>
      <c r="L4519" t="s">
        <v>5052</v>
      </c>
      <c r="M4519" t="s">
        <v>5055</v>
      </c>
    </row>
    <row r="4520" spans="1:13" x14ac:dyDescent="0.3">
      <c r="A4520" s="1">
        <v>45570</v>
      </c>
      <c r="B4520" s="1" t="str">
        <f>TEXT(Tabla1[[#This Row],[Fecha]],"MMMM")</f>
        <v>octubre</v>
      </c>
      <c r="C4520" t="s">
        <v>4530</v>
      </c>
      <c r="D4520" t="s">
        <v>5017</v>
      </c>
      <c r="E4520" t="s">
        <v>5032</v>
      </c>
      <c r="F4520" t="s">
        <v>5039</v>
      </c>
      <c r="G4520" s="3">
        <v>2383.71</v>
      </c>
      <c r="H4520" s="3">
        <v>0</v>
      </c>
      <c r="I4520" s="3">
        <f>SUM(Tabla1[[#This Row],[Monto_Base]],H4520)</f>
        <v>2383.71</v>
      </c>
      <c r="J4520" t="s">
        <v>5045</v>
      </c>
      <c r="K4520" t="s">
        <v>5047</v>
      </c>
      <c r="L4520" t="s">
        <v>5052</v>
      </c>
      <c r="M4520" t="s">
        <v>5055</v>
      </c>
    </row>
    <row r="4521" spans="1:13" x14ac:dyDescent="0.3">
      <c r="A4521" s="1">
        <v>45451</v>
      </c>
      <c r="B4521" s="1" t="str">
        <f>TEXT(Tabla1[[#This Row],[Fecha]],"MMMM")</f>
        <v>junio</v>
      </c>
      <c r="C4521" t="s">
        <v>4531</v>
      </c>
      <c r="D4521" t="s">
        <v>5026</v>
      </c>
      <c r="E4521" t="s">
        <v>5033</v>
      </c>
      <c r="F4521" t="s">
        <v>5036</v>
      </c>
      <c r="G4521" s="3">
        <v>12496.18</v>
      </c>
      <c r="H4521" s="3">
        <v>1624.5</v>
      </c>
      <c r="I4521" s="3">
        <f>SUM(Tabla1[[#This Row],[Monto_Base]],H4521)</f>
        <v>14120.68</v>
      </c>
      <c r="J4521" t="s">
        <v>5045</v>
      </c>
      <c r="K4521" t="s">
        <v>5047</v>
      </c>
      <c r="L4521" t="s">
        <v>5051</v>
      </c>
      <c r="M4521" t="s">
        <v>5055</v>
      </c>
    </row>
    <row r="4522" spans="1:13" x14ac:dyDescent="0.3">
      <c r="A4522" s="1">
        <v>45530</v>
      </c>
      <c r="B4522" s="1" t="str">
        <f>TEXT(Tabla1[[#This Row],[Fecha]],"MMMM")</f>
        <v>agosto</v>
      </c>
      <c r="C4522" t="s">
        <v>4532</v>
      </c>
      <c r="D4522" t="s">
        <v>5030</v>
      </c>
      <c r="E4522" t="s">
        <v>5033</v>
      </c>
      <c r="F4522" t="s">
        <v>5037</v>
      </c>
      <c r="G4522" s="3">
        <v>586.03</v>
      </c>
      <c r="H4522" s="3">
        <v>76.180000000000007</v>
      </c>
      <c r="I4522" s="3">
        <f>SUM(Tabla1[[#This Row],[Monto_Base]],H4522)</f>
        <v>662.21</v>
      </c>
      <c r="J4522" t="s">
        <v>5043</v>
      </c>
      <c r="K4522" t="s">
        <v>5047</v>
      </c>
      <c r="L4522" t="s">
        <v>5050</v>
      </c>
      <c r="M4522" t="s">
        <v>5054</v>
      </c>
    </row>
    <row r="4523" spans="1:13" x14ac:dyDescent="0.3">
      <c r="A4523" s="1">
        <v>45584</v>
      </c>
      <c r="B4523" s="1" t="str">
        <f>TEXT(Tabla1[[#This Row],[Fecha]],"MMMM")</f>
        <v>octubre</v>
      </c>
      <c r="C4523" t="s">
        <v>4533</v>
      </c>
      <c r="D4523" t="s">
        <v>5021</v>
      </c>
      <c r="E4523" t="s">
        <v>5032</v>
      </c>
      <c r="F4523" t="s">
        <v>5035</v>
      </c>
      <c r="G4523" s="3">
        <v>10456.82</v>
      </c>
      <c r="H4523" s="3">
        <v>0</v>
      </c>
      <c r="I4523" s="3">
        <f>SUM(Tabla1[[#This Row],[Monto_Base]],H4523)</f>
        <v>10456.82</v>
      </c>
      <c r="J4523" t="s">
        <v>5042</v>
      </c>
      <c r="K4523" t="s">
        <v>5047</v>
      </c>
      <c r="L4523" t="s">
        <v>5050</v>
      </c>
      <c r="M4523" t="s">
        <v>5054</v>
      </c>
    </row>
    <row r="4524" spans="1:13" x14ac:dyDescent="0.3">
      <c r="A4524" s="1">
        <v>45349</v>
      </c>
      <c r="B4524" s="1" t="str">
        <f>TEXT(Tabla1[[#This Row],[Fecha]],"MMMM")</f>
        <v>febrero</v>
      </c>
      <c r="C4524" t="s">
        <v>4534</v>
      </c>
      <c r="D4524" t="s">
        <v>5024</v>
      </c>
      <c r="E4524" t="s">
        <v>5033</v>
      </c>
      <c r="F4524" t="s">
        <v>5034</v>
      </c>
      <c r="G4524" s="3">
        <v>5468.18</v>
      </c>
      <c r="H4524" s="3">
        <v>710.86</v>
      </c>
      <c r="I4524" s="3">
        <f>SUM(Tabla1[[#This Row],[Monto_Base]],H4524)</f>
        <v>6179.04</v>
      </c>
      <c r="J4524" t="s">
        <v>5043</v>
      </c>
      <c r="K4524" t="s">
        <v>5049</v>
      </c>
      <c r="L4524" t="s">
        <v>5052</v>
      </c>
      <c r="M4524" t="s">
        <v>5055</v>
      </c>
    </row>
    <row r="4525" spans="1:13" x14ac:dyDescent="0.3">
      <c r="A4525" s="1">
        <v>45587</v>
      </c>
      <c r="B4525" s="1" t="str">
        <f>TEXT(Tabla1[[#This Row],[Fecha]],"MMMM")</f>
        <v>octubre</v>
      </c>
      <c r="C4525" t="s">
        <v>4535</v>
      </c>
      <c r="D4525" t="s">
        <v>5015</v>
      </c>
      <c r="E4525" t="s">
        <v>5033</v>
      </c>
      <c r="F4525" t="s">
        <v>5035</v>
      </c>
      <c r="G4525" s="3">
        <v>4719.0200000000004</v>
      </c>
      <c r="H4525" s="3">
        <v>613.47</v>
      </c>
      <c r="I4525" s="3">
        <f>SUM(Tabla1[[#This Row],[Monto_Base]],H4525)</f>
        <v>5332.4900000000007</v>
      </c>
      <c r="J4525" t="s">
        <v>5044</v>
      </c>
      <c r="K4525" t="s">
        <v>5048</v>
      </c>
      <c r="L4525" t="s">
        <v>5053</v>
      </c>
      <c r="M4525" t="s">
        <v>5055</v>
      </c>
    </row>
    <row r="4526" spans="1:13" x14ac:dyDescent="0.3">
      <c r="A4526" s="1">
        <v>45465</v>
      </c>
      <c r="B4526" s="1" t="str">
        <f>TEXT(Tabla1[[#This Row],[Fecha]],"MMMM")</f>
        <v>junio</v>
      </c>
      <c r="C4526" t="s">
        <v>4536</v>
      </c>
      <c r="D4526" t="s">
        <v>5012</v>
      </c>
      <c r="E4526" t="s">
        <v>5032</v>
      </c>
      <c r="F4526" t="s">
        <v>5036</v>
      </c>
      <c r="G4526" s="3">
        <v>12161.53</v>
      </c>
      <c r="H4526" s="3">
        <v>0</v>
      </c>
      <c r="I4526" s="3">
        <f>SUM(Tabla1[[#This Row],[Monto_Base]],H4526)</f>
        <v>12161.53</v>
      </c>
      <c r="J4526" t="s">
        <v>5045</v>
      </c>
      <c r="K4526" t="s">
        <v>5047</v>
      </c>
      <c r="L4526" t="s">
        <v>5052</v>
      </c>
      <c r="M4526" t="s">
        <v>5054</v>
      </c>
    </row>
    <row r="4527" spans="1:13" x14ac:dyDescent="0.3">
      <c r="A4527" s="1">
        <v>45592</v>
      </c>
      <c r="B4527" s="1" t="str">
        <f>TEXT(Tabla1[[#This Row],[Fecha]],"MMMM")</f>
        <v>octubre</v>
      </c>
      <c r="C4527" t="s">
        <v>4537</v>
      </c>
      <c r="D4527" t="s">
        <v>5031</v>
      </c>
      <c r="E4527" t="s">
        <v>5032</v>
      </c>
      <c r="F4527" t="s">
        <v>5041</v>
      </c>
      <c r="G4527" s="3">
        <v>3085.07</v>
      </c>
      <c r="H4527" s="3">
        <v>0</v>
      </c>
      <c r="I4527" s="3">
        <f>SUM(Tabla1[[#This Row],[Monto_Base]],H4527)</f>
        <v>3085.07</v>
      </c>
      <c r="J4527" t="s">
        <v>5046</v>
      </c>
      <c r="K4527" t="s">
        <v>5048</v>
      </c>
      <c r="L4527" t="s">
        <v>5053</v>
      </c>
      <c r="M4527" t="s">
        <v>5055</v>
      </c>
    </row>
    <row r="4528" spans="1:13" x14ac:dyDescent="0.3">
      <c r="A4528" s="1">
        <v>45640</v>
      </c>
      <c r="B4528" s="1" t="str">
        <f>TEXT(Tabla1[[#This Row],[Fecha]],"MMMM")</f>
        <v>diciembre</v>
      </c>
      <c r="C4528" t="s">
        <v>4538</v>
      </c>
      <c r="D4528" t="s">
        <v>5030</v>
      </c>
      <c r="E4528" t="s">
        <v>5033</v>
      </c>
      <c r="F4528" t="s">
        <v>5040</v>
      </c>
      <c r="G4528" s="3">
        <v>8527.59</v>
      </c>
      <c r="H4528" s="3">
        <v>1108.5899999999999</v>
      </c>
      <c r="I4528" s="3">
        <f>SUM(Tabla1[[#This Row],[Monto_Base]],H4528)</f>
        <v>9636.18</v>
      </c>
      <c r="J4528" t="s">
        <v>5043</v>
      </c>
      <c r="K4528" t="s">
        <v>5048</v>
      </c>
      <c r="L4528" t="s">
        <v>5051</v>
      </c>
      <c r="M4528" t="s">
        <v>5054</v>
      </c>
    </row>
    <row r="4529" spans="1:13" x14ac:dyDescent="0.3">
      <c r="A4529" s="1">
        <v>45407</v>
      </c>
      <c r="B4529" s="1" t="str">
        <f>TEXT(Tabla1[[#This Row],[Fecha]],"MMMM")</f>
        <v>abril</v>
      </c>
      <c r="C4529" t="s">
        <v>4539</v>
      </c>
      <c r="D4529" t="s">
        <v>5031</v>
      </c>
      <c r="E4529" t="s">
        <v>5033</v>
      </c>
      <c r="F4529" t="s">
        <v>5034</v>
      </c>
      <c r="G4529" s="3">
        <v>11940.59</v>
      </c>
      <c r="H4529" s="3">
        <v>1552.28</v>
      </c>
      <c r="I4529" s="3">
        <f>SUM(Tabla1[[#This Row],[Monto_Base]],H4529)</f>
        <v>13492.87</v>
      </c>
      <c r="J4529" t="s">
        <v>5042</v>
      </c>
      <c r="K4529" t="s">
        <v>5048</v>
      </c>
      <c r="L4529" t="s">
        <v>5050</v>
      </c>
      <c r="M4529" t="s">
        <v>5055</v>
      </c>
    </row>
    <row r="4530" spans="1:13" x14ac:dyDescent="0.3">
      <c r="A4530" s="1">
        <v>45301</v>
      </c>
      <c r="B4530" s="1" t="str">
        <f>TEXT(Tabla1[[#This Row],[Fecha]],"MMMM")</f>
        <v>enero</v>
      </c>
      <c r="C4530" t="s">
        <v>4540</v>
      </c>
      <c r="D4530" t="s">
        <v>5017</v>
      </c>
      <c r="E4530" t="s">
        <v>5033</v>
      </c>
      <c r="F4530" t="s">
        <v>5040</v>
      </c>
      <c r="G4530" s="3">
        <v>13110.21</v>
      </c>
      <c r="H4530" s="3">
        <v>1704.33</v>
      </c>
      <c r="I4530" s="3">
        <f>SUM(Tabla1[[#This Row],[Monto_Base]],H4530)</f>
        <v>14814.539999999999</v>
      </c>
      <c r="J4530" t="s">
        <v>5045</v>
      </c>
      <c r="K4530" t="s">
        <v>5047</v>
      </c>
      <c r="L4530" t="s">
        <v>5051</v>
      </c>
      <c r="M4530" t="s">
        <v>5054</v>
      </c>
    </row>
    <row r="4531" spans="1:13" x14ac:dyDescent="0.3">
      <c r="A4531" s="1">
        <v>45339</v>
      </c>
      <c r="B4531" s="1" t="str">
        <f>TEXT(Tabla1[[#This Row],[Fecha]],"MMMM")</f>
        <v>febrero</v>
      </c>
      <c r="C4531" t="s">
        <v>4541</v>
      </c>
      <c r="D4531" t="s">
        <v>5028</v>
      </c>
      <c r="E4531" t="s">
        <v>5032</v>
      </c>
      <c r="F4531" t="s">
        <v>5041</v>
      </c>
      <c r="G4531" s="3">
        <v>5440.67</v>
      </c>
      <c r="H4531" s="3">
        <v>0</v>
      </c>
      <c r="I4531" s="3">
        <f>SUM(Tabla1[[#This Row],[Monto_Base]],H4531)</f>
        <v>5440.67</v>
      </c>
      <c r="J4531" t="s">
        <v>5044</v>
      </c>
      <c r="K4531" t="s">
        <v>5048</v>
      </c>
      <c r="L4531" t="s">
        <v>5052</v>
      </c>
      <c r="M4531" t="s">
        <v>5054</v>
      </c>
    </row>
    <row r="4532" spans="1:13" x14ac:dyDescent="0.3">
      <c r="A4532" s="1">
        <v>45301</v>
      </c>
      <c r="B4532" s="1" t="str">
        <f>TEXT(Tabla1[[#This Row],[Fecha]],"MMMM")</f>
        <v>enero</v>
      </c>
      <c r="C4532" t="s">
        <v>4542</v>
      </c>
      <c r="D4532" t="s">
        <v>5019</v>
      </c>
      <c r="E4532" t="s">
        <v>5032</v>
      </c>
      <c r="F4532" t="s">
        <v>5035</v>
      </c>
      <c r="G4532" s="3">
        <v>14478.07</v>
      </c>
      <c r="H4532" s="3">
        <v>0</v>
      </c>
      <c r="I4532" s="3">
        <f>SUM(Tabla1[[#This Row],[Monto_Base]],H4532)</f>
        <v>14478.07</v>
      </c>
      <c r="J4532" t="s">
        <v>5046</v>
      </c>
      <c r="K4532" t="s">
        <v>5049</v>
      </c>
      <c r="L4532" t="s">
        <v>5051</v>
      </c>
      <c r="M4532" t="s">
        <v>5055</v>
      </c>
    </row>
    <row r="4533" spans="1:13" x14ac:dyDescent="0.3">
      <c r="A4533" s="1">
        <v>45439</v>
      </c>
      <c r="B4533" s="1" t="str">
        <f>TEXT(Tabla1[[#This Row],[Fecha]],"MMMM")</f>
        <v>mayo</v>
      </c>
      <c r="C4533" t="s">
        <v>4543</v>
      </c>
      <c r="D4533" t="s">
        <v>5016</v>
      </c>
      <c r="E4533" t="s">
        <v>5032</v>
      </c>
      <c r="F4533" t="s">
        <v>5037</v>
      </c>
      <c r="G4533" s="3">
        <v>12912.2</v>
      </c>
      <c r="H4533" s="3">
        <v>0</v>
      </c>
      <c r="I4533" s="3">
        <f>SUM(Tabla1[[#This Row],[Monto_Base]],H4533)</f>
        <v>12912.2</v>
      </c>
      <c r="J4533" t="s">
        <v>5046</v>
      </c>
      <c r="K4533" t="s">
        <v>5047</v>
      </c>
      <c r="L4533" t="s">
        <v>5053</v>
      </c>
      <c r="M4533" t="s">
        <v>5054</v>
      </c>
    </row>
    <row r="4534" spans="1:13" x14ac:dyDescent="0.3">
      <c r="A4534" s="1">
        <v>45484</v>
      </c>
      <c r="B4534" s="1" t="str">
        <f>TEXT(Tabla1[[#This Row],[Fecha]],"MMMM")</f>
        <v>julio</v>
      </c>
      <c r="C4534" t="s">
        <v>4544</v>
      </c>
      <c r="D4534" t="s">
        <v>5026</v>
      </c>
      <c r="E4534" t="s">
        <v>5033</v>
      </c>
      <c r="F4534" t="s">
        <v>5039</v>
      </c>
      <c r="G4534" s="3">
        <v>82.75</v>
      </c>
      <c r="H4534" s="3">
        <v>10.76</v>
      </c>
      <c r="I4534" s="3">
        <f>SUM(Tabla1[[#This Row],[Monto_Base]],H4534)</f>
        <v>93.51</v>
      </c>
      <c r="J4534" t="s">
        <v>5044</v>
      </c>
      <c r="K4534" t="s">
        <v>5047</v>
      </c>
      <c r="L4534" t="s">
        <v>5053</v>
      </c>
      <c r="M4534" t="s">
        <v>5055</v>
      </c>
    </row>
    <row r="4535" spans="1:13" x14ac:dyDescent="0.3">
      <c r="A4535" s="1">
        <v>45308</v>
      </c>
      <c r="B4535" s="1" t="str">
        <f>TEXT(Tabla1[[#This Row],[Fecha]],"MMMM")</f>
        <v>enero</v>
      </c>
      <c r="C4535" t="s">
        <v>4545</v>
      </c>
      <c r="D4535" t="s">
        <v>5031</v>
      </c>
      <c r="E4535" t="s">
        <v>5033</v>
      </c>
      <c r="F4535" t="s">
        <v>5041</v>
      </c>
      <c r="G4535" s="3">
        <v>11496.27</v>
      </c>
      <c r="H4535" s="3">
        <v>1494.52</v>
      </c>
      <c r="I4535" s="3">
        <f>SUM(Tabla1[[#This Row],[Monto_Base]],H4535)</f>
        <v>12990.79</v>
      </c>
      <c r="J4535" t="s">
        <v>5043</v>
      </c>
      <c r="K4535" t="s">
        <v>5048</v>
      </c>
      <c r="L4535" t="s">
        <v>5053</v>
      </c>
      <c r="M4535" t="s">
        <v>5054</v>
      </c>
    </row>
    <row r="4536" spans="1:13" x14ac:dyDescent="0.3">
      <c r="A4536" s="1">
        <v>45435</v>
      </c>
      <c r="B4536" s="1" t="str">
        <f>TEXT(Tabla1[[#This Row],[Fecha]],"MMMM")</f>
        <v>mayo</v>
      </c>
      <c r="C4536" t="s">
        <v>4546</v>
      </c>
      <c r="D4536" t="s">
        <v>5025</v>
      </c>
      <c r="E4536" t="s">
        <v>5032</v>
      </c>
      <c r="F4536" t="s">
        <v>5040</v>
      </c>
      <c r="G4536" s="3">
        <v>12046.08</v>
      </c>
      <c r="H4536" s="3">
        <v>0</v>
      </c>
      <c r="I4536" s="3">
        <f>SUM(Tabla1[[#This Row],[Monto_Base]],H4536)</f>
        <v>12046.08</v>
      </c>
      <c r="J4536" t="s">
        <v>5043</v>
      </c>
      <c r="K4536" t="s">
        <v>5047</v>
      </c>
      <c r="L4536" t="s">
        <v>5050</v>
      </c>
      <c r="M4536" t="s">
        <v>5054</v>
      </c>
    </row>
    <row r="4537" spans="1:13" x14ac:dyDescent="0.3">
      <c r="A4537" s="1">
        <v>45637</v>
      </c>
      <c r="B4537" s="1" t="str">
        <f>TEXT(Tabla1[[#This Row],[Fecha]],"MMMM")</f>
        <v>diciembre</v>
      </c>
      <c r="C4537" t="s">
        <v>4547</v>
      </c>
      <c r="D4537" t="s">
        <v>5023</v>
      </c>
      <c r="E4537" t="s">
        <v>5032</v>
      </c>
      <c r="F4537" t="s">
        <v>5034</v>
      </c>
      <c r="G4537" s="3">
        <v>11013.86</v>
      </c>
      <c r="H4537" s="3">
        <v>0</v>
      </c>
      <c r="I4537" s="3">
        <f>SUM(Tabla1[[#This Row],[Monto_Base]],H4537)</f>
        <v>11013.86</v>
      </c>
      <c r="J4537" t="s">
        <v>5043</v>
      </c>
      <c r="K4537" t="s">
        <v>5048</v>
      </c>
      <c r="L4537" t="s">
        <v>5050</v>
      </c>
      <c r="M4537" t="s">
        <v>5055</v>
      </c>
    </row>
    <row r="4538" spans="1:13" x14ac:dyDescent="0.3">
      <c r="A4538" s="1">
        <v>45576</v>
      </c>
      <c r="B4538" s="1" t="str">
        <f>TEXT(Tabla1[[#This Row],[Fecha]],"MMMM")</f>
        <v>octubre</v>
      </c>
      <c r="C4538" t="s">
        <v>4548</v>
      </c>
      <c r="D4538" t="s">
        <v>5012</v>
      </c>
      <c r="E4538" t="s">
        <v>5033</v>
      </c>
      <c r="F4538" t="s">
        <v>5035</v>
      </c>
      <c r="G4538" s="3">
        <v>3893.52</v>
      </c>
      <c r="H4538" s="3">
        <v>506.16</v>
      </c>
      <c r="I4538" s="3">
        <f>SUM(Tabla1[[#This Row],[Monto_Base]],H4538)</f>
        <v>4399.68</v>
      </c>
      <c r="J4538" t="s">
        <v>5043</v>
      </c>
      <c r="K4538" t="s">
        <v>5047</v>
      </c>
      <c r="L4538" t="s">
        <v>5053</v>
      </c>
      <c r="M4538" t="s">
        <v>5054</v>
      </c>
    </row>
    <row r="4539" spans="1:13" x14ac:dyDescent="0.3">
      <c r="A4539" s="1">
        <v>45443</v>
      </c>
      <c r="B4539" s="1" t="str">
        <f>TEXT(Tabla1[[#This Row],[Fecha]],"MMMM")</f>
        <v>mayo</v>
      </c>
      <c r="C4539" t="s">
        <v>4549</v>
      </c>
      <c r="D4539" t="s">
        <v>5020</v>
      </c>
      <c r="E4539" t="s">
        <v>5033</v>
      </c>
      <c r="F4539" t="s">
        <v>5038</v>
      </c>
      <c r="G4539" s="3">
        <v>7343.9</v>
      </c>
      <c r="H4539" s="3">
        <v>954.71</v>
      </c>
      <c r="I4539" s="3">
        <f>SUM(Tabla1[[#This Row],[Monto_Base]],H4539)</f>
        <v>8298.61</v>
      </c>
      <c r="J4539" t="s">
        <v>5045</v>
      </c>
      <c r="K4539" t="s">
        <v>5048</v>
      </c>
      <c r="L4539" t="s">
        <v>5051</v>
      </c>
      <c r="M4539" t="s">
        <v>5054</v>
      </c>
    </row>
    <row r="4540" spans="1:13" x14ac:dyDescent="0.3">
      <c r="A4540" s="1">
        <v>45324</v>
      </c>
      <c r="B4540" s="1" t="str">
        <f>TEXT(Tabla1[[#This Row],[Fecha]],"MMMM")</f>
        <v>febrero</v>
      </c>
      <c r="C4540" t="s">
        <v>4550</v>
      </c>
      <c r="D4540" t="s">
        <v>5030</v>
      </c>
      <c r="E4540" t="s">
        <v>5032</v>
      </c>
      <c r="F4540" t="s">
        <v>5038</v>
      </c>
      <c r="G4540" s="3">
        <v>5089.88</v>
      </c>
      <c r="H4540" s="3">
        <v>0</v>
      </c>
      <c r="I4540" s="3">
        <f>SUM(Tabla1[[#This Row],[Monto_Base]],H4540)</f>
        <v>5089.88</v>
      </c>
      <c r="J4540" t="s">
        <v>5044</v>
      </c>
      <c r="K4540" t="s">
        <v>5048</v>
      </c>
      <c r="L4540" t="s">
        <v>5051</v>
      </c>
      <c r="M4540" t="s">
        <v>5055</v>
      </c>
    </row>
    <row r="4541" spans="1:13" x14ac:dyDescent="0.3">
      <c r="A4541" s="1">
        <v>45608</v>
      </c>
      <c r="B4541" s="1" t="str">
        <f>TEXT(Tabla1[[#This Row],[Fecha]],"MMMM")</f>
        <v>noviembre</v>
      </c>
      <c r="C4541" t="s">
        <v>4551</v>
      </c>
      <c r="D4541" t="s">
        <v>5023</v>
      </c>
      <c r="E4541" t="s">
        <v>5033</v>
      </c>
      <c r="F4541" t="s">
        <v>5035</v>
      </c>
      <c r="G4541" s="3">
        <v>2219.9499999999998</v>
      </c>
      <c r="H4541" s="3">
        <v>288.58999999999997</v>
      </c>
      <c r="I4541" s="3">
        <f>SUM(Tabla1[[#This Row],[Monto_Base]],H4541)</f>
        <v>2508.54</v>
      </c>
      <c r="J4541" t="s">
        <v>5045</v>
      </c>
      <c r="K4541" t="s">
        <v>5048</v>
      </c>
      <c r="L4541" t="s">
        <v>5051</v>
      </c>
      <c r="M4541" t="s">
        <v>5055</v>
      </c>
    </row>
    <row r="4542" spans="1:13" x14ac:dyDescent="0.3">
      <c r="A4542" s="1">
        <v>45422</v>
      </c>
      <c r="B4542" s="1" t="str">
        <f>TEXT(Tabla1[[#This Row],[Fecha]],"MMMM")</f>
        <v>mayo</v>
      </c>
      <c r="C4542" t="s">
        <v>4552</v>
      </c>
      <c r="D4542" t="s">
        <v>5024</v>
      </c>
      <c r="E4542" t="s">
        <v>5032</v>
      </c>
      <c r="F4542" t="s">
        <v>5037</v>
      </c>
      <c r="G4542" s="3">
        <v>13673.51</v>
      </c>
      <c r="H4542" s="3">
        <v>0</v>
      </c>
      <c r="I4542" s="3">
        <f>SUM(Tabla1[[#This Row],[Monto_Base]],H4542)</f>
        <v>13673.51</v>
      </c>
      <c r="J4542" t="s">
        <v>5046</v>
      </c>
      <c r="K4542" t="s">
        <v>5048</v>
      </c>
      <c r="L4542" t="s">
        <v>5052</v>
      </c>
      <c r="M4542" t="s">
        <v>5055</v>
      </c>
    </row>
    <row r="4543" spans="1:13" x14ac:dyDescent="0.3">
      <c r="A4543" s="1">
        <v>45604</v>
      </c>
      <c r="B4543" s="1" t="str">
        <f>TEXT(Tabla1[[#This Row],[Fecha]],"MMMM")</f>
        <v>noviembre</v>
      </c>
      <c r="C4543" t="s">
        <v>4553</v>
      </c>
      <c r="D4543" t="s">
        <v>5027</v>
      </c>
      <c r="E4543" t="s">
        <v>5033</v>
      </c>
      <c r="F4543" t="s">
        <v>5035</v>
      </c>
      <c r="G4543" s="3">
        <v>14311.33</v>
      </c>
      <c r="H4543" s="3">
        <v>1860.47</v>
      </c>
      <c r="I4543" s="3">
        <f>SUM(Tabla1[[#This Row],[Monto_Base]],H4543)</f>
        <v>16171.8</v>
      </c>
      <c r="J4543" t="s">
        <v>5045</v>
      </c>
      <c r="K4543" t="s">
        <v>5049</v>
      </c>
      <c r="L4543" t="s">
        <v>5052</v>
      </c>
      <c r="M4543" t="s">
        <v>5055</v>
      </c>
    </row>
    <row r="4544" spans="1:13" x14ac:dyDescent="0.3">
      <c r="A4544" s="1">
        <v>45632</v>
      </c>
      <c r="B4544" s="1" t="str">
        <f>TEXT(Tabla1[[#This Row],[Fecha]],"MMMM")</f>
        <v>diciembre</v>
      </c>
      <c r="C4544" t="s">
        <v>4554</v>
      </c>
      <c r="D4544" t="s">
        <v>5022</v>
      </c>
      <c r="E4544" t="s">
        <v>5033</v>
      </c>
      <c r="F4544" t="s">
        <v>5038</v>
      </c>
      <c r="G4544" s="3">
        <v>10661</v>
      </c>
      <c r="H4544" s="3">
        <v>1385.93</v>
      </c>
      <c r="I4544" s="3">
        <f>SUM(Tabla1[[#This Row],[Monto_Base]],H4544)</f>
        <v>12046.93</v>
      </c>
      <c r="J4544" t="s">
        <v>5044</v>
      </c>
      <c r="K4544" t="s">
        <v>5048</v>
      </c>
      <c r="L4544" t="s">
        <v>5053</v>
      </c>
      <c r="M4544" t="s">
        <v>5054</v>
      </c>
    </row>
    <row r="4545" spans="1:13" x14ac:dyDescent="0.3">
      <c r="A4545" s="1">
        <v>45543</v>
      </c>
      <c r="B4545" s="1" t="str">
        <f>TEXT(Tabla1[[#This Row],[Fecha]],"MMMM")</f>
        <v>septiembre</v>
      </c>
      <c r="C4545" t="s">
        <v>4555</v>
      </c>
      <c r="D4545" t="s">
        <v>5027</v>
      </c>
      <c r="E4545" t="s">
        <v>5033</v>
      </c>
      <c r="F4545" t="s">
        <v>5041</v>
      </c>
      <c r="G4545" s="3">
        <v>4469.24</v>
      </c>
      <c r="H4545" s="3">
        <v>581</v>
      </c>
      <c r="I4545" s="3">
        <f>SUM(Tabla1[[#This Row],[Monto_Base]],H4545)</f>
        <v>5050.24</v>
      </c>
      <c r="J4545" t="s">
        <v>5045</v>
      </c>
      <c r="K4545" t="s">
        <v>5048</v>
      </c>
      <c r="L4545" t="s">
        <v>5053</v>
      </c>
      <c r="M4545" t="s">
        <v>5054</v>
      </c>
    </row>
    <row r="4546" spans="1:13" x14ac:dyDescent="0.3">
      <c r="A4546" s="1">
        <v>45395</v>
      </c>
      <c r="B4546" s="1" t="str">
        <f>TEXT(Tabla1[[#This Row],[Fecha]],"MMMM")</f>
        <v>abril</v>
      </c>
      <c r="C4546" t="s">
        <v>4556</v>
      </c>
      <c r="D4546" t="s">
        <v>5015</v>
      </c>
      <c r="E4546" t="s">
        <v>5033</v>
      </c>
      <c r="F4546" t="s">
        <v>5040</v>
      </c>
      <c r="G4546" s="3">
        <v>4878.8500000000004</v>
      </c>
      <c r="H4546" s="3">
        <v>634.25</v>
      </c>
      <c r="I4546" s="3">
        <f>SUM(Tabla1[[#This Row],[Monto_Base]],H4546)</f>
        <v>5513.1</v>
      </c>
      <c r="J4546" t="s">
        <v>5045</v>
      </c>
      <c r="K4546" t="s">
        <v>5047</v>
      </c>
      <c r="L4546" t="s">
        <v>5051</v>
      </c>
      <c r="M4546" t="s">
        <v>5054</v>
      </c>
    </row>
    <row r="4547" spans="1:13" x14ac:dyDescent="0.3">
      <c r="A4547" s="1">
        <v>45586</v>
      </c>
      <c r="B4547" s="1" t="str">
        <f>TEXT(Tabla1[[#This Row],[Fecha]],"MMMM")</f>
        <v>octubre</v>
      </c>
      <c r="C4547" t="s">
        <v>4557</v>
      </c>
      <c r="D4547" t="s">
        <v>5019</v>
      </c>
      <c r="E4547" t="s">
        <v>5033</v>
      </c>
      <c r="F4547" t="s">
        <v>5039</v>
      </c>
      <c r="G4547" s="3">
        <v>8212.5400000000009</v>
      </c>
      <c r="H4547" s="3">
        <v>1067.6300000000001</v>
      </c>
      <c r="I4547" s="3">
        <f>SUM(Tabla1[[#This Row],[Monto_Base]],H4547)</f>
        <v>9280.1700000000019</v>
      </c>
      <c r="J4547" t="s">
        <v>5044</v>
      </c>
      <c r="K4547" t="s">
        <v>5048</v>
      </c>
      <c r="L4547" t="s">
        <v>5053</v>
      </c>
      <c r="M4547" t="s">
        <v>5055</v>
      </c>
    </row>
    <row r="4548" spans="1:13" x14ac:dyDescent="0.3">
      <c r="A4548" s="1">
        <v>45521</v>
      </c>
      <c r="B4548" s="1" t="str">
        <f>TEXT(Tabla1[[#This Row],[Fecha]],"MMMM")</f>
        <v>agosto</v>
      </c>
      <c r="C4548" t="s">
        <v>4558</v>
      </c>
      <c r="D4548" t="s">
        <v>5029</v>
      </c>
      <c r="E4548" t="s">
        <v>5033</v>
      </c>
      <c r="F4548" t="s">
        <v>5036</v>
      </c>
      <c r="G4548" s="3">
        <v>5856.1</v>
      </c>
      <c r="H4548" s="3">
        <v>761.29</v>
      </c>
      <c r="I4548" s="3">
        <f>SUM(Tabla1[[#This Row],[Monto_Base]],H4548)</f>
        <v>6617.39</v>
      </c>
      <c r="J4548" t="s">
        <v>5042</v>
      </c>
      <c r="K4548" t="s">
        <v>5047</v>
      </c>
      <c r="L4548" t="s">
        <v>5051</v>
      </c>
      <c r="M4548" t="s">
        <v>5055</v>
      </c>
    </row>
    <row r="4549" spans="1:13" x14ac:dyDescent="0.3">
      <c r="A4549" s="1">
        <v>45396</v>
      </c>
      <c r="B4549" s="1" t="str">
        <f>TEXT(Tabla1[[#This Row],[Fecha]],"MMMM")</f>
        <v>abril</v>
      </c>
      <c r="C4549" t="s">
        <v>4559</v>
      </c>
      <c r="D4549" t="s">
        <v>5023</v>
      </c>
      <c r="E4549" t="s">
        <v>5033</v>
      </c>
      <c r="F4549" t="s">
        <v>5041</v>
      </c>
      <c r="G4549" s="3">
        <v>2859.53</v>
      </c>
      <c r="H4549" s="3">
        <v>371.74</v>
      </c>
      <c r="I4549" s="3">
        <f>SUM(Tabla1[[#This Row],[Monto_Base]],H4549)</f>
        <v>3231.2700000000004</v>
      </c>
      <c r="J4549" t="s">
        <v>5046</v>
      </c>
      <c r="K4549" t="s">
        <v>5049</v>
      </c>
      <c r="L4549" t="s">
        <v>5050</v>
      </c>
      <c r="M4549" t="s">
        <v>5054</v>
      </c>
    </row>
    <row r="4550" spans="1:13" x14ac:dyDescent="0.3">
      <c r="A4550" s="1">
        <v>45473</v>
      </c>
      <c r="B4550" s="1" t="str">
        <f>TEXT(Tabla1[[#This Row],[Fecha]],"MMMM")</f>
        <v>junio</v>
      </c>
      <c r="C4550" t="s">
        <v>4560</v>
      </c>
      <c r="D4550" t="s">
        <v>5023</v>
      </c>
      <c r="E4550" t="s">
        <v>5033</v>
      </c>
      <c r="F4550" t="s">
        <v>5037</v>
      </c>
      <c r="G4550" s="3">
        <v>9793.27</v>
      </c>
      <c r="H4550" s="3">
        <v>1273.1300000000001</v>
      </c>
      <c r="I4550" s="3">
        <f>SUM(Tabla1[[#This Row],[Monto_Base]],H4550)</f>
        <v>11066.400000000001</v>
      </c>
      <c r="J4550" t="s">
        <v>5043</v>
      </c>
      <c r="K4550" t="s">
        <v>5047</v>
      </c>
      <c r="L4550" t="s">
        <v>5052</v>
      </c>
      <c r="M4550" t="s">
        <v>5054</v>
      </c>
    </row>
    <row r="4551" spans="1:13" x14ac:dyDescent="0.3">
      <c r="A4551" s="1">
        <v>45537</v>
      </c>
      <c r="B4551" s="1" t="str">
        <f>TEXT(Tabla1[[#This Row],[Fecha]],"MMMM")</f>
        <v>septiembre</v>
      </c>
      <c r="C4551" t="s">
        <v>4561</v>
      </c>
      <c r="D4551" t="s">
        <v>5029</v>
      </c>
      <c r="E4551" t="s">
        <v>5032</v>
      </c>
      <c r="F4551" t="s">
        <v>5038</v>
      </c>
      <c r="G4551" s="3">
        <v>10826.75</v>
      </c>
      <c r="H4551" s="3">
        <v>0</v>
      </c>
      <c r="I4551" s="3">
        <f>SUM(Tabla1[[#This Row],[Monto_Base]],H4551)</f>
        <v>10826.75</v>
      </c>
      <c r="J4551" t="s">
        <v>5043</v>
      </c>
      <c r="K4551" t="s">
        <v>5048</v>
      </c>
      <c r="L4551" t="s">
        <v>5050</v>
      </c>
      <c r="M4551" t="s">
        <v>5055</v>
      </c>
    </row>
    <row r="4552" spans="1:13" x14ac:dyDescent="0.3">
      <c r="A4552" s="1">
        <v>45472</v>
      </c>
      <c r="B4552" s="1" t="str">
        <f>TEXT(Tabla1[[#This Row],[Fecha]],"MMMM")</f>
        <v>junio</v>
      </c>
      <c r="C4552" t="s">
        <v>4562</v>
      </c>
      <c r="D4552" t="s">
        <v>5028</v>
      </c>
      <c r="E4552" t="s">
        <v>5032</v>
      </c>
      <c r="F4552" t="s">
        <v>5035</v>
      </c>
      <c r="G4552" s="3">
        <v>8348.4500000000007</v>
      </c>
      <c r="H4552" s="3">
        <v>0</v>
      </c>
      <c r="I4552" s="3">
        <f>SUM(Tabla1[[#This Row],[Monto_Base]],H4552)</f>
        <v>8348.4500000000007</v>
      </c>
      <c r="J4552" t="s">
        <v>5045</v>
      </c>
      <c r="K4552" t="s">
        <v>5049</v>
      </c>
      <c r="L4552" t="s">
        <v>5053</v>
      </c>
      <c r="M4552" t="s">
        <v>5055</v>
      </c>
    </row>
    <row r="4553" spans="1:13" x14ac:dyDescent="0.3">
      <c r="A4553" s="1">
        <v>45299</v>
      </c>
      <c r="B4553" s="1" t="str">
        <f>TEXT(Tabla1[[#This Row],[Fecha]],"MMMM")</f>
        <v>enero</v>
      </c>
      <c r="C4553" t="s">
        <v>4563</v>
      </c>
      <c r="D4553" t="s">
        <v>5031</v>
      </c>
      <c r="E4553" t="s">
        <v>5033</v>
      </c>
      <c r="F4553" t="s">
        <v>5040</v>
      </c>
      <c r="G4553" s="3">
        <v>7054.18</v>
      </c>
      <c r="H4553" s="3">
        <v>917.04</v>
      </c>
      <c r="I4553" s="3">
        <f>SUM(Tabla1[[#This Row],[Monto_Base]],H4553)</f>
        <v>7971.22</v>
      </c>
      <c r="J4553" t="s">
        <v>5042</v>
      </c>
      <c r="K4553" t="s">
        <v>5049</v>
      </c>
      <c r="L4553" t="s">
        <v>5052</v>
      </c>
      <c r="M4553" t="s">
        <v>5055</v>
      </c>
    </row>
    <row r="4554" spans="1:13" x14ac:dyDescent="0.3">
      <c r="A4554" s="1">
        <v>45346</v>
      </c>
      <c r="B4554" s="1" t="str">
        <f>TEXT(Tabla1[[#This Row],[Fecha]],"MMMM")</f>
        <v>febrero</v>
      </c>
      <c r="C4554" t="s">
        <v>4564</v>
      </c>
      <c r="D4554" t="s">
        <v>5012</v>
      </c>
      <c r="E4554" t="s">
        <v>5033</v>
      </c>
      <c r="F4554" t="s">
        <v>5040</v>
      </c>
      <c r="G4554" s="3">
        <v>9448.2099999999991</v>
      </c>
      <c r="H4554" s="3">
        <v>1228.27</v>
      </c>
      <c r="I4554" s="3">
        <f>SUM(Tabla1[[#This Row],[Monto_Base]],H4554)</f>
        <v>10676.48</v>
      </c>
      <c r="J4554" t="s">
        <v>5044</v>
      </c>
      <c r="K4554" t="s">
        <v>5047</v>
      </c>
      <c r="L4554" t="s">
        <v>5052</v>
      </c>
      <c r="M4554" t="s">
        <v>5055</v>
      </c>
    </row>
    <row r="4555" spans="1:13" x14ac:dyDescent="0.3">
      <c r="A4555" s="1">
        <v>45636</v>
      </c>
      <c r="B4555" s="1" t="str">
        <f>TEXT(Tabla1[[#This Row],[Fecha]],"MMMM")</f>
        <v>diciembre</v>
      </c>
      <c r="C4555" t="s">
        <v>4565</v>
      </c>
      <c r="D4555" t="s">
        <v>5028</v>
      </c>
      <c r="E4555" t="s">
        <v>5033</v>
      </c>
      <c r="F4555" t="s">
        <v>5034</v>
      </c>
      <c r="G4555" s="3">
        <v>2825.58</v>
      </c>
      <c r="H4555" s="3">
        <v>367.33</v>
      </c>
      <c r="I4555" s="3">
        <f>SUM(Tabla1[[#This Row],[Monto_Base]],H4555)</f>
        <v>3192.91</v>
      </c>
      <c r="J4555" t="s">
        <v>5042</v>
      </c>
      <c r="K4555" t="s">
        <v>5048</v>
      </c>
      <c r="L4555" t="s">
        <v>5051</v>
      </c>
      <c r="M4555" t="s">
        <v>5054</v>
      </c>
    </row>
    <row r="4556" spans="1:13" x14ac:dyDescent="0.3">
      <c r="A4556" s="1">
        <v>45397</v>
      </c>
      <c r="B4556" s="1" t="str">
        <f>TEXT(Tabla1[[#This Row],[Fecha]],"MMMM")</f>
        <v>abril</v>
      </c>
      <c r="C4556" t="s">
        <v>4566</v>
      </c>
      <c r="D4556" t="s">
        <v>5031</v>
      </c>
      <c r="E4556" t="s">
        <v>5033</v>
      </c>
      <c r="F4556" t="s">
        <v>5040</v>
      </c>
      <c r="G4556" s="3">
        <v>2825.86</v>
      </c>
      <c r="H4556" s="3">
        <v>367.36</v>
      </c>
      <c r="I4556" s="3">
        <f>SUM(Tabla1[[#This Row],[Monto_Base]],H4556)</f>
        <v>3193.2200000000003</v>
      </c>
      <c r="J4556" t="s">
        <v>5042</v>
      </c>
      <c r="K4556" t="s">
        <v>5047</v>
      </c>
      <c r="L4556" t="s">
        <v>5051</v>
      </c>
      <c r="M4556" t="s">
        <v>5054</v>
      </c>
    </row>
    <row r="4557" spans="1:13" x14ac:dyDescent="0.3">
      <c r="A4557" s="1">
        <v>45635</v>
      </c>
      <c r="B4557" s="1" t="str">
        <f>TEXT(Tabla1[[#This Row],[Fecha]],"MMMM")</f>
        <v>diciembre</v>
      </c>
      <c r="C4557" t="s">
        <v>4567</v>
      </c>
      <c r="D4557" t="s">
        <v>5027</v>
      </c>
      <c r="E4557" t="s">
        <v>5032</v>
      </c>
      <c r="F4557" t="s">
        <v>5034</v>
      </c>
      <c r="G4557" s="3">
        <v>13348.92</v>
      </c>
      <c r="H4557" s="3">
        <v>0</v>
      </c>
      <c r="I4557" s="3">
        <f>SUM(Tabla1[[#This Row],[Monto_Base]],H4557)</f>
        <v>13348.92</v>
      </c>
      <c r="J4557" t="s">
        <v>5042</v>
      </c>
      <c r="K4557" t="s">
        <v>5047</v>
      </c>
      <c r="L4557" t="s">
        <v>5053</v>
      </c>
      <c r="M4557" t="s">
        <v>5054</v>
      </c>
    </row>
    <row r="4558" spans="1:13" x14ac:dyDescent="0.3">
      <c r="A4558" s="1">
        <v>45529</v>
      </c>
      <c r="B4558" s="1" t="str">
        <f>TEXT(Tabla1[[#This Row],[Fecha]],"MMMM")</f>
        <v>agosto</v>
      </c>
      <c r="C4558" t="s">
        <v>4568</v>
      </c>
      <c r="D4558" t="s">
        <v>5022</v>
      </c>
      <c r="E4558" t="s">
        <v>5033</v>
      </c>
      <c r="F4558" t="s">
        <v>5037</v>
      </c>
      <c r="G4558" s="3">
        <v>9578.33</v>
      </c>
      <c r="H4558" s="3">
        <v>1245.18</v>
      </c>
      <c r="I4558" s="3">
        <f>SUM(Tabla1[[#This Row],[Monto_Base]],H4558)</f>
        <v>10823.51</v>
      </c>
      <c r="J4558" t="s">
        <v>5043</v>
      </c>
      <c r="K4558" t="s">
        <v>5049</v>
      </c>
      <c r="L4558" t="s">
        <v>5052</v>
      </c>
      <c r="M4558" t="s">
        <v>5054</v>
      </c>
    </row>
    <row r="4559" spans="1:13" x14ac:dyDescent="0.3">
      <c r="A4559" s="1">
        <v>45343</v>
      </c>
      <c r="B4559" s="1" t="str">
        <f>TEXT(Tabla1[[#This Row],[Fecha]],"MMMM")</f>
        <v>febrero</v>
      </c>
      <c r="C4559" t="s">
        <v>4569</v>
      </c>
      <c r="D4559" t="s">
        <v>5012</v>
      </c>
      <c r="E4559" t="s">
        <v>5032</v>
      </c>
      <c r="F4559" t="s">
        <v>5035</v>
      </c>
      <c r="G4559" s="3">
        <v>12676.75</v>
      </c>
      <c r="H4559" s="3">
        <v>0</v>
      </c>
      <c r="I4559" s="3">
        <f>SUM(Tabla1[[#This Row],[Monto_Base]],H4559)</f>
        <v>12676.75</v>
      </c>
      <c r="J4559" t="s">
        <v>5042</v>
      </c>
      <c r="K4559" t="s">
        <v>5048</v>
      </c>
      <c r="L4559" t="s">
        <v>5053</v>
      </c>
      <c r="M4559" t="s">
        <v>5055</v>
      </c>
    </row>
    <row r="4560" spans="1:13" x14ac:dyDescent="0.3">
      <c r="A4560" s="1">
        <v>45434</v>
      </c>
      <c r="B4560" s="1" t="str">
        <f>TEXT(Tabla1[[#This Row],[Fecha]],"MMMM")</f>
        <v>mayo</v>
      </c>
      <c r="C4560" t="s">
        <v>4570</v>
      </c>
      <c r="D4560" t="s">
        <v>5029</v>
      </c>
      <c r="E4560" t="s">
        <v>5032</v>
      </c>
      <c r="F4560" t="s">
        <v>5040</v>
      </c>
      <c r="G4560" s="3">
        <v>14046.29</v>
      </c>
      <c r="H4560" s="3">
        <v>0</v>
      </c>
      <c r="I4560" s="3">
        <f>SUM(Tabla1[[#This Row],[Monto_Base]],H4560)</f>
        <v>14046.29</v>
      </c>
      <c r="J4560" t="s">
        <v>5045</v>
      </c>
      <c r="K4560" t="s">
        <v>5048</v>
      </c>
      <c r="L4560" t="s">
        <v>5053</v>
      </c>
      <c r="M4560" t="s">
        <v>5055</v>
      </c>
    </row>
    <row r="4561" spans="1:13" x14ac:dyDescent="0.3">
      <c r="A4561" s="1">
        <v>45574</v>
      </c>
      <c r="B4561" s="1" t="str">
        <f>TEXT(Tabla1[[#This Row],[Fecha]],"MMMM")</f>
        <v>octubre</v>
      </c>
      <c r="C4561" t="s">
        <v>4571</v>
      </c>
      <c r="D4561" t="s">
        <v>5023</v>
      </c>
      <c r="E4561" t="s">
        <v>5032</v>
      </c>
      <c r="F4561" t="s">
        <v>5037</v>
      </c>
      <c r="G4561" s="3">
        <v>7088.82</v>
      </c>
      <c r="H4561" s="3">
        <v>0</v>
      </c>
      <c r="I4561" s="3">
        <f>SUM(Tabla1[[#This Row],[Monto_Base]],H4561)</f>
        <v>7088.82</v>
      </c>
      <c r="J4561" t="s">
        <v>5044</v>
      </c>
      <c r="K4561" t="s">
        <v>5047</v>
      </c>
      <c r="L4561" t="s">
        <v>5053</v>
      </c>
      <c r="M4561" t="s">
        <v>5055</v>
      </c>
    </row>
    <row r="4562" spans="1:13" x14ac:dyDescent="0.3">
      <c r="A4562" s="1">
        <v>45598</v>
      </c>
      <c r="B4562" s="1" t="str">
        <f>TEXT(Tabla1[[#This Row],[Fecha]],"MMMM")</f>
        <v>noviembre</v>
      </c>
      <c r="C4562" t="s">
        <v>4572</v>
      </c>
      <c r="D4562" t="s">
        <v>5019</v>
      </c>
      <c r="E4562" t="s">
        <v>5032</v>
      </c>
      <c r="F4562" t="s">
        <v>5037</v>
      </c>
      <c r="G4562" s="3">
        <v>9143.84</v>
      </c>
      <c r="H4562" s="3">
        <v>0</v>
      </c>
      <c r="I4562" s="3">
        <f>SUM(Tabla1[[#This Row],[Monto_Base]],H4562)</f>
        <v>9143.84</v>
      </c>
      <c r="J4562" t="s">
        <v>5043</v>
      </c>
      <c r="K4562" t="s">
        <v>5049</v>
      </c>
      <c r="L4562" t="s">
        <v>5052</v>
      </c>
      <c r="M4562" t="s">
        <v>5055</v>
      </c>
    </row>
    <row r="4563" spans="1:13" x14ac:dyDescent="0.3">
      <c r="A4563" s="1">
        <v>45403</v>
      </c>
      <c r="B4563" s="1" t="str">
        <f>TEXT(Tabla1[[#This Row],[Fecha]],"MMMM")</f>
        <v>abril</v>
      </c>
      <c r="C4563" t="s">
        <v>4573</v>
      </c>
      <c r="D4563" t="s">
        <v>5027</v>
      </c>
      <c r="E4563" t="s">
        <v>5033</v>
      </c>
      <c r="F4563" t="s">
        <v>5039</v>
      </c>
      <c r="G4563" s="3">
        <v>10754.15</v>
      </c>
      <c r="H4563" s="3">
        <v>1398.04</v>
      </c>
      <c r="I4563" s="3">
        <f>SUM(Tabla1[[#This Row],[Monto_Base]],H4563)</f>
        <v>12152.189999999999</v>
      </c>
      <c r="J4563" t="s">
        <v>5046</v>
      </c>
      <c r="K4563" t="s">
        <v>5048</v>
      </c>
      <c r="L4563" t="s">
        <v>5052</v>
      </c>
      <c r="M4563" t="s">
        <v>5055</v>
      </c>
    </row>
    <row r="4564" spans="1:13" x14ac:dyDescent="0.3">
      <c r="A4564" s="1">
        <v>45499</v>
      </c>
      <c r="B4564" s="1" t="str">
        <f>TEXT(Tabla1[[#This Row],[Fecha]],"MMMM")</f>
        <v>julio</v>
      </c>
      <c r="C4564" t="s">
        <v>4574</v>
      </c>
      <c r="D4564" t="s">
        <v>5017</v>
      </c>
      <c r="E4564" t="s">
        <v>5033</v>
      </c>
      <c r="F4564" t="s">
        <v>5035</v>
      </c>
      <c r="G4564" s="3">
        <v>4930.6499999999996</v>
      </c>
      <c r="H4564" s="3">
        <v>640.98</v>
      </c>
      <c r="I4564" s="3">
        <f>SUM(Tabla1[[#This Row],[Monto_Base]],H4564)</f>
        <v>5571.6299999999992</v>
      </c>
      <c r="J4564" t="s">
        <v>5044</v>
      </c>
      <c r="K4564" t="s">
        <v>5049</v>
      </c>
      <c r="L4564" t="s">
        <v>5053</v>
      </c>
      <c r="M4564" t="s">
        <v>5055</v>
      </c>
    </row>
    <row r="4565" spans="1:13" x14ac:dyDescent="0.3">
      <c r="A4565" s="1">
        <v>45521</v>
      </c>
      <c r="B4565" s="1" t="str">
        <f>TEXT(Tabla1[[#This Row],[Fecha]],"MMMM")</f>
        <v>agosto</v>
      </c>
      <c r="C4565" t="s">
        <v>4575</v>
      </c>
      <c r="D4565" t="s">
        <v>5017</v>
      </c>
      <c r="E4565" t="s">
        <v>5032</v>
      </c>
      <c r="F4565" t="s">
        <v>5034</v>
      </c>
      <c r="G4565" s="3">
        <v>364.81</v>
      </c>
      <c r="H4565" s="3">
        <v>0</v>
      </c>
      <c r="I4565" s="3">
        <f>SUM(Tabla1[[#This Row],[Monto_Base]],H4565)</f>
        <v>364.81</v>
      </c>
      <c r="J4565" t="s">
        <v>5043</v>
      </c>
      <c r="K4565" t="s">
        <v>5049</v>
      </c>
      <c r="L4565" t="s">
        <v>5052</v>
      </c>
      <c r="M4565" t="s">
        <v>5054</v>
      </c>
    </row>
    <row r="4566" spans="1:13" x14ac:dyDescent="0.3">
      <c r="A4566" s="1">
        <v>45473</v>
      </c>
      <c r="B4566" s="1" t="str">
        <f>TEXT(Tabla1[[#This Row],[Fecha]],"MMMM")</f>
        <v>junio</v>
      </c>
      <c r="C4566" t="s">
        <v>4576</v>
      </c>
      <c r="D4566" t="s">
        <v>5019</v>
      </c>
      <c r="E4566" t="s">
        <v>5033</v>
      </c>
      <c r="F4566" t="s">
        <v>5037</v>
      </c>
      <c r="G4566" s="3">
        <v>549.23</v>
      </c>
      <c r="H4566" s="3">
        <v>71.400000000000006</v>
      </c>
      <c r="I4566" s="3">
        <f>SUM(Tabla1[[#This Row],[Monto_Base]],H4566)</f>
        <v>620.63</v>
      </c>
      <c r="J4566" t="s">
        <v>5045</v>
      </c>
      <c r="K4566" t="s">
        <v>5049</v>
      </c>
      <c r="L4566" t="s">
        <v>5053</v>
      </c>
      <c r="M4566" t="s">
        <v>5055</v>
      </c>
    </row>
    <row r="4567" spans="1:13" x14ac:dyDescent="0.3">
      <c r="A4567" s="1">
        <v>45511</v>
      </c>
      <c r="B4567" s="1" t="str">
        <f>TEXT(Tabla1[[#This Row],[Fecha]],"MMMM")</f>
        <v>agosto</v>
      </c>
      <c r="C4567" t="s">
        <v>4577</v>
      </c>
      <c r="D4567" t="s">
        <v>5026</v>
      </c>
      <c r="E4567" t="s">
        <v>5032</v>
      </c>
      <c r="F4567" t="s">
        <v>5039</v>
      </c>
      <c r="G4567" s="3">
        <v>12992.19</v>
      </c>
      <c r="H4567" s="3">
        <v>0</v>
      </c>
      <c r="I4567" s="3">
        <f>SUM(Tabla1[[#This Row],[Monto_Base]],H4567)</f>
        <v>12992.19</v>
      </c>
      <c r="J4567" t="s">
        <v>5046</v>
      </c>
      <c r="K4567" t="s">
        <v>5048</v>
      </c>
      <c r="L4567" t="s">
        <v>5051</v>
      </c>
      <c r="M4567" t="s">
        <v>5054</v>
      </c>
    </row>
    <row r="4568" spans="1:13" x14ac:dyDescent="0.3">
      <c r="A4568" s="1">
        <v>45330</v>
      </c>
      <c r="B4568" s="1" t="str">
        <f>TEXT(Tabla1[[#This Row],[Fecha]],"MMMM")</f>
        <v>febrero</v>
      </c>
      <c r="C4568" t="s">
        <v>4578</v>
      </c>
      <c r="D4568" t="s">
        <v>5024</v>
      </c>
      <c r="E4568" t="s">
        <v>5033</v>
      </c>
      <c r="F4568" t="s">
        <v>5036</v>
      </c>
      <c r="G4568" s="3">
        <v>3306.93</v>
      </c>
      <c r="H4568" s="3">
        <v>429.9</v>
      </c>
      <c r="I4568" s="3">
        <f>SUM(Tabla1[[#This Row],[Monto_Base]],H4568)</f>
        <v>3736.83</v>
      </c>
      <c r="J4568" t="s">
        <v>5042</v>
      </c>
      <c r="K4568" t="s">
        <v>5048</v>
      </c>
      <c r="L4568" t="s">
        <v>5052</v>
      </c>
      <c r="M4568" t="s">
        <v>5055</v>
      </c>
    </row>
    <row r="4569" spans="1:13" x14ac:dyDescent="0.3">
      <c r="A4569" s="1">
        <v>45515</v>
      </c>
      <c r="B4569" s="1" t="str">
        <f>TEXT(Tabla1[[#This Row],[Fecha]],"MMMM")</f>
        <v>agosto</v>
      </c>
      <c r="C4569" t="s">
        <v>4579</v>
      </c>
      <c r="D4569" t="s">
        <v>5017</v>
      </c>
      <c r="E4569" t="s">
        <v>5032</v>
      </c>
      <c r="F4569" t="s">
        <v>5041</v>
      </c>
      <c r="G4569" s="3">
        <v>10750.42</v>
      </c>
      <c r="H4569" s="3">
        <v>0</v>
      </c>
      <c r="I4569" s="3">
        <f>SUM(Tabla1[[#This Row],[Monto_Base]],H4569)</f>
        <v>10750.42</v>
      </c>
      <c r="J4569" t="s">
        <v>5042</v>
      </c>
      <c r="K4569" t="s">
        <v>5047</v>
      </c>
      <c r="L4569" t="s">
        <v>5050</v>
      </c>
      <c r="M4569" t="s">
        <v>5054</v>
      </c>
    </row>
    <row r="4570" spans="1:13" x14ac:dyDescent="0.3">
      <c r="A4570" s="1">
        <v>45379</v>
      </c>
      <c r="B4570" s="1" t="str">
        <f>TEXT(Tabla1[[#This Row],[Fecha]],"MMMM")</f>
        <v>marzo</v>
      </c>
      <c r="C4570" t="s">
        <v>4580</v>
      </c>
      <c r="D4570" t="s">
        <v>5013</v>
      </c>
      <c r="E4570" t="s">
        <v>5032</v>
      </c>
      <c r="F4570" t="s">
        <v>5041</v>
      </c>
      <c r="G4570" s="3">
        <v>5757.19</v>
      </c>
      <c r="H4570" s="3">
        <v>0</v>
      </c>
      <c r="I4570" s="3">
        <f>SUM(Tabla1[[#This Row],[Monto_Base]],H4570)</f>
        <v>5757.19</v>
      </c>
      <c r="J4570" t="s">
        <v>5045</v>
      </c>
      <c r="K4570" t="s">
        <v>5048</v>
      </c>
      <c r="L4570" t="s">
        <v>5052</v>
      </c>
      <c r="M4570" t="s">
        <v>5055</v>
      </c>
    </row>
    <row r="4571" spans="1:13" x14ac:dyDescent="0.3">
      <c r="A4571" s="1">
        <v>45451</v>
      </c>
      <c r="B4571" s="1" t="str">
        <f>TEXT(Tabla1[[#This Row],[Fecha]],"MMMM")</f>
        <v>junio</v>
      </c>
      <c r="C4571" t="s">
        <v>4581</v>
      </c>
      <c r="D4571" t="s">
        <v>5016</v>
      </c>
      <c r="E4571" t="s">
        <v>5032</v>
      </c>
      <c r="F4571" t="s">
        <v>5034</v>
      </c>
      <c r="G4571" s="3">
        <v>11008.14</v>
      </c>
      <c r="H4571" s="3">
        <v>0</v>
      </c>
      <c r="I4571" s="3">
        <f>SUM(Tabla1[[#This Row],[Monto_Base]],H4571)</f>
        <v>11008.14</v>
      </c>
      <c r="J4571" t="s">
        <v>5045</v>
      </c>
      <c r="K4571" t="s">
        <v>5048</v>
      </c>
      <c r="L4571" t="s">
        <v>5051</v>
      </c>
      <c r="M4571" t="s">
        <v>5055</v>
      </c>
    </row>
    <row r="4572" spans="1:13" x14ac:dyDescent="0.3">
      <c r="A4572" s="1">
        <v>45342</v>
      </c>
      <c r="B4572" s="1" t="str">
        <f>TEXT(Tabla1[[#This Row],[Fecha]],"MMMM")</f>
        <v>febrero</v>
      </c>
      <c r="C4572" t="s">
        <v>4582</v>
      </c>
      <c r="D4572" t="s">
        <v>5029</v>
      </c>
      <c r="E4572" t="s">
        <v>5032</v>
      </c>
      <c r="F4572" t="s">
        <v>5034</v>
      </c>
      <c r="G4572" s="3">
        <v>1009.96</v>
      </c>
      <c r="H4572" s="3">
        <v>0</v>
      </c>
      <c r="I4572" s="3">
        <f>SUM(Tabla1[[#This Row],[Monto_Base]],H4572)</f>
        <v>1009.96</v>
      </c>
      <c r="J4572" t="s">
        <v>5043</v>
      </c>
      <c r="K4572" t="s">
        <v>5049</v>
      </c>
      <c r="L4572" t="s">
        <v>5051</v>
      </c>
      <c r="M4572" t="s">
        <v>5054</v>
      </c>
    </row>
    <row r="4573" spans="1:13" x14ac:dyDescent="0.3">
      <c r="A4573" s="1">
        <v>45301</v>
      </c>
      <c r="B4573" s="1" t="str">
        <f>TEXT(Tabla1[[#This Row],[Fecha]],"MMMM")</f>
        <v>enero</v>
      </c>
      <c r="C4573" t="s">
        <v>4583</v>
      </c>
      <c r="D4573" t="s">
        <v>5019</v>
      </c>
      <c r="E4573" t="s">
        <v>5033</v>
      </c>
      <c r="F4573" t="s">
        <v>5041</v>
      </c>
      <c r="G4573" s="3">
        <v>9574.4699999999993</v>
      </c>
      <c r="H4573" s="3">
        <v>1244.68</v>
      </c>
      <c r="I4573" s="3">
        <f>SUM(Tabla1[[#This Row],[Monto_Base]],H4573)</f>
        <v>10819.15</v>
      </c>
      <c r="J4573" t="s">
        <v>5045</v>
      </c>
      <c r="K4573" t="s">
        <v>5049</v>
      </c>
      <c r="L4573" t="s">
        <v>5051</v>
      </c>
      <c r="M4573" t="s">
        <v>5054</v>
      </c>
    </row>
    <row r="4574" spans="1:13" x14ac:dyDescent="0.3">
      <c r="A4574" s="1">
        <v>45479</v>
      </c>
      <c r="B4574" s="1" t="str">
        <f>TEXT(Tabla1[[#This Row],[Fecha]],"MMMM")</f>
        <v>julio</v>
      </c>
      <c r="C4574" t="s">
        <v>4584</v>
      </c>
      <c r="D4574" t="s">
        <v>5012</v>
      </c>
      <c r="E4574" t="s">
        <v>5033</v>
      </c>
      <c r="F4574" t="s">
        <v>5038</v>
      </c>
      <c r="G4574" s="3">
        <v>8227.77</v>
      </c>
      <c r="H4574" s="3">
        <v>1069.6099999999999</v>
      </c>
      <c r="I4574" s="3">
        <f>SUM(Tabla1[[#This Row],[Monto_Base]],H4574)</f>
        <v>9297.380000000001</v>
      </c>
      <c r="J4574" t="s">
        <v>5043</v>
      </c>
      <c r="K4574" t="s">
        <v>5049</v>
      </c>
      <c r="L4574" t="s">
        <v>5053</v>
      </c>
      <c r="M4574" t="s">
        <v>5055</v>
      </c>
    </row>
    <row r="4575" spans="1:13" x14ac:dyDescent="0.3">
      <c r="A4575" s="1">
        <v>45427</v>
      </c>
      <c r="B4575" s="1" t="str">
        <f>TEXT(Tabla1[[#This Row],[Fecha]],"MMMM")</f>
        <v>mayo</v>
      </c>
      <c r="C4575" t="s">
        <v>4585</v>
      </c>
      <c r="D4575" t="s">
        <v>5019</v>
      </c>
      <c r="E4575" t="s">
        <v>5033</v>
      </c>
      <c r="F4575" t="s">
        <v>5035</v>
      </c>
      <c r="G4575" s="3">
        <v>13356.06</v>
      </c>
      <c r="H4575" s="3">
        <v>1736.29</v>
      </c>
      <c r="I4575" s="3">
        <f>SUM(Tabla1[[#This Row],[Monto_Base]],H4575)</f>
        <v>15092.349999999999</v>
      </c>
      <c r="J4575" t="s">
        <v>5045</v>
      </c>
      <c r="K4575" t="s">
        <v>5049</v>
      </c>
      <c r="L4575" t="s">
        <v>5053</v>
      </c>
      <c r="M4575" t="s">
        <v>5054</v>
      </c>
    </row>
    <row r="4576" spans="1:13" x14ac:dyDescent="0.3">
      <c r="A4576" s="1">
        <v>45379</v>
      </c>
      <c r="B4576" s="1" t="str">
        <f>TEXT(Tabla1[[#This Row],[Fecha]],"MMMM")</f>
        <v>marzo</v>
      </c>
      <c r="C4576" t="s">
        <v>4586</v>
      </c>
      <c r="D4576" t="s">
        <v>5029</v>
      </c>
      <c r="E4576" t="s">
        <v>5032</v>
      </c>
      <c r="F4576" t="s">
        <v>5039</v>
      </c>
      <c r="G4576" s="3">
        <v>8358.41</v>
      </c>
      <c r="H4576" s="3">
        <v>0</v>
      </c>
      <c r="I4576" s="3">
        <f>SUM(Tabla1[[#This Row],[Monto_Base]],H4576)</f>
        <v>8358.41</v>
      </c>
      <c r="J4576" t="s">
        <v>5043</v>
      </c>
      <c r="K4576" t="s">
        <v>5047</v>
      </c>
      <c r="L4576" t="s">
        <v>5050</v>
      </c>
      <c r="M4576" t="s">
        <v>5054</v>
      </c>
    </row>
    <row r="4577" spans="1:13" x14ac:dyDescent="0.3">
      <c r="A4577" s="1">
        <v>45514</v>
      </c>
      <c r="B4577" s="1" t="str">
        <f>TEXT(Tabla1[[#This Row],[Fecha]],"MMMM")</f>
        <v>agosto</v>
      </c>
      <c r="C4577" t="s">
        <v>4587</v>
      </c>
      <c r="D4577" t="s">
        <v>5019</v>
      </c>
      <c r="E4577" t="s">
        <v>5033</v>
      </c>
      <c r="F4577" t="s">
        <v>5041</v>
      </c>
      <c r="G4577" s="3">
        <v>3302.07</v>
      </c>
      <c r="H4577" s="3">
        <v>429.27</v>
      </c>
      <c r="I4577" s="3">
        <f>SUM(Tabla1[[#This Row],[Monto_Base]],H4577)</f>
        <v>3731.34</v>
      </c>
      <c r="J4577" t="s">
        <v>5046</v>
      </c>
      <c r="K4577" t="s">
        <v>5047</v>
      </c>
      <c r="L4577" t="s">
        <v>5051</v>
      </c>
      <c r="M4577" t="s">
        <v>5054</v>
      </c>
    </row>
    <row r="4578" spans="1:13" x14ac:dyDescent="0.3">
      <c r="A4578" s="1">
        <v>45360</v>
      </c>
      <c r="B4578" s="1" t="str">
        <f>TEXT(Tabla1[[#This Row],[Fecha]],"MMMM")</f>
        <v>marzo</v>
      </c>
      <c r="C4578" t="s">
        <v>4588</v>
      </c>
      <c r="D4578" t="s">
        <v>5023</v>
      </c>
      <c r="E4578" t="s">
        <v>5033</v>
      </c>
      <c r="F4578" t="s">
        <v>5034</v>
      </c>
      <c r="G4578" s="3">
        <v>6798.78</v>
      </c>
      <c r="H4578" s="3">
        <v>883.84</v>
      </c>
      <c r="I4578" s="3">
        <f>SUM(Tabla1[[#This Row],[Monto_Base]],H4578)</f>
        <v>7682.62</v>
      </c>
      <c r="J4578" t="s">
        <v>5046</v>
      </c>
      <c r="K4578" t="s">
        <v>5049</v>
      </c>
      <c r="L4578" t="s">
        <v>5052</v>
      </c>
      <c r="M4578" t="s">
        <v>5054</v>
      </c>
    </row>
    <row r="4579" spans="1:13" x14ac:dyDescent="0.3">
      <c r="A4579" s="1">
        <v>45620</v>
      </c>
      <c r="B4579" s="1" t="str">
        <f>TEXT(Tabla1[[#This Row],[Fecha]],"MMMM")</f>
        <v>noviembre</v>
      </c>
      <c r="C4579" t="s">
        <v>4589</v>
      </c>
      <c r="D4579" t="s">
        <v>5020</v>
      </c>
      <c r="E4579" t="s">
        <v>5033</v>
      </c>
      <c r="F4579" t="s">
        <v>5034</v>
      </c>
      <c r="G4579" s="3">
        <v>99.11</v>
      </c>
      <c r="H4579" s="3">
        <v>12.88</v>
      </c>
      <c r="I4579" s="3">
        <f>SUM(Tabla1[[#This Row],[Monto_Base]],H4579)</f>
        <v>111.99</v>
      </c>
      <c r="J4579" t="s">
        <v>5042</v>
      </c>
      <c r="K4579" t="s">
        <v>5049</v>
      </c>
      <c r="L4579" t="s">
        <v>5052</v>
      </c>
      <c r="M4579" t="s">
        <v>5055</v>
      </c>
    </row>
    <row r="4580" spans="1:13" x14ac:dyDescent="0.3">
      <c r="A4580" s="1">
        <v>45422</v>
      </c>
      <c r="B4580" s="1" t="str">
        <f>TEXT(Tabla1[[#This Row],[Fecha]],"MMMM")</f>
        <v>mayo</v>
      </c>
      <c r="C4580" t="s">
        <v>4590</v>
      </c>
      <c r="D4580" t="s">
        <v>5013</v>
      </c>
      <c r="E4580" t="s">
        <v>5032</v>
      </c>
      <c r="F4580" t="s">
        <v>5038</v>
      </c>
      <c r="G4580" s="3">
        <v>7376.74</v>
      </c>
      <c r="H4580" s="3">
        <v>0</v>
      </c>
      <c r="I4580" s="3">
        <f>SUM(Tabla1[[#This Row],[Monto_Base]],H4580)</f>
        <v>7376.74</v>
      </c>
      <c r="J4580" t="s">
        <v>5042</v>
      </c>
      <c r="K4580" t="s">
        <v>5047</v>
      </c>
      <c r="L4580" t="s">
        <v>5050</v>
      </c>
      <c r="M4580" t="s">
        <v>5054</v>
      </c>
    </row>
    <row r="4581" spans="1:13" x14ac:dyDescent="0.3">
      <c r="A4581" s="1">
        <v>45535</v>
      </c>
      <c r="B4581" s="1" t="str">
        <f>TEXT(Tabla1[[#This Row],[Fecha]],"MMMM")</f>
        <v>agosto</v>
      </c>
      <c r="C4581" t="s">
        <v>4591</v>
      </c>
      <c r="D4581" t="s">
        <v>5016</v>
      </c>
      <c r="E4581" t="s">
        <v>5033</v>
      </c>
      <c r="F4581" t="s">
        <v>5034</v>
      </c>
      <c r="G4581" s="3">
        <v>13172.95</v>
      </c>
      <c r="H4581" s="3">
        <v>1712.48</v>
      </c>
      <c r="I4581" s="3">
        <f>SUM(Tabla1[[#This Row],[Monto_Base]],H4581)</f>
        <v>14885.43</v>
      </c>
      <c r="J4581" t="s">
        <v>5046</v>
      </c>
      <c r="K4581" t="s">
        <v>5049</v>
      </c>
      <c r="L4581" t="s">
        <v>5052</v>
      </c>
      <c r="M4581" t="s">
        <v>5055</v>
      </c>
    </row>
    <row r="4582" spans="1:13" x14ac:dyDescent="0.3">
      <c r="A4582" s="1">
        <v>45398</v>
      </c>
      <c r="B4582" s="1" t="str">
        <f>TEXT(Tabla1[[#This Row],[Fecha]],"MMMM")</f>
        <v>abril</v>
      </c>
      <c r="C4582" t="s">
        <v>4592</v>
      </c>
      <c r="D4582" t="s">
        <v>5023</v>
      </c>
      <c r="E4582" t="s">
        <v>5033</v>
      </c>
      <c r="F4582" t="s">
        <v>5040</v>
      </c>
      <c r="G4582" s="3">
        <v>5213.0600000000004</v>
      </c>
      <c r="H4582" s="3">
        <v>677.7</v>
      </c>
      <c r="I4582" s="3">
        <f>SUM(Tabla1[[#This Row],[Monto_Base]],H4582)</f>
        <v>5890.76</v>
      </c>
      <c r="J4582" t="s">
        <v>5042</v>
      </c>
      <c r="K4582" t="s">
        <v>5047</v>
      </c>
      <c r="L4582" t="s">
        <v>5051</v>
      </c>
      <c r="M4582" t="s">
        <v>5054</v>
      </c>
    </row>
    <row r="4583" spans="1:13" x14ac:dyDescent="0.3">
      <c r="A4583" s="1">
        <v>45324</v>
      </c>
      <c r="B4583" s="1" t="str">
        <f>TEXT(Tabla1[[#This Row],[Fecha]],"MMMM")</f>
        <v>febrero</v>
      </c>
      <c r="C4583" t="s">
        <v>4593</v>
      </c>
      <c r="D4583" t="s">
        <v>5026</v>
      </c>
      <c r="E4583" t="s">
        <v>5033</v>
      </c>
      <c r="F4583" t="s">
        <v>5034</v>
      </c>
      <c r="G4583" s="3">
        <v>5993</v>
      </c>
      <c r="H4583" s="3">
        <v>779.09</v>
      </c>
      <c r="I4583" s="3">
        <f>SUM(Tabla1[[#This Row],[Monto_Base]],H4583)</f>
        <v>6772.09</v>
      </c>
      <c r="J4583" t="s">
        <v>5043</v>
      </c>
      <c r="K4583" t="s">
        <v>5047</v>
      </c>
      <c r="L4583" t="s">
        <v>5052</v>
      </c>
      <c r="M4583" t="s">
        <v>5054</v>
      </c>
    </row>
    <row r="4584" spans="1:13" x14ac:dyDescent="0.3">
      <c r="A4584" s="1">
        <v>45371</v>
      </c>
      <c r="B4584" s="1" t="str">
        <f>TEXT(Tabla1[[#This Row],[Fecha]],"MMMM")</f>
        <v>marzo</v>
      </c>
      <c r="C4584" t="s">
        <v>4594</v>
      </c>
      <c r="D4584" t="s">
        <v>5030</v>
      </c>
      <c r="E4584" t="s">
        <v>5032</v>
      </c>
      <c r="F4584" t="s">
        <v>5041</v>
      </c>
      <c r="G4584" s="3">
        <v>6084.78</v>
      </c>
      <c r="H4584" s="3">
        <v>0</v>
      </c>
      <c r="I4584" s="3">
        <f>SUM(Tabla1[[#This Row],[Monto_Base]],H4584)</f>
        <v>6084.78</v>
      </c>
      <c r="J4584" t="s">
        <v>5042</v>
      </c>
      <c r="K4584" t="s">
        <v>5048</v>
      </c>
      <c r="L4584" t="s">
        <v>5051</v>
      </c>
      <c r="M4584" t="s">
        <v>5054</v>
      </c>
    </row>
    <row r="4585" spans="1:13" x14ac:dyDescent="0.3">
      <c r="A4585" s="1">
        <v>45328</v>
      </c>
      <c r="B4585" s="1" t="str">
        <f>TEXT(Tabla1[[#This Row],[Fecha]],"MMMM")</f>
        <v>febrero</v>
      </c>
      <c r="C4585" t="s">
        <v>4595</v>
      </c>
      <c r="D4585" t="s">
        <v>5028</v>
      </c>
      <c r="E4585" t="s">
        <v>5032</v>
      </c>
      <c r="F4585" t="s">
        <v>5038</v>
      </c>
      <c r="G4585" s="3">
        <v>7984.77</v>
      </c>
      <c r="H4585" s="3">
        <v>0</v>
      </c>
      <c r="I4585" s="3">
        <f>SUM(Tabla1[[#This Row],[Monto_Base]],H4585)</f>
        <v>7984.77</v>
      </c>
      <c r="J4585" t="s">
        <v>5045</v>
      </c>
      <c r="K4585" t="s">
        <v>5048</v>
      </c>
      <c r="L4585" t="s">
        <v>5053</v>
      </c>
      <c r="M4585" t="s">
        <v>5054</v>
      </c>
    </row>
    <row r="4586" spans="1:13" x14ac:dyDescent="0.3">
      <c r="A4586" s="1">
        <v>45553</v>
      </c>
      <c r="B4586" s="1" t="str">
        <f>TEXT(Tabla1[[#This Row],[Fecha]],"MMMM")</f>
        <v>septiembre</v>
      </c>
      <c r="C4586" t="s">
        <v>4596</v>
      </c>
      <c r="D4586" t="s">
        <v>5027</v>
      </c>
      <c r="E4586" t="s">
        <v>5032</v>
      </c>
      <c r="F4586" t="s">
        <v>5036</v>
      </c>
      <c r="G4586" s="3">
        <v>2645.83</v>
      </c>
      <c r="H4586" s="3">
        <v>0</v>
      </c>
      <c r="I4586" s="3">
        <f>SUM(Tabla1[[#This Row],[Monto_Base]],H4586)</f>
        <v>2645.83</v>
      </c>
      <c r="J4586" t="s">
        <v>5046</v>
      </c>
      <c r="K4586" t="s">
        <v>5048</v>
      </c>
      <c r="L4586" t="s">
        <v>5052</v>
      </c>
      <c r="M4586" t="s">
        <v>5055</v>
      </c>
    </row>
    <row r="4587" spans="1:13" x14ac:dyDescent="0.3">
      <c r="A4587" s="1">
        <v>45622</v>
      </c>
      <c r="B4587" s="1" t="str">
        <f>TEXT(Tabla1[[#This Row],[Fecha]],"MMMM")</f>
        <v>noviembre</v>
      </c>
      <c r="C4587" t="s">
        <v>4597</v>
      </c>
      <c r="D4587" t="s">
        <v>5012</v>
      </c>
      <c r="E4587" t="s">
        <v>5033</v>
      </c>
      <c r="F4587" t="s">
        <v>5039</v>
      </c>
      <c r="G4587" s="3">
        <v>11817.85</v>
      </c>
      <c r="H4587" s="3">
        <v>1536.32</v>
      </c>
      <c r="I4587" s="3">
        <f>SUM(Tabla1[[#This Row],[Monto_Base]],H4587)</f>
        <v>13354.17</v>
      </c>
      <c r="J4587" t="s">
        <v>5042</v>
      </c>
      <c r="K4587" t="s">
        <v>5047</v>
      </c>
      <c r="L4587" t="s">
        <v>5051</v>
      </c>
      <c r="M4587" t="s">
        <v>5055</v>
      </c>
    </row>
    <row r="4588" spans="1:13" x14ac:dyDescent="0.3">
      <c r="A4588" s="1">
        <v>45507</v>
      </c>
      <c r="B4588" s="1" t="str">
        <f>TEXT(Tabla1[[#This Row],[Fecha]],"MMMM")</f>
        <v>agosto</v>
      </c>
      <c r="C4588" t="s">
        <v>4598</v>
      </c>
      <c r="D4588" t="s">
        <v>5024</v>
      </c>
      <c r="E4588" t="s">
        <v>5032</v>
      </c>
      <c r="F4588" t="s">
        <v>5034</v>
      </c>
      <c r="G4588" s="3">
        <v>12421.65</v>
      </c>
      <c r="H4588" s="3">
        <v>0</v>
      </c>
      <c r="I4588" s="3">
        <f>SUM(Tabla1[[#This Row],[Monto_Base]],H4588)</f>
        <v>12421.65</v>
      </c>
      <c r="J4588" t="s">
        <v>5042</v>
      </c>
      <c r="K4588" t="s">
        <v>5049</v>
      </c>
      <c r="L4588" t="s">
        <v>5052</v>
      </c>
      <c r="M4588" t="s">
        <v>5054</v>
      </c>
    </row>
    <row r="4589" spans="1:13" x14ac:dyDescent="0.3">
      <c r="A4589" s="1">
        <v>45553</v>
      </c>
      <c r="B4589" s="1" t="str">
        <f>TEXT(Tabla1[[#This Row],[Fecha]],"MMMM")</f>
        <v>septiembre</v>
      </c>
      <c r="C4589" t="s">
        <v>4599</v>
      </c>
      <c r="D4589" t="s">
        <v>5012</v>
      </c>
      <c r="E4589" t="s">
        <v>5032</v>
      </c>
      <c r="F4589" t="s">
        <v>5039</v>
      </c>
      <c r="G4589" s="3">
        <v>9503.4699999999993</v>
      </c>
      <c r="H4589" s="3">
        <v>0</v>
      </c>
      <c r="I4589" s="3">
        <f>SUM(Tabla1[[#This Row],[Monto_Base]],H4589)</f>
        <v>9503.4699999999993</v>
      </c>
      <c r="J4589" t="s">
        <v>5043</v>
      </c>
      <c r="K4589" t="s">
        <v>5047</v>
      </c>
      <c r="L4589" t="s">
        <v>5053</v>
      </c>
      <c r="M4589" t="s">
        <v>5055</v>
      </c>
    </row>
    <row r="4590" spans="1:13" x14ac:dyDescent="0.3">
      <c r="A4590" s="1">
        <v>45491</v>
      </c>
      <c r="B4590" s="1" t="str">
        <f>TEXT(Tabla1[[#This Row],[Fecha]],"MMMM")</f>
        <v>julio</v>
      </c>
      <c r="C4590" t="s">
        <v>4600</v>
      </c>
      <c r="D4590" t="s">
        <v>5028</v>
      </c>
      <c r="E4590" t="s">
        <v>5033</v>
      </c>
      <c r="F4590" t="s">
        <v>5035</v>
      </c>
      <c r="G4590" s="3">
        <v>12273.09</v>
      </c>
      <c r="H4590" s="3">
        <v>1595.5</v>
      </c>
      <c r="I4590" s="3">
        <f>SUM(Tabla1[[#This Row],[Monto_Base]],H4590)</f>
        <v>13868.59</v>
      </c>
      <c r="J4590" t="s">
        <v>5043</v>
      </c>
      <c r="K4590" t="s">
        <v>5049</v>
      </c>
      <c r="L4590" t="s">
        <v>5053</v>
      </c>
      <c r="M4590" t="s">
        <v>5054</v>
      </c>
    </row>
    <row r="4591" spans="1:13" x14ac:dyDescent="0.3">
      <c r="A4591" s="1">
        <v>45433</v>
      </c>
      <c r="B4591" s="1" t="str">
        <f>TEXT(Tabla1[[#This Row],[Fecha]],"MMMM")</f>
        <v>mayo</v>
      </c>
      <c r="C4591" t="s">
        <v>4601</v>
      </c>
      <c r="D4591" t="s">
        <v>5019</v>
      </c>
      <c r="E4591" t="s">
        <v>5032</v>
      </c>
      <c r="F4591" t="s">
        <v>5035</v>
      </c>
      <c r="G4591" s="3">
        <v>14924.84</v>
      </c>
      <c r="H4591" s="3">
        <v>0</v>
      </c>
      <c r="I4591" s="3">
        <f>SUM(Tabla1[[#This Row],[Monto_Base]],H4591)</f>
        <v>14924.84</v>
      </c>
      <c r="J4591" t="s">
        <v>5045</v>
      </c>
      <c r="K4591" t="s">
        <v>5047</v>
      </c>
      <c r="L4591" t="s">
        <v>5053</v>
      </c>
      <c r="M4591" t="s">
        <v>5055</v>
      </c>
    </row>
    <row r="4592" spans="1:13" x14ac:dyDescent="0.3">
      <c r="A4592" s="1">
        <v>45579</v>
      </c>
      <c r="B4592" s="1" t="str">
        <f>TEXT(Tabla1[[#This Row],[Fecha]],"MMMM")</f>
        <v>octubre</v>
      </c>
      <c r="C4592" t="s">
        <v>4602</v>
      </c>
      <c r="D4592" t="s">
        <v>5025</v>
      </c>
      <c r="E4592" t="s">
        <v>5033</v>
      </c>
      <c r="F4592" t="s">
        <v>5039</v>
      </c>
      <c r="G4592" s="3">
        <v>605.37</v>
      </c>
      <c r="H4592" s="3">
        <v>78.7</v>
      </c>
      <c r="I4592" s="3">
        <f>SUM(Tabla1[[#This Row],[Monto_Base]],H4592)</f>
        <v>684.07</v>
      </c>
      <c r="J4592" t="s">
        <v>5046</v>
      </c>
      <c r="K4592" t="s">
        <v>5048</v>
      </c>
      <c r="L4592" t="s">
        <v>5052</v>
      </c>
      <c r="M4592" t="s">
        <v>5055</v>
      </c>
    </row>
    <row r="4593" spans="1:13" x14ac:dyDescent="0.3">
      <c r="A4593" s="1">
        <v>45521</v>
      </c>
      <c r="B4593" s="1" t="str">
        <f>TEXT(Tabla1[[#This Row],[Fecha]],"MMMM")</f>
        <v>agosto</v>
      </c>
      <c r="C4593" t="s">
        <v>4603</v>
      </c>
      <c r="D4593" t="s">
        <v>5029</v>
      </c>
      <c r="E4593" t="s">
        <v>5032</v>
      </c>
      <c r="F4593" t="s">
        <v>5037</v>
      </c>
      <c r="G4593" s="3">
        <v>2828</v>
      </c>
      <c r="H4593" s="3">
        <v>0</v>
      </c>
      <c r="I4593" s="3">
        <f>SUM(Tabla1[[#This Row],[Monto_Base]],H4593)</f>
        <v>2828</v>
      </c>
      <c r="J4593" t="s">
        <v>5042</v>
      </c>
      <c r="K4593" t="s">
        <v>5049</v>
      </c>
      <c r="L4593" t="s">
        <v>5050</v>
      </c>
      <c r="M4593" t="s">
        <v>5054</v>
      </c>
    </row>
    <row r="4594" spans="1:13" x14ac:dyDescent="0.3">
      <c r="A4594" s="1">
        <v>45500</v>
      </c>
      <c r="B4594" s="1" t="str">
        <f>TEXT(Tabla1[[#This Row],[Fecha]],"MMMM")</f>
        <v>julio</v>
      </c>
      <c r="C4594" t="s">
        <v>4604</v>
      </c>
      <c r="D4594" t="s">
        <v>5024</v>
      </c>
      <c r="E4594" t="s">
        <v>5033</v>
      </c>
      <c r="F4594" t="s">
        <v>5041</v>
      </c>
      <c r="G4594" s="3">
        <v>6914.92</v>
      </c>
      <c r="H4594" s="3">
        <v>898.94</v>
      </c>
      <c r="I4594" s="3">
        <f>SUM(Tabla1[[#This Row],[Monto_Base]],H4594)</f>
        <v>7813.8600000000006</v>
      </c>
      <c r="J4594" t="s">
        <v>5045</v>
      </c>
      <c r="K4594" t="s">
        <v>5049</v>
      </c>
      <c r="L4594" t="s">
        <v>5050</v>
      </c>
      <c r="M4594" t="s">
        <v>5054</v>
      </c>
    </row>
    <row r="4595" spans="1:13" x14ac:dyDescent="0.3">
      <c r="A4595" s="1">
        <v>45590</v>
      </c>
      <c r="B4595" s="1" t="str">
        <f>TEXT(Tabla1[[#This Row],[Fecha]],"MMMM")</f>
        <v>octubre</v>
      </c>
      <c r="C4595" t="s">
        <v>4605</v>
      </c>
      <c r="D4595" t="s">
        <v>5030</v>
      </c>
      <c r="E4595" t="s">
        <v>5033</v>
      </c>
      <c r="F4595" t="s">
        <v>5037</v>
      </c>
      <c r="G4595" s="3">
        <v>8382.11</v>
      </c>
      <c r="H4595" s="3">
        <v>1089.67</v>
      </c>
      <c r="I4595" s="3">
        <f>SUM(Tabla1[[#This Row],[Monto_Base]],H4595)</f>
        <v>9471.7800000000007</v>
      </c>
      <c r="J4595" t="s">
        <v>5045</v>
      </c>
      <c r="K4595" t="s">
        <v>5048</v>
      </c>
      <c r="L4595" t="s">
        <v>5051</v>
      </c>
      <c r="M4595" t="s">
        <v>5055</v>
      </c>
    </row>
    <row r="4596" spans="1:13" x14ac:dyDescent="0.3">
      <c r="A4596" s="1">
        <v>45504</v>
      </c>
      <c r="B4596" s="1" t="str">
        <f>TEXT(Tabla1[[#This Row],[Fecha]],"MMMM")</f>
        <v>julio</v>
      </c>
      <c r="C4596" t="s">
        <v>4606</v>
      </c>
      <c r="D4596" t="s">
        <v>5030</v>
      </c>
      <c r="E4596" t="s">
        <v>5032</v>
      </c>
      <c r="F4596" t="s">
        <v>5038</v>
      </c>
      <c r="G4596" s="3">
        <v>9684.02</v>
      </c>
      <c r="H4596" s="3">
        <v>0</v>
      </c>
      <c r="I4596" s="3">
        <f>SUM(Tabla1[[#This Row],[Monto_Base]],H4596)</f>
        <v>9684.02</v>
      </c>
      <c r="J4596" t="s">
        <v>5043</v>
      </c>
      <c r="K4596" t="s">
        <v>5049</v>
      </c>
      <c r="L4596" t="s">
        <v>5052</v>
      </c>
      <c r="M4596" t="s">
        <v>5054</v>
      </c>
    </row>
    <row r="4597" spans="1:13" x14ac:dyDescent="0.3">
      <c r="A4597" s="1">
        <v>45551</v>
      </c>
      <c r="B4597" s="1" t="str">
        <f>TEXT(Tabla1[[#This Row],[Fecha]],"MMMM")</f>
        <v>septiembre</v>
      </c>
      <c r="C4597" t="s">
        <v>4607</v>
      </c>
      <c r="D4597" t="s">
        <v>5020</v>
      </c>
      <c r="E4597" t="s">
        <v>5032</v>
      </c>
      <c r="F4597" t="s">
        <v>5036</v>
      </c>
      <c r="G4597" s="3">
        <v>13597.59</v>
      </c>
      <c r="H4597" s="3">
        <v>0</v>
      </c>
      <c r="I4597" s="3">
        <f>SUM(Tabla1[[#This Row],[Monto_Base]],H4597)</f>
        <v>13597.59</v>
      </c>
      <c r="J4597" t="s">
        <v>5044</v>
      </c>
      <c r="K4597" t="s">
        <v>5048</v>
      </c>
      <c r="L4597" t="s">
        <v>5052</v>
      </c>
      <c r="M4597" t="s">
        <v>5055</v>
      </c>
    </row>
    <row r="4598" spans="1:13" x14ac:dyDescent="0.3">
      <c r="A4598" s="1">
        <v>45477</v>
      </c>
      <c r="B4598" s="1" t="str">
        <f>TEXT(Tabla1[[#This Row],[Fecha]],"MMMM")</f>
        <v>julio</v>
      </c>
      <c r="C4598" t="s">
        <v>4608</v>
      </c>
      <c r="D4598" t="s">
        <v>5025</v>
      </c>
      <c r="E4598" t="s">
        <v>5032</v>
      </c>
      <c r="F4598" t="s">
        <v>5041</v>
      </c>
      <c r="G4598" s="3">
        <v>13343.48</v>
      </c>
      <c r="H4598" s="3">
        <v>0</v>
      </c>
      <c r="I4598" s="3">
        <f>SUM(Tabla1[[#This Row],[Monto_Base]],H4598)</f>
        <v>13343.48</v>
      </c>
      <c r="J4598" t="s">
        <v>5042</v>
      </c>
      <c r="K4598" t="s">
        <v>5047</v>
      </c>
      <c r="L4598" t="s">
        <v>5051</v>
      </c>
      <c r="M4598" t="s">
        <v>5055</v>
      </c>
    </row>
    <row r="4599" spans="1:13" x14ac:dyDescent="0.3">
      <c r="A4599" s="1">
        <v>45451</v>
      </c>
      <c r="B4599" s="1" t="str">
        <f>TEXT(Tabla1[[#This Row],[Fecha]],"MMMM")</f>
        <v>junio</v>
      </c>
      <c r="C4599" t="s">
        <v>4609</v>
      </c>
      <c r="D4599" t="s">
        <v>5027</v>
      </c>
      <c r="E4599" t="s">
        <v>5033</v>
      </c>
      <c r="F4599" t="s">
        <v>5034</v>
      </c>
      <c r="G4599" s="3">
        <v>6625.18</v>
      </c>
      <c r="H4599" s="3">
        <v>861.27</v>
      </c>
      <c r="I4599" s="3">
        <f>SUM(Tabla1[[#This Row],[Monto_Base]],H4599)</f>
        <v>7486.4500000000007</v>
      </c>
      <c r="J4599" t="s">
        <v>5042</v>
      </c>
      <c r="K4599" t="s">
        <v>5049</v>
      </c>
      <c r="L4599" t="s">
        <v>5052</v>
      </c>
      <c r="M4599" t="s">
        <v>5054</v>
      </c>
    </row>
    <row r="4600" spans="1:13" x14ac:dyDescent="0.3">
      <c r="A4600" s="1">
        <v>45458</v>
      </c>
      <c r="B4600" s="1" t="str">
        <f>TEXT(Tabla1[[#This Row],[Fecha]],"MMMM")</f>
        <v>junio</v>
      </c>
      <c r="C4600" t="s">
        <v>4610</v>
      </c>
      <c r="D4600" t="s">
        <v>5022</v>
      </c>
      <c r="E4600" t="s">
        <v>5032</v>
      </c>
      <c r="F4600" t="s">
        <v>5039</v>
      </c>
      <c r="G4600" s="3">
        <v>4066.66</v>
      </c>
      <c r="H4600" s="3">
        <v>0</v>
      </c>
      <c r="I4600" s="3">
        <f>SUM(Tabla1[[#This Row],[Monto_Base]],H4600)</f>
        <v>4066.66</v>
      </c>
      <c r="J4600" t="s">
        <v>5045</v>
      </c>
      <c r="K4600" t="s">
        <v>5047</v>
      </c>
      <c r="L4600" t="s">
        <v>5051</v>
      </c>
      <c r="M4600" t="s">
        <v>5055</v>
      </c>
    </row>
    <row r="4601" spans="1:13" x14ac:dyDescent="0.3">
      <c r="A4601" s="1">
        <v>45556</v>
      </c>
      <c r="B4601" s="1" t="str">
        <f>TEXT(Tabla1[[#This Row],[Fecha]],"MMMM")</f>
        <v>septiembre</v>
      </c>
      <c r="C4601" t="s">
        <v>4611</v>
      </c>
      <c r="D4601" t="s">
        <v>5022</v>
      </c>
      <c r="E4601" t="s">
        <v>5033</v>
      </c>
      <c r="F4601" t="s">
        <v>5036</v>
      </c>
      <c r="G4601" s="3">
        <v>14792.11</v>
      </c>
      <c r="H4601" s="3">
        <v>1922.97</v>
      </c>
      <c r="I4601" s="3">
        <f>SUM(Tabla1[[#This Row],[Monto_Base]],H4601)</f>
        <v>16715.080000000002</v>
      </c>
      <c r="J4601" t="s">
        <v>5046</v>
      </c>
      <c r="K4601" t="s">
        <v>5049</v>
      </c>
      <c r="L4601" t="s">
        <v>5051</v>
      </c>
      <c r="M4601" t="s">
        <v>5054</v>
      </c>
    </row>
    <row r="4602" spans="1:13" x14ac:dyDescent="0.3">
      <c r="A4602" s="1">
        <v>45502</v>
      </c>
      <c r="B4602" s="1" t="str">
        <f>TEXT(Tabla1[[#This Row],[Fecha]],"MMMM")</f>
        <v>julio</v>
      </c>
      <c r="C4602" t="s">
        <v>4612</v>
      </c>
      <c r="D4602" t="s">
        <v>5030</v>
      </c>
      <c r="E4602" t="s">
        <v>5033</v>
      </c>
      <c r="F4602" t="s">
        <v>5034</v>
      </c>
      <c r="G4602" s="3">
        <v>6600.47</v>
      </c>
      <c r="H4602" s="3">
        <v>858.06</v>
      </c>
      <c r="I4602" s="3">
        <f>SUM(Tabla1[[#This Row],[Monto_Base]],H4602)</f>
        <v>7458.5300000000007</v>
      </c>
      <c r="J4602" t="s">
        <v>5046</v>
      </c>
      <c r="K4602" t="s">
        <v>5047</v>
      </c>
      <c r="L4602" t="s">
        <v>5051</v>
      </c>
      <c r="M4602" t="s">
        <v>5054</v>
      </c>
    </row>
    <row r="4603" spans="1:13" x14ac:dyDescent="0.3">
      <c r="A4603" s="1">
        <v>45422</v>
      </c>
      <c r="B4603" s="1" t="str">
        <f>TEXT(Tabla1[[#This Row],[Fecha]],"MMMM")</f>
        <v>mayo</v>
      </c>
      <c r="C4603" t="s">
        <v>4613</v>
      </c>
      <c r="D4603" t="s">
        <v>5023</v>
      </c>
      <c r="E4603" t="s">
        <v>5033</v>
      </c>
      <c r="F4603" t="s">
        <v>5038</v>
      </c>
      <c r="G4603" s="3">
        <v>3247.37</v>
      </c>
      <c r="H4603" s="3">
        <v>422.16</v>
      </c>
      <c r="I4603" s="3">
        <f>SUM(Tabla1[[#This Row],[Monto_Base]],H4603)</f>
        <v>3669.5299999999997</v>
      </c>
      <c r="J4603" t="s">
        <v>5045</v>
      </c>
      <c r="K4603" t="s">
        <v>5049</v>
      </c>
      <c r="L4603" t="s">
        <v>5052</v>
      </c>
      <c r="M4603" t="s">
        <v>5055</v>
      </c>
    </row>
    <row r="4604" spans="1:13" x14ac:dyDescent="0.3">
      <c r="A4604" s="1">
        <v>45353</v>
      </c>
      <c r="B4604" s="1" t="str">
        <f>TEXT(Tabla1[[#This Row],[Fecha]],"MMMM")</f>
        <v>marzo</v>
      </c>
      <c r="C4604" t="s">
        <v>4614</v>
      </c>
      <c r="D4604" t="s">
        <v>5023</v>
      </c>
      <c r="E4604" t="s">
        <v>5032</v>
      </c>
      <c r="F4604" t="s">
        <v>5040</v>
      </c>
      <c r="G4604" s="3">
        <v>4819.37</v>
      </c>
      <c r="H4604" s="3">
        <v>0</v>
      </c>
      <c r="I4604" s="3">
        <f>SUM(Tabla1[[#This Row],[Monto_Base]],H4604)</f>
        <v>4819.37</v>
      </c>
      <c r="J4604" t="s">
        <v>5045</v>
      </c>
      <c r="K4604" t="s">
        <v>5049</v>
      </c>
      <c r="L4604" t="s">
        <v>5050</v>
      </c>
      <c r="M4604" t="s">
        <v>5054</v>
      </c>
    </row>
    <row r="4605" spans="1:13" x14ac:dyDescent="0.3">
      <c r="A4605" s="1">
        <v>45397</v>
      </c>
      <c r="B4605" s="1" t="str">
        <f>TEXT(Tabla1[[#This Row],[Fecha]],"MMMM")</f>
        <v>abril</v>
      </c>
      <c r="C4605" t="s">
        <v>4615</v>
      </c>
      <c r="D4605" t="s">
        <v>5022</v>
      </c>
      <c r="E4605" t="s">
        <v>5032</v>
      </c>
      <c r="F4605" t="s">
        <v>5034</v>
      </c>
      <c r="G4605" s="3">
        <v>9388.4500000000007</v>
      </c>
      <c r="H4605" s="3">
        <v>0</v>
      </c>
      <c r="I4605" s="3">
        <f>SUM(Tabla1[[#This Row],[Monto_Base]],H4605)</f>
        <v>9388.4500000000007</v>
      </c>
      <c r="J4605" t="s">
        <v>5045</v>
      </c>
      <c r="K4605" t="s">
        <v>5047</v>
      </c>
      <c r="L4605" t="s">
        <v>5052</v>
      </c>
      <c r="M4605" t="s">
        <v>5055</v>
      </c>
    </row>
    <row r="4606" spans="1:13" x14ac:dyDescent="0.3">
      <c r="A4606" s="1">
        <v>45384</v>
      </c>
      <c r="B4606" s="1" t="str">
        <f>TEXT(Tabla1[[#This Row],[Fecha]],"MMMM")</f>
        <v>abril</v>
      </c>
      <c r="C4606" t="s">
        <v>4616</v>
      </c>
      <c r="D4606" t="s">
        <v>5026</v>
      </c>
      <c r="E4606" t="s">
        <v>5032</v>
      </c>
      <c r="F4606" t="s">
        <v>5040</v>
      </c>
      <c r="G4606" s="3">
        <v>8841.39</v>
      </c>
      <c r="H4606" s="3">
        <v>0</v>
      </c>
      <c r="I4606" s="3">
        <f>SUM(Tabla1[[#This Row],[Monto_Base]],H4606)</f>
        <v>8841.39</v>
      </c>
      <c r="J4606" t="s">
        <v>5044</v>
      </c>
      <c r="K4606" t="s">
        <v>5047</v>
      </c>
      <c r="L4606" t="s">
        <v>5053</v>
      </c>
      <c r="M4606" t="s">
        <v>5055</v>
      </c>
    </row>
    <row r="4607" spans="1:13" x14ac:dyDescent="0.3">
      <c r="A4607" s="1">
        <v>45446</v>
      </c>
      <c r="B4607" s="1" t="str">
        <f>TEXT(Tabla1[[#This Row],[Fecha]],"MMMM")</f>
        <v>junio</v>
      </c>
      <c r="C4607" t="s">
        <v>4617</v>
      </c>
      <c r="D4607" t="s">
        <v>5025</v>
      </c>
      <c r="E4607" t="s">
        <v>5032</v>
      </c>
      <c r="F4607" t="s">
        <v>5040</v>
      </c>
      <c r="G4607" s="3">
        <v>4824.18</v>
      </c>
      <c r="H4607" s="3">
        <v>0</v>
      </c>
      <c r="I4607" s="3">
        <f>SUM(Tabla1[[#This Row],[Monto_Base]],H4607)</f>
        <v>4824.18</v>
      </c>
      <c r="J4607" t="s">
        <v>5042</v>
      </c>
      <c r="K4607" t="s">
        <v>5048</v>
      </c>
      <c r="L4607" t="s">
        <v>5052</v>
      </c>
      <c r="M4607" t="s">
        <v>5054</v>
      </c>
    </row>
    <row r="4608" spans="1:13" x14ac:dyDescent="0.3">
      <c r="A4608" s="1">
        <v>45493</v>
      </c>
      <c r="B4608" s="1" t="str">
        <f>TEXT(Tabla1[[#This Row],[Fecha]],"MMMM")</f>
        <v>julio</v>
      </c>
      <c r="C4608" t="s">
        <v>4618</v>
      </c>
      <c r="D4608" t="s">
        <v>5012</v>
      </c>
      <c r="E4608" t="s">
        <v>5032</v>
      </c>
      <c r="F4608" t="s">
        <v>5035</v>
      </c>
      <c r="G4608" s="3">
        <v>11774.03</v>
      </c>
      <c r="H4608" s="3">
        <v>0</v>
      </c>
      <c r="I4608" s="3">
        <f>SUM(Tabla1[[#This Row],[Monto_Base]],H4608)</f>
        <v>11774.03</v>
      </c>
      <c r="J4608" t="s">
        <v>5045</v>
      </c>
      <c r="K4608" t="s">
        <v>5048</v>
      </c>
      <c r="L4608" t="s">
        <v>5051</v>
      </c>
      <c r="M4608" t="s">
        <v>5055</v>
      </c>
    </row>
    <row r="4609" spans="1:13" x14ac:dyDescent="0.3">
      <c r="A4609" s="1">
        <v>45499</v>
      </c>
      <c r="B4609" s="1" t="str">
        <f>TEXT(Tabla1[[#This Row],[Fecha]],"MMMM")</f>
        <v>julio</v>
      </c>
      <c r="C4609" t="s">
        <v>4619</v>
      </c>
      <c r="D4609" t="s">
        <v>5023</v>
      </c>
      <c r="E4609" t="s">
        <v>5032</v>
      </c>
      <c r="F4609" t="s">
        <v>5036</v>
      </c>
      <c r="G4609" s="3">
        <v>809.36</v>
      </c>
      <c r="H4609" s="3">
        <v>0</v>
      </c>
      <c r="I4609" s="3">
        <f>SUM(Tabla1[[#This Row],[Monto_Base]],H4609)</f>
        <v>809.36</v>
      </c>
      <c r="J4609" t="s">
        <v>5045</v>
      </c>
      <c r="K4609" t="s">
        <v>5047</v>
      </c>
      <c r="L4609" t="s">
        <v>5050</v>
      </c>
      <c r="M4609" t="s">
        <v>5055</v>
      </c>
    </row>
    <row r="4610" spans="1:13" x14ac:dyDescent="0.3">
      <c r="A4610" s="1">
        <v>45332</v>
      </c>
      <c r="B4610" s="1" t="str">
        <f>TEXT(Tabla1[[#This Row],[Fecha]],"MMMM")</f>
        <v>febrero</v>
      </c>
      <c r="C4610" t="s">
        <v>4620</v>
      </c>
      <c r="D4610" t="s">
        <v>5027</v>
      </c>
      <c r="E4610" t="s">
        <v>5033</v>
      </c>
      <c r="F4610" t="s">
        <v>5040</v>
      </c>
      <c r="G4610" s="3">
        <v>2945.5</v>
      </c>
      <c r="H4610" s="3">
        <v>382.92</v>
      </c>
      <c r="I4610" s="3">
        <f>SUM(Tabla1[[#This Row],[Monto_Base]],H4610)</f>
        <v>3328.42</v>
      </c>
      <c r="J4610" t="s">
        <v>5043</v>
      </c>
      <c r="K4610" t="s">
        <v>5048</v>
      </c>
      <c r="L4610" t="s">
        <v>5050</v>
      </c>
      <c r="M4610" t="s">
        <v>5054</v>
      </c>
    </row>
    <row r="4611" spans="1:13" x14ac:dyDescent="0.3">
      <c r="A4611" s="1">
        <v>45529</v>
      </c>
      <c r="B4611" s="1" t="str">
        <f>TEXT(Tabla1[[#This Row],[Fecha]],"MMMM")</f>
        <v>agosto</v>
      </c>
      <c r="C4611" t="s">
        <v>4621</v>
      </c>
      <c r="D4611" t="s">
        <v>5021</v>
      </c>
      <c r="E4611" t="s">
        <v>5032</v>
      </c>
      <c r="F4611" t="s">
        <v>5040</v>
      </c>
      <c r="G4611" s="3">
        <v>5680.23</v>
      </c>
      <c r="H4611" s="3">
        <v>0</v>
      </c>
      <c r="I4611" s="3">
        <f>SUM(Tabla1[[#This Row],[Monto_Base]],H4611)</f>
        <v>5680.23</v>
      </c>
      <c r="J4611" t="s">
        <v>5042</v>
      </c>
      <c r="K4611" t="s">
        <v>5047</v>
      </c>
      <c r="L4611" t="s">
        <v>5053</v>
      </c>
      <c r="M4611" t="s">
        <v>5055</v>
      </c>
    </row>
    <row r="4612" spans="1:13" x14ac:dyDescent="0.3">
      <c r="A4612" s="1">
        <v>45462</v>
      </c>
      <c r="B4612" s="1" t="str">
        <f>TEXT(Tabla1[[#This Row],[Fecha]],"MMMM")</f>
        <v>junio</v>
      </c>
      <c r="C4612" t="s">
        <v>4622</v>
      </c>
      <c r="D4612" t="s">
        <v>5017</v>
      </c>
      <c r="E4612" t="s">
        <v>5032</v>
      </c>
      <c r="F4612" t="s">
        <v>5041</v>
      </c>
      <c r="G4612" s="3">
        <v>4955.7</v>
      </c>
      <c r="H4612" s="3">
        <v>0</v>
      </c>
      <c r="I4612" s="3">
        <f>SUM(Tabla1[[#This Row],[Monto_Base]],H4612)</f>
        <v>4955.7</v>
      </c>
      <c r="J4612" t="s">
        <v>5044</v>
      </c>
      <c r="K4612" t="s">
        <v>5048</v>
      </c>
      <c r="L4612" t="s">
        <v>5050</v>
      </c>
      <c r="M4612" t="s">
        <v>5054</v>
      </c>
    </row>
    <row r="4613" spans="1:13" x14ac:dyDescent="0.3">
      <c r="A4613" s="1">
        <v>45384</v>
      </c>
      <c r="B4613" s="1" t="str">
        <f>TEXT(Tabla1[[#This Row],[Fecha]],"MMMM")</f>
        <v>abril</v>
      </c>
      <c r="C4613" t="s">
        <v>4623</v>
      </c>
      <c r="D4613" t="s">
        <v>5016</v>
      </c>
      <c r="E4613" t="s">
        <v>5033</v>
      </c>
      <c r="F4613" t="s">
        <v>5038</v>
      </c>
      <c r="G4613" s="3">
        <v>11633.59</v>
      </c>
      <c r="H4613" s="3">
        <v>1512.37</v>
      </c>
      <c r="I4613" s="3">
        <f>SUM(Tabla1[[#This Row],[Monto_Base]],H4613)</f>
        <v>13145.96</v>
      </c>
      <c r="J4613" t="s">
        <v>5043</v>
      </c>
      <c r="K4613" t="s">
        <v>5047</v>
      </c>
      <c r="L4613" t="s">
        <v>5051</v>
      </c>
      <c r="M4613" t="s">
        <v>5054</v>
      </c>
    </row>
    <row r="4614" spans="1:13" x14ac:dyDescent="0.3">
      <c r="A4614" s="1">
        <v>45593</v>
      </c>
      <c r="B4614" s="1" t="str">
        <f>TEXT(Tabla1[[#This Row],[Fecha]],"MMMM")</f>
        <v>octubre</v>
      </c>
      <c r="C4614" t="s">
        <v>4624</v>
      </c>
      <c r="D4614" t="s">
        <v>5023</v>
      </c>
      <c r="E4614" t="s">
        <v>5033</v>
      </c>
      <c r="F4614" t="s">
        <v>5038</v>
      </c>
      <c r="G4614" s="3">
        <v>9139.61</v>
      </c>
      <c r="H4614" s="3">
        <v>1188.1500000000001</v>
      </c>
      <c r="I4614" s="3">
        <f>SUM(Tabla1[[#This Row],[Monto_Base]],H4614)</f>
        <v>10327.76</v>
      </c>
      <c r="J4614" t="s">
        <v>5043</v>
      </c>
      <c r="K4614" t="s">
        <v>5049</v>
      </c>
      <c r="L4614" t="s">
        <v>5050</v>
      </c>
      <c r="M4614" t="s">
        <v>5055</v>
      </c>
    </row>
    <row r="4615" spans="1:13" x14ac:dyDescent="0.3">
      <c r="A4615" s="1">
        <v>45556</v>
      </c>
      <c r="B4615" s="1" t="str">
        <f>TEXT(Tabla1[[#This Row],[Fecha]],"MMMM")</f>
        <v>septiembre</v>
      </c>
      <c r="C4615" t="s">
        <v>4625</v>
      </c>
      <c r="D4615" t="s">
        <v>5023</v>
      </c>
      <c r="E4615" t="s">
        <v>5033</v>
      </c>
      <c r="F4615" t="s">
        <v>5041</v>
      </c>
      <c r="G4615" s="3">
        <v>11379.09</v>
      </c>
      <c r="H4615" s="3">
        <v>1479.28</v>
      </c>
      <c r="I4615" s="3">
        <f>SUM(Tabla1[[#This Row],[Monto_Base]],H4615)</f>
        <v>12858.37</v>
      </c>
      <c r="J4615" t="s">
        <v>5042</v>
      </c>
      <c r="K4615" t="s">
        <v>5047</v>
      </c>
      <c r="L4615" t="s">
        <v>5051</v>
      </c>
      <c r="M4615" t="s">
        <v>5054</v>
      </c>
    </row>
    <row r="4616" spans="1:13" x14ac:dyDescent="0.3">
      <c r="A4616" s="1">
        <v>45448</v>
      </c>
      <c r="B4616" s="1" t="str">
        <f>TEXT(Tabla1[[#This Row],[Fecha]],"MMMM")</f>
        <v>junio</v>
      </c>
      <c r="C4616" t="s">
        <v>4626</v>
      </c>
      <c r="D4616" t="s">
        <v>5022</v>
      </c>
      <c r="E4616" t="s">
        <v>5033</v>
      </c>
      <c r="F4616" t="s">
        <v>5037</v>
      </c>
      <c r="G4616" s="3">
        <v>14717.87</v>
      </c>
      <c r="H4616" s="3">
        <v>1913.32</v>
      </c>
      <c r="I4616" s="3">
        <f>SUM(Tabla1[[#This Row],[Monto_Base]],H4616)</f>
        <v>16631.190000000002</v>
      </c>
      <c r="J4616" t="s">
        <v>5042</v>
      </c>
      <c r="K4616" t="s">
        <v>5048</v>
      </c>
      <c r="L4616" t="s">
        <v>5051</v>
      </c>
      <c r="M4616" t="s">
        <v>5055</v>
      </c>
    </row>
    <row r="4617" spans="1:13" x14ac:dyDescent="0.3">
      <c r="A4617" s="1">
        <v>45415</v>
      </c>
      <c r="B4617" s="1" t="str">
        <f>TEXT(Tabla1[[#This Row],[Fecha]],"MMMM")</f>
        <v>mayo</v>
      </c>
      <c r="C4617" t="s">
        <v>4627</v>
      </c>
      <c r="D4617" t="s">
        <v>5026</v>
      </c>
      <c r="E4617" t="s">
        <v>5032</v>
      </c>
      <c r="F4617" t="s">
        <v>5036</v>
      </c>
      <c r="G4617" s="3">
        <v>13621.97</v>
      </c>
      <c r="H4617" s="3">
        <v>0</v>
      </c>
      <c r="I4617" s="3">
        <f>SUM(Tabla1[[#This Row],[Monto_Base]],H4617)</f>
        <v>13621.97</v>
      </c>
      <c r="J4617" t="s">
        <v>5043</v>
      </c>
      <c r="K4617" t="s">
        <v>5049</v>
      </c>
      <c r="L4617" t="s">
        <v>5053</v>
      </c>
      <c r="M4617" t="s">
        <v>5054</v>
      </c>
    </row>
    <row r="4618" spans="1:13" x14ac:dyDescent="0.3">
      <c r="A4618" s="1">
        <v>45644</v>
      </c>
      <c r="B4618" s="1" t="str">
        <f>TEXT(Tabla1[[#This Row],[Fecha]],"MMMM")</f>
        <v>diciembre</v>
      </c>
      <c r="C4618" t="s">
        <v>4628</v>
      </c>
      <c r="D4618" t="s">
        <v>5031</v>
      </c>
      <c r="E4618" t="s">
        <v>5033</v>
      </c>
      <c r="F4618" t="s">
        <v>5035</v>
      </c>
      <c r="G4618" s="3">
        <v>9029.8700000000008</v>
      </c>
      <c r="H4618" s="3">
        <v>1173.8800000000001</v>
      </c>
      <c r="I4618" s="3">
        <f>SUM(Tabla1[[#This Row],[Monto_Base]],H4618)</f>
        <v>10203.75</v>
      </c>
      <c r="J4618" t="s">
        <v>5044</v>
      </c>
      <c r="K4618" t="s">
        <v>5048</v>
      </c>
      <c r="L4618" t="s">
        <v>5052</v>
      </c>
      <c r="M4618" t="s">
        <v>5054</v>
      </c>
    </row>
    <row r="4619" spans="1:13" x14ac:dyDescent="0.3">
      <c r="A4619" s="1">
        <v>45657</v>
      </c>
      <c r="B4619" s="1" t="str">
        <f>TEXT(Tabla1[[#This Row],[Fecha]],"MMMM")</f>
        <v>diciembre</v>
      </c>
      <c r="C4619" t="s">
        <v>4629</v>
      </c>
      <c r="D4619" t="s">
        <v>5013</v>
      </c>
      <c r="E4619" t="s">
        <v>5033</v>
      </c>
      <c r="F4619" t="s">
        <v>5038</v>
      </c>
      <c r="G4619" s="3">
        <v>14904.82</v>
      </c>
      <c r="H4619" s="3">
        <v>1937.63</v>
      </c>
      <c r="I4619" s="3">
        <f>SUM(Tabla1[[#This Row],[Monto_Base]],H4619)</f>
        <v>16842.45</v>
      </c>
      <c r="J4619" t="s">
        <v>5044</v>
      </c>
      <c r="K4619" t="s">
        <v>5048</v>
      </c>
      <c r="L4619" t="s">
        <v>5050</v>
      </c>
      <c r="M4619" t="s">
        <v>5054</v>
      </c>
    </row>
    <row r="4620" spans="1:13" x14ac:dyDescent="0.3">
      <c r="A4620" s="1">
        <v>45577</v>
      </c>
      <c r="B4620" s="1" t="str">
        <f>TEXT(Tabla1[[#This Row],[Fecha]],"MMMM")</f>
        <v>octubre</v>
      </c>
      <c r="C4620" t="s">
        <v>4630</v>
      </c>
      <c r="D4620" t="s">
        <v>5018</v>
      </c>
      <c r="E4620" t="s">
        <v>5033</v>
      </c>
      <c r="F4620" t="s">
        <v>5040</v>
      </c>
      <c r="G4620" s="3">
        <v>6046.08</v>
      </c>
      <c r="H4620" s="3">
        <v>785.99</v>
      </c>
      <c r="I4620" s="3">
        <f>SUM(Tabla1[[#This Row],[Monto_Base]],H4620)</f>
        <v>6832.07</v>
      </c>
      <c r="J4620" t="s">
        <v>5043</v>
      </c>
      <c r="K4620" t="s">
        <v>5047</v>
      </c>
      <c r="L4620" t="s">
        <v>5052</v>
      </c>
      <c r="M4620" t="s">
        <v>5054</v>
      </c>
    </row>
    <row r="4621" spans="1:13" x14ac:dyDescent="0.3">
      <c r="A4621" s="1">
        <v>45561</v>
      </c>
      <c r="B4621" s="1" t="str">
        <f>TEXT(Tabla1[[#This Row],[Fecha]],"MMMM")</f>
        <v>septiembre</v>
      </c>
      <c r="C4621" t="s">
        <v>4631</v>
      </c>
      <c r="D4621" t="s">
        <v>5024</v>
      </c>
      <c r="E4621" t="s">
        <v>5032</v>
      </c>
      <c r="F4621" t="s">
        <v>5040</v>
      </c>
      <c r="G4621" s="3">
        <v>6728.84</v>
      </c>
      <c r="H4621" s="3">
        <v>0</v>
      </c>
      <c r="I4621" s="3">
        <f>SUM(Tabla1[[#This Row],[Monto_Base]],H4621)</f>
        <v>6728.84</v>
      </c>
      <c r="J4621" t="s">
        <v>5046</v>
      </c>
      <c r="K4621" t="s">
        <v>5048</v>
      </c>
      <c r="L4621" t="s">
        <v>5053</v>
      </c>
      <c r="M4621" t="s">
        <v>5055</v>
      </c>
    </row>
    <row r="4622" spans="1:13" x14ac:dyDescent="0.3">
      <c r="A4622" s="1">
        <v>45540</v>
      </c>
      <c r="B4622" s="1" t="str">
        <f>TEXT(Tabla1[[#This Row],[Fecha]],"MMMM")</f>
        <v>septiembre</v>
      </c>
      <c r="C4622" t="s">
        <v>4632</v>
      </c>
      <c r="D4622" t="s">
        <v>5012</v>
      </c>
      <c r="E4622" t="s">
        <v>5032</v>
      </c>
      <c r="F4622" t="s">
        <v>5036</v>
      </c>
      <c r="G4622" s="3">
        <v>3580.34</v>
      </c>
      <c r="H4622" s="3">
        <v>0</v>
      </c>
      <c r="I4622" s="3">
        <f>SUM(Tabla1[[#This Row],[Monto_Base]],H4622)</f>
        <v>3580.34</v>
      </c>
      <c r="J4622" t="s">
        <v>5043</v>
      </c>
      <c r="K4622" t="s">
        <v>5048</v>
      </c>
      <c r="L4622" t="s">
        <v>5050</v>
      </c>
      <c r="M4622" t="s">
        <v>5055</v>
      </c>
    </row>
    <row r="4623" spans="1:13" x14ac:dyDescent="0.3">
      <c r="A4623" s="1">
        <v>45359</v>
      </c>
      <c r="B4623" s="1" t="str">
        <f>TEXT(Tabla1[[#This Row],[Fecha]],"MMMM")</f>
        <v>marzo</v>
      </c>
      <c r="C4623" t="s">
        <v>4633</v>
      </c>
      <c r="D4623" t="s">
        <v>5014</v>
      </c>
      <c r="E4623" t="s">
        <v>5033</v>
      </c>
      <c r="F4623" t="s">
        <v>5039</v>
      </c>
      <c r="G4623" s="3">
        <v>10806.72</v>
      </c>
      <c r="H4623" s="3">
        <v>1404.87</v>
      </c>
      <c r="I4623" s="3">
        <f>SUM(Tabla1[[#This Row],[Monto_Base]],H4623)</f>
        <v>12211.59</v>
      </c>
      <c r="J4623" t="s">
        <v>5044</v>
      </c>
      <c r="K4623" t="s">
        <v>5049</v>
      </c>
      <c r="L4623" t="s">
        <v>5050</v>
      </c>
      <c r="M4623" t="s">
        <v>5055</v>
      </c>
    </row>
    <row r="4624" spans="1:13" x14ac:dyDescent="0.3">
      <c r="A4624" s="1">
        <v>45460</v>
      </c>
      <c r="B4624" s="1" t="str">
        <f>TEXT(Tabla1[[#This Row],[Fecha]],"MMMM")</f>
        <v>junio</v>
      </c>
      <c r="C4624" t="s">
        <v>4634</v>
      </c>
      <c r="D4624" t="s">
        <v>5018</v>
      </c>
      <c r="E4624" t="s">
        <v>5033</v>
      </c>
      <c r="F4624" t="s">
        <v>5037</v>
      </c>
      <c r="G4624" s="3">
        <v>7101.21</v>
      </c>
      <c r="H4624" s="3">
        <v>923.16</v>
      </c>
      <c r="I4624" s="3">
        <f>SUM(Tabla1[[#This Row],[Monto_Base]],H4624)</f>
        <v>8024.37</v>
      </c>
      <c r="J4624" t="s">
        <v>5043</v>
      </c>
      <c r="K4624" t="s">
        <v>5049</v>
      </c>
      <c r="L4624" t="s">
        <v>5053</v>
      </c>
      <c r="M4624" t="s">
        <v>5054</v>
      </c>
    </row>
    <row r="4625" spans="1:13" x14ac:dyDescent="0.3">
      <c r="A4625" s="1">
        <v>45304</v>
      </c>
      <c r="B4625" s="1" t="str">
        <f>TEXT(Tabla1[[#This Row],[Fecha]],"MMMM")</f>
        <v>enero</v>
      </c>
      <c r="C4625" t="s">
        <v>4635</v>
      </c>
      <c r="D4625" t="s">
        <v>5031</v>
      </c>
      <c r="E4625" t="s">
        <v>5032</v>
      </c>
      <c r="F4625" t="s">
        <v>5040</v>
      </c>
      <c r="G4625" s="3">
        <v>3996.38</v>
      </c>
      <c r="H4625" s="3">
        <v>0</v>
      </c>
      <c r="I4625" s="3">
        <f>SUM(Tabla1[[#This Row],[Monto_Base]],H4625)</f>
        <v>3996.38</v>
      </c>
      <c r="J4625" t="s">
        <v>5046</v>
      </c>
      <c r="K4625" t="s">
        <v>5049</v>
      </c>
      <c r="L4625" t="s">
        <v>5051</v>
      </c>
      <c r="M4625" t="s">
        <v>5055</v>
      </c>
    </row>
    <row r="4626" spans="1:13" x14ac:dyDescent="0.3">
      <c r="A4626" s="1">
        <v>45520</v>
      </c>
      <c r="B4626" s="1" t="str">
        <f>TEXT(Tabla1[[#This Row],[Fecha]],"MMMM")</f>
        <v>agosto</v>
      </c>
      <c r="C4626" t="s">
        <v>4636</v>
      </c>
      <c r="D4626" t="s">
        <v>5023</v>
      </c>
      <c r="E4626" t="s">
        <v>5033</v>
      </c>
      <c r="F4626" t="s">
        <v>5037</v>
      </c>
      <c r="G4626" s="3">
        <v>12614.8</v>
      </c>
      <c r="H4626" s="3">
        <v>1639.92</v>
      </c>
      <c r="I4626" s="3">
        <f>SUM(Tabla1[[#This Row],[Monto_Base]],H4626)</f>
        <v>14254.72</v>
      </c>
      <c r="J4626" t="s">
        <v>5043</v>
      </c>
      <c r="K4626" t="s">
        <v>5049</v>
      </c>
      <c r="L4626" t="s">
        <v>5051</v>
      </c>
      <c r="M4626" t="s">
        <v>5054</v>
      </c>
    </row>
    <row r="4627" spans="1:13" x14ac:dyDescent="0.3">
      <c r="A4627" s="1">
        <v>45571</v>
      </c>
      <c r="B4627" s="1" t="str">
        <f>TEXT(Tabla1[[#This Row],[Fecha]],"MMMM")</f>
        <v>octubre</v>
      </c>
      <c r="C4627" t="s">
        <v>4637</v>
      </c>
      <c r="D4627" t="s">
        <v>5027</v>
      </c>
      <c r="E4627" t="s">
        <v>5032</v>
      </c>
      <c r="F4627" t="s">
        <v>5041</v>
      </c>
      <c r="G4627" s="3">
        <v>4079.57</v>
      </c>
      <c r="H4627" s="3">
        <v>0</v>
      </c>
      <c r="I4627" s="3">
        <f>SUM(Tabla1[[#This Row],[Monto_Base]],H4627)</f>
        <v>4079.57</v>
      </c>
      <c r="J4627" t="s">
        <v>5042</v>
      </c>
      <c r="K4627" t="s">
        <v>5048</v>
      </c>
      <c r="L4627" t="s">
        <v>5050</v>
      </c>
      <c r="M4627" t="s">
        <v>5054</v>
      </c>
    </row>
    <row r="4628" spans="1:13" x14ac:dyDescent="0.3">
      <c r="A4628" s="1">
        <v>45332</v>
      </c>
      <c r="B4628" s="1" t="str">
        <f>TEXT(Tabla1[[#This Row],[Fecha]],"MMMM")</f>
        <v>febrero</v>
      </c>
      <c r="C4628" t="s">
        <v>4638</v>
      </c>
      <c r="D4628" t="s">
        <v>5016</v>
      </c>
      <c r="E4628" t="s">
        <v>5032</v>
      </c>
      <c r="F4628" t="s">
        <v>5034</v>
      </c>
      <c r="G4628" s="3">
        <v>8494.43</v>
      </c>
      <c r="H4628" s="3">
        <v>0</v>
      </c>
      <c r="I4628" s="3">
        <f>SUM(Tabla1[[#This Row],[Monto_Base]],H4628)</f>
        <v>8494.43</v>
      </c>
      <c r="J4628" t="s">
        <v>5044</v>
      </c>
      <c r="K4628" t="s">
        <v>5047</v>
      </c>
      <c r="L4628" t="s">
        <v>5052</v>
      </c>
      <c r="M4628" t="s">
        <v>5055</v>
      </c>
    </row>
    <row r="4629" spans="1:13" x14ac:dyDescent="0.3">
      <c r="A4629" s="1">
        <v>45441</v>
      </c>
      <c r="B4629" s="1" t="str">
        <f>TEXT(Tabla1[[#This Row],[Fecha]],"MMMM")</f>
        <v>mayo</v>
      </c>
      <c r="C4629" t="s">
        <v>4639</v>
      </c>
      <c r="D4629" t="s">
        <v>5031</v>
      </c>
      <c r="E4629" t="s">
        <v>5032</v>
      </c>
      <c r="F4629" t="s">
        <v>5035</v>
      </c>
      <c r="G4629" s="3">
        <v>10320.629999999999</v>
      </c>
      <c r="H4629" s="3">
        <v>0</v>
      </c>
      <c r="I4629" s="3">
        <f>SUM(Tabla1[[#This Row],[Monto_Base]],H4629)</f>
        <v>10320.629999999999</v>
      </c>
      <c r="J4629" t="s">
        <v>5044</v>
      </c>
      <c r="K4629" t="s">
        <v>5048</v>
      </c>
      <c r="L4629" t="s">
        <v>5051</v>
      </c>
      <c r="M4629" t="s">
        <v>5054</v>
      </c>
    </row>
    <row r="4630" spans="1:13" x14ac:dyDescent="0.3">
      <c r="A4630" s="1">
        <v>45431</v>
      </c>
      <c r="B4630" s="1" t="str">
        <f>TEXT(Tabla1[[#This Row],[Fecha]],"MMMM")</f>
        <v>mayo</v>
      </c>
      <c r="C4630" t="s">
        <v>4640</v>
      </c>
      <c r="D4630" t="s">
        <v>5022</v>
      </c>
      <c r="E4630" t="s">
        <v>5032</v>
      </c>
      <c r="F4630" t="s">
        <v>5039</v>
      </c>
      <c r="G4630" s="3">
        <v>5466.4</v>
      </c>
      <c r="H4630" s="3">
        <v>0</v>
      </c>
      <c r="I4630" s="3">
        <f>SUM(Tabla1[[#This Row],[Monto_Base]],H4630)</f>
        <v>5466.4</v>
      </c>
      <c r="J4630" t="s">
        <v>5044</v>
      </c>
      <c r="K4630" t="s">
        <v>5049</v>
      </c>
      <c r="L4630" t="s">
        <v>5052</v>
      </c>
      <c r="M4630" t="s">
        <v>5055</v>
      </c>
    </row>
    <row r="4631" spans="1:13" x14ac:dyDescent="0.3">
      <c r="A4631" s="1">
        <v>45624</v>
      </c>
      <c r="B4631" s="1" t="str">
        <f>TEXT(Tabla1[[#This Row],[Fecha]],"MMMM")</f>
        <v>noviembre</v>
      </c>
      <c r="C4631" t="s">
        <v>4641</v>
      </c>
      <c r="D4631" t="s">
        <v>5030</v>
      </c>
      <c r="E4631" t="s">
        <v>5033</v>
      </c>
      <c r="F4631" t="s">
        <v>5040</v>
      </c>
      <c r="G4631" s="3">
        <v>3825.55</v>
      </c>
      <c r="H4631" s="3">
        <v>497.32</v>
      </c>
      <c r="I4631" s="3">
        <f>SUM(Tabla1[[#This Row],[Monto_Base]],H4631)</f>
        <v>4322.87</v>
      </c>
      <c r="J4631" t="s">
        <v>5046</v>
      </c>
      <c r="K4631" t="s">
        <v>5049</v>
      </c>
      <c r="L4631" t="s">
        <v>5050</v>
      </c>
      <c r="M4631" t="s">
        <v>5055</v>
      </c>
    </row>
    <row r="4632" spans="1:13" x14ac:dyDescent="0.3">
      <c r="A4632" s="1">
        <v>45417</v>
      </c>
      <c r="B4632" s="1" t="str">
        <f>TEXT(Tabla1[[#This Row],[Fecha]],"MMMM")</f>
        <v>mayo</v>
      </c>
      <c r="C4632" t="s">
        <v>4642</v>
      </c>
      <c r="D4632" t="s">
        <v>5018</v>
      </c>
      <c r="E4632" t="s">
        <v>5032</v>
      </c>
      <c r="F4632" t="s">
        <v>5036</v>
      </c>
      <c r="G4632" s="3">
        <v>13087.65</v>
      </c>
      <c r="H4632" s="3">
        <v>0</v>
      </c>
      <c r="I4632" s="3">
        <f>SUM(Tabla1[[#This Row],[Monto_Base]],H4632)</f>
        <v>13087.65</v>
      </c>
      <c r="J4632" t="s">
        <v>5042</v>
      </c>
      <c r="K4632" t="s">
        <v>5047</v>
      </c>
      <c r="L4632" t="s">
        <v>5051</v>
      </c>
      <c r="M4632" t="s">
        <v>5055</v>
      </c>
    </row>
    <row r="4633" spans="1:13" x14ac:dyDescent="0.3">
      <c r="A4633" s="1">
        <v>45307</v>
      </c>
      <c r="B4633" s="1" t="str">
        <f>TEXT(Tabla1[[#This Row],[Fecha]],"MMMM")</f>
        <v>enero</v>
      </c>
      <c r="C4633" t="s">
        <v>4643</v>
      </c>
      <c r="D4633" t="s">
        <v>5017</v>
      </c>
      <c r="E4633" t="s">
        <v>5032</v>
      </c>
      <c r="F4633" t="s">
        <v>5039</v>
      </c>
      <c r="G4633" s="3">
        <v>14724.65</v>
      </c>
      <c r="H4633" s="3">
        <v>0</v>
      </c>
      <c r="I4633" s="3">
        <f>SUM(Tabla1[[#This Row],[Monto_Base]],H4633)</f>
        <v>14724.65</v>
      </c>
      <c r="J4633" t="s">
        <v>5046</v>
      </c>
      <c r="K4633" t="s">
        <v>5048</v>
      </c>
      <c r="L4633" t="s">
        <v>5050</v>
      </c>
      <c r="M4633" t="s">
        <v>5054</v>
      </c>
    </row>
    <row r="4634" spans="1:13" x14ac:dyDescent="0.3">
      <c r="A4634" s="1">
        <v>45292</v>
      </c>
      <c r="B4634" s="1" t="str">
        <f>TEXT(Tabla1[[#This Row],[Fecha]],"MMMM")</f>
        <v>enero</v>
      </c>
      <c r="C4634" t="s">
        <v>4644</v>
      </c>
      <c r="D4634" t="s">
        <v>5023</v>
      </c>
      <c r="E4634" t="s">
        <v>5032</v>
      </c>
      <c r="F4634" t="s">
        <v>5041</v>
      </c>
      <c r="G4634" s="3">
        <v>7230.62</v>
      </c>
      <c r="H4634" s="3">
        <v>0</v>
      </c>
      <c r="I4634" s="3">
        <f>SUM(Tabla1[[#This Row],[Monto_Base]],H4634)</f>
        <v>7230.62</v>
      </c>
      <c r="J4634" t="s">
        <v>5043</v>
      </c>
      <c r="K4634" t="s">
        <v>5048</v>
      </c>
      <c r="L4634" t="s">
        <v>5053</v>
      </c>
      <c r="M4634" t="s">
        <v>5054</v>
      </c>
    </row>
    <row r="4635" spans="1:13" x14ac:dyDescent="0.3">
      <c r="A4635" s="1">
        <v>45493</v>
      </c>
      <c r="B4635" s="1" t="str">
        <f>TEXT(Tabla1[[#This Row],[Fecha]],"MMMM")</f>
        <v>julio</v>
      </c>
      <c r="C4635" t="s">
        <v>4645</v>
      </c>
      <c r="D4635" t="s">
        <v>5031</v>
      </c>
      <c r="E4635" t="s">
        <v>5033</v>
      </c>
      <c r="F4635" t="s">
        <v>5039</v>
      </c>
      <c r="G4635" s="3">
        <v>14777.67</v>
      </c>
      <c r="H4635" s="3">
        <v>1921.1</v>
      </c>
      <c r="I4635" s="3">
        <f>SUM(Tabla1[[#This Row],[Monto_Base]],H4635)</f>
        <v>16698.77</v>
      </c>
      <c r="J4635" t="s">
        <v>5043</v>
      </c>
      <c r="K4635" t="s">
        <v>5049</v>
      </c>
      <c r="L4635" t="s">
        <v>5050</v>
      </c>
      <c r="M4635" t="s">
        <v>5055</v>
      </c>
    </row>
    <row r="4636" spans="1:13" x14ac:dyDescent="0.3">
      <c r="A4636" s="1">
        <v>45326</v>
      </c>
      <c r="B4636" s="1" t="str">
        <f>TEXT(Tabla1[[#This Row],[Fecha]],"MMMM")</f>
        <v>febrero</v>
      </c>
      <c r="C4636" t="s">
        <v>4646</v>
      </c>
      <c r="D4636" t="s">
        <v>5024</v>
      </c>
      <c r="E4636" t="s">
        <v>5033</v>
      </c>
      <c r="F4636" t="s">
        <v>5041</v>
      </c>
      <c r="G4636" s="3">
        <v>11676.72</v>
      </c>
      <c r="H4636" s="3">
        <v>1517.97</v>
      </c>
      <c r="I4636" s="3">
        <f>SUM(Tabla1[[#This Row],[Monto_Base]],H4636)</f>
        <v>13194.689999999999</v>
      </c>
      <c r="J4636" t="s">
        <v>5042</v>
      </c>
      <c r="K4636" t="s">
        <v>5048</v>
      </c>
      <c r="L4636" t="s">
        <v>5052</v>
      </c>
      <c r="M4636" t="s">
        <v>5055</v>
      </c>
    </row>
    <row r="4637" spans="1:13" x14ac:dyDescent="0.3">
      <c r="A4637" s="1">
        <v>45411</v>
      </c>
      <c r="B4637" s="1" t="str">
        <f>TEXT(Tabla1[[#This Row],[Fecha]],"MMMM")</f>
        <v>abril</v>
      </c>
      <c r="C4637" t="s">
        <v>4647</v>
      </c>
      <c r="D4637" t="s">
        <v>5025</v>
      </c>
      <c r="E4637" t="s">
        <v>5032</v>
      </c>
      <c r="F4637" t="s">
        <v>5036</v>
      </c>
      <c r="G4637" s="3">
        <v>6086.13</v>
      </c>
      <c r="H4637" s="3">
        <v>0</v>
      </c>
      <c r="I4637" s="3">
        <f>SUM(Tabla1[[#This Row],[Monto_Base]],H4637)</f>
        <v>6086.13</v>
      </c>
      <c r="J4637" t="s">
        <v>5046</v>
      </c>
      <c r="K4637" t="s">
        <v>5049</v>
      </c>
      <c r="L4637" t="s">
        <v>5050</v>
      </c>
      <c r="M4637" t="s">
        <v>5054</v>
      </c>
    </row>
    <row r="4638" spans="1:13" x14ac:dyDescent="0.3">
      <c r="A4638" s="1">
        <v>45501</v>
      </c>
      <c r="B4638" s="1" t="str">
        <f>TEXT(Tabla1[[#This Row],[Fecha]],"MMMM")</f>
        <v>julio</v>
      </c>
      <c r="C4638" t="s">
        <v>4648</v>
      </c>
      <c r="D4638" t="s">
        <v>5017</v>
      </c>
      <c r="E4638" t="s">
        <v>5033</v>
      </c>
      <c r="F4638" t="s">
        <v>5034</v>
      </c>
      <c r="G4638" s="3">
        <v>2179.08</v>
      </c>
      <c r="H4638" s="3">
        <v>283.27999999999997</v>
      </c>
      <c r="I4638" s="3">
        <f>SUM(Tabla1[[#This Row],[Monto_Base]],H4638)</f>
        <v>2462.3599999999997</v>
      </c>
      <c r="J4638" t="s">
        <v>5046</v>
      </c>
      <c r="K4638" t="s">
        <v>5048</v>
      </c>
      <c r="L4638" t="s">
        <v>5050</v>
      </c>
      <c r="M4638" t="s">
        <v>5055</v>
      </c>
    </row>
    <row r="4639" spans="1:13" x14ac:dyDescent="0.3">
      <c r="A4639" s="1">
        <v>45433</v>
      </c>
      <c r="B4639" s="1" t="str">
        <f>TEXT(Tabla1[[#This Row],[Fecha]],"MMMM")</f>
        <v>mayo</v>
      </c>
      <c r="C4639" t="s">
        <v>4649</v>
      </c>
      <c r="D4639" t="s">
        <v>5031</v>
      </c>
      <c r="E4639" t="s">
        <v>5032</v>
      </c>
      <c r="F4639" t="s">
        <v>5037</v>
      </c>
      <c r="G4639" s="3">
        <v>5977.78</v>
      </c>
      <c r="H4639" s="3">
        <v>0</v>
      </c>
      <c r="I4639" s="3">
        <f>SUM(Tabla1[[#This Row],[Monto_Base]],H4639)</f>
        <v>5977.78</v>
      </c>
      <c r="J4639" t="s">
        <v>5042</v>
      </c>
      <c r="K4639" t="s">
        <v>5048</v>
      </c>
      <c r="L4639" t="s">
        <v>5050</v>
      </c>
      <c r="M4639" t="s">
        <v>5054</v>
      </c>
    </row>
    <row r="4640" spans="1:13" x14ac:dyDescent="0.3">
      <c r="A4640" s="1">
        <v>45419</v>
      </c>
      <c r="B4640" s="1" t="str">
        <f>TEXT(Tabla1[[#This Row],[Fecha]],"MMMM")</f>
        <v>mayo</v>
      </c>
      <c r="C4640" t="s">
        <v>4650</v>
      </c>
      <c r="D4640" t="s">
        <v>5024</v>
      </c>
      <c r="E4640" t="s">
        <v>5032</v>
      </c>
      <c r="F4640" t="s">
        <v>5038</v>
      </c>
      <c r="G4640" s="3">
        <v>4071.91</v>
      </c>
      <c r="H4640" s="3">
        <v>0</v>
      </c>
      <c r="I4640" s="3">
        <f>SUM(Tabla1[[#This Row],[Monto_Base]],H4640)</f>
        <v>4071.91</v>
      </c>
      <c r="J4640" t="s">
        <v>5044</v>
      </c>
      <c r="K4640" t="s">
        <v>5049</v>
      </c>
      <c r="L4640" t="s">
        <v>5051</v>
      </c>
      <c r="M4640" t="s">
        <v>5055</v>
      </c>
    </row>
    <row r="4641" spans="1:13" x14ac:dyDescent="0.3">
      <c r="A4641" s="1">
        <v>45316</v>
      </c>
      <c r="B4641" s="1" t="str">
        <f>TEXT(Tabla1[[#This Row],[Fecha]],"MMMM")</f>
        <v>enero</v>
      </c>
      <c r="C4641" t="s">
        <v>4651</v>
      </c>
      <c r="D4641" t="s">
        <v>5026</v>
      </c>
      <c r="E4641" t="s">
        <v>5033</v>
      </c>
      <c r="F4641" t="s">
        <v>5041</v>
      </c>
      <c r="G4641" s="3">
        <v>5735.34</v>
      </c>
      <c r="H4641" s="3">
        <v>745.59</v>
      </c>
      <c r="I4641" s="3">
        <f>SUM(Tabla1[[#This Row],[Monto_Base]],H4641)</f>
        <v>6480.93</v>
      </c>
      <c r="J4641" t="s">
        <v>5042</v>
      </c>
      <c r="K4641" t="s">
        <v>5049</v>
      </c>
      <c r="L4641" t="s">
        <v>5053</v>
      </c>
      <c r="M4641" t="s">
        <v>5054</v>
      </c>
    </row>
    <row r="4642" spans="1:13" x14ac:dyDescent="0.3">
      <c r="A4642" s="1">
        <v>45375</v>
      </c>
      <c r="B4642" s="1" t="str">
        <f>TEXT(Tabla1[[#This Row],[Fecha]],"MMMM")</f>
        <v>marzo</v>
      </c>
      <c r="C4642" t="s">
        <v>4652</v>
      </c>
      <c r="D4642" t="s">
        <v>5023</v>
      </c>
      <c r="E4642" t="s">
        <v>5033</v>
      </c>
      <c r="F4642" t="s">
        <v>5038</v>
      </c>
      <c r="G4642" s="3">
        <v>13772.42</v>
      </c>
      <c r="H4642" s="3">
        <v>1790.41</v>
      </c>
      <c r="I4642" s="3">
        <f>SUM(Tabla1[[#This Row],[Monto_Base]],H4642)</f>
        <v>15562.83</v>
      </c>
      <c r="J4642" t="s">
        <v>5042</v>
      </c>
      <c r="K4642" t="s">
        <v>5047</v>
      </c>
      <c r="L4642" t="s">
        <v>5053</v>
      </c>
      <c r="M4642" t="s">
        <v>5054</v>
      </c>
    </row>
    <row r="4643" spans="1:13" x14ac:dyDescent="0.3">
      <c r="A4643" s="1">
        <v>45439</v>
      </c>
      <c r="B4643" s="1" t="str">
        <f>TEXT(Tabla1[[#This Row],[Fecha]],"MMMM")</f>
        <v>mayo</v>
      </c>
      <c r="C4643" t="s">
        <v>4653</v>
      </c>
      <c r="D4643" t="s">
        <v>5015</v>
      </c>
      <c r="E4643" t="s">
        <v>5033</v>
      </c>
      <c r="F4643" t="s">
        <v>5037</v>
      </c>
      <c r="G4643" s="3">
        <v>4854.12</v>
      </c>
      <c r="H4643" s="3">
        <v>631.04</v>
      </c>
      <c r="I4643" s="3">
        <f>SUM(Tabla1[[#This Row],[Monto_Base]],H4643)</f>
        <v>5485.16</v>
      </c>
      <c r="J4643" t="s">
        <v>5044</v>
      </c>
      <c r="K4643" t="s">
        <v>5048</v>
      </c>
      <c r="L4643" t="s">
        <v>5050</v>
      </c>
      <c r="M4643" t="s">
        <v>5055</v>
      </c>
    </row>
    <row r="4644" spans="1:13" x14ac:dyDescent="0.3">
      <c r="A4644" s="1">
        <v>45388</v>
      </c>
      <c r="B4644" s="1" t="str">
        <f>TEXT(Tabla1[[#This Row],[Fecha]],"MMMM")</f>
        <v>abril</v>
      </c>
      <c r="C4644" t="s">
        <v>4654</v>
      </c>
      <c r="D4644" t="s">
        <v>5012</v>
      </c>
      <c r="E4644" t="s">
        <v>5033</v>
      </c>
      <c r="F4644" t="s">
        <v>5039</v>
      </c>
      <c r="G4644" s="3">
        <v>13154.49</v>
      </c>
      <c r="H4644" s="3">
        <v>1710.08</v>
      </c>
      <c r="I4644" s="3">
        <f>SUM(Tabla1[[#This Row],[Monto_Base]],H4644)</f>
        <v>14864.57</v>
      </c>
      <c r="J4644" t="s">
        <v>5045</v>
      </c>
      <c r="K4644" t="s">
        <v>5048</v>
      </c>
      <c r="L4644" t="s">
        <v>5052</v>
      </c>
      <c r="M4644" t="s">
        <v>5055</v>
      </c>
    </row>
    <row r="4645" spans="1:13" x14ac:dyDescent="0.3">
      <c r="A4645" s="1">
        <v>45459</v>
      </c>
      <c r="B4645" s="1" t="str">
        <f>TEXT(Tabla1[[#This Row],[Fecha]],"MMMM")</f>
        <v>junio</v>
      </c>
      <c r="C4645" t="s">
        <v>4655</v>
      </c>
      <c r="D4645" t="s">
        <v>5021</v>
      </c>
      <c r="E4645" t="s">
        <v>5033</v>
      </c>
      <c r="F4645" t="s">
        <v>5040</v>
      </c>
      <c r="G4645" s="3">
        <v>9577.1</v>
      </c>
      <c r="H4645" s="3">
        <v>1245.02</v>
      </c>
      <c r="I4645" s="3">
        <f>SUM(Tabla1[[#This Row],[Monto_Base]],H4645)</f>
        <v>10822.12</v>
      </c>
      <c r="J4645" t="s">
        <v>5042</v>
      </c>
      <c r="K4645" t="s">
        <v>5049</v>
      </c>
      <c r="L4645" t="s">
        <v>5051</v>
      </c>
      <c r="M4645" t="s">
        <v>5054</v>
      </c>
    </row>
    <row r="4646" spans="1:13" x14ac:dyDescent="0.3">
      <c r="A4646" s="1">
        <v>45381</v>
      </c>
      <c r="B4646" s="1" t="str">
        <f>TEXT(Tabla1[[#This Row],[Fecha]],"MMMM")</f>
        <v>marzo</v>
      </c>
      <c r="C4646" t="s">
        <v>4656</v>
      </c>
      <c r="D4646" t="s">
        <v>5019</v>
      </c>
      <c r="E4646" t="s">
        <v>5032</v>
      </c>
      <c r="F4646" t="s">
        <v>5036</v>
      </c>
      <c r="G4646" s="3">
        <v>9792.2199999999993</v>
      </c>
      <c r="H4646" s="3">
        <v>0</v>
      </c>
      <c r="I4646" s="3">
        <f>SUM(Tabla1[[#This Row],[Monto_Base]],H4646)</f>
        <v>9792.2199999999993</v>
      </c>
      <c r="J4646" t="s">
        <v>5043</v>
      </c>
      <c r="K4646" t="s">
        <v>5048</v>
      </c>
      <c r="L4646" t="s">
        <v>5052</v>
      </c>
      <c r="M4646" t="s">
        <v>5054</v>
      </c>
    </row>
    <row r="4647" spans="1:13" x14ac:dyDescent="0.3">
      <c r="A4647" s="1">
        <v>45607</v>
      </c>
      <c r="B4647" s="1" t="str">
        <f>TEXT(Tabla1[[#This Row],[Fecha]],"MMMM")</f>
        <v>noviembre</v>
      </c>
      <c r="C4647" t="s">
        <v>4657</v>
      </c>
      <c r="D4647" t="s">
        <v>5017</v>
      </c>
      <c r="E4647" t="s">
        <v>5032</v>
      </c>
      <c r="F4647" t="s">
        <v>5037</v>
      </c>
      <c r="G4647" s="3">
        <v>14082.77</v>
      </c>
      <c r="H4647" s="3">
        <v>0</v>
      </c>
      <c r="I4647" s="3">
        <f>SUM(Tabla1[[#This Row],[Monto_Base]],H4647)</f>
        <v>14082.77</v>
      </c>
      <c r="J4647" t="s">
        <v>5044</v>
      </c>
      <c r="K4647" t="s">
        <v>5047</v>
      </c>
      <c r="L4647" t="s">
        <v>5053</v>
      </c>
      <c r="M4647" t="s">
        <v>5054</v>
      </c>
    </row>
    <row r="4648" spans="1:13" x14ac:dyDescent="0.3">
      <c r="A4648" s="1">
        <v>45485</v>
      </c>
      <c r="B4648" s="1" t="str">
        <f>TEXT(Tabla1[[#This Row],[Fecha]],"MMMM")</f>
        <v>julio</v>
      </c>
      <c r="C4648" t="s">
        <v>4658</v>
      </c>
      <c r="D4648" t="s">
        <v>5029</v>
      </c>
      <c r="E4648" t="s">
        <v>5032</v>
      </c>
      <c r="F4648" t="s">
        <v>5041</v>
      </c>
      <c r="G4648" s="3">
        <v>5936.39</v>
      </c>
      <c r="H4648" s="3">
        <v>0</v>
      </c>
      <c r="I4648" s="3">
        <f>SUM(Tabla1[[#This Row],[Monto_Base]],H4648)</f>
        <v>5936.39</v>
      </c>
      <c r="J4648" t="s">
        <v>5045</v>
      </c>
      <c r="K4648" t="s">
        <v>5048</v>
      </c>
      <c r="L4648" t="s">
        <v>5052</v>
      </c>
      <c r="M4648" t="s">
        <v>5055</v>
      </c>
    </row>
    <row r="4649" spans="1:13" x14ac:dyDescent="0.3">
      <c r="A4649" s="1">
        <v>45331</v>
      </c>
      <c r="B4649" s="1" t="str">
        <f>TEXT(Tabla1[[#This Row],[Fecha]],"MMMM")</f>
        <v>febrero</v>
      </c>
      <c r="C4649" t="s">
        <v>4659</v>
      </c>
      <c r="D4649" t="s">
        <v>5027</v>
      </c>
      <c r="E4649" t="s">
        <v>5032</v>
      </c>
      <c r="F4649" t="s">
        <v>5036</v>
      </c>
      <c r="G4649" s="3">
        <v>257.64999999999998</v>
      </c>
      <c r="H4649" s="3">
        <v>0</v>
      </c>
      <c r="I4649" s="3">
        <f>SUM(Tabla1[[#This Row],[Monto_Base]],H4649)</f>
        <v>257.64999999999998</v>
      </c>
      <c r="J4649" t="s">
        <v>5042</v>
      </c>
      <c r="K4649" t="s">
        <v>5048</v>
      </c>
      <c r="L4649" t="s">
        <v>5053</v>
      </c>
      <c r="M4649" t="s">
        <v>5055</v>
      </c>
    </row>
    <row r="4650" spans="1:13" x14ac:dyDescent="0.3">
      <c r="A4650" s="1">
        <v>45400</v>
      </c>
      <c r="B4650" s="1" t="str">
        <f>TEXT(Tabla1[[#This Row],[Fecha]],"MMMM")</f>
        <v>abril</v>
      </c>
      <c r="C4650" t="s">
        <v>4660</v>
      </c>
      <c r="D4650" t="s">
        <v>5026</v>
      </c>
      <c r="E4650" t="s">
        <v>5032</v>
      </c>
      <c r="F4650" t="s">
        <v>5040</v>
      </c>
      <c r="G4650" s="3">
        <v>12404.44</v>
      </c>
      <c r="H4650" s="3">
        <v>0</v>
      </c>
      <c r="I4650" s="3">
        <f>SUM(Tabla1[[#This Row],[Monto_Base]],H4650)</f>
        <v>12404.44</v>
      </c>
      <c r="J4650" t="s">
        <v>5044</v>
      </c>
      <c r="K4650" t="s">
        <v>5049</v>
      </c>
      <c r="L4650" t="s">
        <v>5050</v>
      </c>
      <c r="M4650" t="s">
        <v>5055</v>
      </c>
    </row>
    <row r="4651" spans="1:13" x14ac:dyDescent="0.3">
      <c r="A4651" s="1">
        <v>45629</v>
      </c>
      <c r="B4651" s="1" t="str">
        <f>TEXT(Tabla1[[#This Row],[Fecha]],"MMMM")</f>
        <v>diciembre</v>
      </c>
      <c r="C4651" t="s">
        <v>4661</v>
      </c>
      <c r="D4651" t="s">
        <v>5029</v>
      </c>
      <c r="E4651" t="s">
        <v>5032</v>
      </c>
      <c r="F4651" t="s">
        <v>5036</v>
      </c>
      <c r="G4651" s="3">
        <v>1955.74</v>
      </c>
      <c r="H4651" s="3">
        <v>0</v>
      </c>
      <c r="I4651" s="3">
        <f>SUM(Tabla1[[#This Row],[Monto_Base]],H4651)</f>
        <v>1955.74</v>
      </c>
      <c r="J4651" t="s">
        <v>5045</v>
      </c>
      <c r="K4651" t="s">
        <v>5047</v>
      </c>
      <c r="L4651" t="s">
        <v>5051</v>
      </c>
      <c r="M4651" t="s">
        <v>5055</v>
      </c>
    </row>
    <row r="4652" spans="1:13" x14ac:dyDescent="0.3">
      <c r="A4652" s="1">
        <v>45318</v>
      </c>
      <c r="B4652" s="1" t="str">
        <f>TEXT(Tabla1[[#This Row],[Fecha]],"MMMM")</f>
        <v>enero</v>
      </c>
      <c r="C4652" t="s">
        <v>4662</v>
      </c>
      <c r="D4652" t="s">
        <v>5028</v>
      </c>
      <c r="E4652" t="s">
        <v>5032</v>
      </c>
      <c r="F4652" t="s">
        <v>5038</v>
      </c>
      <c r="G4652" s="3">
        <v>4575.59</v>
      </c>
      <c r="H4652" s="3">
        <v>0</v>
      </c>
      <c r="I4652" s="3">
        <f>SUM(Tabla1[[#This Row],[Monto_Base]],H4652)</f>
        <v>4575.59</v>
      </c>
      <c r="J4652" t="s">
        <v>5045</v>
      </c>
      <c r="K4652" t="s">
        <v>5049</v>
      </c>
      <c r="L4652" t="s">
        <v>5052</v>
      </c>
      <c r="M4652" t="s">
        <v>5054</v>
      </c>
    </row>
    <row r="4653" spans="1:13" x14ac:dyDescent="0.3">
      <c r="A4653" s="1">
        <v>45619</v>
      </c>
      <c r="B4653" s="1" t="str">
        <f>TEXT(Tabla1[[#This Row],[Fecha]],"MMMM")</f>
        <v>noviembre</v>
      </c>
      <c r="C4653" t="s">
        <v>4663</v>
      </c>
      <c r="D4653" t="s">
        <v>5024</v>
      </c>
      <c r="E4653" t="s">
        <v>5032</v>
      </c>
      <c r="F4653" t="s">
        <v>5034</v>
      </c>
      <c r="G4653" s="3">
        <v>5127.7700000000004</v>
      </c>
      <c r="H4653" s="3">
        <v>0</v>
      </c>
      <c r="I4653" s="3">
        <f>SUM(Tabla1[[#This Row],[Monto_Base]],H4653)</f>
        <v>5127.7700000000004</v>
      </c>
      <c r="J4653" t="s">
        <v>5044</v>
      </c>
      <c r="K4653" t="s">
        <v>5047</v>
      </c>
      <c r="L4653" t="s">
        <v>5051</v>
      </c>
      <c r="M4653" t="s">
        <v>5055</v>
      </c>
    </row>
    <row r="4654" spans="1:13" x14ac:dyDescent="0.3">
      <c r="A4654" s="1">
        <v>45553</v>
      </c>
      <c r="B4654" s="1" t="str">
        <f>TEXT(Tabla1[[#This Row],[Fecha]],"MMMM")</f>
        <v>septiembre</v>
      </c>
      <c r="C4654" t="s">
        <v>4664</v>
      </c>
      <c r="D4654" t="s">
        <v>5023</v>
      </c>
      <c r="E4654" t="s">
        <v>5032</v>
      </c>
      <c r="F4654" t="s">
        <v>5035</v>
      </c>
      <c r="G4654" s="3">
        <v>7472.77</v>
      </c>
      <c r="H4654" s="3">
        <v>0</v>
      </c>
      <c r="I4654" s="3">
        <f>SUM(Tabla1[[#This Row],[Monto_Base]],H4654)</f>
        <v>7472.77</v>
      </c>
      <c r="J4654" t="s">
        <v>5045</v>
      </c>
      <c r="K4654" t="s">
        <v>5047</v>
      </c>
      <c r="L4654" t="s">
        <v>5051</v>
      </c>
      <c r="M4654" t="s">
        <v>5055</v>
      </c>
    </row>
    <row r="4655" spans="1:13" x14ac:dyDescent="0.3">
      <c r="A4655" s="1">
        <v>45529</v>
      </c>
      <c r="B4655" s="1" t="str">
        <f>TEXT(Tabla1[[#This Row],[Fecha]],"MMMM")</f>
        <v>agosto</v>
      </c>
      <c r="C4655" t="s">
        <v>4665</v>
      </c>
      <c r="D4655" t="s">
        <v>5030</v>
      </c>
      <c r="E4655" t="s">
        <v>5033</v>
      </c>
      <c r="F4655" t="s">
        <v>5038</v>
      </c>
      <c r="G4655" s="3">
        <v>11630.55</v>
      </c>
      <c r="H4655" s="3">
        <v>1511.97</v>
      </c>
      <c r="I4655" s="3">
        <f>SUM(Tabla1[[#This Row],[Monto_Base]],H4655)</f>
        <v>13142.519999999999</v>
      </c>
      <c r="J4655" t="s">
        <v>5044</v>
      </c>
      <c r="K4655" t="s">
        <v>5049</v>
      </c>
      <c r="L4655" t="s">
        <v>5053</v>
      </c>
      <c r="M4655" t="s">
        <v>5055</v>
      </c>
    </row>
    <row r="4656" spans="1:13" x14ac:dyDescent="0.3">
      <c r="A4656" s="1">
        <v>45469</v>
      </c>
      <c r="B4656" s="1" t="str">
        <f>TEXT(Tabla1[[#This Row],[Fecha]],"MMMM")</f>
        <v>junio</v>
      </c>
      <c r="C4656" t="s">
        <v>4666</v>
      </c>
      <c r="D4656" t="s">
        <v>5015</v>
      </c>
      <c r="E4656" t="s">
        <v>5033</v>
      </c>
      <c r="F4656" t="s">
        <v>5038</v>
      </c>
      <c r="G4656" s="3">
        <v>824.27</v>
      </c>
      <c r="H4656" s="3">
        <v>107.16</v>
      </c>
      <c r="I4656" s="3">
        <f>SUM(Tabla1[[#This Row],[Monto_Base]],H4656)</f>
        <v>931.43</v>
      </c>
      <c r="J4656" t="s">
        <v>5044</v>
      </c>
      <c r="K4656" t="s">
        <v>5048</v>
      </c>
      <c r="L4656" t="s">
        <v>5050</v>
      </c>
      <c r="M4656" t="s">
        <v>5055</v>
      </c>
    </row>
    <row r="4657" spans="1:13" x14ac:dyDescent="0.3">
      <c r="A4657" s="1">
        <v>45630</v>
      </c>
      <c r="B4657" s="1" t="str">
        <f>TEXT(Tabla1[[#This Row],[Fecha]],"MMMM")</f>
        <v>diciembre</v>
      </c>
      <c r="C4657" t="s">
        <v>4667</v>
      </c>
      <c r="D4657" t="s">
        <v>5026</v>
      </c>
      <c r="E4657" t="s">
        <v>5033</v>
      </c>
      <c r="F4657" t="s">
        <v>5037</v>
      </c>
      <c r="G4657" s="3">
        <v>9271.49</v>
      </c>
      <c r="H4657" s="3">
        <v>1205.29</v>
      </c>
      <c r="I4657" s="3">
        <f>SUM(Tabla1[[#This Row],[Monto_Base]],H4657)</f>
        <v>10476.779999999999</v>
      </c>
      <c r="J4657" t="s">
        <v>5043</v>
      </c>
      <c r="K4657" t="s">
        <v>5047</v>
      </c>
      <c r="L4657" t="s">
        <v>5053</v>
      </c>
      <c r="M4657" t="s">
        <v>5055</v>
      </c>
    </row>
    <row r="4658" spans="1:13" x14ac:dyDescent="0.3">
      <c r="A4658" s="1">
        <v>45292</v>
      </c>
      <c r="B4658" s="1" t="str">
        <f>TEXT(Tabla1[[#This Row],[Fecha]],"MMMM")</f>
        <v>enero</v>
      </c>
      <c r="C4658" t="s">
        <v>4668</v>
      </c>
      <c r="D4658" t="s">
        <v>5024</v>
      </c>
      <c r="E4658" t="s">
        <v>5032</v>
      </c>
      <c r="F4658" t="s">
        <v>5039</v>
      </c>
      <c r="G4658" s="3">
        <v>4956.53</v>
      </c>
      <c r="H4658" s="3">
        <v>0</v>
      </c>
      <c r="I4658" s="3">
        <f>SUM(Tabla1[[#This Row],[Monto_Base]],H4658)</f>
        <v>4956.53</v>
      </c>
      <c r="J4658" t="s">
        <v>5046</v>
      </c>
      <c r="K4658" t="s">
        <v>5047</v>
      </c>
      <c r="L4658" t="s">
        <v>5051</v>
      </c>
      <c r="M4658" t="s">
        <v>5055</v>
      </c>
    </row>
    <row r="4659" spans="1:13" x14ac:dyDescent="0.3">
      <c r="A4659" s="1">
        <v>45357</v>
      </c>
      <c r="B4659" s="1" t="str">
        <f>TEXT(Tabla1[[#This Row],[Fecha]],"MMMM")</f>
        <v>marzo</v>
      </c>
      <c r="C4659" t="s">
        <v>4669</v>
      </c>
      <c r="D4659" t="s">
        <v>5029</v>
      </c>
      <c r="E4659" t="s">
        <v>5033</v>
      </c>
      <c r="F4659" t="s">
        <v>5038</v>
      </c>
      <c r="G4659" s="3">
        <v>4108.41</v>
      </c>
      <c r="H4659" s="3">
        <v>534.09</v>
      </c>
      <c r="I4659" s="3">
        <f>SUM(Tabla1[[#This Row],[Monto_Base]],H4659)</f>
        <v>4642.5</v>
      </c>
      <c r="J4659" t="s">
        <v>5042</v>
      </c>
      <c r="K4659" t="s">
        <v>5047</v>
      </c>
      <c r="L4659" t="s">
        <v>5051</v>
      </c>
      <c r="M4659" t="s">
        <v>5055</v>
      </c>
    </row>
    <row r="4660" spans="1:13" x14ac:dyDescent="0.3">
      <c r="A4660" s="1">
        <v>45473</v>
      </c>
      <c r="B4660" s="1" t="str">
        <f>TEXT(Tabla1[[#This Row],[Fecha]],"MMMM")</f>
        <v>junio</v>
      </c>
      <c r="C4660" t="s">
        <v>4670</v>
      </c>
      <c r="D4660" t="s">
        <v>5012</v>
      </c>
      <c r="E4660" t="s">
        <v>5033</v>
      </c>
      <c r="F4660" t="s">
        <v>5034</v>
      </c>
      <c r="G4660" s="3">
        <v>1656.62</v>
      </c>
      <c r="H4660" s="3">
        <v>215.36</v>
      </c>
      <c r="I4660" s="3">
        <f>SUM(Tabla1[[#This Row],[Monto_Base]],H4660)</f>
        <v>1871.98</v>
      </c>
      <c r="J4660" t="s">
        <v>5045</v>
      </c>
      <c r="K4660" t="s">
        <v>5048</v>
      </c>
      <c r="L4660" t="s">
        <v>5050</v>
      </c>
      <c r="M4660" t="s">
        <v>5054</v>
      </c>
    </row>
    <row r="4661" spans="1:13" x14ac:dyDescent="0.3">
      <c r="A4661" s="1">
        <v>45414</v>
      </c>
      <c r="B4661" s="1" t="str">
        <f>TEXT(Tabla1[[#This Row],[Fecha]],"MMMM")</f>
        <v>mayo</v>
      </c>
      <c r="C4661" t="s">
        <v>4671</v>
      </c>
      <c r="D4661" t="s">
        <v>5015</v>
      </c>
      <c r="E4661" t="s">
        <v>5033</v>
      </c>
      <c r="F4661" t="s">
        <v>5035</v>
      </c>
      <c r="G4661" s="3">
        <v>12744.53</v>
      </c>
      <c r="H4661" s="3">
        <v>1656.79</v>
      </c>
      <c r="I4661" s="3">
        <f>SUM(Tabla1[[#This Row],[Monto_Base]],H4661)</f>
        <v>14401.32</v>
      </c>
      <c r="J4661" t="s">
        <v>5044</v>
      </c>
      <c r="K4661" t="s">
        <v>5049</v>
      </c>
      <c r="L4661" t="s">
        <v>5052</v>
      </c>
      <c r="M4661" t="s">
        <v>5054</v>
      </c>
    </row>
    <row r="4662" spans="1:13" x14ac:dyDescent="0.3">
      <c r="A4662" s="1">
        <v>45640</v>
      </c>
      <c r="B4662" s="1" t="str">
        <f>TEXT(Tabla1[[#This Row],[Fecha]],"MMMM")</f>
        <v>diciembre</v>
      </c>
      <c r="C4662" t="s">
        <v>4672</v>
      </c>
      <c r="D4662" t="s">
        <v>5027</v>
      </c>
      <c r="E4662" t="s">
        <v>5033</v>
      </c>
      <c r="F4662" t="s">
        <v>5035</v>
      </c>
      <c r="G4662" s="3">
        <v>13409.42</v>
      </c>
      <c r="H4662" s="3">
        <v>1743.22</v>
      </c>
      <c r="I4662" s="3">
        <f>SUM(Tabla1[[#This Row],[Monto_Base]],H4662)</f>
        <v>15152.64</v>
      </c>
      <c r="J4662" t="s">
        <v>5044</v>
      </c>
      <c r="K4662" t="s">
        <v>5049</v>
      </c>
      <c r="L4662" t="s">
        <v>5051</v>
      </c>
      <c r="M4662" t="s">
        <v>5055</v>
      </c>
    </row>
    <row r="4663" spans="1:13" x14ac:dyDescent="0.3">
      <c r="A4663" s="1">
        <v>45468</v>
      </c>
      <c r="B4663" s="1" t="str">
        <f>TEXT(Tabla1[[#This Row],[Fecha]],"MMMM")</f>
        <v>junio</v>
      </c>
      <c r="C4663" t="s">
        <v>4673</v>
      </c>
      <c r="D4663" t="s">
        <v>5028</v>
      </c>
      <c r="E4663" t="s">
        <v>5032</v>
      </c>
      <c r="F4663" t="s">
        <v>5041</v>
      </c>
      <c r="G4663" s="3">
        <v>5603.44</v>
      </c>
      <c r="H4663" s="3">
        <v>0</v>
      </c>
      <c r="I4663" s="3">
        <f>SUM(Tabla1[[#This Row],[Monto_Base]],H4663)</f>
        <v>5603.44</v>
      </c>
      <c r="J4663" t="s">
        <v>5043</v>
      </c>
      <c r="K4663" t="s">
        <v>5049</v>
      </c>
      <c r="L4663" t="s">
        <v>5052</v>
      </c>
      <c r="M4663" t="s">
        <v>5054</v>
      </c>
    </row>
    <row r="4664" spans="1:13" x14ac:dyDescent="0.3">
      <c r="A4664" s="1">
        <v>45588</v>
      </c>
      <c r="B4664" s="1" t="str">
        <f>TEXT(Tabla1[[#This Row],[Fecha]],"MMMM")</f>
        <v>octubre</v>
      </c>
      <c r="C4664" t="s">
        <v>4674</v>
      </c>
      <c r="D4664" t="s">
        <v>5031</v>
      </c>
      <c r="E4664" t="s">
        <v>5032</v>
      </c>
      <c r="F4664" t="s">
        <v>5034</v>
      </c>
      <c r="G4664" s="3">
        <v>1121.02</v>
      </c>
      <c r="H4664" s="3">
        <v>0</v>
      </c>
      <c r="I4664" s="3">
        <f>SUM(Tabla1[[#This Row],[Monto_Base]],H4664)</f>
        <v>1121.02</v>
      </c>
      <c r="J4664" t="s">
        <v>5044</v>
      </c>
      <c r="K4664" t="s">
        <v>5047</v>
      </c>
      <c r="L4664" t="s">
        <v>5051</v>
      </c>
      <c r="M4664" t="s">
        <v>5055</v>
      </c>
    </row>
    <row r="4665" spans="1:13" x14ac:dyDescent="0.3">
      <c r="A4665" s="1">
        <v>45581</v>
      </c>
      <c r="B4665" s="1" t="str">
        <f>TEXT(Tabla1[[#This Row],[Fecha]],"MMMM")</f>
        <v>octubre</v>
      </c>
      <c r="C4665" t="s">
        <v>4675</v>
      </c>
      <c r="D4665" t="s">
        <v>5016</v>
      </c>
      <c r="E4665" t="s">
        <v>5033</v>
      </c>
      <c r="F4665" t="s">
        <v>5035</v>
      </c>
      <c r="G4665" s="3">
        <v>10198.85</v>
      </c>
      <c r="H4665" s="3">
        <v>1325.85</v>
      </c>
      <c r="I4665" s="3">
        <f>SUM(Tabla1[[#This Row],[Monto_Base]],H4665)</f>
        <v>11524.7</v>
      </c>
      <c r="J4665" t="s">
        <v>5044</v>
      </c>
      <c r="K4665" t="s">
        <v>5048</v>
      </c>
      <c r="L4665" t="s">
        <v>5052</v>
      </c>
      <c r="M4665" t="s">
        <v>5054</v>
      </c>
    </row>
    <row r="4666" spans="1:13" x14ac:dyDescent="0.3">
      <c r="A4666" s="1">
        <v>45328</v>
      </c>
      <c r="B4666" s="1" t="str">
        <f>TEXT(Tabla1[[#This Row],[Fecha]],"MMMM")</f>
        <v>febrero</v>
      </c>
      <c r="C4666" t="s">
        <v>4676</v>
      </c>
      <c r="D4666" t="s">
        <v>5016</v>
      </c>
      <c r="E4666" t="s">
        <v>5033</v>
      </c>
      <c r="F4666" t="s">
        <v>5035</v>
      </c>
      <c r="G4666" s="3">
        <v>10247.67</v>
      </c>
      <c r="H4666" s="3">
        <v>1332.2</v>
      </c>
      <c r="I4666" s="3">
        <f>SUM(Tabla1[[#This Row],[Monto_Base]],H4666)</f>
        <v>11579.87</v>
      </c>
      <c r="J4666" t="s">
        <v>5042</v>
      </c>
      <c r="K4666" t="s">
        <v>5049</v>
      </c>
      <c r="L4666" t="s">
        <v>5050</v>
      </c>
      <c r="M4666" t="s">
        <v>5055</v>
      </c>
    </row>
    <row r="4667" spans="1:13" x14ac:dyDescent="0.3">
      <c r="A4667" s="1">
        <v>45466</v>
      </c>
      <c r="B4667" s="1" t="str">
        <f>TEXT(Tabla1[[#This Row],[Fecha]],"MMMM")</f>
        <v>junio</v>
      </c>
      <c r="C4667" t="s">
        <v>4677</v>
      </c>
      <c r="D4667" t="s">
        <v>5019</v>
      </c>
      <c r="E4667" t="s">
        <v>5033</v>
      </c>
      <c r="F4667" t="s">
        <v>5041</v>
      </c>
      <c r="G4667" s="3">
        <v>11317.59</v>
      </c>
      <c r="H4667" s="3">
        <v>1471.29</v>
      </c>
      <c r="I4667" s="3">
        <f>SUM(Tabla1[[#This Row],[Monto_Base]],H4667)</f>
        <v>12788.880000000001</v>
      </c>
      <c r="J4667" t="s">
        <v>5043</v>
      </c>
      <c r="K4667" t="s">
        <v>5047</v>
      </c>
      <c r="L4667" t="s">
        <v>5051</v>
      </c>
      <c r="M4667" t="s">
        <v>5055</v>
      </c>
    </row>
    <row r="4668" spans="1:13" x14ac:dyDescent="0.3">
      <c r="A4668" s="1">
        <v>45565</v>
      </c>
      <c r="B4668" s="1" t="str">
        <f>TEXT(Tabla1[[#This Row],[Fecha]],"MMMM")</f>
        <v>septiembre</v>
      </c>
      <c r="C4668" t="s">
        <v>4678</v>
      </c>
      <c r="D4668" t="s">
        <v>5022</v>
      </c>
      <c r="E4668" t="s">
        <v>5033</v>
      </c>
      <c r="F4668" t="s">
        <v>5039</v>
      </c>
      <c r="G4668" s="3">
        <v>6740.26</v>
      </c>
      <c r="H4668" s="3">
        <v>876.23</v>
      </c>
      <c r="I4668" s="3">
        <f>SUM(Tabla1[[#This Row],[Monto_Base]],H4668)</f>
        <v>7616.49</v>
      </c>
      <c r="J4668" t="s">
        <v>5042</v>
      </c>
      <c r="K4668" t="s">
        <v>5048</v>
      </c>
      <c r="L4668" t="s">
        <v>5051</v>
      </c>
      <c r="M4668" t="s">
        <v>5055</v>
      </c>
    </row>
    <row r="4669" spans="1:13" x14ac:dyDescent="0.3">
      <c r="A4669" s="1">
        <v>45466</v>
      </c>
      <c r="B4669" s="1" t="str">
        <f>TEXT(Tabla1[[#This Row],[Fecha]],"MMMM")</f>
        <v>junio</v>
      </c>
      <c r="C4669" t="s">
        <v>4679</v>
      </c>
      <c r="D4669" t="s">
        <v>5022</v>
      </c>
      <c r="E4669" t="s">
        <v>5033</v>
      </c>
      <c r="F4669" t="s">
        <v>5039</v>
      </c>
      <c r="G4669" s="3">
        <v>566.62</v>
      </c>
      <c r="H4669" s="3">
        <v>73.66</v>
      </c>
      <c r="I4669" s="3">
        <f>SUM(Tabla1[[#This Row],[Monto_Base]],H4669)</f>
        <v>640.28</v>
      </c>
      <c r="J4669" t="s">
        <v>5046</v>
      </c>
      <c r="K4669" t="s">
        <v>5047</v>
      </c>
      <c r="L4669" t="s">
        <v>5051</v>
      </c>
      <c r="M4669" t="s">
        <v>5055</v>
      </c>
    </row>
    <row r="4670" spans="1:13" x14ac:dyDescent="0.3">
      <c r="A4670" s="1">
        <v>45615</v>
      </c>
      <c r="B4670" s="1" t="str">
        <f>TEXT(Tabla1[[#This Row],[Fecha]],"MMMM")</f>
        <v>noviembre</v>
      </c>
      <c r="C4670" t="s">
        <v>4680</v>
      </c>
      <c r="D4670" t="s">
        <v>5018</v>
      </c>
      <c r="E4670" t="s">
        <v>5032</v>
      </c>
      <c r="F4670" t="s">
        <v>5034</v>
      </c>
      <c r="G4670" s="3">
        <v>8736.16</v>
      </c>
      <c r="H4670" s="3">
        <v>0</v>
      </c>
      <c r="I4670" s="3">
        <f>SUM(Tabla1[[#This Row],[Monto_Base]],H4670)</f>
        <v>8736.16</v>
      </c>
      <c r="J4670" t="s">
        <v>5043</v>
      </c>
      <c r="K4670" t="s">
        <v>5048</v>
      </c>
      <c r="L4670" t="s">
        <v>5051</v>
      </c>
      <c r="M4670" t="s">
        <v>5055</v>
      </c>
    </row>
    <row r="4671" spans="1:13" x14ac:dyDescent="0.3">
      <c r="A4671" s="1">
        <v>45614</v>
      </c>
      <c r="B4671" s="1" t="str">
        <f>TEXT(Tabla1[[#This Row],[Fecha]],"MMMM")</f>
        <v>noviembre</v>
      </c>
      <c r="C4671" t="s">
        <v>4681</v>
      </c>
      <c r="D4671" t="s">
        <v>5024</v>
      </c>
      <c r="E4671" t="s">
        <v>5033</v>
      </c>
      <c r="F4671" t="s">
        <v>5035</v>
      </c>
      <c r="G4671" s="3">
        <v>2278.23</v>
      </c>
      <c r="H4671" s="3">
        <v>296.17</v>
      </c>
      <c r="I4671" s="3">
        <f>SUM(Tabla1[[#This Row],[Monto_Base]],H4671)</f>
        <v>2574.4</v>
      </c>
      <c r="J4671" t="s">
        <v>5044</v>
      </c>
      <c r="K4671" t="s">
        <v>5048</v>
      </c>
      <c r="L4671" t="s">
        <v>5053</v>
      </c>
      <c r="M4671" t="s">
        <v>5055</v>
      </c>
    </row>
    <row r="4672" spans="1:13" x14ac:dyDescent="0.3">
      <c r="A4672" s="1">
        <v>45626</v>
      </c>
      <c r="B4672" s="1" t="str">
        <f>TEXT(Tabla1[[#This Row],[Fecha]],"MMMM")</f>
        <v>noviembre</v>
      </c>
      <c r="C4672" t="s">
        <v>4682</v>
      </c>
      <c r="D4672" t="s">
        <v>5013</v>
      </c>
      <c r="E4672" t="s">
        <v>5032</v>
      </c>
      <c r="F4672" t="s">
        <v>5036</v>
      </c>
      <c r="G4672" s="3">
        <v>13638.44</v>
      </c>
      <c r="H4672" s="3">
        <v>0</v>
      </c>
      <c r="I4672" s="3">
        <f>SUM(Tabla1[[#This Row],[Monto_Base]],H4672)</f>
        <v>13638.44</v>
      </c>
      <c r="J4672" t="s">
        <v>5042</v>
      </c>
      <c r="K4672" t="s">
        <v>5049</v>
      </c>
      <c r="L4672" t="s">
        <v>5053</v>
      </c>
      <c r="M4672" t="s">
        <v>5054</v>
      </c>
    </row>
    <row r="4673" spans="1:13" x14ac:dyDescent="0.3">
      <c r="A4673" s="1">
        <v>45542</v>
      </c>
      <c r="B4673" s="1" t="str">
        <f>TEXT(Tabla1[[#This Row],[Fecha]],"MMMM")</f>
        <v>septiembre</v>
      </c>
      <c r="C4673" t="s">
        <v>4683</v>
      </c>
      <c r="D4673" t="s">
        <v>5026</v>
      </c>
      <c r="E4673" t="s">
        <v>5033</v>
      </c>
      <c r="F4673" t="s">
        <v>5034</v>
      </c>
      <c r="G4673" s="3">
        <v>11371.85</v>
      </c>
      <c r="H4673" s="3">
        <v>1478.34</v>
      </c>
      <c r="I4673" s="3">
        <f>SUM(Tabla1[[#This Row],[Monto_Base]],H4673)</f>
        <v>12850.19</v>
      </c>
      <c r="J4673" t="s">
        <v>5046</v>
      </c>
      <c r="K4673" t="s">
        <v>5049</v>
      </c>
      <c r="L4673" t="s">
        <v>5053</v>
      </c>
      <c r="M4673" t="s">
        <v>5055</v>
      </c>
    </row>
    <row r="4674" spans="1:13" x14ac:dyDescent="0.3">
      <c r="A4674" s="1">
        <v>45492</v>
      </c>
      <c r="B4674" s="1" t="str">
        <f>TEXT(Tabla1[[#This Row],[Fecha]],"MMMM")</f>
        <v>julio</v>
      </c>
      <c r="C4674" t="s">
        <v>4684</v>
      </c>
      <c r="D4674" t="s">
        <v>5028</v>
      </c>
      <c r="E4674" t="s">
        <v>5032</v>
      </c>
      <c r="F4674" t="s">
        <v>5036</v>
      </c>
      <c r="G4674" s="3">
        <v>14683.04</v>
      </c>
      <c r="H4674" s="3">
        <v>0</v>
      </c>
      <c r="I4674" s="3">
        <f>SUM(Tabla1[[#This Row],[Monto_Base]],H4674)</f>
        <v>14683.04</v>
      </c>
      <c r="J4674" t="s">
        <v>5043</v>
      </c>
      <c r="K4674" t="s">
        <v>5049</v>
      </c>
      <c r="L4674" t="s">
        <v>5050</v>
      </c>
      <c r="M4674" t="s">
        <v>5055</v>
      </c>
    </row>
    <row r="4675" spans="1:13" x14ac:dyDescent="0.3">
      <c r="A4675" s="1">
        <v>45404</v>
      </c>
      <c r="B4675" s="1" t="str">
        <f>TEXT(Tabla1[[#This Row],[Fecha]],"MMMM")</f>
        <v>abril</v>
      </c>
      <c r="C4675" t="s">
        <v>4685</v>
      </c>
      <c r="D4675" t="s">
        <v>5030</v>
      </c>
      <c r="E4675" t="s">
        <v>5033</v>
      </c>
      <c r="F4675" t="s">
        <v>5041</v>
      </c>
      <c r="G4675" s="3">
        <v>10430.969999999999</v>
      </c>
      <c r="H4675" s="3">
        <v>1356.03</v>
      </c>
      <c r="I4675" s="3">
        <f>SUM(Tabla1[[#This Row],[Monto_Base]],H4675)</f>
        <v>11787</v>
      </c>
      <c r="J4675" t="s">
        <v>5044</v>
      </c>
      <c r="K4675" t="s">
        <v>5047</v>
      </c>
      <c r="L4675" t="s">
        <v>5050</v>
      </c>
      <c r="M4675" t="s">
        <v>5055</v>
      </c>
    </row>
    <row r="4676" spans="1:13" x14ac:dyDescent="0.3">
      <c r="A4676" s="1">
        <v>45346</v>
      </c>
      <c r="B4676" s="1" t="str">
        <f>TEXT(Tabla1[[#This Row],[Fecha]],"MMMM")</f>
        <v>febrero</v>
      </c>
      <c r="C4676" t="s">
        <v>4686</v>
      </c>
      <c r="D4676" t="s">
        <v>5020</v>
      </c>
      <c r="E4676" t="s">
        <v>5033</v>
      </c>
      <c r="F4676" t="s">
        <v>5035</v>
      </c>
      <c r="G4676" s="3">
        <v>8178.44</v>
      </c>
      <c r="H4676" s="3">
        <v>1063.2</v>
      </c>
      <c r="I4676" s="3">
        <f>SUM(Tabla1[[#This Row],[Monto_Base]],H4676)</f>
        <v>9241.64</v>
      </c>
      <c r="J4676" t="s">
        <v>5046</v>
      </c>
      <c r="K4676" t="s">
        <v>5047</v>
      </c>
      <c r="L4676" t="s">
        <v>5053</v>
      </c>
      <c r="M4676" t="s">
        <v>5054</v>
      </c>
    </row>
    <row r="4677" spans="1:13" x14ac:dyDescent="0.3">
      <c r="A4677" s="1">
        <v>45373</v>
      </c>
      <c r="B4677" s="1" t="str">
        <f>TEXT(Tabla1[[#This Row],[Fecha]],"MMMM")</f>
        <v>marzo</v>
      </c>
      <c r="C4677" t="s">
        <v>4687</v>
      </c>
      <c r="D4677" t="s">
        <v>5030</v>
      </c>
      <c r="E4677" t="s">
        <v>5033</v>
      </c>
      <c r="F4677" t="s">
        <v>5039</v>
      </c>
      <c r="G4677" s="3">
        <v>1404.16</v>
      </c>
      <c r="H4677" s="3">
        <v>182.54</v>
      </c>
      <c r="I4677" s="3">
        <f>SUM(Tabla1[[#This Row],[Monto_Base]],H4677)</f>
        <v>1586.7</v>
      </c>
      <c r="J4677" t="s">
        <v>5042</v>
      </c>
      <c r="K4677" t="s">
        <v>5047</v>
      </c>
      <c r="L4677" t="s">
        <v>5053</v>
      </c>
      <c r="M4677" t="s">
        <v>5055</v>
      </c>
    </row>
    <row r="4678" spans="1:13" x14ac:dyDescent="0.3">
      <c r="A4678" s="1">
        <v>45429</v>
      </c>
      <c r="B4678" s="1" t="str">
        <f>TEXT(Tabla1[[#This Row],[Fecha]],"MMMM")</f>
        <v>mayo</v>
      </c>
      <c r="C4678" t="s">
        <v>4688</v>
      </c>
      <c r="D4678" t="s">
        <v>5030</v>
      </c>
      <c r="E4678" t="s">
        <v>5032</v>
      </c>
      <c r="F4678" t="s">
        <v>5037</v>
      </c>
      <c r="G4678" s="3">
        <v>10684.56</v>
      </c>
      <c r="H4678" s="3">
        <v>0</v>
      </c>
      <c r="I4678" s="3">
        <f>SUM(Tabla1[[#This Row],[Monto_Base]],H4678)</f>
        <v>10684.56</v>
      </c>
      <c r="J4678" t="s">
        <v>5046</v>
      </c>
      <c r="K4678" t="s">
        <v>5047</v>
      </c>
      <c r="L4678" t="s">
        <v>5050</v>
      </c>
      <c r="M4678" t="s">
        <v>5054</v>
      </c>
    </row>
    <row r="4679" spans="1:13" x14ac:dyDescent="0.3">
      <c r="A4679" s="1">
        <v>45363</v>
      </c>
      <c r="B4679" s="1" t="str">
        <f>TEXT(Tabla1[[#This Row],[Fecha]],"MMMM")</f>
        <v>marzo</v>
      </c>
      <c r="C4679" t="s">
        <v>4689</v>
      </c>
      <c r="D4679" t="s">
        <v>5028</v>
      </c>
      <c r="E4679" t="s">
        <v>5033</v>
      </c>
      <c r="F4679" t="s">
        <v>5036</v>
      </c>
      <c r="G4679" s="3">
        <v>5997.43</v>
      </c>
      <c r="H4679" s="3">
        <v>779.67</v>
      </c>
      <c r="I4679" s="3">
        <f>SUM(Tabla1[[#This Row],[Monto_Base]],H4679)</f>
        <v>6777.1</v>
      </c>
      <c r="J4679" t="s">
        <v>5046</v>
      </c>
      <c r="K4679" t="s">
        <v>5047</v>
      </c>
      <c r="L4679" t="s">
        <v>5051</v>
      </c>
      <c r="M4679" t="s">
        <v>5055</v>
      </c>
    </row>
    <row r="4680" spans="1:13" x14ac:dyDescent="0.3">
      <c r="A4680" s="1">
        <v>45316</v>
      </c>
      <c r="B4680" s="1" t="str">
        <f>TEXT(Tabla1[[#This Row],[Fecha]],"MMMM")</f>
        <v>enero</v>
      </c>
      <c r="C4680" t="s">
        <v>4690</v>
      </c>
      <c r="D4680" t="s">
        <v>5029</v>
      </c>
      <c r="E4680" t="s">
        <v>5032</v>
      </c>
      <c r="F4680" t="s">
        <v>5036</v>
      </c>
      <c r="G4680" s="3">
        <v>620.14</v>
      </c>
      <c r="H4680" s="3">
        <v>0</v>
      </c>
      <c r="I4680" s="3">
        <f>SUM(Tabla1[[#This Row],[Monto_Base]],H4680)</f>
        <v>620.14</v>
      </c>
      <c r="J4680" t="s">
        <v>5043</v>
      </c>
      <c r="K4680" t="s">
        <v>5047</v>
      </c>
      <c r="L4680" t="s">
        <v>5050</v>
      </c>
      <c r="M4680" t="s">
        <v>5055</v>
      </c>
    </row>
    <row r="4681" spans="1:13" x14ac:dyDescent="0.3">
      <c r="A4681" s="1">
        <v>45354</v>
      </c>
      <c r="B4681" s="1" t="str">
        <f>TEXT(Tabla1[[#This Row],[Fecha]],"MMMM")</f>
        <v>marzo</v>
      </c>
      <c r="C4681" t="s">
        <v>4691</v>
      </c>
      <c r="D4681" t="s">
        <v>5018</v>
      </c>
      <c r="E4681" t="s">
        <v>5032</v>
      </c>
      <c r="F4681" t="s">
        <v>5039</v>
      </c>
      <c r="G4681" s="3">
        <v>1132.3800000000001</v>
      </c>
      <c r="H4681" s="3">
        <v>0</v>
      </c>
      <c r="I4681" s="3">
        <f>SUM(Tabla1[[#This Row],[Monto_Base]],H4681)</f>
        <v>1132.3800000000001</v>
      </c>
      <c r="J4681" t="s">
        <v>5042</v>
      </c>
      <c r="K4681" t="s">
        <v>5047</v>
      </c>
      <c r="L4681" t="s">
        <v>5053</v>
      </c>
      <c r="M4681" t="s">
        <v>5054</v>
      </c>
    </row>
    <row r="4682" spans="1:13" x14ac:dyDescent="0.3">
      <c r="A4682" s="1">
        <v>45564</v>
      </c>
      <c r="B4682" s="1" t="str">
        <f>TEXT(Tabla1[[#This Row],[Fecha]],"MMMM")</f>
        <v>septiembre</v>
      </c>
      <c r="C4682" t="s">
        <v>4692</v>
      </c>
      <c r="D4682" t="s">
        <v>5028</v>
      </c>
      <c r="E4682" t="s">
        <v>5033</v>
      </c>
      <c r="F4682" t="s">
        <v>5038</v>
      </c>
      <c r="G4682" s="3">
        <v>7090.31</v>
      </c>
      <c r="H4682" s="3">
        <v>921.74</v>
      </c>
      <c r="I4682" s="3">
        <f>SUM(Tabla1[[#This Row],[Monto_Base]],H4682)</f>
        <v>8012.05</v>
      </c>
      <c r="J4682" t="s">
        <v>5045</v>
      </c>
      <c r="K4682" t="s">
        <v>5049</v>
      </c>
      <c r="L4682" t="s">
        <v>5053</v>
      </c>
      <c r="M4682" t="s">
        <v>5054</v>
      </c>
    </row>
    <row r="4683" spans="1:13" x14ac:dyDescent="0.3">
      <c r="A4683" s="1">
        <v>45618</v>
      </c>
      <c r="B4683" s="1" t="str">
        <f>TEXT(Tabla1[[#This Row],[Fecha]],"MMMM")</f>
        <v>noviembre</v>
      </c>
      <c r="C4683" t="s">
        <v>4693</v>
      </c>
      <c r="D4683" t="s">
        <v>5022</v>
      </c>
      <c r="E4683" t="s">
        <v>5032</v>
      </c>
      <c r="F4683" t="s">
        <v>5037</v>
      </c>
      <c r="G4683" s="3">
        <v>4107.79</v>
      </c>
      <c r="H4683" s="3">
        <v>0</v>
      </c>
      <c r="I4683" s="3">
        <f>SUM(Tabla1[[#This Row],[Monto_Base]],H4683)</f>
        <v>4107.79</v>
      </c>
      <c r="J4683" t="s">
        <v>5043</v>
      </c>
      <c r="K4683" t="s">
        <v>5049</v>
      </c>
      <c r="L4683" t="s">
        <v>5051</v>
      </c>
      <c r="M4683" t="s">
        <v>5055</v>
      </c>
    </row>
    <row r="4684" spans="1:13" x14ac:dyDescent="0.3">
      <c r="A4684" s="1">
        <v>45407</v>
      </c>
      <c r="B4684" s="1" t="str">
        <f>TEXT(Tabla1[[#This Row],[Fecha]],"MMMM")</f>
        <v>abril</v>
      </c>
      <c r="C4684" t="s">
        <v>4694</v>
      </c>
      <c r="D4684" t="s">
        <v>5020</v>
      </c>
      <c r="E4684" t="s">
        <v>5032</v>
      </c>
      <c r="F4684" t="s">
        <v>5035</v>
      </c>
      <c r="G4684" s="3">
        <v>13301.68</v>
      </c>
      <c r="H4684" s="3">
        <v>0</v>
      </c>
      <c r="I4684" s="3">
        <f>SUM(Tabla1[[#This Row],[Monto_Base]],H4684)</f>
        <v>13301.68</v>
      </c>
      <c r="J4684" t="s">
        <v>5043</v>
      </c>
      <c r="K4684" t="s">
        <v>5049</v>
      </c>
      <c r="L4684" t="s">
        <v>5050</v>
      </c>
      <c r="M4684" t="s">
        <v>5055</v>
      </c>
    </row>
    <row r="4685" spans="1:13" x14ac:dyDescent="0.3">
      <c r="A4685" s="1">
        <v>45608</v>
      </c>
      <c r="B4685" s="1" t="str">
        <f>TEXT(Tabla1[[#This Row],[Fecha]],"MMMM")</f>
        <v>noviembre</v>
      </c>
      <c r="C4685" t="s">
        <v>4695</v>
      </c>
      <c r="D4685" t="s">
        <v>5025</v>
      </c>
      <c r="E4685" t="s">
        <v>5033</v>
      </c>
      <c r="F4685" t="s">
        <v>5035</v>
      </c>
      <c r="G4685" s="3">
        <v>12284.18</v>
      </c>
      <c r="H4685" s="3">
        <v>1596.94</v>
      </c>
      <c r="I4685" s="3">
        <f>SUM(Tabla1[[#This Row],[Monto_Base]],H4685)</f>
        <v>13881.12</v>
      </c>
      <c r="J4685" t="s">
        <v>5042</v>
      </c>
      <c r="K4685" t="s">
        <v>5049</v>
      </c>
      <c r="L4685" t="s">
        <v>5052</v>
      </c>
      <c r="M4685" t="s">
        <v>5055</v>
      </c>
    </row>
    <row r="4686" spans="1:13" x14ac:dyDescent="0.3">
      <c r="A4686" s="1">
        <v>45314</v>
      </c>
      <c r="B4686" s="1" t="str">
        <f>TEXT(Tabla1[[#This Row],[Fecha]],"MMMM")</f>
        <v>enero</v>
      </c>
      <c r="C4686" t="s">
        <v>4696</v>
      </c>
      <c r="D4686" t="s">
        <v>5016</v>
      </c>
      <c r="E4686" t="s">
        <v>5032</v>
      </c>
      <c r="F4686" t="s">
        <v>5040</v>
      </c>
      <c r="G4686" s="3">
        <v>2475.41</v>
      </c>
      <c r="H4686" s="3">
        <v>0</v>
      </c>
      <c r="I4686" s="3">
        <f>SUM(Tabla1[[#This Row],[Monto_Base]],H4686)</f>
        <v>2475.41</v>
      </c>
      <c r="J4686" t="s">
        <v>5042</v>
      </c>
      <c r="K4686" t="s">
        <v>5047</v>
      </c>
      <c r="L4686" t="s">
        <v>5051</v>
      </c>
      <c r="M4686" t="s">
        <v>5055</v>
      </c>
    </row>
    <row r="4687" spans="1:13" x14ac:dyDescent="0.3">
      <c r="A4687" s="1">
        <v>45605</v>
      </c>
      <c r="B4687" s="1" t="str">
        <f>TEXT(Tabla1[[#This Row],[Fecha]],"MMMM")</f>
        <v>noviembre</v>
      </c>
      <c r="C4687" t="s">
        <v>4697</v>
      </c>
      <c r="D4687" t="s">
        <v>5017</v>
      </c>
      <c r="E4687" t="s">
        <v>5032</v>
      </c>
      <c r="F4687" t="s">
        <v>5034</v>
      </c>
      <c r="G4687" s="3">
        <v>420.83</v>
      </c>
      <c r="H4687" s="3">
        <v>0</v>
      </c>
      <c r="I4687" s="3">
        <f>SUM(Tabla1[[#This Row],[Monto_Base]],H4687)</f>
        <v>420.83</v>
      </c>
      <c r="J4687" t="s">
        <v>5042</v>
      </c>
      <c r="K4687" t="s">
        <v>5047</v>
      </c>
      <c r="L4687" t="s">
        <v>5053</v>
      </c>
      <c r="M4687" t="s">
        <v>5055</v>
      </c>
    </row>
    <row r="4688" spans="1:13" x14ac:dyDescent="0.3">
      <c r="A4688" s="1">
        <v>45531</v>
      </c>
      <c r="B4688" s="1" t="str">
        <f>TEXT(Tabla1[[#This Row],[Fecha]],"MMMM")</f>
        <v>agosto</v>
      </c>
      <c r="C4688" t="s">
        <v>4698</v>
      </c>
      <c r="D4688" t="s">
        <v>5012</v>
      </c>
      <c r="E4688" t="s">
        <v>5033</v>
      </c>
      <c r="F4688" t="s">
        <v>5039</v>
      </c>
      <c r="G4688" s="3">
        <v>5920.11</v>
      </c>
      <c r="H4688" s="3">
        <v>769.61</v>
      </c>
      <c r="I4688" s="3">
        <f>SUM(Tabla1[[#This Row],[Monto_Base]],H4688)</f>
        <v>6689.7199999999993</v>
      </c>
      <c r="J4688" t="s">
        <v>5044</v>
      </c>
      <c r="K4688" t="s">
        <v>5048</v>
      </c>
      <c r="L4688" t="s">
        <v>5051</v>
      </c>
      <c r="M4688" t="s">
        <v>5055</v>
      </c>
    </row>
    <row r="4689" spans="1:13" x14ac:dyDescent="0.3">
      <c r="A4689" s="1">
        <v>45337</v>
      </c>
      <c r="B4689" s="1" t="str">
        <f>TEXT(Tabla1[[#This Row],[Fecha]],"MMMM")</f>
        <v>febrero</v>
      </c>
      <c r="C4689" t="s">
        <v>4699</v>
      </c>
      <c r="D4689" t="s">
        <v>5024</v>
      </c>
      <c r="E4689" t="s">
        <v>5032</v>
      </c>
      <c r="F4689" t="s">
        <v>5038</v>
      </c>
      <c r="G4689" s="3">
        <v>11859.04</v>
      </c>
      <c r="H4689" s="3">
        <v>0</v>
      </c>
      <c r="I4689" s="3">
        <f>SUM(Tabla1[[#This Row],[Monto_Base]],H4689)</f>
        <v>11859.04</v>
      </c>
      <c r="J4689" t="s">
        <v>5043</v>
      </c>
      <c r="K4689" t="s">
        <v>5047</v>
      </c>
      <c r="L4689" t="s">
        <v>5052</v>
      </c>
      <c r="M4689" t="s">
        <v>5055</v>
      </c>
    </row>
    <row r="4690" spans="1:13" x14ac:dyDescent="0.3">
      <c r="A4690" s="1">
        <v>45616</v>
      </c>
      <c r="B4690" s="1" t="str">
        <f>TEXT(Tabla1[[#This Row],[Fecha]],"MMMM")</f>
        <v>noviembre</v>
      </c>
      <c r="C4690" t="s">
        <v>4700</v>
      </c>
      <c r="D4690" t="s">
        <v>5013</v>
      </c>
      <c r="E4690" t="s">
        <v>5032</v>
      </c>
      <c r="F4690" t="s">
        <v>5039</v>
      </c>
      <c r="G4690" s="3">
        <v>12311.92</v>
      </c>
      <c r="H4690" s="3">
        <v>0</v>
      </c>
      <c r="I4690" s="3">
        <f>SUM(Tabla1[[#This Row],[Monto_Base]],H4690)</f>
        <v>12311.92</v>
      </c>
      <c r="J4690" t="s">
        <v>5046</v>
      </c>
      <c r="K4690" t="s">
        <v>5047</v>
      </c>
      <c r="L4690" t="s">
        <v>5052</v>
      </c>
      <c r="M4690" t="s">
        <v>5055</v>
      </c>
    </row>
    <row r="4691" spans="1:13" x14ac:dyDescent="0.3">
      <c r="A4691" s="1">
        <v>45407</v>
      </c>
      <c r="B4691" s="1" t="str">
        <f>TEXT(Tabla1[[#This Row],[Fecha]],"MMMM")</f>
        <v>abril</v>
      </c>
      <c r="C4691" t="s">
        <v>4701</v>
      </c>
      <c r="D4691" t="s">
        <v>5013</v>
      </c>
      <c r="E4691" t="s">
        <v>5032</v>
      </c>
      <c r="F4691" t="s">
        <v>5039</v>
      </c>
      <c r="G4691" s="3">
        <v>14728.6</v>
      </c>
      <c r="H4691" s="3">
        <v>0</v>
      </c>
      <c r="I4691" s="3">
        <f>SUM(Tabla1[[#This Row],[Monto_Base]],H4691)</f>
        <v>14728.6</v>
      </c>
      <c r="J4691" t="s">
        <v>5046</v>
      </c>
      <c r="K4691" t="s">
        <v>5047</v>
      </c>
      <c r="L4691" t="s">
        <v>5053</v>
      </c>
      <c r="M4691" t="s">
        <v>5055</v>
      </c>
    </row>
    <row r="4692" spans="1:13" x14ac:dyDescent="0.3">
      <c r="A4692" s="1">
        <v>45480</v>
      </c>
      <c r="B4692" s="1" t="str">
        <f>TEXT(Tabla1[[#This Row],[Fecha]],"MMMM")</f>
        <v>julio</v>
      </c>
      <c r="C4692" t="s">
        <v>4702</v>
      </c>
      <c r="D4692" t="s">
        <v>5023</v>
      </c>
      <c r="E4692" t="s">
        <v>5032</v>
      </c>
      <c r="F4692" t="s">
        <v>5036</v>
      </c>
      <c r="G4692" s="3">
        <v>1654.35</v>
      </c>
      <c r="H4692" s="3">
        <v>0</v>
      </c>
      <c r="I4692" s="3">
        <f>SUM(Tabla1[[#This Row],[Monto_Base]],H4692)</f>
        <v>1654.35</v>
      </c>
      <c r="J4692" t="s">
        <v>5042</v>
      </c>
      <c r="K4692" t="s">
        <v>5047</v>
      </c>
      <c r="L4692" t="s">
        <v>5051</v>
      </c>
      <c r="M4692" t="s">
        <v>5055</v>
      </c>
    </row>
    <row r="4693" spans="1:13" x14ac:dyDescent="0.3">
      <c r="A4693" s="1">
        <v>45529</v>
      </c>
      <c r="B4693" s="1" t="str">
        <f>TEXT(Tabla1[[#This Row],[Fecha]],"MMMM")</f>
        <v>agosto</v>
      </c>
      <c r="C4693" t="s">
        <v>4703</v>
      </c>
      <c r="D4693" t="s">
        <v>5012</v>
      </c>
      <c r="E4693" t="s">
        <v>5032</v>
      </c>
      <c r="F4693" t="s">
        <v>5040</v>
      </c>
      <c r="G4693" s="3">
        <v>10237.200000000001</v>
      </c>
      <c r="H4693" s="3">
        <v>0</v>
      </c>
      <c r="I4693" s="3">
        <f>SUM(Tabla1[[#This Row],[Monto_Base]],H4693)</f>
        <v>10237.200000000001</v>
      </c>
      <c r="J4693" t="s">
        <v>5043</v>
      </c>
      <c r="K4693" t="s">
        <v>5047</v>
      </c>
      <c r="L4693" t="s">
        <v>5053</v>
      </c>
      <c r="M4693" t="s">
        <v>5054</v>
      </c>
    </row>
    <row r="4694" spans="1:13" x14ac:dyDescent="0.3">
      <c r="A4694" s="1">
        <v>45292</v>
      </c>
      <c r="B4694" s="1" t="str">
        <f>TEXT(Tabla1[[#This Row],[Fecha]],"MMMM")</f>
        <v>enero</v>
      </c>
      <c r="C4694" t="s">
        <v>4704</v>
      </c>
      <c r="D4694" t="s">
        <v>5018</v>
      </c>
      <c r="E4694" t="s">
        <v>5033</v>
      </c>
      <c r="F4694" t="s">
        <v>5037</v>
      </c>
      <c r="G4694" s="3">
        <v>7772.16</v>
      </c>
      <c r="H4694" s="3">
        <v>1010.38</v>
      </c>
      <c r="I4694" s="3">
        <f>SUM(Tabla1[[#This Row],[Monto_Base]],H4694)</f>
        <v>8782.5399999999991</v>
      </c>
      <c r="J4694" t="s">
        <v>5042</v>
      </c>
      <c r="K4694" t="s">
        <v>5049</v>
      </c>
      <c r="L4694" t="s">
        <v>5053</v>
      </c>
      <c r="M4694" t="s">
        <v>5055</v>
      </c>
    </row>
    <row r="4695" spans="1:13" x14ac:dyDescent="0.3">
      <c r="A4695" s="1">
        <v>45462</v>
      </c>
      <c r="B4695" s="1" t="str">
        <f>TEXT(Tabla1[[#This Row],[Fecha]],"MMMM")</f>
        <v>junio</v>
      </c>
      <c r="C4695" t="s">
        <v>4705</v>
      </c>
      <c r="D4695" t="s">
        <v>5019</v>
      </c>
      <c r="E4695" t="s">
        <v>5033</v>
      </c>
      <c r="F4695" t="s">
        <v>5040</v>
      </c>
      <c r="G4695" s="3">
        <v>1974</v>
      </c>
      <c r="H4695" s="3">
        <v>256.62</v>
      </c>
      <c r="I4695" s="3">
        <f>SUM(Tabla1[[#This Row],[Monto_Base]],H4695)</f>
        <v>2230.62</v>
      </c>
      <c r="J4695" t="s">
        <v>5046</v>
      </c>
      <c r="K4695" t="s">
        <v>5048</v>
      </c>
      <c r="L4695" t="s">
        <v>5050</v>
      </c>
      <c r="M4695" t="s">
        <v>5054</v>
      </c>
    </row>
    <row r="4696" spans="1:13" x14ac:dyDescent="0.3">
      <c r="A4696" s="1">
        <v>45295</v>
      </c>
      <c r="B4696" s="1" t="str">
        <f>TEXT(Tabla1[[#This Row],[Fecha]],"MMMM")</f>
        <v>enero</v>
      </c>
      <c r="C4696" t="s">
        <v>4706</v>
      </c>
      <c r="D4696" t="s">
        <v>5030</v>
      </c>
      <c r="E4696" t="s">
        <v>5033</v>
      </c>
      <c r="F4696" t="s">
        <v>5035</v>
      </c>
      <c r="G4696" s="3">
        <v>6807.4</v>
      </c>
      <c r="H4696" s="3">
        <v>884.96</v>
      </c>
      <c r="I4696" s="3">
        <f>SUM(Tabla1[[#This Row],[Monto_Base]],H4696)</f>
        <v>7692.36</v>
      </c>
      <c r="J4696" t="s">
        <v>5043</v>
      </c>
      <c r="K4696" t="s">
        <v>5049</v>
      </c>
      <c r="L4696" t="s">
        <v>5050</v>
      </c>
      <c r="M4696" t="s">
        <v>5055</v>
      </c>
    </row>
    <row r="4697" spans="1:13" x14ac:dyDescent="0.3">
      <c r="A4697" s="1">
        <v>45412</v>
      </c>
      <c r="B4697" s="1" t="str">
        <f>TEXT(Tabla1[[#This Row],[Fecha]],"MMMM")</f>
        <v>abril</v>
      </c>
      <c r="C4697" t="s">
        <v>4707</v>
      </c>
      <c r="D4697" t="s">
        <v>5019</v>
      </c>
      <c r="E4697" t="s">
        <v>5032</v>
      </c>
      <c r="F4697" t="s">
        <v>5036</v>
      </c>
      <c r="G4697" s="3">
        <v>4397.83</v>
      </c>
      <c r="H4697" s="3">
        <v>0</v>
      </c>
      <c r="I4697" s="3">
        <f>SUM(Tabla1[[#This Row],[Monto_Base]],H4697)</f>
        <v>4397.83</v>
      </c>
      <c r="J4697" t="s">
        <v>5044</v>
      </c>
      <c r="K4697" t="s">
        <v>5049</v>
      </c>
      <c r="L4697" t="s">
        <v>5051</v>
      </c>
      <c r="M4697" t="s">
        <v>5055</v>
      </c>
    </row>
    <row r="4698" spans="1:13" x14ac:dyDescent="0.3">
      <c r="A4698" s="1">
        <v>45467</v>
      </c>
      <c r="B4698" s="1" t="str">
        <f>TEXT(Tabla1[[#This Row],[Fecha]],"MMMM")</f>
        <v>junio</v>
      </c>
      <c r="C4698" t="s">
        <v>4708</v>
      </c>
      <c r="D4698" t="s">
        <v>5024</v>
      </c>
      <c r="E4698" t="s">
        <v>5032</v>
      </c>
      <c r="F4698" t="s">
        <v>5038</v>
      </c>
      <c r="G4698" s="3">
        <v>14656.23</v>
      </c>
      <c r="H4698" s="3">
        <v>0</v>
      </c>
      <c r="I4698" s="3">
        <f>SUM(Tabla1[[#This Row],[Monto_Base]],H4698)</f>
        <v>14656.23</v>
      </c>
      <c r="J4698" t="s">
        <v>5046</v>
      </c>
      <c r="K4698" t="s">
        <v>5048</v>
      </c>
      <c r="L4698" t="s">
        <v>5050</v>
      </c>
      <c r="M4698" t="s">
        <v>5055</v>
      </c>
    </row>
    <row r="4699" spans="1:13" x14ac:dyDescent="0.3">
      <c r="A4699" s="1">
        <v>45405</v>
      </c>
      <c r="B4699" s="1" t="str">
        <f>TEXT(Tabla1[[#This Row],[Fecha]],"MMMM")</f>
        <v>abril</v>
      </c>
      <c r="C4699" t="s">
        <v>4709</v>
      </c>
      <c r="D4699" t="s">
        <v>5016</v>
      </c>
      <c r="E4699" t="s">
        <v>5032</v>
      </c>
      <c r="F4699" t="s">
        <v>5041</v>
      </c>
      <c r="G4699" s="3">
        <v>12178.07</v>
      </c>
      <c r="H4699" s="3">
        <v>0</v>
      </c>
      <c r="I4699" s="3">
        <f>SUM(Tabla1[[#This Row],[Monto_Base]],H4699)</f>
        <v>12178.07</v>
      </c>
      <c r="J4699" t="s">
        <v>5042</v>
      </c>
      <c r="K4699" t="s">
        <v>5048</v>
      </c>
      <c r="L4699" t="s">
        <v>5053</v>
      </c>
      <c r="M4699" t="s">
        <v>5055</v>
      </c>
    </row>
    <row r="4700" spans="1:13" x14ac:dyDescent="0.3">
      <c r="A4700" s="1">
        <v>45625</v>
      </c>
      <c r="B4700" s="1" t="str">
        <f>TEXT(Tabla1[[#This Row],[Fecha]],"MMMM")</f>
        <v>noviembre</v>
      </c>
      <c r="C4700" t="s">
        <v>4710</v>
      </c>
      <c r="D4700" t="s">
        <v>5022</v>
      </c>
      <c r="E4700" t="s">
        <v>5033</v>
      </c>
      <c r="F4700" t="s">
        <v>5039</v>
      </c>
      <c r="G4700" s="3">
        <v>14613.76</v>
      </c>
      <c r="H4700" s="3">
        <v>1899.79</v>
      </c>
      <c r="I4700" s="3">
        <f>SUM(Tabla1[[#This Row],[Monto_Base]],H4700)</f>
        <v>16513.55</v>
      </c>
      <c r="J4700" t="s">
        <v>5046</v>
      </c>
      <c r="K4700" t="s">
        <v>5049</v>
      </c>
      <c r="L4700" t="s">
        <v>5050</v>
      </c>
      <c r="M4700" t="s">
        <v>5054</v>
      </c>
    </row>
    <row r="4701" spans="1:13" x14ac:dyDescent="0.3">
      <c r="A4701" s="1">
        <v>45323</v>
      </c>
      <c r="B4701" s="1" t="str">
        <f>TEXT(Tabla1[[#This Row],[Fecha]],"MMMM")</f>
        <v>febrero</v>
      </c>
      <c r="C4701" t="s">
        <v>4711</v>
      </c>
      <c r="D4701" t="s">
        <v>5021</v>
      </c>
      <c r="E4701" t="s">
        <v>5033</v>
      </c>
      <c r="F4701" t="s">
        <v>5040</v>
      </c>
      <c r="G4701" s="3">
        <v>10701.62</v>
      </c>
      <c r="H4701" s="3">
        <v>1391.21</v>
      </c>
      <c r="I4701" s="3">
        <f>SUM(Tabla1[[#This Row],[Monto_Base]],H4701)</f>
        <v>12092.830000000002</v>
      </c>
      <c r="J4701" t="s">
        <v>5043</v>
      </c>
      <c r="K4701" t="s">
        <v>5049</v>
      </c>
      <c r="L4701" t="s">
        <v>5053</v>
      </c>
      <c r="M4701" t="s">
        <v>5055</v>
      </c>
    </row>
    <row r="4702" spans="1:13" x14ac:dyDescent="0.3">
      <c r="A4702" s="1">
        <v>45321</v>
      </c>
      <c r="B4702" s="1" t="str">
        <f>TEXT(Tabla1[[#This Row],[Fecha]],"MMMM")</f>
        <v>enero</v>
      </c>
      <c r="C4702" t="s">
        <v>4712</v>
      </c>
      <c r="D4702" t="s">
        <v>5031</v>
      </c>
      <c r="E4702" t="s">
        <v>5032</v>
      </c>
      <c r="F4702" t="s">
        <v>5034</v>
      </c>
      <c r="G4702" s="3">
        <v>2155.46</v>
      </c>
      <c r="H4702" s="3">
        <v>0</v>
      </c>
      <c r="I4702" s="3">
        <f>SUM(Tabla1[[#This Row],[Monto_Base]],H4702)</f>
        <v>2155.46</v>
      </c>
      <c r="J4702" t="s">
        <v>5044</v>
      </c>
      <c r="K4702" t="s">
        <v>5048</v>
      </c>
      <c r="L4702" t="s">
        <v>5050</v>
      </c>
      <c r="M4702" t="s">
        <v>5054</v>
      </c>
    </row>
    <row r="4703" spans="1:13" x14ac:dyDescent="0.3">
      <c r="A4703" s="1">
        <v>45477</v>
      </c>
      <c r="B4703" s="1" t="str">
        <f>TEXT(Tabla1[[#This Row],[Fecha]],"MMMM")</f>
        <v>julio</v>
      </c>
      <c r="C4703" t="s">
        <v>4713</v>
      </c>
      <c r="D4703" t="s">
        <v>5014</v>
      </c>
      <c r="E4703" t="s">
        <v>5032</v>
      </c>
      <c r="F4703" t="s">
        <v>5036</v>
      </c>
      <c r="G4703" s="3">
        <v>10545.17</v>
      </c>
      <c r="H4703" s="3">
        <v>0</v>
      </c>
      <c r="I4703" s="3">
        <f>SUM(Tabla1[[#This Row],[Monto_Base]],H4703)</f>
        <v>10545.17</v>
      </c>
      <c r="J4703" t="s">
        <v>5042</v>
      </c>
      <c r="K4703" t="s">
        <v>5049</v>
      </c>
      <c r="L4703" t="s">
        <v>5051</v>
      </c>
      <c r="M4703" t="s">
        <v>5054</v>
      </c>
    </row>
    <row r="4704" spans="1:13" x14ac:dyDescent="0.3">
      <c r="A4704" s="1">
        <v>45641</v>
      </c>
      <c r="B4704" s="1" t="str">
        <f>TEXT(Tabla1[[#This Row],[Fecha]],"MMMM")</f>
        <v>diciembre</v>
      </c>
      <c r="C4704" t="s">
        <v>4714</v>
      </c>
      <c r="D4704" t="s">
        <v>5023</v>
      </c>
      <c r="E4704" t="s">
        <v>5032</v>
      </c>
      <c r="F4704" t="s">
        <v>5036</v>
      </c>
      <c r="G4704" s="3">
        <v>5933.52</v>
      </c>
      <c r="H4704" s="3">
        <v>0</v>
      </c>
      <c r="I4704" s="3">
        <f>SUM(Tabla1[[#This Row],[Monto_Base]],H4704)</f>
        <v>5933.52</v>
      </c>
      <c r="J4704" t="s">
        <v>5042</v>
      </c>
      <c r="K4704" t="s">
        <v>5049</v>
      </c>
      <c r="L4704" t="s">
        <v>5053</v>
      </c>
      <c r="M4704" t="s">
        <v>5055</v>
      </c>
    </row>
    <row r="4705" spans="1:13" x14ac:dyDescent="0.3">
      <c r="A4705" s="1">
        <v>45501</v>
      </c>
      <c r="B4705" s="1" t="str">
        <f>TEXT(Tabla1[[#This Row],[Fecha]],"MMMM")</f>
        <v>julio</v>
      </c>
      <c r="C4705" t="s">
        <v>4715</v>
      </c>
      <c r="D4705" t="s">
        <v>5023</v>
      </c>
      <c r="E4705" t="s">
        <v>5033</v>
      </c>
      <c r="F4705" t="s">
        <v>5040</v>
      </c>
      <c r="G4705" s="3">
        <v>10808.61</v>
      </c>
      <c r="H4705" s="3">
        <v>1405.12</v>
      </c>
      <c r="I4705" s="3">
        <f>SUM(Tabla1[[#This Row],[Monto_Base]],H4705)</f>
        <v>12213.73</v>
      </c>
      <c r="J4705" t="s">
        <v>5043</v>
      </c>
      <c r="K4705" t="s">
        <v>5047</v>
      </c>
      <c r="L4705" t="s">
        <v>5052</v>
      </c>
      <c r="M4705" t="s">
        <v>5054</v>
      </c>
    </row>
    <row r="4706" spans="1:13" x14ac:dyDescent="0.3">
      <c r="A4706" s="1">
        <v>45394</v>
      </c>
      <c r="B4706" s="1" t="str">
        <f>TEXT(Tabla1[[#This Row],[Fecha]],"MMMM")</f>
        <v>abril</v>
      </c>
      <c r="C4706" t="s">
        <v>4716</v>
      </c>
      <c r="D4706" t="s">
        <v>5015</v>
      </c>
      <c r="E4706" t="s">
        <v>5033</v>
      </c>
      <c r="F4706" t="s">
        <v>5034</v>
      </c>
      <c r="G4706" s="3">
        <v>3982.73</v>
      </c>
      <c r="H4706" s="3">
        <v>517.75</v>
      </c>
      <c r="I4706" s="3">
        <f>SUM(Tabla1[[#This Row],[Monto_Base]],H4706)</f>
        <v>4500.4799999999996</v>
      </c>
      <c r="J4706" t="s">
        <v>5044</v>
      </c>
      <c r="K4706" t="s">
        <v>5049</v>
      </c>
      <c r="L4706" t="s">
        <v>5052</v>
      </c>
      <c r="M4706" t="s">
        <v>5055</v>
      </c>
    </row>
    <row r="4707" spans="1:13" x14ac:dyDescent="0.3">
      <c r="A4707" s="1">
        <v>45559</v>
      </c>
      <c r="B4707" s="1" t="str">
        <f>TEXT(Tabla1[[#This Row],[Fecha]],"MMMM")</f>
        <v>septiembre</v>
      </c>
      <c r="C4707" t="s">
        <v>4717</v>
      </c>
      <c r="D4707" t="s">
        <v>5015</v>
      </c>
      <c r="E4707" t="s">
        <v>5032</v>
      </c>
      <c r="F4707" t="s">
        <v>5035</v>
      </c>
      <c r="G4707" s="3">
        <v>10401.129999999999</v>
      </c>
      <c r="H4707" s="3">
        <v>0</v>
      </c>
      <c r="I4707" s="3">
        <f>SUM(Tabla1[[#This Row],[Monto_Base]],H4707)</f>
        <v>10401.129999999999</v>
      </c>
      <c r="J4707" t="s">
        <v>5043</v>
      </c>
      <c r="K4707" t="s">
        <v>5048</v>
      </c>
      <c r="L4707" t="s">
        <v>5052</v>
      </c>
      <c r="M4707" t="s">
        <v>5055</v>
      </c>
    </row>
    <row r="4708" spans="1:13" x14ac:dyDescent="0.3">
      <c r="A4708" s="1">
        <v>45509</v>
      </c>
      <c r="B4708" s="1" t="str">
        <f>TEXT(Tabla1[[#This Row],[Fecha]],"MMMM")</f>
        <v>agosto</v>
      </c>
      <c r="C4708" t="s">
        <v>4718</v>
      </c>
      <c r="D4708" t="s">
        <v>5028</v>
      </c>
      <c r="E4708" t="s">
        <v>5032</v>
      </c>
      <c r="F4708" t="s">
        <v>5038</v>
      </c>
      <c r="G4708" s="3">
        <v>1456.73</v>
      </c>
      <c r="H4708" s="3">
        <v>0</v>
      </c>
      <c r="I4708" s="3">
        <f>SUM(Tabla1[[#This Row],[Monto_Base]],H4708)</f>
        <v>1456.73</v>
      </c>
      <c r="J4708" t="s">
        <v>5043</v>
      </c>
      <c r="K4708" t="s">
        <v>5048</v>
      </c>
      <c r="L4708" t="s">
        <v>5052</v>
      </c>
      <c r="M4708" t="s">
        <v>5054</v>
      </c>
    </row>
    <row r="4709" spans="1:13" x14ac:dyDescent="0.3">
      <c r="A4709" s="1">
        <v>45438</v>
      </c>
      <c r="B4709" s="1" t="str">
        <f>TEXT(Tabla1[[#This Row],[Fecha]],"MMMM")</f>
        <v>mayo</v>
      </c>
      <c r="C4709" t="s">
        <v>4719</v>
      </c>
      <c r="D4709" t="s">
        <v>5029</v>
      </c>
      <c r="E4709" t="s">
        <v>5033</v>
      </c>
      <c r="F4709" t="s">
        <v>5035</v>
      </c>
      <c r="G4709" s="3">
        <v>9277.65</v>
      </c>
      <c r="H4709" s="3">
        <v>1206.0899999999999</v>
      </c>
      <c r="I4709" s="3">
        <f>SUM(Tabla1[[#This Row],[Monto_Base]],H4709)</f>
        <v>10483.74</v>
      </c>
      <c r="J4709" t="s">
        <v>5043</v>
      </c>
      <c r="K4709" t="s">
        <v>5048</v>
      </c>
      <c r="L4709" t="s">
        <v>5052</v>
      </c>
      <c r="M4709" t="s">
        <v>5054</v>
      </c>
    </row>
    <row r="4710" spans="1:13" x14ac:dyDescent="0.3">
      <c r="A4710" s="1">
        <v>45304</v>
      </c>
      <c r="B4710" s="1" t="str">
        <f>TEXT(Tabla1[[#This Row],[Fecha]],"MMMM")</f>
        <v>enero</v>
      </c>
      <c r="C4710" t="s">
        <v>4720</v>
      </c>
      <c r="D4710" t="s">
        <v>5027</v>
      </c>
      <c r="E4710" t="s">
        <v>5033</v>
      </c>
      <c r="F4710" t="s">
        <v>5038</v>
      </c>
      <c r="G4710" s="3">
        <v>7861.25</v>
      </c>
      <c r="H4710" s="3">
        <v>1021.96</v>
      </c>
      <c r="I4710" s="3">
        <f>SUM(Tabla1[[#This Row],[Monto_Base]],H4710)</f>
        <v>8883.2099999999991</v>
      </c>
      <c r="J4710" t="s">
        <v>5042</v>
      </c>
      <c r="K4710" t="s">
        <v>5049</v>
      </c>
      <c r="L4710" t="s">
        <v>5052</v>
      </c>
      <c r="M4710" t="s">
        <v>5055</v>
      </c>
    </row>
    <row r="4711" spans="1:13" x14ac:dyDescent="0.3">
      <c r="A4711" s="1">
        <v>45470</v>
      </c>
      <c r="B4711" s="1" t="str">
        <f>TEXT(Tabla1[[#This Row],[Fecha]],"MMMM")</f>
        <v>junio</v>
      </c>
      <c r="C4711" t="s">
        <v>4721</v>
      </c>
      <c r="D4711" t="s">
        <v>5027</v>
      </c>
      <c r="E4711" t="s">
        <v>5033</v>
      </c>
      <c r="F4711" t="s">
        <v>5035</v>
      </c>
      <c r="G4711" s="3">
        <v>8369.49</v>
      </c>
      <c r="H4711" s="3">
        <v>1088.03</v>
      </c>
      <c r="I4711" s="3">
        <f>SUM(Tabla1[[#This Row],[Monto_Base]],H4711)</f>
        <v>9457.52</v>
      </c>
      <c r="J4711" t="s">
        <v>5044</v>
      </c>
      <c r="K4711" t="s">
        <v>5049</v>
      </c>
      <c r="L4711" t="s">
        <v>5052</v>
      </c>
      <c r="M4711" t="s">
        <v>5055</v>
      </c>
    </row>
    <row r="4712" spans="1:13" x14ac:dyDescent="0.3">
      <c r="A4712" s="1">
        <v>45387</v>
      </c>
      <c r="B4712" s="1" t="str">
        <f>TEXT(Tabla1[[#This Row],[Fecha]],"MMMM")</f>
        <v>abril</v>
      </c>
      <c r="C4712" t="s">
        <v>4722</v>
      </c>
      <c r="D4712" t="s">
        <v>5018</v>
      </c>
      <c r="E4712" t="s">
        <v>5032</v>
      </c>
      <c r="F4712" t="s">
        <v>5034</v>
      </c>
      <c r="G4712" s="3">
        <v>3387.51</v>
      </c>
      <c r="H4712" s="3">
        <v>0</v>
      </c>
      <c r="I4712" s="3">
        <f>SUM(Tabla1[[#This Row],[Monto_Base]],H4712)</f>
        <v>3387.51</v>
      </c>
      <c r="J4712" t="s">
        <v>5044</v>
      </c>
      <c r="K4712" t="s">
        <v>5049</v>
      </c>
      <c r="L4712" t="s">
        <v>5053</v>
      </c>
      <c r="M4712" t="s">
        <v>5054</v>
      </c>
    </row>
    <row r="4713" spans="1:13" x14ac:dyDescent="0.3">
      <c r="A4713" s="1">
        <v>45423</v>
      </c>
      <c r="B4713" s="1" t="str">
        <f>TEXT(Tabla1[[#This Row],[Fecha]],"MMMM")</f>
        <v>mayo</v>
      </c>
      <c r="C4713" t="s">
        <v>4723</v>
      </c>
      <c r="D4713" t="s">
        <v>5019</v>
      </c>
      <c r="E4713" t="s">
        <v>5032</v>
      </c>
      <c r="F4713" t="s">
        <v>5034</v>
      </c>
      <c r="G4713" s="3">
        <v>4025.99</v>
      </c>
      <c r="H4713" s="3">
        <v>0</v>
      </c>
      <c r="I4713" s="3">
        <f>SUM(Tabla1[[#This Row],[Monto_Base]],H4713)</f>
        <v>4025.99</v>
      </c>
      <c r="J4713" t="s">
        <v>5045</v>
      </c>
      <c r="K4713" t="s">
        <v>5049</v>
      </c>
      <c r="L4713" t="s">
        <v>5050</v>
      </c>
      <c r="M4713" t="s">
        <v>5055</v>
      </c>
    </row>
    <row r="4714" spans="1:13" x14ac:dyDescent="0.3">
      <c r="A4714" s="1">
        <v>45358</v>
      </c>
      <c r="B4714" s="1" t="str">
        <f>TEXT(Tabla1[[#This Row],[Fecha]],"MMMM")</f>
        <v>marzo</v>
      </c>
      <c r="C4714" t="s">
        <v>4724</v>
      </c>
      <c r="D4714" t="s">
        <v>5025</v>
      </c>
      <c r="E4714" t="s">
        <v>5032</v>
      </c>
      <c r="F4714" t="s">
        <v>5040</v>
      </c>
      <c r="G4714" s="3">
        <v>10739.64</v>
      </c>
      <c r="H4714" s="3">
        <v>0</v>
      </c>
      <c r="I4714" s="3">
        <f>SUM(Tabla1[[#This Row],[Monto_Base]],H4714)</f>
        <v>10739.64</v>
      </c>
      <c r="J4714" t="s">
        <v>5044</v>
      </c>
      <c r="K4714" t="s">
        <v>5048</v>
      </c>
      <c r="L4714" t="s">
        <v>5050</v>
      </c>
      <c r="M4714" t="s">
        <v>5055</v>
      </c>
    </row>
    <row r="4715" spans="1:13" x14ac:dyDescent="0.3">
      <c r="A4715" s="1">
        <v>45328</v>
      </c>
      <c r="B4715" s="1" t="str">
        <f>TEXT(Tabla1[[#This Row],[Fecha]],"MMMM")</f>
        <v>febrero</v>
      </c>
      <c r="C4715" t="s">
        <v>4725</v>
      </c>
      <c r="D4715" t="s">
        <v>5027</v>
      </c>
      <c r="E4715" t="s">
        <v>5033</v>
      </c>
      <c r="F4715" t="s">
        <v>5036</v>
      </c>
      <c r="G4715" s="3">
        <v>7176.13</v>
      </c>
      <c r="H4715" s="3">
        <v>932.9</v>
      </c>
      <c r="I4715" s="3">
        <f>SUM(Tabla1[[#This Row],[Monto_Base]],H4715)</f>
        <v>8109.03</v>
      </c>
      <c r="J4715" t="s">
        <v>5043</v>
      </c>
      <c r="K4715" t="s">
        <v>5047</v>
      </c>
      <c r="L4715" t="s">
        <v>5052</v>
      </c>
      <c r="M4715" t="s">
        <v>5055</v>
      </c>
    </row>
    <row r="4716" spans="1:13" x14ac:dyDescent="0.3">
      <c r="A4716" s="1">
        <v>45524</v>
      </c>
      <c r="B4716" s="1" t="str">
        <f>TEXT(Tabla1[[#This Row],[Fecha]],"MMMM")</f>
        <v>agosto</v>
      </c>
      <c r="C4716" t="s">
        <v>4726</v>
      </c>
      <c r="D4716" t="s">
        <v>5023</v>
      </c>
      <c r="E4716" t="s">
        <v>5032</v>
      </c>
      <c r="F4716" t="s">
        <v>5040</v>
      </c>
      <c r="G4716" s="3">
        <v>3945.23</v>
      </c>
      <c r="H4716" s="3">
        <v>0</v>
      </c>
      <c r="I4716" s="3">
        <f>SUM(Tabla1[[#This Row],[Monto_Base]],H4716)</f>
        <v>3945.23</v>
      </c>
      <c r="J4716" t="s">
        <v>5045</v>
      </c>
      <c r="K4716" t="s">
        <v>5049</v>
      </c>
      <c r="L4716" t="s">
        <v>5051</v>
      </c>
      <c r="M4716" t="s">
        <v>5054</v>
      </c>
    </row>
    <row r="4717" spans="1:13" x14ac:dyDescent="0.3">
      <c r="A4717" s="1">
        <v>45655</v>
      </c>
      <c r="B4717" s="1" t="str">
        <f>TEXT(Tabla1[[#This Row],[Fecha]],"MMMM")</f>
        <v>diciembre</v>
      </c>
      <c r="C4717" t="s">
        <v>4727</v>
      </c>
      <c r="D4717" t="s">
        <v>5015</v>
      </c>
      <c r="E4717" t="s">
        <v>5032</v>
      </c>
      <c r="F4717" t="s">
        <v>5038</v>
      </c>
      <c r="G4717" s="3">
        <v>10260.11</v>
      </c>
      <c r="H4717" s="3">
        <v>0</v>
      </c>
      <c r="I4717" s="3">
        <f>SUM(Tabla1[[#This Row],[Monto_Base]],H4717)</f>
        <v>10260.11</v>
      </c>
      <c r="J4717" t="s">
        <v>5042</v>
      </c>
      <c r="K4717" t="s">
        <v>5047</v>
      </c>
      <c r="L4717" t="s">
        <v>5050</v>
      </c>
      <c r="M4717" t="s">
        <v>5055</v>
      </c>
    </row>
    <row r="4718" spans="1:13" x14ac:dyDescent="0.3">
      <c r="A4718" s="1">
        <v>45571</v>
      </c>
      <c r="B4718" s="1" t="str">
        <f>TEXT(Tabla1[[#This Row],[Fecha]],"MMMM")</f>
        <v>octubre</v>
      </c>
      <c r="C4718" t="s">
        <v>4728</v>
      </c>
      <c r="D4718" t="s">
        <v>5029</v>
      </c>
      <c r="E4718" t="s">
        <v>5032</v>
      </c>
      <c r="F4718" t="s">
        <v>5038</v>
      </c>
      <c r="G4718" s="3">
        <v>1769.72</v>
      </c>
      <c r="H4718" s="3">
        <v>0</v>
      </c>
      <c r="I4718" s="3">
        <f>SUM(Tabla1[[#This Row],[Monto_Base]],H4718)</f>
        <v>1769.72</v>
      </c>
      <c r="J4718" t="s">
        <v>5046</v>
      </c>
      <c r="K4718" t="s">
        <v>5047</v>
      </c>
      <c r="L4718" t="s">
        <v>5052</v>
      </c>
      <c r="M4718" t="s">
        <v>5055</v>
      </c>
    </row>
    <row r="4719" spans="1:13" x14ac:dyDescent="0.3">
      <c r="A4719" s="1">
        <v>45602</v>
      </c>
      <c r="B4719" s="1" t="str">
        <f>TEXT(Tabla1[[#This Row],[Fecha]],"MMMM")</f>
        <v>noviembre</v>
      </c>
      <c r="C4719" t="s">
        <v>4729</v>
      </c>
      <c r="D4719" t="s">
        <v>5022</v>
      </c>
      <c r="E4719" t="s">
        <v>5032</v>
      </c>
      <c r="F4719" t="s">
        <v>5034</v>
      </c>
      <c r="G4719" s="3">
        <v>2987.79</v>
      </c>
      <c r="H4719" s="3">
        <v>0</v>
      </c>
      <c r="I4719" s="3">
        <f>SUM(Tabla1[[#This Row],[Monto_Base]],H4719)</f>
        <v>2987.79</v>
      </c>
      <c r="J4719" t="s">
        <v>5044</v>
      </c>
      <c r="K4719" t="s">
        <v>5049</v>
      </c>
      <c r="L4719" t="s">
        <v>5052</v>
      </c>
      <c r="M4719" t="s">
        <v>5054</v>
      </c>
    </row>
    <row r="4720" spans="1:13" x14ac:dyDescent="0.3">
      <c r="A4720" s="1">
        <v>45569</v>
      </c>
      <c r="B4720" s="1" t="str">
        <f>TEXT(Tabla1[[#This Row],[Fecha]],"MMMM")</f>
        <v>octubre</v>
      </c>
      <c r="C4720" t="s">
        <v>4730</v>
      </c>
      <c r="D4720" t="s">
        <v>5020</v>
      </c>
      <c r="E4720" t="s">
        <v>5033</v>
      </c>
      <c r="F4720" t="s">
        <v>5038</v>
      </c>
      <c r="G4720" s="3">
        <v>12400.33</v>
      </c>
      <c r="H4720" s="3">
        <v>1612.04</v>
      </c>
      <c r="I4720" s="3">
        <f>SUM(Tabla1[[#This Row],[Monto_Base]],H4720)</f>
        <v>14012.369999999999</v>
      </c>
      <c r="J4720" t="s">
        <v>5042</v>
      </c>
      <c r="K4720" t="s">
        <v>5047</v>
      </c>
      <c r="L4720" t="s">
        <v>5050</v>
      </c>
      <c r="M4720" t="s">
        <v>5054</v>
      </c>
    </row>
    <row r="4721" spans="1:13" x14ac:dyDescent="0.3">
      <c r="A4721" s="1">
        <v>45509</v>
      </c>
      <c r="B4721" s="1" t="str">
        <f>TEXT(Tabla1[[#This Row],[Fecha]],"MMMM")</f>
        <v>agosto</v>
      </c>
      <c r="C4721" t="s">
        <v>4731</v>
      </c>
      <c r="D4721" t="s">
        <v>5015</v>
      </c>
      <c r="E4721" t="s">
        <v>5033</v>
      </c>
      <c r="F4721" t="s">
        <v>5038</v>
      </c>
      <c r="G4721" s="3">
        <v>1662.86</v>
      </c>
      <c r="H4721" s="3">
        <v>216.17</v>
      </c>
      <c r="I4721" s="3">
        <f>SUM(Tabla1[[#This Row],[Monto_Base]],H4721)</f>
        <v>1879.03</v>
      </c>
      <c r="J4721" t="s">
        <v>5044</v>
      </c>
      <c r="K4721" t="s">
        <v>5048</v>
      </c>
      <c r="L4721" t="s">
        <v>5050</v>
      </c>
      <c r="M4721" t="s">
        <v>5054</v>
      </c>
    </row>
    <row r="4722" spans="1:13" x14ac:dyDescent="0.3">
      <c r="A4722" s="1">
        <v>45343</v>
      </c>
      <c r="B4722" s="1" t="str">
        <f>TEXT(Tabla1[[#This Row],[Fecha]],"MMMM")</f>
        <v>febrero</v>
      </c>
      <c r="C4722" t="s">
        <v>4732</v>
      </c>
      <c r="D4722" t="s">
        <v>5030</v>
      </c>
      <c r="E4722" t="s">
        <v>5033</v>
      </c>
      <c r="F4722" t="s">
        <v>5036</v>
      </c>
      <c r="G4722" s="3">
        <v>537.41999999999996</v>
      </c>
      <c r="H4722" s="3">
        <v>69.86</v>
      </c>
      <c r="I4722" s="3">
        <f>SUM(Tabla1[[#This Row],[Monto_Base]],H4722)</f>
        <v>607.28</v>
      </c>
      <c r="J4722" t="s">
        <v>5044</v>
      </c>
      <c r="K4722" t="s">
        <v>5049</v>
      </c>
      <c r="L4722" t="s">
        <v>5050</v>
      </c>
      <c r="M4722" t="s">
        <v>5054</v>
      </c>
    </row>
    <row r="4723" spans="1:13" x14ac:dyDescent="0.3">
      <c r="A4723" s="1">
        <v>45436</v>
      </c>
      <c r="B4723" s="1" t="str">
        <f>TEXT(Tabla1[[#This Row],[Fecha]],"MMMM")</f>
        <v>mayo</v>
      </c>
      <c r="C4723" t="s">
        <v>4733</v>
      </c>
      <c r="D4723" t="s">
        <v>5026</v>
      </c>
      <c r="E4723" t="s">
        <v>5033</v>
      </c>
      <c r="F4723" t="s">
        <v>5040</v>
      </c>
      <c r="G4723" s="3">
        <v>7820.67</v>
      </c>
      <c r="H4723" s="3">
        <v>1016.69</v>
      </c>
      <c r="I4723" s="3">
        <f>SUM(Tabla1[[#This Row],[Monto_Base]],H4723)</f>
        <v>8837.36</v>
      </c>
      <c r="J4723" t="s">
        <v>5042</v>
      </c>
      <c r="K4723" t="s">
        <v>5049</v>
      </c>
      <c r="L4723" t="s">
        <v>5053</v>
      </c>
      <c r="M4723" t="s">
        <v>5054</v>
      </c>
    </row>
    <row r="4724" spans="1:13" x14ac:dyDescent="0.3">
      <c r="A4724" s="1">
        <v>45518</v>
      </c>
      <c r="B4724" s="1" t="str">
        <f>TEXT(Tabla1[[#This Row],[Fecha]],"MMMM")</f>
        <v>agosto</v>
      </c>
      <c r="C4724" t="s">
        <v>4734</v>
      </c>
      <c r="D4724" t="s">
        <v>5018</v>
      </c>
      <c r="E4724" t="s">
        <v>5032</v>
      </c>
      <c r="F4724" t="s">
        <v>5036</v>
      </c>
      <c r="G4724" s="3">
        <v>2075.17</v>
      </c>
      <c r="H4724" s="3">
        <v>0</v>
      </c>
      <c r="I4724" s="3">
        <f>SUM(Tabla1[[#This Row],[Monto_Base]],H4724)</f>
        <v>2075.17</v>
      </c>
      <c r="J4724" t="s">
        <v>5043</v>
      </c>
      <c r="K4724" t="s">
        <v>5049</v>
      </c>
      <c r="L4724" t="s">
        <v>5053</v>
      </c>
      <c r="M4724" t="s">
        <v>5055</v>
      </c>
    </row>
    <row r="4725" spans="1:13" x14ac:dyDescent="0.3">
      <c r="A4725" s="1">
        <v>45600</v>
      </c>
      <c r="B4725" s="1" t="str">
        <f>TEXT(Tabla1[[#This Row],[Fecha]],"MMMM")</f>
        <v>noviembre</v>
      </c>
      <c r="C4725" t="s">
        <v>4735</v>
      </c>
      <c r="D4725" t="s">
        <v>5016</v>
      </c>
      <c r="E4725" t="s">
        <v>5032</v>
      </c>
      <c r="F4725" t="s">
        <v>5034</v>
      </c>
      <c r="G4725" s="3">
        <v>12422.37</v>
      </c>
      <c r="H4725" s="3">
        <v>0</v>
      </c>
      <c r="I4725" s="3">
        <f>SUM(Tabla1[[#This Row],[Monto_Base]],H4725)</f>
        <v>12422.37</v>
      </c>
      <c r="J4725" t="s">
        <v>5045</v>
      </c>
      <c r="K4725" t="s">
        <v>5049</v>
      </c>
      <c r="L4725" t="s">
        <v>5053</v>
      </c>
      <c r="M4725" t="s">
        <v>5055</v>
      </c>
    </row>
    <row r="4726" spans="1:13" x14ac:dyDescent="0.3">
      <c r="A4726" s="1">
        <v>45561</v>
      </c>
      <c r="B4726" s="1" t="str">
        <f>TEXT(Tabla1[[#This Row],[Fecha]],"MMMM")</f>
        <v>septiembre</v>
      </c>
      <c r="C4726" t="s">
        <v>4736</v>
      </c>
      <c r="D4726" t="s">
        <v>5029</v>
      </c>
      <c r="E4726" t="s">
        <v>5032</v>
      </c>
      <c r="F4726" t="s">
        <v>5038</v>
      </c>
      <c r="G4726" s="3">
        <v>259.44</v>
      </c>
      <c r="H4726" s="3">
        <v>0</v>
      </c>
      <c r="I4726" s="3">
        <f>SUM(Tabla1[[#This Row],[Monto_Base]],H4726)</f>
        <v>259.44</v>
      </c>
      <c r="J4726" t="s">
        <v>5045</v>
      </c>
      <c r="K4726" t="s">
        <v>5049</v>
      </c>
      <c r="L4726" t="s">
        <v>5052</v>
      </c>
      <c r="M4726" t="s">
        <v>5054</v>
      </c>
    </row>
    <row r="4727" spans="1:13" x14ac:dyDescent="0.3">
      <c r="A4727" s="1">
        <v>45341</v>
      </c>
      <c r="B4727" s="1" t="str">
        <f>TEXT(Tabla1[[#This Row],[Fecha]],"MMMM")</f>
        <v>febrero</v>
      </c>
      <c r="C4727" t="s">
        <v>4737</v>
      </c>
      <c r="D4727" t="s">
        <v>5026</v>
      </c>
      <c r="E4727" t="s">
        <v>5033</v>
      </c>
      <c r="F4727" t="s">
        <v>5037</v>
      </c>
      <c r="G4727" s="3">
        <v>3958.3</v>
      </c>
      <c r="H4727" s="3">
        <v>514.58000000000004</v>
      </c>
      <c r="I4727" s="3">
        <f>SUM(Tabla1[[#This Row],[Monto_Base]],H4727)</f>
        <v>4472.88</v>
      </c>
      <c r="J4727" t="s">
        <v>5042</v>
      </c>
      <c r="K4727" t="s">
        <v>5049</v>
      </c>
      <c r="L4727" t="s">
        <v>5050</v>
      </c>
      <c r="M4727" t="s">
        <v>5055</v>
      </c>
    </row>
    <row r="4728" spans="1:13" x14ac:dyDescent="0.3">
      <c r="A4728" s="1">
        <v>45420</v>
      </c>
      <c r="B4728" s="1" t="str">
        <f>TEXT(Tabla1[[#This Row],[Fecha]],"MMMM")</f>
        <v>mayo</v>
      </c>
      <c r="C4728" t="s">
        <v>4738</v>
      </c>
      <c r="D4728" t="s">
        <v>5022</v>
      </c>
      <c r="E4728" t="s">
        <v>5033</v>
      </c>
      <c r="F4728" t="s">
        <v>5034</v>
      </c>
      <c r="G4728" s="3">
        <v>6995.52</v>
      </c>
      <c r="H4728" s="3">
        <v>909.42</v>
      </c>
      <c r="I4728" s="3">
        <f>SUM(Tabla1[[#This Row],[Monto_Base]],H4728)</f>
        <v>7904.9400000000005</v>
      </c>
      <c r="J4728" t="s">
        <v>5044</v>
      </c>
      <c r="K4728" t="s">
        <v>5047</v>
      </c>
      <c r="L4728" t="s">
        <v>5050</v>
      </c>
      <c r="M4728" t="s">
        <v>5055</v>
      </c>
    </row>
    <row r="4729" spans="1:13" x14ac:dyDescent="0.3">
      <c r="A4729" s="1">
        <v>45489</v>
      </c>
      <c r="B4729" s="1" t="str">
        <f>TEXT(Tabla1[[#This Row],[Fecha]],"MMMM")</f>
        <v>julio</v>
      </c>
      <c r="C4729" t="s">
        <v>4739</v>
      </c>
      <c r="D4729" t="s">
        <v>5028</v>
      </c>
      <c r="E4729" t="s">
        <v>5033</v>
      </c>
      <c r="F4729" t="s">
        <v>5039</v>
      </c>
      <c r="G4729" s="3">
        <v>3608.14</v>
      </c>
      <c r="H4729" s="3">
        <v>469.06</v>
      </c>
      <c r="I4729" s="3">
        <f>SUM(Tabla1[[#This Row],[Monto_Base]],H4729)</f>
        <v>4077.2</v>
      </c>
      <c r="J4729" t="s">
        <v>5044</v>
      </c>
      <c r="K4729" t="s">
        <v>5048</v>
      </c>
      <c r="L4729" t="s">
        <v>5052</v>
      </c>
      <c r="M4729" t="s">
        <v>5055</v>
      </c>
    </row>
    <row r="4730" spans="1:13" x14ac:dyDescent="0.3">
      <c r="A4730" s="1">
        <v>45305</v>
      </c>
      <c r="B4730" s="1" t="str">
        <f>TEXT(Tabla1[[#This Row],[Fecha]],"MMMM")</f>
        <v>enero</v>
      </c>
      <c r="C4730" t="s">
        <v>4740</v>
      </c>
      <c r="D4730" t="s">
        <v>5012</v>
      </c>
      <c r="E4730" t="s">
        <v>5033</v>
      </c>
      <c r="F4730" t="s">
        <v>5040</v>
      </c>
      <c r="G4730" s="3">
        <v>8715.24</v>
      </c>
      <c r="H4730" s="3">
        <v>1132.98</v>
      </c>
      <c r="I4730" s="3">
        <f>SUM(Tabla1[[#This Row],[Monto_Base]],H4730)</f>
        <v>9848.2199999999993</v>
      </c>
      <c r="J4730" t="s">
        <v>5045</v>
      </c>
      <c r="K4730" t="s">
        <v>5049</v>
      </c>
      <c r="L4730" t="s">
        <v>5053</v>
      </c>
      <c r="M4730" t="s">
        <v>5054</v>
      </c>
    </row>
    <row r="4731" spans="1:13" x14ac:dyDescent="0.3">
      <c r="A4731" s="1">
        <v>45525</v>
      </c>
      <c r="B4731" s="1" t="str">
        <f>TEXT(Tabla1[[#This Row],[Fecha]],"MMMM")</f>
        <v>agosto</v>
      </c>
      <c r="C4731" t="s">
        <v>4741</v>
      </c>
      <c r="D4731" t="s">
        <v>5012</v>
      </c>
      <c r="E4731" t="s">
        <v>5033</v>
      </c>
      <c r="F4731" t="s">
        <v>5040</v>
      </c>
      <c r="G4731" s="3">
        <v>13919.75</v>
      </c>
      <c r="H4731" s="3">
        <v>1809.57</v>
      </c>
      <c r="I4731" s="3">
        <f>SUM(Tabla1[[#This Row],[Monto_Base]],H4731)</f>
        <v>15729.32</v>
      </c>
      <c r="J4731" t="s">
        <v>5042</v>
      </c>
      <c r="K4731" t="s">
        <v>5047</v>
      </c>
      <c r="L4731" t="s">
        <v>5050</v>
      </c>
      <c r="M4731" t="s">
        <v>5055</v>
      </c>
    </row>
    <row r="4732" spans="1:13" x14ac:dyDescent="0.3">
      <c r="A4732" s="1">
        <v>45328</v>
      </c>
      <c r="B4732" s="1" t="str">
        <f>TEXT(Tabla1[[#This Row],[Fecha]],"MMMM")</f>
        <v>febrero</v>
      </c>
      <c r="C4732" t="s">
        <v>4742</v>
      </c>
      <c r="D4732" t="s">
        <v>5026</v>
      </c>
      <c r="E4732" t="s">
        <v>5033</v>
      </c>
      <c r="F4732" t="s">
        <v>5034</v>
      </c>
      <c r="G4732" s="3">
        <v>200.71</v>
      </c>
      <c r="H4732" s="3">
        <v>26.09</v>
      </c>
      <c r="I4732" s="3">
        <f>SUM(Tabla1[[#This Row],[Monto_Base]],H4732)</f>
        <v>226.8</v>
      </c>
      <c r="J4732" t="s">
        <v>5045</v>
      </c>
      <c r="K4732" t="s">
        <v>5049</v>
      </c>
      <c r="L4732" t="s">
        <v>5053</v>
      </c>
      <c r="M4732" t="s">
        <v>5055</v>
      </c>
    </row>
    <row r="4733" spans="1:13" x14ac:dyDescent="0.3">
      <c r="A4733" s="1">
        <v>45623</v>
      </c>
      <c r="B4733" s="1" t="str">
        <f>TEXT(Tabla1[[#This Row],[Fecha]],"MMMM")</f>
        <v>noviembre</v>
      </c>
      <c r="C4733" t="s">
        <v>4743</v>
      </c>
      <c r="D4733" t="s">
        <v>5026</v>
      </c>
      <c r="E4733" t="s">
        <v>5033</v>
      </c>
      <c r="F4733" t="s">
        <v>5041</v>
      </c>
      <c r="G4733" s="3">
        <v>5708</v>
      </c>
      <c r="H4733" s="3">
        <v>742.04</v>
      </c>
      <c r="I4733" s="3">
        <f>SUM(Tabla1[[#This Row],[Monto_Base]],H4733)</f>
        <v>6450.04</v>
      </c>
      <c r="J4733" t="s">
        <v>5043</v>
      </c>
      <c r="K4733" t="s">
        <v>5047</v>
      </c>
      <c r="L4733" t="s">
        <v>5053</v>
      </c>
      <c r="M4733" t="s">
        <v>5055</v>
      </c>
    </row>
    <row r="4734" spans="1:13" x14ac:dyDescent="0.3">
      <c r="A4734" s="1">
        <v>45579</v>
      </c>
      <c r="B4734" s="1" t="str">
        <f>TEXT(Tabla1[[#This Row],[Fecha]],"MMMM")</f>
        <v>octubre</v>
      </c>
      <c r="C4734" t="s">
        <v>4744</v>
      </c>
      <c r="D4734" t="s">
        <v>5030</v>
      </c>
      <c r="E4734" t="s">
        <v>5032</v>
      </c>
      <c r="F4734" t="s">
        <v>5036</v>
      </c>
      <c r="G4734" s="3">
        <v>14634.31</v>
      </c>
      <c r="H4734" s="3">
        <v>0</v>
      </c>
      <c r="I4734" s="3">
        <f>SUM(Tabla1[[#This Row],[Monto_Base]],H4734)</f>
        <v>14634.31</v>
      </c>
      <c r="J4734" t="s">
        <v>5045</v>
      </c>
      <c r="K4734" t="s">
        <v>5048</v>
      </c>
      <c r="L4734" t="s">
        <v>5053</v>
      </c>
      <c r="M4734" t="s">
        <v>5054</v>
      </c>
    </row>
    <row r="4735" spans="1:13" x14ac:dyDescent="0.3">
      <c r="A4735" s="1">
        <v>45371</v>
      </c>
      <c r="B4735" s="1" t="str">
        <f>TEXT(Tabla1[[#This Row],[Fecha]],"MMMM")</f>
        <v>marzo</v>
      </c>
      <c r="C4735" t="s">
        <v>4745</v>
      </c>
      <c r="D4735" t="s">
        <v>5028</v>
      </c>
      <c r="E4735" t="s">
        <v>5033</v>
      </c>
      <c r="F4735" t="s">
        <v>5038</v>
      </c>
      <c r="G4735" s="3">
        <v>12740.82</v>
      </c>
      <c r="H4735" s="3">
        <v>1656.31</v>
      </c>
      <c r="I4735" s="3">
        <f>SUM(Tabla1[[#This Row],[Monto_Base]],H4735)</f>
        <v>14397.13</v>
      </c>
      <c r="J4735" t="s">
        <v>5042</v>
      </c>
      <c r="K4735" t="s">
        <v>5048</v>
      </c>
      <c r="L4735" t="s">
        <v>5052</v>
      </c>
      <c r="M4735" t="s">
        <v>5055</v>
      </c>
    </row>
    <row r="4736" spans="1:13" x14ac:dyDescent="0.3">
      <c r="A4736" s="1">
        <v>45590</v>
      </c>
      <c r="B4736" s="1" t="str">
        <f>TEXT(Tabla1[[#This Row],[Fecha]],"MMMM")</f>
        <v>octubre</v>
      </c>
      <c r="C4736" t="s">
        <v>4746</v>
      </c>
      <c r="D4736" t="s">
        <v>5021</v>
      </c>
      <c r="E4736" t="s">
        <v>5033</v>
      </c>
      <c r="F4736" t="s">
        <v>5037</v>
      </c>
      <c r="G4736" s="3">
        <v>3043.49</v>
      </c>
      <c r="H4736" s="3">
        <v>395.65</v>
      </c>
      <c r="I4736" s="3">
        <f>SUM(Tabla1[[#This Row],[Monto_Base]],H4736)</f>
        <v>3439.14</v>
      </c>
      <c r="J4736" t="s">
        <v>5042</v>
      </c>
      <c r="K4736" t="s">
        <v>5048</v>
      </c>
      <c r="L4736" t="s">
        <v>5051</v>
      </c>
      <c r="M4736" t="s">
        <v>5055</v>
      </c>
    </row>
    <row r="4737" spans="1:13" x14ac:dyDescent="0.3">
      <c r="A4737" s="1">
        <v>45409</v>
      </c>
      <c r="B4737" s="1" t="str">
        <f>TEXT(Tabla1[[#This Row],[Fecha]],"MMMM")</f>
        <v>abril</v>
      </c>
      <c r="C4737" t="s">
        <v>4747</v>
      </c>
      <c r="D4737" t="s">
        <v>5014</v>
      </c>
      <c r="E4737" t="s">
        <v>5033</v>
      </c>
      <c r="F4737" t="s">
        <v>5035</v>
      </c>
      <c r="G4737" s="3">
        <v>9160.16</v>
      </c>
      <c r="H4737" s="3">
        <v>1190.82</v>
      </c>
      <c r="I4737" s="3">
        <f>SUM(Tabla1[[#This Row],[Monto_Base]],H4737)</f>
        <v>10350.98</v>
      </c>
      <c r="J4737" t="s">
        <v>5046</v>
      </c>
      <c r="K4737" t="s">
        <v>5048</v>
      </c>
      <c r="L4737" t="s">
        <v>5051</v>
      </c>
      <c r="M4737" t="s">
        <v>5055</v>
      </c>
    </row>
    <row r="4738" spans="1:13" x14ac:dyDescent="0.3">
      <c r="A4738" s="1">
        <v>45402</v>
      </c>
      <c r="B4738" s="1" t="str">
        <f>TEXT(Tabla1[[#This Row],[Fecha]],"MMMM")</f>
        <v>abril</v>
      </c>
      <c r="C4738" t="s">
        <v>4748</v>
      </c>
      <c r="D4738" t="s">
        <v>5028</v>
      </c>
      <c r="E4738" t="s">
        <v>5033</v>
      </c>
      <c r="F4738" t="s">
        <v>5038</v>
      </c>
      <c r="G4738" s="3">
        <v>6030.03</v>
      </c>
      <c r="H4738" s="3">
        <v>783.9</v>
      </c>
      <c r="I4738" s="3">
        <f>SUM(Tabla1[[#This Row],[Monto_Base]],H4738)</f>
        <v>6813.9299999999994</v>
      </c>
      <c r="J4738" t="s">
        <v>5042</v>
      </c>
      <c r="K4738" t="s">
        <v>5049</v>
      </c>
      <c r="L4738" t="s">
        <v>5053</v>
      </c>
      <c r="M4738" t="s">
        <v>5055</v>
      </c>
    </row>
    <row r="4739" spans="1:13" x14ac:dyDescent="0.3">
      <c r="A4739" s="1">
        <v>45576</v>
      </c>
      <c r="B4739" s="1" t="str">
        <f>TEXT(Tabla1[[#This Row],[Fecha]],"MMMM")</f>
        <v>octubre</v>
      </c>
      <c r="C4739" t="s">
        <v>4749</v>
      </c>
      <c r="D4739" t="s">
        <v>5031</v>
      </c>
      <c r="E4739" t="s">
        <v>5033</v>
      </c>
      <c r="F4739" t="s">
        <v>5040</v>
      </c>
      <c r="G4739" s="3">
        <v>4851.63</v>
      </c>
      <c r="H4739" s="3">
        <v>630.71</v>
      </c>
      <c r="I4739" s="3">
        <f>SUM(Tabla1[[#This Row],[Monto_Base]],H4739)</f>
        <v>5482.34</v>
      </c>
      <c r="J4739" t="s">
        <v>5043</v>
      </c>
      <c r="K4739" t="s">
        <v>5048</v>
      </c>
      <c r="L4739" t="s">
        <v>5052</v>
      </c>
      <c r="M4739" t="s">
        <v>5054</v>
      </c>
    </row>
    <row r="4740" spans="1:13" x14ac:dyDescent="0.3">
      <c r="A4740" s="1">
        <v>45591</v>
      </c>
      <c r="B4740" s="1" t="str">
        <f>TEXT(Tabla1[[#This Row],[Fecha]],"MMMM")</f>
        <v>octubre</v>
      </c>
      <c r="C4740" t="s">
        <v>4750</v>
      </c>
      <c r="D4740" t="s">
        <v>5031</v>
      </c>
      <c r="E4740" t="s">
        <v>5032</v>
      </c>
      <c r="F4740" t="s">
        <v>5036</v>
      </c>
      <c r="G4740" s="3">
        <v>4114.51</v>
      </c>
      <c r="H4740" s="3">
        <v>0</v>
      </c>
      <c r="I4740" s="3">
        <f>SUM(Tabla1[[#This Row],[Monto_Base]],H4740)</f>
        <v>4114.51</v>
      </c>
      <c r="J4740" t="s">
        <v>5042</v>
      </c>
      <c r="K4740" t="s">
        <v>5049</v>
      </c>
      <c r="L4740" t="s">
        <v>5053</v>
      </c>
      <c r="M4740" t="s">
        <v>5055</v>
      </c>
    </row>
    <row r="4741" spans="1:13" x14ac:dyDescent="0.3">
      <c r="A4741" s="1">
        <v>45372</v>
      </c>
      <c r="B4741" s="1" t="str">
        <f>TEXT(Tabla1[[#This Row],[Fecha]],"MMMM")</f>
        <v>marzo</v>
      </c>
      <c r="C4741" t="s">
        <v>4751</v>
      </c>
      <c r="D4741" t="s">
        <v>5027</v>
      </c>
      <c r="E4741" t="s">
        <v>5032</v>
      </c>
      <c r="F4741" t="s">
        <v>5040</v>
      </c>
      <c r="G4741" s="3">
        <v>9426.9</v>
      </c>
      <c r="H4741" s="3">
        <v>0</v>
      </c>
      <c r="I4741" s="3">
        <f>SUM(Tabla1[[#This Row],[Monto_Base]],H4741)</f>
        <v>9426.9</v>
      </c>
      <c r="J4741" t="s">
        <v>5045</v>
      </c>
      <c r="K4741" t="s">
        <v>5047</v>
      </c>
      <c r="L4741" t="s">
        <v>5050</v>
      </c>
      <c r="M4741" t="s">
        <v>5054</v>
      </c>
    </row>
    <row r="4742" spans="1:13" x14ac:dyDescent="0.3">
      <c r="A4742" s="1">
        <v>45579</v>
      </c>
      <c r="B4742" s="1" t="str">
        <f>TEXT(Tabla1[[#This Row],[Fecha]],"MMMM")</f>
        <v>octubre</v>
      </c>
      <c r="C4742" t="s">
        <v>4752</v>
      </c>
      <c r="D4742" t="s">
        <v>5020</v>
      </c>
      <c r="E4742" t="s">
        <v>5032</v>
      </c>
      <c r="F4742" t="s">
        <v>5036</v>
      </c>
      <c r="G4742" s="3">
        <v>12153.43</v>
      </c>
      <c r="H4742" s="3">
        <v>0</v>
      </c>
      <c r="I4742" s="3">
        <f>SUM(Tabla1[[#This Row],[Monto_Base]],H4742)</f>
        <v>12153.43</v>
      </c>
      <c r="J4742" t="s">
        <v>5042</v>
      </c>
      <c r="K4742" t="s">
        <v>5047</v>
      </c>
      <c r="L4742" t="s">
        <v>5050</v>
      </c>
      <c r="M4742" t="s">
        <v>5054</v>
      </c>
    </row>
    <row r="4743" spans="1:13" x14ac:dyDescent="0.3">
      <c r="A4743" s="1">
        <v>45423</v>
      </c>
      <c r="B4743" s="1" t="str">
        <f>TEXT(Tabla1[[#This Row],[Fecha]],"MMMM")</f>
        <v>mayo</v>
      </c>
      <c r="C4743" t="s">
        <v>4753</v>
      </c>
      <c r="D4743" t="s">
        <v>5020</v>
      </c>
      <c r="E4743" t="s">
        <v>5032</v>
      </c>
      <c r="F4743" t="s">
        <v>5041</v>
      </c>
      <c r="G4743" s="3">
        <v>4093.22</v>
      </c>
      <c r="H4743" s="3">
        <v>0</v>
      </c>
      <c r="I4743" s="3">
        <f>SUM(Tabla1[[#This Row],[Monto_Base]],H4743)</f>
        <v>4093.22</v>
      </c>
      <c r="J4743" t="s">
        <v>5045</v>
      </c>
      <c r="K4743" t="s">
        <v>5047</v>
      </c>
      <c r="L4743" t="s">
        <v>5052</v>
      </c>
      <c r="M4743" t="s">
        <v>5055</v>
      </c>
    </row>
    <row r="4744" spans="1:13" x14ac:dyDescent="0.3">
      <c r="A4744" s="1">
        <v>45303</v>
      </c>
      <c r="B4744" s="1" t="str">
        <f>TEXT(Tabla1[[#This Row],[Fecha]],"MMMM")</f>
        <v>enero</v>
      </c>
      <c r="C4744" t="s">
        <v>4754</v>
      </c>
      <c r="D4744" t="s">
        <v>5023</v>
      </c>
      <c r="E4744" t="s">
        <v>5032</v>
      </c>
      <c r="F4744" t="s">
        <v>5040</v>
      </c>
      <c r="G4744" s="3">
        <v>11038.54</v>
      </c>
      <c r="H4744" s="3">
        <v>0</v>
      </c>
      <c r="I4744" s="3">
        <f>SUM(Tabla1[[#This Row],[Monto_Base]],H4744)</f>
        <v>11038.54</v>
      </c>
      <c r="J4744" t="s">
        <v>5043</v>
      </c>
      <c r="K4744" t="s">
        <v>5049</v>
      </c>
      <c r="L4744" t="s">
        <v>5052</v>
      </c>
      <c r="M4744" t="s">
        <v>5054</v>
      </c>
    </row>
    <row r="4745" spans="1:13" x14ac:dyDescent="0.3">
      <c r="A4745" s="1">
        <v>45302</v>
      </c>
      <c r="B4745" s="1" t="str">
        <f>TEXT(Tabla1[[#This Row],[Fecha]],"MMMM")</f>
        <v>enero</v>
      </c>
      <c r="C4745" t="s">
        <v>4755</v>
      </c>
      <c r="D4745" t="s">
        <v>5023</v>
      </c>
      <c r="E4745" t="s">
        <v>5033</v>
      </c>
      <c r="F4745" t="s">
        <v>5040</v>
      </c>
      <c r="G4745" s="3">
        <v>6879.63</v>
      </c>
      <c r="H4745" s="3">
        <v>894.35</v>
      </c>
      <c r="I4745" s="3">
        <f>SUM(Tabla1[[#This Row],[Monto_Base]],H4745)</f>
        <v>7773.9800000000005</v>
      </c>
      <c r="J4745" t="s">
        <v>5045</v>
      </c>
      <c r="K4745" t="s">
        <v>5049</v>
      </c>
      <c r="L4745" t="s">
        <v>5050</v>
      </c>
      <c r="M4745" t="s">
        <v>5055</v>
      </c>
    </row>
    <row r="4746" spans="1:13" x14ac:dyDescent="0.3">
      <c r="A4746" s="1">
        <v>45628</v>
      </c>
      <c r="B4746" s="1" t="str">
        <f>TEXT(Tabla1[[#This Row],[Fecha]],"MMMM")</f>
        <v>diciembre</v>
      </c>
      <c r="C4746" t="s">
        <v>4756</v>
      </c>
      <c r="D4746" t="s">
        <v>5015</v>
      </c>
      <c r="E4746" t="s">
        <v>5032</v>
      </c>
      <c r="F4746" t="s">
        <v>5040</v>
      </c>
      <c r="G4746" s="3">
        <v>10299.91</v>
      </c>
      <c r="H4746" s="3">
        <v>0</v>
      </c>
      <c r="I4746" s="3">
        <f>SUM(Tabla1[[#This Row],[Monto_Base]],H4746)</f>
        <v>10299.91</v>
      </c>
      <c r="J4746" t="s">
        <v>5042</v>
      </c>
      <c r="K4746" t="s">
        <v>5047</v>
      </c>
      <c r="L4746" t="s">
        <v>5051</v>
      </c>
      <c r="M4746" t="s">
        <v>5055</v>
      </c>
    </row>
    <row r="4747" spans="1:13" x14ac:dyDescent="0.3">
      <c r="A4747" s="1">
        <v>45599</v>
      </c>
      <c r="B4747" s="1" t="str">
        <f>TEXT(Tabla1[[#This Row],[Fecha]],"MMMM")</f>
        <v>noviembre</v>
      </c>
      <c r="C4747" t="s">
        <v>4757</v>
      </c>
      <c r="D4747" t="s">
        <v>5019</v>
      </c>
      <c r="E4747" t="s">
        <v>5033</v>
      </c>
      <c r="F4747" t="s">
        <v>5038</v>
      </c>
      <c r="G4747" s="3">
        <v>6393.99</v>
      </c>
      <c r="H4747" s="3">
        <v>831.22</v>
      </c>
      <c r="I4747" s="3">
        <f>SUM(Tabla1[[#This Row],[Monto_Base]],H4747)</f>
        <v>7225.21</v>
      </c>
      <c r="J4747" t="s">
        <v>5045</v>
      </c>
      <c r="K4747" t="s">
        <v>5047</v>
      </c>
      <c r="L4747" t="s">
        <v>5053</v>
      </c>
      <c r="M4747" t="s">
        <v>5055</v>
      </c>
    </row>
    <row r="4748" spans="1:13" x14ac:dyDescent="0.3">
      <c r="A4748" s="1">
        <v>45431</v>
      </c>
      <c r="B4748" s="1" t="str">
        <f>TEXT(Tabla1[[#This Row],[Fecha]],"MMMM")</f>
        <v>mayo</v>
      </c>
      <c r="C4748" t="s">
        <v>4758</v>
      </c>
      <c r="D4748" t="s">
        <v>5026</v>
      </c>
      <c r="E4748" t="s">
        <v>5033</v>
      </c>
      <c r="F4748" t="s">
        <v>5037</v>
      </c>
      <c r="G4748" s="3">
        <v>12864.97</v>
      </c>
      <c r="H4748" s="3">
        <v>1672.45</v>
      </c>
      <c r="I4748" s="3">
        <f>SUM(Tabla1[[#This Row],[Monto_Base]],H4748)</f>
        <v>14537.42</v>
      </c>
      <c r="J4748" t="s">
        <v>5046</v>
      </c>
      <c r="K4748" t="s">
        <v>5048</v>
      </c>
      <c r="L4748" t="s">
        <v>5051</v>
      </c>
      <c r="M4748" t="s">
        <v>5055</v>
      </c>
    </row>
    <row r="4749" spans="1:13" x14ac:dyDescent="0.3">
      <c r="A4749" s="1">
        <v>45646</v>
      </c>
      <c r="B4749" s="1" t="str">
        <f>TEXT(Tabla1[[#This Row],[Fecha]],"MMMM")</f>
        <v>diciembre</v>
      </c>
      <c r="C4749" t="s">
        <v>4759</v>
      </c>
      <c r="D4749" t="s">
        <v>5012</v>
      </c>
      <c r="E4749" t="s">
        <v>5033</v>
      </c>
      <c r="F4749" t="s">
        <v>5040</v>
      </c>
      <c r="G4749" s="3">
        <v>1785.53</v>
      </c>
      <c r="H4749" s="3">
        <v>232.12</v>
      </c>
      <c r="I4749" s="3">
        <f>SUM(Tabla1[[#This Row],[Monto_Base]],H4749)</f>
        <v>2017.65</v>
      </c>
      <c r="J4749" t="s">
        <v>5045</v>
      </c>
      <c r="K4749" t="s">
        <v>5048</v>
      </c>
      <c r="L4749" t="s">
        <v>5050</v>
      </c>
      <c r="M4749" t="s">
        <v>5054</v>
      </c>
    </row>
    <row r="4750" spans="1:13" x14ac:dyDescent="0.3">
      <c r="A4750" s="1">
        <v>45476</v>
      </c>
      <c r="B4750" s="1" t="str">
        <f>TEXT(Tabla1[[#This Row],[Fecha]],"MMMM")</f>
        <v>julio</v>
      </c>
      <c r="C4750" t="s">
        <v>4760</v>
      </c>
      <c r="D4750" t="s">
        <v>5029</v>
      </c>
      <c r="E4750" t="s">
        <v>5032</v>
      </c>
      <c r="F4750" t="s">
        <v>5035</v>
      </c>
      <c r="G4750" s="3">
        <v>9341.33</v>
      </c>
      <c r="H4750" s="3">
        <v>0</v>
      </c>
      <c r="I4750" s="3">
        <f>SUM(Tabla1[[#This Row],[Monto_Base]],H4750)</f>
        <v>9341.33</v>
      </c>
      <c r="J4750" t="s">
        <v>5043</v>
      </c>
      <c r="K4750" t="s">
        <v>5049</v>
      </c>
      <c r="L4750" t="s">
        <v>5050</v>
      </c>
      <c r="M4750" t="s">
        <v>5054</v>
      </c>
    </row>
    <row r="4751" spans="1:13" x14ac:dyDescent="0.3">
      <c r="A4751" s="1">
        <v>45489</v>
      </c>
      <c r="B4751" s="1" t="str">
        <f>TEXT(Tabla1[[#This Row],[Fecha]],"MMMM")</f>
        <v>julio</v>
      </c>
      <c r="C4751" t="s">
        <v>4761</v>
      </c>
      <c r="D4751" t="s">
        <v>5016</v>
      </c>
      <c r="E4751" t="s">
        <v>5032</v>
      </c>
      <c r="F4751" t="s">
        <v>5041</v>
      </c>
      <c r="G4751" s="3">
        <v>4368.2299999999996</v>
      </c>
      <c r="H4751" s="3">
        <v>0</v>
      </c>
      <c r="I4751" s="3">
        <f>SUM(Tabla1[[#This Row],[Monto_Base]],H4751)</f>
        <v>4368.2299999999996</v>
      </c>
      <c r="J4751" t="s">
        <v>5046</v>
      </c>
      <c r="K4751" t="s">
        <v>5047</v>
      </c>
      <c r="L4751" t="s">
        <v>5052</v>
      </c>
      <c r="M4751" t="s">
        <v>5055</v>
      </c>
    </row>
    <row r="4752" spans="1:13" x14ac:dyDescent="0.3">
      <c r="A4752" s="1">
        <v>45637</v>
      </c>
      <c r="B4752" s="1" t="str">
        <f>TEXT(Tabla1[[#This Row],[Fecha]],"MMMM")</f>
        <v>diciembre</v>
      </c>
      <c r="C4752" t="s">
        <v>4762</v>
      </c>
      <c r="D4752" t="s">
        <v>5028</v>
      </c>
      <c r="E4752" t="s">
        <v>5033</v>
      </c>
      <c r="F4752" t="s">
        <v>5036</v>
      </c>
      <c r="G4752" s="3">
        <v>12886.88</v>
      </c>
      <c r="H4752" s="3">
        <v>1675.29</v>
      </c>
      <c r="I4752" s="3">
        <f>SUM(Tabla1[[#This Row],[Monto_Base]],H4752)</f>
        <v>14562.169999999998</v>
      </c>
      <c r="J4752" t="s">
        <v>5045</v>
      </c>
      <c r="K4752" t="s">
        <v>5047</v>
      </c>
      <c r="L4752" t="s">
        <v>5050</v>
      </c>
      <c r="M4752" t="s">
        <v>5054</v>
      </c>
    </row>
    <row r="4753" spans="1:13" x14ac:dyDescent="0.3">
      <c r="A4753" s="1">
        <v>45427</v>
      </c>
      <c r="B4753" s="1" t="str">
        <f>TEXT(Tabla1[[#This Row],[Fecha]],"MMMM")</f>
        <v>mayo</v>
      </c>
      <c r="C4753" t="s">
        <v>4763</v>
      </c>
      <c r="D4753" t="s">
        <v>5025</v>
      </c>
      <c r="E4753" t="s">
        <v>5032</v>
      </c>
      <c r="F4753" t="s">
        <v>5036</v>
      </c>
      <c r="G4753" s="3">
        <v>7598.11</v>
      </c>
      <c r="H4753" s="3">
        <v>0</v>
      </c>
      <c r="I4753" s="3">
        <f>SUM(Tabla1[[#This Row],[Monto_Base]],H4753)</f>
        <v>7598.11</v>
      </c>
      <c r="J4753" t="s">
        <v>5046</v>
      </c>
      <c r="K4753" t="s">
        <v>5047</v>
      </c>
      <c r="L4753" t="s">
        <v>5052</v>
      </c>
      <c r="M4753" t="s">
        <v>5054</v>
      </c>
    </row>
    <row r="4754" spans="1:13" x14ac:dyDescent="0.3">
      <c r="A4754" s="1">
        <v>45525</v>
      </c>
      <c r="B4754" s="1" t="str">
        <f>TEXT(Tabla1[[#This Row],[Fecha]],"MMMM")</f>
        <v>agosto</v>
      </c>
      <c r="C4754" t="s">
        <v>4764</v>
      </c>
      <c r="D4754" t="s">
        <v>5012</v>
      </c>
      <c r="E4754" t="s">
        <v>5032</v>
      </c>
      <c r="F4754" t="s">
        <v>5041</v>
      </c>
      <c r="G4754" s="3">
        <v>13140.71</v>
      </c>
      <c r="H4754" s="3">
        <v>0</v>
      </c>
      <c r="I4754" s="3">
        <f>SUM(Tabla1[[#This Row],[Monto_Base]],H4754)</f>
        <v>13140.71</v>
      </c>
      <c r="J4754" t="s">
        <v>5046</v>
      </c>
      <c r="K4754" t="s">
        <v>5047</v>
      </c>
      <c r="L4754" t="s">
        <v>5050</v>
      </c>
      <c r="M4754" t="s">
        <v>5054</v>
      </c>
    </row>
    <row r="4755" spans="1:13" x14ac:dyDescent="0.3">
      <c r="A4755" s="1">
        <v>45474</v>
      </c>
      <c r="B4755" s="1" t="str">
        <f>TEXT(Tabla1[[#This Row],[Fecha]],"MMMM")</f>
        <v>julio</v>
      </c>
      <c r="C4755" t="s">
        <v>4765</v>
      </c>
      <c r="D4755" t="s">
        <v>5019</v>
      </c>
      <c r="E4755" t="s">
        <v>5032</v>
      </c>
      <c r="F4755" t="s">
        <v>5041</v>
      </c>
      <c r="G4755" s="3">
        <v>5430.8</v>
      </c>
      <c r="H4755" s="3">
        <v>0</v>
      </c>
      <c r="I4755" s="3">
        <f>SUM(Tabla1[[#This Row],[Monto_Base]],H4755)</f>
        <v>5430.8</v>
      </c>
      <c r="J4755" t="s">
        <v>5044</v>
      </c>
      <c r="K4755" t="s">
        <v>5047</v>
      </c>
      <c r="L4755" t="s">
        <v>5051</v>
      </c>
      <c r="M4755" t="s">
        <v>5055</v>
      </c>
    </row>
    <row r="4756" spans="1:13" x14ac:dyDescent="0.3">
      <c r="A4756" s="1">
        <v>45510</v>
      </c>
      <c r="B4756" s="1" t="str">
        <f>TEXT(Tabla1[[#This Row],[Fecha]],"MMMM")</f>
        <v>agosto</v>
      </c>
      <c r="C4756" t="s">
        <v>4766</v>
      </c>
      <c r="D4756" t="s">
        <v>5019</v>
      </c>
      <c r="E4756" t="s">
        <v>5032</v>
      </c>
      <c r="F4756" t="s">
        <v>5035</v>
      </c>
      <c r="G4756" s="3">
        <v>10884.53</v>
      </c>
      <c r="H4756" s="3">
        <v>0</v>
      </c>
      <c r="I4756" s="3">
        <f>SUM(Tabla1[[#This Row],[Monto_Base]],H4756)</f>
        <v>10884.53</v>
      </c>
      <c r="J4756" t="s">
        <v>5043</v>
      </c>
      <c r="K4756" t="s">
        <v>5048</v>
      </c>
      <c r="L4756" t="s">
        <v>5050</v>
      </c>
      <c r="M4756" t="s">
        <v>5054</v>
      </c>
    </row>
    <row r="4757" spans="1:13" x14ac:dyDescent="0.3">
      <c r="A4757" s="1">
        <v>45318</v>
      </c>
      <c r="B4757" s="1" t="str">
        <f>TEXT(Tabla1[[#This Row],[Fecha]],"MMMM")</f>
        <v>enero</v>
      </c>
      <c r="C4757" t="s">
        <v>4767</v>
      </c>
      <c r="D4757" t="s">
        <v>5029</v>
      </c>
      <c r="E4757" t="s">
        <v>5032</v>
      </c>
      <c r="F4757" t="s">
        <v>5036</v>
      </c>
      <c r="G4757" s="3">
        <v>3401.25</v>
      </c>
      <c r="H4757" s="3">
        <v>0</v>
      </c>
      <c r="I4757" s="3">
        <f>SUM(Tabla1[[#This Row],[Monto_Base]],H4757)</f>
        <v>3401.25</v>
      </c>
      <c r="J4757" t="s">
        <v>5045</v>
      </c>
      <c r="K4757" t="s">
        <v>5047</v>
      </c>
      <c r="L4757" t="s">
        <v>5051</v>
      </c>
      <c r="M4757" t="s">
        <v>5055</v>
      </c>
    </row>
    <row r="4758" spans="1:13" x14ac:dyDescent="0.3">
      <c r="A4758" s="1">
        <v>45414</v>
      </c>
      <c r="B4758" s="1" t="str">
        <f>TEXT(Tabla1[[#This Row],[Fecha]],"MMMM")</f>
        <v>mayo</v>
      </c>
      <c r="C4758" t="s">
        <v>4768</v>
      </c>
      <c r="D4758" t="s">
        <v>5019</v>
      </c>
      <c r="E4758" t="s">
        <v>5032</v>
      </c>
      <c r="F4758" t="s">
        <v>5040</v>
      </c>
      <c r="G4758" s="3">
        <v>12735.22</v>
      </c>
      <c r="H4758" s="3">
        <v>0</v>
      </c>
      <c r="I4758" s="3">
        <f>SUM(Tabla1[[#This Row],[Monto_Base]],H4758)</f>
        <v>12735.22</v>
      </c>
      <c r="J4758" t="s">
        <v>5044</v>
      </c>
      <c r="K4758" t="s">
        <v>5048</v>
      </c>
      <c r="L4758" t="s">
        <v>5051</v>
      </c>
      <c r="M4758" t="s">
        <v>5054</v>
      </c>
    </row>
    <row r="4759" spans="1:13" x14ac:dyDescent="0.3">
      <c r="A4759" s="1">
        <v>45438</v>
      </c>
      <c r="B4759" s="1" t="str">
        <f>TEXT(Tabla1[[#This Row],[Fecha]],"MMMM")</f>
        <v>mayo</v>
      </c>
      <c r="C4759" t="s">
        <v>4769</v>
      </c>
      <c r="D4759" t="s">
        <v>5016</v>
      </c>
      <c r="E4759" t="s">
        <v>5032</v>
      </c>
      <c r="F4759" t="s">
        <v>5038</v>
      </c>
      <c r="G4759" s="3">
        <v>6854.06</v>
      </c>
      <c r="H4759" s="3">
        <v>0</v>
      </c>
      <c r="I4759" s="3">
        <f>SUM(Tabla1[[#This Row],[Monto_Base]],H4759)</f>
        <v>6854.06</v>
      </c>
      <c r="J4759" t="s">
        <v>5045</v>
      </c>
      <c r="K4759" t="s">
        <v>5049</v>
      </c>
      <c r="L4759" t="s">
        <v>5051</v>
      </c>
      <c r="M4759" t="s">
        <v>5055</v>
      </c>
    </row>
    <row r="4760" spans="1:13" x14ac:dyDescent="0.3">
      <c r="A4760" s="1">
        <v>45538</v>
      </c>
      <c r="B4760" s="1" t="str">
        <f>TEXT(Tabla1[[#This Row],[Fecha]],"MMMM")</f>
        <v>septiembre</v>
      </c>
      <c r="C4760" t="s">
        <v>4770</v>
      </c>
      <c r="D4760" t="s">
        <v>5015</v>
      </c>
      <c r="E4760" t="s">
        <v>5032</v>
      </c>
      <c r="F4760" t="s">
        <v>5034</v>
      </c>
      <c r="G4760" s="3">
        <v>11489.01</v>
      </c>
      <c r="H4760" s="3">
        <v>0</v>
      </c>
      <c r="I4760" s="3">
        <f>SUM(Tabla1[[#This Row],[Monto_Base]],H4760)</f>
        <v>11489.01</v>
      </c>
      <c r="J4760" t="s">
        <v>5045</v>
      </c>
      <c r="K4760" t="s">
        <v>5048</v>
      </c>
      <c r="L4760" t="s">
        <v>5051</v>
      </c>
      <c r="M4760" t="s">
        <v>5054</v>
      </c>
    </row>
    <row r="4761" spans="1:13" x14ac:dyDescent="0.3">
      <c r="A4761" s="1">
        <v>45393</v>
      </c>
      <c r="B4761" s="1" t="str">
        <f>TEXT(Tabla1[[#This Row],[Fecha]],"MMMM")</f>
        <v>abril</v>
      </c>
      <c r="C4761" t="s">
        <v>4771</v>
      </c>
      <c r="D4761" t="s">
        <v>5023</v>
      </c>
      <c r="E4761" t="s">
        <v>5033</v>
      </c>
      <c r="F4761" t="s">
        <v>5037</v>
      </c>
      <c r="G4761" s="3">
        <v>9742.57</v>
      </c>
      <c r="H4761" s="3">
        <v>1266.53</v>
      </c>
      <c r="I4761" s="3">
        <f>SUM(Tabla1[[#This Row],[Monto_Base]],H4761)</f>
        <v>11009.1</v>
      </c>
      <c r="J4761" t="s">
        <v>5042</v>
      </c>
      <c r="K4761" t="s">
        <v>5049</v>
      </c>
      <c r="L4761" t="s">
        <v>5050</v>
      </c>
      <c r="M4761" t="s">
        <v>5055</v>
      </c>
    </row>
    <row r="4762" spans="1:13" x14ac:dyDescent="0.3">
      <c r="A4762" s="1">
        <v>45560</v>
      </c>
      <c r="B4762" s="1" t="str">
        <f>TEXT(Tabla1[[#This Row],[Fecha]],"MMMM")</f>
        <v>septiembre</v>
      </c>
      <c r="C4762" t="s">
        <v>4772</v>
      </c>
      <c r="D4762" t="s">
        <v>5020</v>
      </c>
      <c r="E4762" t="s">
        <v>5032</v>
      </c>
      <c r="F4762" t="s">
        <v>5039</v>
      </c>
      <c r="G4762" s="3">
        <v>2713.56</v>
      </c>
      <c r="H4762" s="3">
        <v>0</v>
      </c>
      <c r="I4762" s="3">
        <f>SUM(Tabla1[[#This Row],[Monto_Base]],H4762)</f>
        <v>2713.56</v>
      </c>
      <c r="J4762" t="s">
        <v>5045</v>
      </c>
      <c r="K4762" t="s">
        <v>5049</v>
      </c>
      <c r="L4762" t="s">
        <v>5052</v>
      </c>
      <c r="M4762" t="s">
        <v>5054</v>
      </c>
    </row>
    <row r="4763" spans="1:13" x14ac:dyDescent="0.3">
      <c r="A4763" s="1">
        <v>45528</v>
      </c>
      <c r="B4763" s="1" t="str">
        <f>TEXT(Tabla1[[#This Row],[Fecha]],"MMMM")</f>
        <v>agosto</v>
      </c>
      <c r="C4763" t="s">
        <v>4773</v>
      </c>
      <c r="D4763" t="s">
        <v>5021</v>
      </c>
      <c r="E4763" t="s">
        <v>5033</v>
      </c>
      <c r="F4763" t="s">
        <v>5041</v>
      </c>
      <c r="G4763" s="3">
        <v>12714.83</v>
      </c>
      <c r="H4763" s="3">
        <v>1652.93</v>
      </c>
      <c r="I4763" s="3">
        <f>SUM(Tabla1[[#This Row],[Monto_Base]],H4763)</f>
        <v>14367.76</v>
      </c>
      <c r="J4763" t="s">
        <v>5045</v>
      </c>
      <c r="K4763" t="s">
        <v>5047</v>
      </c>
      <c r="L4763" t="s">
        <v>5053</v>
      </c>
      <c r="M4763" t="s">
        <v>5054</v>
      </c>
    </row>
    <row r="4764" spans="1:13" x14ac:dyDescent="0.3">
      <c r="A4764" s="1">
        <v>45391</v>
      </c>
      <c r="B4764" s="1" t="str">
        <f>TEXT(Tabla1[[#This Row],[Fecha]],"MMMM")</f>
        <v>abril</v>
      </c>
      <c r="C4764" t="s">
        <v>4774</v>
      </c>
      <c r="D4764" t="s">
        <v>5025</v>
      </c>
      <c r="E4764" t="s">
        <v>5032</v>
      </c>
      <c r="F4764" t="s">
        <v>5038</v>
      </c>
      <c r="G4764" s="3">
        <v>14115.47</v>
      </c>
      <c r="H4764" s="3">
        <v>0</v>
      </c>
      <c r="I4764" s="3">
        <f>SUM(Tabla1[[#This Row],[Monto_Base]],H4764)</f>
        <v>14115.47</v>
      </c>
      <c r="J4764" t="s">
        <v>5043</v>
      </c>
      <c r="K4764" t="s">
        <v>5047</v>
      </c>
      <c r="L4764" t="s">
        <v>5051</v>
      </c>
      <c r="M4764" t="s">
        <v>5054</v>
      </c>
    </row>
    <row r="4765" spans="1:13" x14ac:dyDescent="0.3">
      <c r="A4765" s="1">
        <v>45424</v>
      </c>
      <c r="B4765" s="1" t="str">
        <f>TEXT(Tabla1[[#This Row],[Fecha]],"MMMM")</f>
        <v>mayo</v>
      </c>
      <c r="C4765" t="s">
        <v>4775</v>
      </c>
      <c r="D4765" t="s">
        <v>5014</v>
      </c>
      <c r="E4765" t="s">
        <v>5033</v>
      </c>
      <c r="F4765" t="s">
        <v>5041</v>
      </c>
      <c r="G4765" s="3">
        <v>1535.46</v>
      </c>
      <c r="H4765" s="3">
        <v>199.61</v>
      </c>
      <c r="I4765" s="3">
        <f>SUM(Tabla1[[#This Row],[Monto_Base]],H4765)</f>
        <v>1735.0700000000002</v>
      </c>
      <c r="J4765" t="s">
        <v>5046</v>
      </c>
      <c r="K4765" t="s">
        <v>5049</v>
      </c>
      <c r="L4765" t="s">
        <v>5050</v>
      </c>
      <c r="M4765" t="s">
        <v>5055</v>
      </c>
    </row>
    <row r="4766" spans="1:13" x14ac:dyDescent="0.3">
      <c r="A4766" s="1">
        <v>45491</v>
      </c>
      <c r="B4766" s="1" t="str">
        <f>TEXT(Tabla1[[#This Row],[Fecha]],"MMMM")</f>
        <v>julio</v>
      </c>
      <c r="C4766" t="s">
        <v>4776</v>
      </c>
      <c r="D4766" t="s">
        <v>5029</v>
      </c>
      <c r="E4766" t="s">
        <v>5033</v>
      </c>
      <c r="F4766" t="s">
        <v>5038</v>
      </c>
      <c r="G4766" s="3">
        <v>11644.47</v>
      </c>
      <c r="H4766" s="3">
        <v>1513.78</v>
      </c>
      <c r="I4766" s="3">
        <f>SUM(Tabla1[[#This Row],[Monto_Base]],H4766)</f>
        <v>13158.25</v>
      </c>
      <c r="J4766" t="s">
        <v>5042</v>
      </c>
      <c r="K4766" t="s">
        <v>5049</v>
      </c>
      <c r="L4766" t="s">
        <v>5052</v>
      </c>
      <c r="M4766" t="s">
        <v>5055</v>
      </c>
    </row>
    <row r="4767" spans="1:13" x14ac:dyDescent="0.3">
      <c r="A4767" s="1">
        <v>45488</v>
      </c>
      <c r="B4767" s="1" t="str">
        <f>TEXT(Tabla1[[#This Row],[Fecha]],"MMMM")</f>
        <v>julio</v>
      </c>
      <c r="C4767" t="s">
        <v>4777</v>
      </c>
      <c r="D4767" t="s">
        <v>5027</v>
      </c>
      <c r="E4767" t="s">
        <v>5033</v>
      </c>
      <c r="F4767" t="s">
        <v>5041</v>
      </c>
      <c r="G4767" s="3">
        <v>12087.34</v>
      </c>
      <c r="H4767" s="3">
        <v>1571.35</v>
      </c>
      <c r="I4767" s="3">
        <f>SUM(Tabla1[[#This Row],[Monto_Base]],H4767)</f>
        <v>13658.69</v>
      </c>
      <c r="J4767" t="s">
        <v>5044</v>
      </c>
      <c r="K4767" t="s">
        <v>5049</v>
      </c>
      <c r="L4767" t="s">
        <v>5051</v>
      </c>
      <c r="M4767" t="s">
        <v>5054</v>
      </c>
    </row>
    <row r="4768" spans="1:13" x14ac:dyDescent="0.3">
      <c r="A4768" s="1">
        <v>45375</v>
      </c>
      <c r="B4768" s="1" t="str">
        <f>TEXT(Tabla1[[#This Row],[Fecha]],"MMMM")</f>
        <v>marzo</v>
      </c>
      <c r="C4768" t="s">
        <v>4778</v>
      </c>
      <c r="D4768" t="s">
        <v>5024</v>
      </c>
      <c r="E4768" t="s">
        <v>5033</v>
      </c>
      <c r="F4768" t="s">
        <v>5037</v>
      </c>
      <c r="G4768" s="3">
        <v>9535.4699999999993</v>
      </c>
      <c r="H4768" s="3">
        <v>1239.6099999999999</v>
      </c>
      <c r="I4768" s="3">
        <f>SUM(Tabla1[[#This Row],[Monto_Base]],H4768)</f>
        <v>10775.08</v>
      </c>
      <c r="J4768" t="s">
        <v>5045</v>
      </c>
      <c r="K4768" t="s">
        <v>5049</v>
      </c>
      <c r="L4768" t="s">
        <v>5050</v>
      </c>
      <c r="M4768" t="s">
        <v>5054</v>
      </c>
    </row>
    <row r="4769" spans="1:13" x14ac:dyDescent="0.3">
      <c r="A4769" s="1">
        <v>45506</v>
      </c>
      <c r="B4769" s="1" t="str">
        <f>TEXT(Tabla1[[#This Row],[Fecha]],"MMMM")</f>
        <v>agosto</v>
      </c>
      <c r="C4769" t="s">
        <v>4779</v>
      </c>
      <c r="D4769" t="s">
        <v>5015</v>
      </c>
      <c r="E4769" t="s">
        <v>5033</v>
      </c>
      <c r="F4769" t="s">
        <v>5036</v>
      </c>
      <c r="G4769" s="3">
        <v>2055.7600000000002</v>
      </c>
      <c r="H4769" s="3">
        <v>267.25</v>
      </c>
      <c r="I4769" s="3">
        <f>SUM(Tabla1[[#This Row],[Monto_Base]],H4769)</f>
        <v>2323.0100000000002</v>
      </c>
      <c r="J4769" t="s">
        <v>5045</v>
      </c>
      <c r="K4769" t="s">
        <v>5048</v>
      </c>
      <c r="L4769" t="s">
        <v>5051</v>
      </c>
      <c r="M4769" t="s">
        <v>5055</v>
      </c>
    </row>
    <row r="4770" spans="1:13" x14ac:dyDescent="0.3">
      <c r="A4770" s="1">
        <v>45610</v>
      </c>
      <c r="B4770" s="1" t="str">
        <f>TEXT(Tabla1[[#This Row],[Fecha]],"MMMM")</f>
        <v>noviembre</v>
      </c>
      <c r="C4770" t="s">
        <v>4780</v>
      </c>
      <c r="D4770" t="s">
        <v>5022</v>
      </c>
      <c r="E4770" t="s">
        <v>5033</v>
      </c>
      <c r="F4770" t="s">
        <v>5038</v>
      </c>
      <c r="G4770" s="3">
        <v>13900.24</v>
      </c>
      <c r="H4770" s="3">
        <v>1807.03</v>
      </c>
      <c r="I4770" s="3">
        <f>SUM(Tabla1[[#This Row],[Monto_Base]],H4770)</f>
        <v>15707.27</v>
      </c>
      <c r="J4770" t="s">
        <v>5044</v>
      </c>
      <c r="K4770" t="s">
        <v>5049</v>
      </c>
      <c r="L4770" t="s">
        <v>5050</v>
      </c>
      <c r="M4770" t="s">
        <v>5055</v>
      </c>
    </row>
    <row r="4771" spans="1:13" x14ac:dyDescent="0.3">
      <c r="A4771" s="1">
        <v>45338</v>
      </c>
      <c r="B4771" s="1" t="str">
        <f>TEXT(Tabla1[[#This Row],[Fecha]],"MMMM")</f>
        <v>febrero</v>
      </c>
      <c r="C4771" t="s">
        <v>4781</v>
      </c>
      <c r="D4771" t="s">
        <v>5020</v>
      </c>
      <c r="E4771" t="s">
        <v>5033</v>
      </c>
      <c r="F4771" t="s">
        <v>5039</v>
      </c>
      <c r="G4771" s="3">
        <v>6265.62</v>
      </c>
      <c r="H4771" s="3">
        <v>814.53</v>
      </c>
      <c r="I4771" s="3">
        <f>SUM(Tabla1[[#This Row],[Monto_Base]],H4771)</f>
        <v>7080.15</v>
      </c>
      <c r="J4771" t="s">
        <v>5046</v>
      </c>
      <c r="K4771" t="s">
        <v>5047</v>
      </c>
      <c r="L4771" t="s">
        <v>5050</v>
      </c>
      <c r="M4771" t="s">
        <v>5054</v>
      </c>
    </row>
    <row r="4772" spans="1:13" x14ac:dyDescent="0.3">
      <c r="A4772" s="1">
        <v>45449</v>
      </c>
      <c r="B4772" s="1" t="str">
        <f>TEXT(Tabla1[[#This Row],[Fecha]],"MMMM")</f>
        <v>junio</v>
      </c>
      <c r="C4772" t="s">
        <v>4782</v>
      </c>
      <c r="D4772" t="s">
        <v>5024</v>
      </c>
      <c r="E4772" t="s">
        <v>5033</v>
      </c>
      <c r="F4772" t="s">
        <v>5034</v>
      </c>
      <c r="G4772" s="3">
        <v>5260.87</v>
      </c>
      <c r="H4772" s="3">
        <v>683.91</v>
      </c>
      <c r="I4772" s="3">
        <f>SUM(Tabla1[[#This Row],[Monto_Base]],H4772)</f>
        <v>5944.78</v>
      </c>
      <c r="J4772" t="s">
        <v>5045</v>
      </c>
      <c r="K4772" t="s">
        <v>5047</v>
      </c>
      <c r="L4772" t="s">
        <v>5052</v>
      </c>
      <c r="M4772" t="s">
        <v>5055</v>
      </c>
    </row>
    <row r="4773" spans="1:13" x14ac:dyDescent="0.3">
      <c r="A4773" s="1">
        <v>45481</v>
      </c>
      <c r="B4773" s="1" t="str">
        <f>TEXT(Tabla1[[#This Row],[Fecha]],"MMMM")</f>
        <v>julio</v>
      </c>
      <c r="C4773" t="s">
        <v>4783</v>
      </c>
      <c r="D4773" t="s">
        <v>5014</v>
      </c>
      <c r="E4773" t="s">
        <v>5033</v>
      </c>
      <c r="F4773" t="s">
        <v>5034</v>
      </c>
      <c r="G4773" s="3">
        <v>2687.79</v>
      </c>
      <c r="H4773" s="3">
        <v>349.41</v>
      </c>
      <c r="I4773" s="3">
        <f>SUM(Tabla1[[#This Row],[Monto_Base]],H4773)</f>
        <v>3037.2</v>
      </c>
      <c r="J4773" t="s">
        <v>5042</v>
      </c>
      <c r="K4773" t="s">
        <v>5047</v>
      </c>
      <c r="L4773" t="s">
        <v>5052</v>
      </c>
      <c r="M4773" t="s">
        <v>5055</v>
      </c>
    </row>
    <row r="4774" spans="1:13" x14ac:dyDescent="0.3">
      <c r="A4774" s="1">
        <v>45488</v>
      </c>
      <c r="B4774" s="1" t="str">
        <f>TEXT(Tabla1[[#This Row],[Fecha]],"MMMM")</f>
        <v>julio</v>
      </c>
      <c r="C4774" t="s">
        <v>4784</v>
      </c>
      <c r="D4774" t="s">
        <v>5020</v>
      </c>
      <c r="E4774" t="s">
        <v>5032</v>
      </c>
      <c r="F4774" t="s">
        <v>5036</v>
      </c>
      <c r="G4774" s="3">
        <v>13760.1</v>
      </c>
      <c r="H4774" s="3">
        <v>0</v>
      </c>
      <c r="I4774" s="3">
        <f>SUM(Tabla1[[#This Row],[Monto_Base]],H4774)</f>
        <v>13760.1</v>
      </c>
      <c r="J4774" t="s">
        <v>5046</v>
      </c>
      <c r="K4774" t="s">
        <v>5049</v>
      </c>
      <c r="L4774" t="s">
        <v>5050</v>
      </c>
      <c r="M4774" t="s">
        <v>5055</v>
      </c>
    </row>
    <row r="4775" spans="1:13" x14ac:dyDescent="0.3">
      <c r="A4775" s="1">
        <v>45555</v>
      </c>
      <c r="B4775" s="1" t="str">
        <f>TEXT(Tabla1[[#This Row],[Fecha]],"MMMM")</f>
        <v>septiembre</v>
      </c>
      <c r="C4775" t="s">
        <v>4785</v>
      </c>
      <c r="D4775" t="s">
        <v>5015</v>
      </c>
      <c r="E4775" t="s">
        <v>5033</v>
      </c>
      <c r="F4775" t="s">
        <v>5038</v>
      </c>
      <c r="G4775" s="3">
        <v>8974.09</v>
      </c>
      <c r="H4775" s="3">
        <v>1166.6300000000001</v>
      </c>
      <c r="I4775" s="3">
        <f>SUM(Tabla1[[#This Row],[Monto_Base]],H4775)</f>
        <v>10140.720000000001</v>
      </c>
      <c r="J4775" t="s">
        <v>5043</v>
      </c>
      <c r="K4775" t="s">
        <v>5047</v>
      </c>
      <c r="L4775" t="s">
        <v>5052</v>
      </c>
      <c r="M4775" t="s">
        <v>5055</v>
      </c>
    </row>
    <row r="4776" spans="1:13" x14ac:dyDescent="0.3">
      <c r="A4776" s="1">
        <v>45616</v>
      </c>
      <c r="B4776" s="1" t="str">
        <f>TEXT(Tabla1[[#This Row],[Fecha]],"MMMM")</f>
        <v>noviembre</v>
      </c>
      <c r="C4776" t="s">
        <v>4786</v>
      </c>
      <c r="D4776" t="s">
        <v>5026</v>
      </c>
      <c r="E4776" t="s">
        <v>5033</v>
      </c>
      <c r="F4776" t="s">
        <v>5036</v>
      </c>
      <c r="G4776" s="3">
        <v>6996.85</v>
      </c>
      <c r="H4776" s="3">
        <v>909.59</v>
      </c>
      <c r="I4776" s="3">
        <f>SUM(Tabla1[[#This Row],[Monto_Base]],H4776)</f>
        <v>7906.4400000000005</v>
      </c>
      <c r="J4776" t="s">
        <v>5045</v>
      </c>
      <c r="K4776" t="s">
        <v>5047</v>
      </c>
      <c r="L4776" t="s">
        <v>5053</v>
      </c>
      <c r="M4776" t="s">
        <v>5054</v>
      </c>
    </row>
    <row r="4777" spans="1:13" x14ac:dyDescent="0.3">
      <c r="A4777" s="1">
        <v>45443</v>
      </c>
      <c r="B4777" s="1" t="str">
        <f>TEXT(Tabla1[[#This Row],[Fecha]],"MMMM")</f>
        <v>mayo</v>
      </c>
      <c r="C4777" t="s">
        <v>4787</v>
      </c>
      <c r="D4777" t="s">
        <v>5022</v>
      </c>
      <c r="E4777" t="s">
        <v>5032</v>
      </c>
      <c r="F4777" t="s">
        <v>5037</v>
      </c>
      <c r="G4777" s="3">
        <v>3524.62</v>
      </c>
      <c r="H4777" s="3">
        <v>0</v>
      </c>
      <c r="I4777" s="3">
        <f>SUM(Tabla1[[#This Row],[Monto_Base]],H4777)</f>
        <v>3524.62</v>
      </c>
      <c r="J4777" t="s">
        <v>5044</v>
      </c>
      <c r="K4777" t="s">
        <v>5047</v>
      </c>
      <c r="L4777" t="s">
        <v>5052</v>
      </c>
      <c r="M4777" t="s">
        <v>5055</v>
      </c>
    </row>
    <row r="4778" spans="1:13" x14ac:dyDescent="0.3">
      <c r="A4778" s="1">
        <v>45398</v>
      </c>
      <c r="B4778" s="1" t="str">
        <f>TEXT(Tabla1[[#This Row],[Fecha]],"MMMM")</f>
        <v>abril</v>
      </c>
      <c r="C4778" t="s">
        <v>4788</v>
      </c>
      <c r="D4778" t="s">
        <v>5022</v>
      </c>
      <c r="E4778" t="s">
        <v>5033</v>
      </c>
      <c r="F4778" t="s">
        <v>5037</v>
      </c>
      <c r="G4778" s="3">
        <v>14558.93</v>
      </c>
      <c r="H4778" s="3">
        <v>1892.66</v>
      </c>
      <c r="I4778" s="3">
        <f>SUM(Tabla1[[#This Row],[Monto_Base]],H4778)</f>
        <v>16451.59</v>
      </c>
      <c r="J4778" t="s">
        <v>5046</v>
      </c>
      <c r="K4778" t="s">
        <v>5049</v>
      </c>
      <c r="L4778" t="s">
        <v>5051</v>
      </c>
      <c r="M4778" t="s">
        <v>5055</v>
      </c>
    </row>
    <row r="4779" spans="1:13" x14ac:dyDescent="0.3">
      <c r="A4779" s="1">
        <v>45572</v>
      </c>
      <c r="B4779" s="1" t="str">
        <f>TEXT(Tabla1[[#This Row],[Fecha]],"MMMM")</f>
        <v>octubre</v>
      </c>
      <c r="C4779" t="s">
        <v>4789</v>
      </c>
      <c r="D4779" t="s">
        <v>5030</v>
      </c>
      <c r="E4779" t="s">
        <v>5032</v>
      </c>
      <c r="F4779" t="s">
        <v>5039</v>
      </c>
      <c r="G4779" s="3">
        <v>8906.65</v>
      </c>
      <c r="H4779" s="3">
        <v>0</v>
      </c>
      <c r="I4779" s="3">
        <f>SUM(Tabla1[[#This Row],[Monto_Base]],H4779)</f>
        <v>8906.65</v>
      </c>
      <c r="J4779" t="s">
        <v>5043</v>
      </c>
      <c r="K4779" t="s">
        <v>5047</v>
      </c>
      <c r="L4779" t="s">
        <v>5052</v>
      </c>
      <c r="M4779" t="s">
        <v>5055</v>
      </c>
    </row>
    <row r="4780" spans="1:13" x14ac:dyDescent="0.3">
      <c r="A4780" s="1">
        <v>45619</v>
      </c>
      <c r="B4780" s="1" t="str">
        <f>TEXT(Tabla1[[#This Row],[Fecha]],"MMMM")</f>
        <v>noviembre</v>
      </c>
      <c r="C4780" t="s">
        <v>4790</v>
      </c>
      <c r="D4780" t="s">
        <v>5013</v>
      </c>
      <c r="E4780" t="s">
        <v>5032</v>
      </c>
      <c r="F4780" t="s">
        <v>5036</v>
      </c>
      <c r="G4780" s="3">
        <v>4071.31</v>
      </c>
      <c r="H4780" s="3">
        <v>0</v>
      </c>
      <c r="I4780" s="3">
        <f>SUM(Tabla1[[#This Row],[Monto_Base]],H4780)</f>
        <v>4071.31</v>
      </c>
      <c r="J4780" t="s">
        <v>5046</v>
      </c>
      <c r="K4780" t="s">
        <v>5048</v>
      </c>
      <c r="L4780" t="s">
        <v>5053</v>
      </c>
      <c r="M4780" t="s">
        <v>5055</v>
      </c>
    </row>
    <row r="4781" spans="1:13" x14ac:dyDescent="0.3">
      <c r="A4781" s="1">
        <v>45629</v>
      </c>
      <c r="B4781" s="1" t="str">
        <f>TEXT(Tabla1[[#This Row],[Fecha]],"MMMM")</f>
        <v>diciembre</v>
      </c>
      <c r="C4781" t="s">
        <v>4791</v>
      </c>
      <c r="D4781" t="s">
        <v>5017</v>
      </c>
      <c r="E4781" t="s">
        <v>5032</v>
      </c>
      <c r="F4781" t="s">
        <v>5040</v>
      </c>
      <c r="G4781" s="3">
        <v>701.17</v>
      </c>
      <c r="H4781" s="3">
        <v>0</v>
      </c>
      <c r="I4781" s="3">
        <f>SUM(Tabla1[[#This Row],[Monto_Base]],H4781)</f>
        <v>701.17</v>
      </c>
      <c r="J4781" t="s">
        <v>5044</v>
      </c>
      <c r="K4781" t="s">
        <v>5049</v>
      </c>
      <c r="L4781" t="s">
        <v>5051</v>
      </c>
      <c r="M4781" t="s">
        <v>5054</v>
      </c>
    </row>
    <row r="4782" spans="1:13" x14ac:dyDescent="0.3">
      <c r="A4782" s="1">
        <v>45627</v>
      </c>
      <c r="B4782" s="1" t="str">
        <f>TEXT(Tabla1[[#This Row],[Fecha]],"MMMM")</f>
        <v>diciembre</v>
      </c>
      <c r="C4782" t="s">
        <v>4792</v>
      </c>
      <c r="D4782" t="s">
        <v>5022</v>
      </c>
      <c r="E4782" t="s">
        <v>5033</v>
      </c>
      <c r="F4782" t="s">
        <v>5034</v>
      </c>
      <c r="G4782" s="3">
        <v>5040.33</v>
      </c>
      <c r="H4782" s="3">
        <v>655.24</v>
      </c>
      <c r="I4782" s="3">
        <f>SUM(Tabla1[[#This Row],[Monto_Base]],H4782)</f>
        <v>5695.57</v>
      </c>
      <c r="J4782" t="s">
        <v>5043</v>
      </c>
      <c r="K4782" t="s">
        <v>5047</v>
      </c>
      <c r="L4782" t="s">
        <v>5052</v>
      </c>
      <c r="M4782" t="s">
        <v>5055</v>
      </c>
    </row>
    <row r="4783" spans="1:13" x14ac:dyDescent="0.3">
      <c r="A4783" s="1">
        <v>45499</v>
      </c>
      <c r="B4783" s="1" t="str">
        <f>TEXT(Tabla1[[#This Row],[Fecha]],"MMMM")</f>
        <v>julio</v>
      </c>
      <c r="C4783" t="s">
        <v>4793</v>
      </c>
      <c r="D4783" t="s">
        <v>5015</v>
      </c>
      <c r="E4783" t="s">
        <v>5032</v>
      </c>
      <c r="F4783" t="s">
        <v>5034</v>
      </c>
      <c r="G4783" s="3">
        <v>729.6</v>
      </c>
      <c r="H4783" s="3">
        <v>0</v>
      </c>
      <c r="I4783" s="3">
        <f>SUM(Tabla1[[#This Row],[Monto_Base]],H4783)</f>
        <v>729.6</v>
      </c>
      <c r="J4783" t="s">
        <v>5045</v>
      </c>
      <c r="K4783" t="s">
        <v>5047</v>
      </c>
      <c r="L4783" t="s">
        <v>5052</v>
      </c>
      <c r="M4783" t="s">
        <v>5054</v>
      </c>
    </row>
    <row r="4784" spans="1:13" x14ac:dyDescent="0.3">
      <c r="A4784" s="1">
        <v>45616</v>
      </c>
      <c r="B4784" s="1" t="str">
        <f>TEXT(Tabla1[[#This Row],[Fecha]],"MMMM")</f>
        <v>noviembre</v>
      </c>
      <c r="C4784" t="s">
        <v>4794</v>
      </c>
      <c r="D4784" t="s">
        <v>5021</v>
      </c>
      <c r="E4784" t="s">
        <v>5032</v>
      </c>
      <c r="F4784" t="s">
        <v>5039</v>
      </c>
      <c r="G4784" s="3">
        <v>7125.4</v>
      </c>
      <c r="H4784" s="3">
        <v>0</v>
      </c>
      <c r="I4784" s="3">
        <f>SUM(Tabla1[[#This Row],[Monto_Base]],H4784)</f>
        <v>7125.4</v>
      </c>
      <c r="J4784" t="s">
        <v>5046</v>
      </c>
      <c r="K4784" t="s">
        <v>5047</v>
      </c>
      <c r="L4784" t="s">
        <v>5051</v>
      </c>
      <c r="M4784" t="s">
        <v>5054</v>
      </c>
    </row>
    <row r="4785" spans="1:13" x14ac:dyDescent="0.3">
      <c r="A4785" s="1">
        <v>45632</v>
      </c>
      <c r="B4785" s="1" t="str">
        <f>TEXT(Tabla1[[#This Row],[Fecha]],"MMMM")</f>
        <v>diciembre</v>
      </c>
      <c r="C4785" t="s">
        <v>4795</v>
      </c>
      <c r="D4785" t="s">
        <v>5022</v>
      </c>
      <c r="E4785" t="s">
        <v>5032</v>
      </c>
      <c r="F4785" t="s">
        <v>5037</v>
      </c>
      <c r="G4785" s="3">
        <v>8458.01</v>
      </c>
      <c r="H4785" s="3">
        <v>0</v>
      </c>
      <c r="I4785" s="3">
        <f>SUM(Tabla1[[#This Row],[Monto_Base]],H4785)</f>
        <v>8458.01</v>
      </c>
      <c r="J4785" t="s">
        <v>5046</v>
      </c>
      <c r="K4785" t="s">
        <v>5047</v>
      </c>
      <c r="L4785" t="s">
        <v>5051</v>
      </c>
      <c r="M4785" t="s">
        <v>5055</v>
      </c>
    </row>
    <row r="4786" spans="1:13" x14ac:dyDescent="0.3">
      <c r="A4786" s="1">
        <v>45324</v>
      </c>
      <c r="B4786" s="1" t="str">
        <f>TEXT(Tabla1[[#This Row],[Fecha]],"MMMM")</f>
        <v>febrero</v>
      </c>
      <c r="C4786" t="s">
        <v>4796</v>
      </c>
      <c r="D4786" t="s">
        <v>5019</v>
      </c>
      <c r="E4786" t="s">
        <v>5033</v>
      </c>
      <c r="F4786" t="s">
        <v>5040</v>
      </c>
      <c r="G4786" s="3">
        <v>8871.49</v>
      </c>
      <c r="H4786" s="3">
        <v>1153.29</v>
      </c>
      <c r="I4786" s="3">
        <f>SUM(Tabla1[[#This Row],[Monto_Base]],H4786)</f>
        <v>10024.779999999999</v>
      </c>
      <c r="J4786" t="s">
        <v>5042</v>
      </c>
      <c r="K4786" t="s">
        <v>5047</v>
      </c>
      <c r="L4786" t="s">
        <v>5051</v>
      </c>
      <c r="M4786" t="s">
        <v>5054</v>
      </c>
    </row>
    <row r="4787" spans="1:13" x14ac:dyDescent="0.3">
      <c r="A4787" s="1">
        <v>45468</v>
      </c>
      <c r="B4787" s="1" t="str">
        <f>TEXT(Tabla1[[#This Row],[Fecha]],"MMMM")</f>
        <v>junio</v>
      </c>
      <c r="C4787" t="s">
        <v>4797</v>
      </c>
      <c r="D4787" t="s">
        <v>5029</v>
      </c>
      <c r="E4787" t="s">
        <v>5032</v>
      </c>
      <c r="F4787" t="s">
        <v>5035</v>
      </c>
      <c r="G4787" s="3">
        <v>704.74</v>
      </c>
      <c r="H4787" s="3">
        <v>0</v>
      </c>
      <c r="I4787" s="3">
        <f>SUM(Tabla1[[#This Row],[Monto_Base]],H4787)</f>
        <v>704.74</v>
      </c>
      <c r="J4787" t="s">
        <v>5044</v>
      </c>
      <c r="K4787" t="s">
        <v>5048</v>
      </c>
      <c r="L4787" t="s">
        <v>5052</v>
      </c>
      <c r="M4787" t="s">
        <v>5054</v>
      </c>
    </row>
    <row r="4788" spans="1:13" x14ac:dyDescent="0.3">
      <c r="A4788" s="1">
        <v>45292</v>
      </c>
      <c r="B4788" s="1" t="str">
        <f>TEXT(Tabla1[[#This Row],[Fecha]],"MMMM")</f>
        <v>enero</v>
      </c>
      <c r="C4788" t="s">
        <v>4798</v>
      </c>
      <c r="D4788" t="s">
        <v>5018</v>
      </c>
      <c r="E4788" t="s">
        <v>5033</v>
      </c>
      <c r="F4788" t="s">
        <v>5037</v>
      </c>
      <c r="G4788" s="3">
        <v>9463.4699999999993</v>
      </c>
      <c r="H4788" s="3">
        <v>1230.25</v>
      </c>
      <c r="I4788" s="3">
        <f>SUM(Tabla1[[#This Row],[Monto_Base]],H4788)</f>
        <v>10693.72</v>
      </c>
      <c r="J4788" t="s">
        <v>5042</v>
      </c>
      <c r="K4788" t="s">
        <v>5049</v>
      </c>
      <c r="L4788" t="s">
        <v>5051</v>
      </c>
      <c r="M4788" t="s">
        <v>5054</v>
      </c>
    </row>
    <row r="4789" spans="1:13" x14ac:dyDescent="0.3">
      <c r="A4789" s="1">
        <v>45524</v>
      </c>
      <c r="B4789" s="1" t="str">
        <f>TEXT(Tabla1[[#This Row],[Fecha]],"MMMM")</f>
        <v>agosto</v>
      </c>
      <c r="C4789" t="s">
        <v>4799</v>
      </c>
      <c r="D4789" t="s">
        <v>5029</v>
      </c>
      <c r="E4789" t="s">
        <v>5032</v>
      </c>
      <c r="F4789" t="s">
        <v>5040</v>
      </c>
      <c r="G4789" s="3">
        <v>442.08</v>
      </c>
      <c r="H4789" s="3">
        <v>0</v>
      </c>
      <c r="I4789" s="3">
        <f>SUM(Tabla1[[#This Row],[Monto_Base]],H4789)</f>
        <v>442.08</v>
      </c>
      <c r="J4789" t="s">
        <v>5044</v>
      </c>
      <c r="K4789" t="s">
        <v>5047</v>
      </c>
      <c r="L4789" t="s">
        <v>5051</v>
      </c>
      <c r="M4789" t="s">
        <v>5055</v>
      </c>
    </row>
    <row r="4790" spans="1:13" x14ac:dyDescent="0.3">
      <c r="A4790" s="1">
        <v>45457</v>
      </c>
      <c r="B4790" s="1" t="str">
        <f>TEXT(Tabla1[[#This Row],[Fecha]],"MMMM")</f>
        <v>junio</v>
      </c>
      <c r="C4790" t="s">
        <v>4800</v>
      </c>
      <c r="D4790" t="s">
        <v>5020</v>
      </c>
      <c r="E4790" t="s">
        <v>5032</v>
      </c>
      <c r="F4790" t="s">
        <v>5035</v>
      </c>
      <c r="G4790" s="3">
        <v>9700.61</v>
      </c>
      <c r="H4790" s="3">
        <v>0</v>
      </c>
      <c r="I4790" s="3">
        <f>SUM(Tabla1[[#This Row],[Monto_Base]],H4790)</f>
        <v>9700.61</v>
      </c>
      <c r="J4790" t="s">
        <v>5042</v>
      </c>
      <c r="K4790" t="s">
        <v>5048</v>
      </c>
      <c r="L4790" t="s">
        <v>5050</v>
      </c>
      <c r="M4790" t="s">
        <v>5054</v>
      </c>
    </row>
    <row r="4791" spans="1:13" x14ac:dyDescent="0.3">
      <c r="A4791" s="1">
        <v>45421</v>
      </c>
      <c r="B4791" s="1" t="str">
        <f>TEXT(Tabla1[[#This Row],[Fecha]],"MMMM")</f>
        <v>mayo</v>
      </c>
      <c r="C4791" t="s">
        <v>4801</v>
      </c>
      <c r="D4791" t="s">
        <v>5017</v>
      </c>
      <c r="E4791" t="s">
        <v>5033</v>
      </c>
      <c r="F4791" t="s">
        <v>5038</v>
      </c>
      <c r="G4791" s="3">
        <v>2766.14</v>
      </c>
      <c r="H4791" s="3">
        <v>359.6</v>
      </c>
      <c r="I4791" s="3">
        <f>SUM(Tabla1[[#This Row],[Monto_Base]],H4791)</f>
        <v>3125.74</v>
      </c>
      <c r="J4791" t="s">
        <v>5046</v>
      </c>
      <c r="K4791" t="s">
        <v>5047</v>
      </c>
      <c r="L4791" t="s">
        <v>5053</v>
      </c>
      <c r="M4791" t="s">
        <v>5055</v>
      </c>
    </row>
    <row r="4792" spans="1:13" x14ac:dyDescent="0.3">
      <c r="A4792" s="1">
        <v>45580</v>
      </c>
      <c r="B4792" s="1" t="str">
        <f>TEXT(Tabla1[[#This Row],[Fecha]],"MMMM")</f>
        <v>octubre</v>
      </c>
      <c r="C4792" t="s">
        <v>4802</v>
      </c>
      <c r="D4792" t="s">
        <v>5013</v>
      </c>
      <c r="E4792" t="s">
        <v>5033</v>
      </c>
      <c r="F4792" t="s">
        <v>5035</v>
      </c>
      <c r="G4792" s="3">
        <v>12407.91</v>
      </c>
      <c r="H4792" s="3">
        <v>1613.03</v>
      </c>
      <c r="I4792" s="3">
        <f>SUM(Tabla1[[#This Row],[Monto_Base]],H4792)</f>
        <v>14020.94</v>
      </c>
      <c r="J4792" t="s">
        <v>5043</v>
      </c>
      <c r="K4792" t="s">
        <v>5047</v>
      </c>
      <c r="L4792" t="s">
        <v>5052</v>
      </c>
      <c r="M4792" t="s">
        <v>5055</v>
      </c>
    </row>
    <row r="4793" spans="1:13" x14ac:dyDescent="0.3">
      <c r="A4793" s="1">
        <v>45367</v>
      </c>
      <c r="B4793" s="1" t="str">
        <f>TEXT(Tabla1[[#This Row],[Fecha]],"MMMM")</f>
        <v>marzo</v>
      </c>
      <c r="C4793" t="s">
        <v>4803</v>
      </c>
      <c r="D4793" t="s">
        <v>5015</v>
      </c>
      <c r="E4793" t="s">
        <v>5033</v>
      </c>
      <c r="F4793" t="s">
        <v>5036</v>
      </c>
      <c r="G4793" s="3">
        <v>12684.72</v>
      </c>
      <c r="H4793" s="3">
        <v>1649.01</v>
      </c>
      <c r="I4793" s="3">
        <f>SUM(Tabla1[[#This Row],[Monto_Base]],H4793)</f>
        <v>14333.73</v>
      </c>
      <c r="J4793" t="s">
        <v>5045</v>
      </c>
      <c r="K4793" t="s">
        <v>5047</v>
      </c>
      <c r="L4793" t="s">
        <v>5050</v>
      </c>
      <c r="M4793" t="s">
        <v>5054</v>
      </c>
    </row>
    <row r="4794" spans="1:13" x14ac:dyDescent="0.3">
      <c r="A4794" s="1">
        <v>45639</v>
      </c>
      <c r="B4794" s="1" t="str">
        <f>TEXT(Tabla1[[#This Row],[Fecha]],"MMMM")</f>
        <v>diciembre</v>
      </c>
      <c r="C4794" t="s">
        <v>4804</v>
      </c>
      <c r="D4794" t="s">
        <v>5026</v>
      </c>
      <c r="E4794" t="s">
        <v>5033</v>
      </c>
      <c r="F4794" t="s">
        <v>5039</v>
      </c>
      <c r="G4794" s="3">
        <v>8328.9</v>
      </c>
      <c r="H4794" s="3">
        <v>1082.76</v>
      </c>
      <c r="I4794" s="3">
        <f>SUM(Tabla1[[#This Row],[Monto_Base]],H4794)</f>
        <v>9411.66</v>
      </c>
      <c r="J4794" t="s">
        <v>5045</v>
      </c>
      <c r="K4794" t="s">
        <v>5048</v>
      </c>
      <c r="L4794" t="s">
        <v>5053</v>
      </c>
      <c r="M4794" t="s">
        <v>5054</v>
      </c>
    </row>
    <row r="4795" spans="1:13" x14ac:dyDescent="0.3">
      <c r="A4795" s="1">
        <v>45596</v>
      </c>
      <c r="B4795" s="1" t="str">
        <f>TEXT(Tabla1[[#This Row],[Fecha]],"MMMM")</f>
        <v>octubre</v>
      </c>
      <c r="C4795" t="s">
        <v>4805</v>
      </c>
      <c r="D4795" t="s">
        <v>5020</v>
      </c>
      <c r="E4795" t="s">
        <v>5032</v>
      </c>
      <c r="F4795" t="s">
        <v>5039</v>
      </c>
      <c r="G4795" s="3">
        <v>2227.36</v>
      </c>
      <c r="H4795" s="3">
        <v>0</v>
      </c>
      <c r="I4795" s="3">
        <f>SUM(Tabla1[[#This Row],[Monto_Base]],H4795)</f>
        <v>2227.36</v>
      </c>
      <c r="J4795" t="s">
        <v>5046</v>
      </c>
      <c r="K4795" t="s">
        <v>5047</v>
      </c>
      <c r="L4795" t="s">
        <v>5051</v>
      </c>
      <c r="M4795" t="s">
        <v>5054</v>
      </c>
    </row>
    <row r="4796" spans="1:13" x14ac:dyDescent="0.3">
      <c r="A4796" s="1">
        <v>45320</v>
      </c>
      <c r="B4796" s="1" t="str">
        <f>TEXT(Tabla1[[#This Row],[Fecha]],"MMMM")</f>
        <v>enero</v>
      </c>
      <c r="C4796" t="s">
        <v>4806</v>
      </c>
      <c r="D4796" t="s">
        <v>5026</v>
      </c>
      <c r="E4796" t="s">
        <v>5033</v>
      </c>
      <c r="F4796" t="s">
        <v>5039</v>
      </c>
      <c r="G4796" s="3">
        <v>11621.27</v>
      </c>
      <c r="H4796" s="3">
        <v>1510.77</v>
      </c>
      <c r="I4796" s="3">
        <f>SUM(Tabla1[[#This Row],[Monto_Base]],H4796)</f>
        <v>13132.04</v>
      </c>
      <c r="J4796" t="s">
        <v>5045</v>
      </c>
      <c r="K4796" t="s">
        <v>5047</v>
      </c>
      <c r="L4796" t="s">
        <v>5053</v>
      </c>
      <c r="M4796" t="s">
        <v>5054</v>
      </c>
    </row>
    <row r="4797" spans="1:13" x14ac:dyDescent="0.3">
      <c r="A4797" s="1">
        <v>45412</v>
      </c>
      <c r="B4797" s="1" t="str">
        <f>TEXT(Tabla1[[#This Row],[Fecha]],"MMMM")</f>
        <v>abril</v>
      </c>
      <c r="C4797" t="s">
        <v>4807</v>
      </c>
      <c r="D4797" t="s">
        <v>5018</v>
      </c>
      <c r="E4797" t="s">
        <v>5033</v>
      </c>
      <c r="F4797" t="s">
        <v>5039</v>
      </c>
      <c r="G4797" s="3">
        <v>4008.12</v>
      </c>
      <c r="H4797" s="3">
        <v>521.05999999999995</v>
      </c>
      <c r="I4797" s="3">
        <f>SUM(Tabla1[[#This Row],[Monto_Base]],H4797)</f>
        <v>4529.18</v>
      </c>
      <c r="J4797" t="s">
        <v>5044</v>
      </c>
      <c r="K4797" t="s">
        <v>5047</v>
      </c>
      <c r="L4797" t="s">
        <v>5050</v>
      </c>
      <c r="M4797" t="s">
        <v>5054</v>
      </c>
    </row>
    <row r="4798" spans="1:13" x14ac:dyDescent="0.3">
      <c r="A4798" s="1">
        <v>45486</v>
      </c>
      <c r="B4798" s="1" t="str">
        <f>TEXT(Tabla1[[#This Row],[Fecha]],"MMMM")</f>
        <v>julio</v>
      </c>
      <c r="C4798" t="s">
        <v>4808</v>
      </c>
      <c r="D4798" t="s">
        <v>5015</v>
      </c>
      <c r="E4798" t="s">
        <v>5033</v>
      </c>
      <c r="F4798" t="s">
        <v>5039</v>
      </c>
      <c r="G4798" s="3">
        <v>9082.2800000000007</v>
      </c>
      <c r="H4798" s="3">
        <v>1180.7</v>
      </c>
      <c r="I4798" s="3">
        <f>SUM(Tabla1[[#This Row],[Monto_Base]],H4798)</f>
        <v>10262.980000000001</v>
      </c>
      <c r="J4798" t="s">
        <v>5045</v>
      </c>
      <c r="K4798" t="s">
        <v>5049</v>
      </c>
      <c r="L4798" t="s">
        <v>5050</v>
      </c>
      <c r="M4798" t="s">
        <v>5055</v>
      </c>
    </row>
    <row r="4799" spans="1:13" x14ac:dyDescent="0.3">
      <c r="A4799" s="1">
        <v>45541</v>
      </c>
      <c r="B4799" s="1" t="str">
        <f>TEXT(Tabla1[[#This Row],[Fecha]],"MMMM")</f>
        <v>septiembre</v>
      </c>
      <c r="C4799" t="s">
        <v>4809</v>
      </c>
      <c r="D4799" t="s">
        <v>5031</v>
      </c>
      <c r="E4799" t="s">
        <v>5032</v>
      </c>
      <c r="F4799" t="s">
        <v>5038</v>
      </c>
      <c r="G4799" s="3">
        <v>6148.09</v>
      </c>
      <c r="H4799" s="3">
        <v>0</v>
      </c>
      <c r="I4799" s="3">
        <f>SUM(Tabla1[[#This Row],[Monto_Base]],H4799)</f>
        <v>6148.09</v>
      </c>
      <c r="J4799" t="s">
        <v>5043</v>
      </c>
      <c r="K4799" t="s">
        <v>5048</v>
      </c>
      <c r="L4799" t="s">
        <v>5053</v>
      </c>
      <c r="M4799" t="s">
        <v>5055</v>
      </c>
    </row>
    <row r="4800" spans="1:13" x14ac:dyDescent="0.3">
      <c r="A4800" s="1">
        <v>45432</v>
      </c>
      <c r="B4800" s="1" t="str">
        <f>TEXT(Tabla1[[#This Row],[Fecha]],"MMMM")</f>
        <v>mayo</v>
      </c>
      <c r="C4800" t="s">
        <v>4810</v>
      </c>
      <c r="D4800" t="s">
        <v>5014</v>
      </c>
      <c r="E4800" t="s">
        <v>5032</v>
      </c>
      <c r="F4800" t="s">
        <v>5034</v>
      </c>
      <c r="G4800" s="3">
        <v>5670.66</v>
      </c>
      <c r="H4800" s="3">
        <v>0</v>
      </c>
      <c r="I4800" s="3">
        <f>SUM(Tabla1[[#This Row],[Monto_Base]],H4800)</f>
        <v>5670.66</v>
      </c>
      <c r="J4800" t="s">
        <v>5045</v>
      </c>
      <c r="K4800" t="s">
        <v>5049</v>
      </c>
      <c r="L4800" t="s">
        <v>5052</v>
      </c>
      <c r="M4800" t="s">
        <v>5054</v>
      </c>
    </row>
    <row r="4801" spans="1:13" x14ac:dyDescent="0.3">
      <c r="A4801" s="1">
        <v>45413</v>
      </c>
      <c r="B4801" s="1" t="str">
        <f>TEXT(Tabla1[[#This Row],[Fecha]],"MMMM")</f>
        <v>mayo</v>
      </c>
      <c r="C4801" t="s">
        <v>4811</v>
      </c>
      <c r="D4801" t="s">
        <v>5022</v>
      </c>
      <c r="E4801" t="s">
        <v>5033</v>
      </c>
      <c r="F4801" t="s">
        <v>5037</v>
      </c>
      <c r="G4801" s="3">
        <v>3727.46</v>
      </c>
      <c r="H4801" s="3">
        <v>484.57</v>
      </c>
      <c r="I4801" s="3">
        <f>SUM(Tabla1[[#This Row],[Monto_Base]],H4801)</f>
        <v>4212.03</v>
      </c>
      <c r="J4801" t="s">
        <v>5043</v>
      </c>
      <c r="K4801" t="s">
        <v>5047</v>
      </c>
      <c r="L4801" t="s">
        <v>5052</v>
      </c>
      <c r="M4801" t="s">
        <v>5055</v>
      </c>
    </row>
    <row r="4802" spans="1:13" x14ac:dyDescent="0.3">
      <c r="A4802" s="1">
        <v>45375</v>
      </c>
      <c r="B4802" s="1" t="str">
        <f>TEXT(Tabla1[[#This Row],[Fecha]],"MMMM")</f>
        <v>marzo</v>
      </c>
      <c r="C4802" t="s">
        <v>4812</v>
      </c>
      <c r="D4802" t="s">
        <v>5013</v>
      </c>
      <c r="E4802" t="s">
        <v>5032</v>
      </c>
      <c r="F4802" t="s">
        <v>5037</v>
      </c>
      <c r="G4802" s="3">
        <v>7074.75</v>
      </c>
      <c r="H4802" s="3">
        <v>0</v>
      </c>
      <c r="I4802" s="3">
        <f>SUM(Tabla1[[#This Row],[Monto_Base]],H4802)</f>
        <v>7074.75</v>
      </c>
      <c r="J4802" t="s">
        <v>5043</v>
      </c>
      <c r="K4802" t="s">
        <v>5047</v>
      </c>
      <c r="L4802" t="s">
        <v>5050</v>
      </c>
      <c r="M4802" t="s">
        <v>5054</v>
      </c>
    </row>
    <row r="4803" spans="1:13" x14ac:dyDescent="0.3">
      <c r="A4803" s="1">
        <v>45598</v>
      </c>
      <c r="B4803" s="1" t="str">
        <f>TEXT(Tabla1[[#This Row],[Fecha]],"MMMM")</f>
        <v>noviembre</v>
      </c>
      <c r="C4803" t="s">
        <v>4813</v>
      </c>
      <c r="D4803" t="s">
        <v>5028</v>
      </c>
      <c r="E4803" t="s">
        <v>5033</v>
      </c>
      <c r="F4803" t="s">
        <v>5038</v>
      </c>
      <c r="G4803" s="3">
        <v>4852.7</v>
      </c>
      <c r="H4803" s="3">
        <v>630.85</v>
      </c>
      <c r="I4803" s="3">
        <f>SUM(Tabla1[[#This Row],[Monto_Base]],H4803)</f>
        <v>5483.55</v>
      </c>
      <c r="J4803" t="s">
        <v>5042</v>
      </c>
      <c r="K4803" t="s">
        <v>5049</v>
      </c>
      <c r="L4803" t="s">
        <v>5050</v>
      </c>
      <c r="M4803" t="s">
        <v>5055</v>
      </c>
    </row>
    <row r="4804" spans="1:13" x14ac:dyDescent="0.3">
      <c r="A4804" s="1">
        <v>45549</v>
      </c>
      <c r="B4804" s="1" t="str">
        <f>TEXT(Tabla1[[#This Row],[Fecha]],"MMMM")</f>
        <v>septiembre</v>
      </c>
      <c r="C4804" t="s">
        <v>4814</v>
      </c>
      <c r="D4804" t="s">
        <v>5024</v>
      </c>
      <c r="E4804" t="s">
        <v>5033</v>
      </c>
      <c r="F4804" t="s">
        <v>5038</v>
      </c>
      <c r="G4804" s="3">
        <v>2953.96</v>
      </c>
      <c r="H4804" s="3">
        <v>384.01</v>
      </c>
      <c r="I4804" s="3">
        <f>SUM(Tabla1[[#This Row],[Monto_Base]],H4804)</f>
        <v>3337.9700000000003</v>
      </c>
      <c r="J4804" t="s">
        <v>5046</v>
      </c>
      <c r="K4804" t="s">
        <v>5047</v>
      </c>
      <c r="L4804" t="s">
        <v>5051</v>
      </c>
      <c r="M4804" t="s">
        <v>5055</v>
      </c>
    </row>
    <row r="4805" spans="1:13" x14ac:dyDescent="0.3">
      <c r="A4805" s="1">
        <v>45374</v>
      </c>
      <c r="B4805" s="1" t="str">
        <f>TEXT(Tabla1[[#This Row],[Fecha]],"MMMM")</f>
        <v>marzo</v>
      </c>
      <c r="C4805" t="s">
        <v>4815</v>
      </c>
      <c r="D4805" t="s">
        <v>5031</v>
      </c>
      <c r="E4805" t="s">
        <v>5033</v>
      </c>
      <c r="F4805" t="s">
        <v>5039</v>
      </c>
      <c r="G4805" s="3">
        <v>2831.79</v>
      </c>
      <c r="H4805" s="3">
        <v>368.13</v>
      </c>
      <c r="I4805" s="3">
        <f>SUM(Tabla1[[#This Row],[Monto_Base]],H4805)</f>
        <v>3199.92</v>
      </c>
      <c r="J4805" t="s">
        <v>5042</v>
      </c>
      <c r="K4805" t="s">
        <v>5047</v>
      </c>
      <c r="L4805" t="s">
        <v>5052</v>
      </c>
      <c r="M4805" t="s">
        <v>5054</v>
      </c>
    </row>
    <row r="4806" spans="1:13" x14ac:dyDescent="0.3">
      <c r="A4806" s="1">
        <v>45403</v>
      </c>
      <c r="B4806" s="1" t="str">
        <f>TEXT(Tabla1[[#This Row],[Fecha]],"MMMM")</f>
        <v>abril</v>
      </c>
      <c r="C4806" t="s">
        <v>4816</v>
      </c>
      <c r="D4806" t="s">
        <v>5023</v>
      </c>
      <c r="E4806" t="s">
        <v>5032</v>
      </c>
      <c r="F4806" t="s">
        <v>5039</v>
      </c>
      <c r="G4806" s="3">
        <v>10841.96</v>
      </c>
      <c r="H4806" s="3">
        <v>0</v>
      </c>
      <c r="I4806" s="3">
        <f>SUM(Tabla1[[#This Row],[Monto_Base]],H4806)</f>
        <v>10841.96</v>
      </c>
      <c r="J4806" t="s">
        <v>5044</v>
      </c>
      <c r="K4806" t="s">
        <v>5049</v>
      </c>
      <c r="L4806" t="s">
        <v>5053</v>
      </c>
      <c r="M4806" t="s">
        <v>5055</v>
      </c>
    </row>
    <row r="4807" spans="1:13" x14ac:dyDescent="0.3">
      <c r="A4807" s="1">
        <v>45313</v>
      </c>
      <c r="B4807" s="1" t="str">
        <f>TEXT(Tabla1[[#This Row],[Fecha]],"MMMM")</f>
        <v>enero</v>
      </c>
      <c r="C4807" t="s">
        <v>4817</v>
      </c>
      <c r="D4807" t="s">
        <v>5018</v>
      </c>
      <c r="E4807" t="s">
        <v>5033</v>
      </c>
      <c r="F4807" t="s">
        <v>5038</v>
      </c>
      <c r="G4807" s="3">
        <v>13794.59</v>
      </c>
      <c r="H4807" s="3">
        <v>1793.3</v>
      </c>
      <c r="I4807" s="3">
        <f>SUM(Tabla1[[#This Row],[Monto_Base]],H4807)</f>
        <v>15587.89</v>
      </c>
      <c r="J4807" t="s">
        <v>5045</v>
      </c>
      <c r="K4807" t="s">
        <v>5048</v>
      </c>
      <c r="L4807" t="s">
        <v>5051</v>
      </c>
      <c r="M4807" t="s">
        <v>5054</v>
      </c>
    </row>
    <row r="4808" spans="1:13" x14ac:dyDescent="0.3">
      <c r="A4808" s="1">
        <v>45371</v>
      </c>
      <c r="B4808" s="1" t="str">
        <f>TEXT(Tabla1[[#This Row],[Fecha]],"MMMM")</f>
        <v>marzo</v>
      </c>
      <c r="C4808" t="s">
        <v>4818</v>
      </c>
      <c r="D4808" t="s">
        <v>5021</v>
      </c>
      <c r="E4808" t="s">
        <v>5032</v>
      </c>
      <c r="F4808" t="s">
        <v>5039</v>
      </c>
      <c r="G4808" s="3">
        <v>2823.6</v>
      </c>
      <c r="H4808" s="3">
        <v>0</v>
      </c>
      <c r="I4808" s="3">
        <f>SUM(Tabla1[[#This Row],[Monto_Base]],H4808)</f>
        <v>2823.6</v>
      </c>
      <c r="J4808" t="s">
        <v>5044</v>
      </c>
      <c r="K4808" t="s">
        <v>5048</v>
      </c>
      <c r="L4808" t="s">
        <v>5050</v>
      </c>
      <c r="M4808" t="s">
        <v>5055</v>
      </c>
    </row>
    <row r="4809" spans="1:13" x14ac:dyDescent="0.3">
      <c r="A4809" s="1">
        <v>45649</v>
      </c>
      <c r="B4809" s="1" t="str">
        <f>TEXT(Tabla1[[#This Row],[Fecha]],"MMMM")</f>
        <v>diciembre</v>
      </c>
      <c r="C4809" t="s">
        <v>4819</v>
      </c>
      <c r="D4809" t="s">
        <v>5023</v>
      </c>
      <c r="E4809" t="s">
        <v>5033</v>
      </c>
      <c r="F4809" t="s">
        <v>5034</v>
      </c>
      <c r="G4809" s="3">
        <v>13580.58</v>
      </c>
      <c r="H4809" s="3">
        <v>1765.48</v>
      </c>
      <c r="I4809" s="3">
        <f>SUM(Tabla1[[#This Row],[Monto_Base]],H4809)</f>
        <v>15346.06</v>
      </c>
      <c r="J4809" t="s">
        <v>5044</v>
      </c>
      <c r="K4809" t="s">
        <v>5047</v>
      </c>
      <c r="L4809" t="s">
        <v>5051</v>
      </c>
      <c r="M4809" t="s">
        <v>5055</v>
      </c>
    </row>
    <row r="4810" spans="1:13" x14ac:dyDescent="0.3">
      <c r="A4810" s="1">
        <v>45527</v>
      </c>
      <c r="B4810" s="1" t="str">
        <f>TEXT(Tabla1[[#This Row],[Fecha]],"MMMM")</f>
        <v>agosto</v>
      </c>
      <c r="C4810" t="s">
        <v>4820</v>
      </c>
      <c r="D4810" t="s">
        <v>5031</v>
      </c>
      <c r="E4810" t="s">
        <v>5033</v>
      </c>
      <c r="F4810" t="s">
        <v>5034</v>
      </c>
      <c r="G4810" s="3">
        <v>9658.7099999999991</v>
      </c>
      <c r="H4810" s="3">
        <v>1255.6300000000001</v>
      </c>
      <c r="I4810" s="3">
        <f>SUM(Tabla1[[#This Row],[Monto_Base]],H4810)</f>
        <v>10914.34</v>
      </c>
      <c r="J4810" t="s">
        <v>5044</v>
      </c>
      <c r="K4810" t="s">
        <v>5047</v>
      </c>
      <c r="L4810" t="s">
        <v>5051</v>
      </c>
      <c r="M4810" t="s">
        <v>5054</v>
      </c>
    </row>
    <row r="4811" spans="1:13" x14ac:dyDescent="0.3">
      <c r="A4811" s="1">
        <v>45520</v>
      </c>
      <c r="B4811" s="1" t="str">
        <f>TEXT(Tabla1[[#This Row],[Fecha]],"MMMM")</f>
        <v>agosto</v>
      </c>
      <c r="C4811" t="s">
        <v>4821</v>
      </c>
      <c r="D4811" t="s">
        <v>5016</v>
      </c>
      <c r="E4811" t="s">
        <v>5033</v>
      </c>
      <c r="F4811" t="s">
        <v>5034</v>
      </c>
      <c r="G4811" s="3">
        <v>10749.41</v>
      </c>
      <c r="H4811" s="3">
        <v>1397.42</v>
      </c>
      <c r="I4811" s="3">
        <f>SUM(Tabla1[[#This Row],[Monto_Base]],H4811)</f>
        <v>12146.83</v>
      </c>
      <c r="J4811" t="s">
        <v>5042</v>
      </c>
      <c r="K4811" t="s">
        <v>5049</v>
      </c>
      <c r="L4811" t="s">
        <v>5051</v>
      </c>
      <c r="M4811" t="s">
        <v>5054</v>
      </c>
    </row>
    <row r="4812" spans="1:13" x14ac:dyDescent="0.3">
      <c r="A4812" s="1">
        <v>45429</v>
      </c>
      <c r="B4812" s="1" t="str">
        <f>TEXT(Tabla1[[#This Row],[Fecha]],"MMMM")</f>
        <v>mayo</v>
      </c>
      <c r="C4812" t="s">
        <v>4822</v>
      </c>
      <c r="D4812" t="s">
        <v>5015</v>
      </c>
      <c r="E4812" t="s">
        <v>5033</v>
      </c>
      <c r="F4812" t="s">
        <v>5035</v>
      </c>
      <c r="G4812" s="3">
        <v>8710.6200000000008</v>
      </c>
      <c r="H4812" s="3">
        <v>1132.3800000000001</v>
      </c>
      <c r="I4812" s="3">
        <f>SUM(Tabla1[[#This Row],[Monto_Base]],H4812)</f>
        <v>9843</v>
      </c>
      <c r="J4812" t="s">
        <v>5044</v>
      </c>
      <c r="K4812" t="s">
        <v>5049</v>
      </c>
      <c r="L4812" t="s">
        <v>5050</v>
      </c>
      <c r="M4812" t="s">
        <v>5055</v>
      </c>
    </row>
    <row r="4813" spans="1:13" x14ac:dyDescent="0.3">
      <c r="A4813" s="1">
        <v>45536</v>
      </c>
      <c r="B4813" s="1" t="str">
        <f>TEXT(Tabla1[[#This Row],[Fecha]],"MMMM")</f>
        <v>septiembre</v>
      </c>
      <c r="C4813" t="s">
        <v>4823</v>
      </c>
      <c r="D4813" t="s">
        <v>5022</v>
      </c>
      <c r="E4813" t="s">
        <v>5033</v>
      </c>
      <c r="F4813" t="s">
        <v>5040</v>
      </c>
      <c r="G4813" s="3">
        <v>12138.89</v>
      </c>
      <c r="H4813" s="3">
        <v>1578.06</v>
      </c>
      <c r="I4813" s="3">
        <f>SUM(Tabla1[[#This Row],[Monto_Base]],H4813)</f>
        <v>13716.949999999999</v>
      </c>
      <c r="J4813" t="s">
        <v>5046</v>
      </c>
      <c r="K4813" t="s">
        <v>5047</v>
      </c>
      <c r="L4813" t="s">
        <v>5052</v>
      </c>
      <c r="M4813" t="s">
        <v>5054</v>
      </c>
    </row>
    <row r="4814" spans="1:13" x14ac:dyDescent="0.3">
      <c r="A4814" s="1">
        <v>45327</v>
      </c>
      <c r="B4814" s="1" t="str">
        <f>TEXT(Tabla1[[#This Row],[Fecha]],"MMMM")</f>
        <v>febrero</v>
      </c>
      <c r="C4814" t="s">
        <v>4824</v>
      </c>
      <c r="D4814" t="s">
        <v>5012</v>
      </c>
      <c r="E4814" t="s">
        <v>5032</v>
      </c>
      <c r="F4814" t="s">
        <v>5035</v>
      </c>
      <c r="G4814" s="3">
        <v>8415.4</v>
      </c>
      <c r="H4814" s="3">
        <v>0</v>
      </c>
      <c r="I4814" s="3">
        <f>SUM(Tabla1[[#This Row],[Monto_Base]],H4814)</f>
        <v>8415.4</v>
      </c>
      <c r="J4814" t="s">
        <v>5042</v>
      </c>
      <c r="K4814" t="s">
        <v>5048</v>
      </c>
      <c r="L4814" t="s">
        <v>5051</v>
      </c>
      <c r="M4814" t="s">
        <v>5055</v>
      </c>
    </row>
    <row r="4815" spans="1:13" x14ac:dyDescent="0.3">
      <c r="A4815" s="1">
        <v>45471</v>
      </c>
      <c r="B4815" s="1" t="str">
        <f>TEXT(Tabla1[[#This Row],[Fecha]],"MMMM")</f>
        <v>junio</v>
      </c>
      <c r="C4815" t="s">
        <v>4825</v>
      </c>
      <c r="D4815" t="s">
        <v>5025</v>
      </c>
      <c r="E4815" t="s">
        <v>5032</v>
      </c>
      <c r="F4815" t="s">
        <v>5041</v>
      </c>
      <c r="G4815" s="3">
        <v>10800.48</v>
      </c>
      <c r="H4815" s="3">
        <v>0</v>
      </c>
      <c r="I4815" s="3">
        <f>SUM(Tabla1[[#This Row],[Monto_Base]],H4815)</f>
        <v>10800.48</v>
      </c>
      <c r="J4815" t="s">
        <v>5046</v>
      </c>
      <c r="K4815" t="s">
        <v>5049</v>
      </c>
      <c r="L4815" t="s">
        <v>5053</v>
      </c>
      <c r="M4815" t="s">
        <v>5055</v>
      </c>
    </row>
    <row r="4816" spans="1:13" x14ac:dyDescent="0.3">
      <c r="A4816" s="1">
        <v>45618</v>
      </c>
      <c r="B4816" s="1" t="str">
        <f>TEXT(Tabla1[[#This Row],[Fecha]],"MMMM")</f>
        <v>noviembre</v>
      </c>
      <c r="C4816" t="s">
        <v>4826</v>
      </c>
      <c r="D4816" t="s">
        <v>5015</v>
      </c>
      <c r="E4816" t="s">
        <v>5032</v>
      </c>
      <c r="F4816" t="s">
        <v>5040</v>
      </c>
      <c r="G4816" s="3">
        <v>668.03</v>
      </c>
      <c r="H4816" s="3">
        <v>0</v>
      </c>
      <c r="I4816" s="3">
        <f>SUM(Tabla1[[#This Row],[Monto_Base]],H4816)</f>
        <v>668.03</v>
      </c>
      <c r="J4816" t="s">
        <v>5043</v>
      </c>
      <c r="K4816" t="s">
        <v>5049</v>
      </c>
      <c r="L4816" t="s">
        <v>5052</v>
      </c>
      <c r="M4816" t="s">
        <v>5054</v>
      </c>
    </row>
    <row r="4817" spans="1:13" x14ac:dyDescent="0.3">
      <c r="A4817" s="1">
        <v>45638</v>
      </c>
      <c r="B4817" s="1" t="str">
        <f>TEXT(Tabla1[[#This Row],[Fecha]],"MMMM")</f>
        <v>diciembre</v>
      </c>
      <c r="C4817" t="s">
        <v>4827</v>
      </c>
      <c r="D4817" t="s">
        <v>5022</v>
      </c>
      <c r="E4817" t="s">
        <v>5033</v>
      </c>
      <c r="F4817" t="s">
        <v>5040</v>
      </c>
      <c r="G4817" s="3">
        <v>12290.49</v>
      </c>
      <c r="H4817" s="3">
        <v>1597.76</v>
      </c>
      <c r="I4817" s="3">
        <f>SUM(Tabla1[[#This Row],[Monto_Base]],H4817)</f>
        <v>13888.25</v>
      </c>
      <c r="J4817" t="s">
        <v>5044</v>
      </c>
      <c r="K4817" t="s">
        <v>5049</v>
      </c>
      <c r="L4817" t="s">
        <v>5051</v>
      </c>
      <c r="M4817" t="s">
        <v>5054</v>
      </c>
    </row>
    <row r="4818" spans="1:13" x14ac:dyDescent="0.3">
      <c r="A4818" s="1">
        <v>45383</v>
      </c>
      <c r="B4818" s="1" t="str">
        <f>TEXT(Tabla1[[#This Row],[Fecha]],"MMMM")</f>
        <v>abril</v>
      </c>
      <c r="C4818" t="s">
        <v>4828</v>
      </c>
      <c r="D4818" t="s">
        <v>5012</v>
      </c>
      <c r="E4818" t="s">
        <v>5032</v>
      </c>
      <c r="F4818" t="s">
        <v>5040</v>
      </c>
      <c r="G4818" s="3">
        <v>11096.02</v>
      </c>
      <c r="H4818" s="3">
        <v>0</v>
      </c>
      <c r="I4818" s="3">
        <f>SUM(Tabla1[[#This Row],[Monto_Base]],H4818)</f>
        <v>11096.02</v>
      </c>
      <c r="J4818" t="s">
        <v>5044</v>
      </c>
      <c r="K4818" t="s">
        <v>5047</v>
      </c>
      <c r="L4818" t="s">
        <v>5052</v>
      </c>
      <c r="M4818" t="s">
        <v>5055</v>
      </c>
    </row>
    <row r="4819" spans="1:13" x14ac:dyDescent="0.3">
      <c r="A4819" s="1">
        <v>45583</v>
      </c>
      <c r="B4819" s="1" t="str">
        <f>TEXT(Tabla1[[#This Row],[Fecha]],"MMMM")</f>
        <v>octubre</v>
      </c>
      <c r="C4819" t="s">
        <v>4829</v>
      </c>
      <c r="D4819" t="s">
        <v>5025</v>
      </c>
      <c r="E4819" t="s">
        <v>5032</v>
      </c>
      <c r="F4819" t="s">
        <v>5035</v>
      </c>
      <c r="G4819" s="3">
        <v>11799.98</v>
      </c>
      <c r="H4819" s="3">
        <v>0</v>
      </c>
      <c r="I4819" s="3">
        <f>SUM(Tabla1[[#This Row],[Monto_Base]],H4819)</f>
        <v>11799.98</v>
      </c>
      <c r="J4819" t="s">
        <v>5044</v>
      </c>
      <c r="K4819" t="s">
        <v>5047</v>
      </c>
      <c r="L4819" t="s">
        <v>5051</v>
      </c>
      <c r="M4819" t="s">
        <v>5055</v>
      </c>
    </row>
    <row r="4820" spans="1:13" x14ac:dyDescent="0.3">
      <c r="A4820" s="1">
        <v>45428</v>
      </c>
      <c r="B4820" s="1" t="str">
        <f>TEXT(Tabla1[[#This Row],[Fecha]],"MMMM")</f>
        <v>mayo</v>
      </c>
      <c r="C4820" t="s">
        <v>4830</v>
      </c>
      <c r="D4820" t="s">
        <v>5025</v>
      </c>
      <c r="E4820" t="s">
        <v>5033</v>
      </c>
      <c r="F4820" t="s">
        <v>5034</v>
      </c>
      <c r="G4820" s="3">
        <v>3045.67</v>
      </c>
      <c r="H4820" s="3">
        <v>395.94</v>
      </c>
      <c r="I4820" s="3">
        <f>SUM(Tabla1[[#This Row],[Monto_Base]],H4820)</f>
        <v>3441.61</v>
      </c>
      <c r="J4820" t="s">
        <v>5046</v>
      </c>
      <c r="K4820" t="s">
        <v>5048</v>
      </c>
      <c r="L4820" t="s">
        <v>5051</v>
      </c>
      <c r="M4820" t="s">
        <v>5054</v>
      </c>
    </row>
    <row r="4821" spans="1:13" x14ac:dyDescent="0.3">
      <c r="A4821" s="1">
        <v>45407</v>
      </c>
      <c r="B4821" s="1" t="str">
        <f>TEXT(Tabla1[[#This Row],[Fecha]],"MMMM")</f>
        <v>abril</v>
      </c>
      <c r="C4821" t="s">
        <v>4831</v>
      </c>
      <c r="D4821" t="s">
        <v>5012</v>
      </c>
      <c r="E4821" t="s">
        <v>5032</v>
      </c>
      <c r="F4821" t="s">
        <v>5040</v>
      </c>
      <c r="G4821" s="3">
        <v>4096.28</v>
      </c>
      <c r="H4821" s="3">
        <v>0</v>
      </c>
      <c r="I4821" s="3">
        <f>SUM(Tabla1[[#This Row],[Monto_Base]],H4821)</f>
        <v>4096.28</v>
      </c>
      <c r="J4821" t="s">
        <v>5046</v>
      </c>
      <c r="K4821" t="s">
        <v>5048</v>
      </c>
      <c r="L4821" t="s">
        <v>5053</v>
      </c>
      <c r="M4821" t="s">
        <v>5055</v>
      </c>
    </row>
    <row r="4822" spans="1:13" x14ac:dyDescent="0.3">
      <c r="A4822" s="1">
        <v>45468</v>
      </c>
      <c r="B4822" s="1" t="str">
        <f>TEXT(Tabla1[[#This Row],[Fecha]],"MMMM")</f>
        <v>junio</v>
      </c>
      <c r="C4822" t="s">
        <v>4832</v>
      </c>
      <c r="D4822" t="s">
        <v>5021</v>
      </c>
      <c r="E4822" t="s">
        <v>5033</v>
      </c>
      <c r="F4822" t="s">
        <v>5034</v>
      </c>
      <c r="G4822" s="3">
        <v>7202.91</v>
      </c>
      <c r="H4822" s="3">
        <v>936.38</v>
      </c>
      <c r="I4822" s="3">
        <f>SUM(Tabla1[[#This Row],[Monto_Base]],H4822)</f>
        <v>8139.29</v>
      </c>
      <c r="J4822" t="s">
        <v>5046</v>
      </c>
      <c r="K4822" t="s">
        <v>5049</v>
      </c>
      <c r="L4822" t="s">
        <v>5051</v>
      </c>
      <c r="M4822" t="s">
        <v>5054</v>
      </c>
    </row>
    <row r="4823" spans="1:13" x14ac:dyDescent="0.3">
      <c r="A4823" s="1">
        <v>45502</v>
      </c>
      <c r="B4823" s="1" t="str">
        <f>TEXT(Tabla1[[#This Row],[Fecha]],"MMMM")</f>
        <v>julio</v>
      </c>
      <c r="C4823" t="s">
        <v>4833</v>
      </c>
      <c r="D4823" t="s">
        <v>5012</v>
      </c>
      <c r="E4823" t="s">
        <v>5033</v>
      </c>
      <c r="F4823" t="s">
        <v>5040</v>
      </c>
      <c r="G4823" s="3">
        <v>10153.540000000001</v>
      </c>
      <c r="H4823" s="3">
        <v>1319.96</v>
      </c>
      <c r="I4823" s="3">
        <f>SUM(Tabla1[[#This Row],[Monto_Base]],H4823)</f>
        <v>11473.5</v>
      </c>
      <c r="J4823" t="s">
        <v>5042</v>
      </c>
      <c r="K4823" t="s">
        <v>5047</v>
      </c>
      <c r="L4823" t="s">
        <v>5053</v>
      </c>
      <c r="M4823" t="s">
        <v>5055</v>
      </c>
    </row>
    <row r="4824" spans="1:13" x14ac:dyDescent="0.3">
      <c r="A4824" s="1">
        <v>45375</v>
      </c>
      <c r="B4824" s="1" t="str">
        <f>TEXT(Tabla1[[#This Row],[Fecha]],"MMMM")</f>
        <v>marzo</v>
      </c>
      <c r="C4824" t="s">
        <v>4834</v>
      </c>
      <c r="D4824" t="s">
        <v>5013</v>
      </c>
      <c r="E4824" t="s">
        <v>5033</v>
      </c>
      <c r="F4824" t="s">
        <v>5039</v>
      </c>
      <c r="G4824" s="3">
        <v>14871.38</v>
      </c>
      <c r="H4824" s="3">
        <v>1933.28</v>
      </c>
      <c r="I4824" s="3">
        <f>SUM(Tabla1[[#This Row],[Monto_Base]],H4824)</f>
        <v>16804.66</v>
      </c>
      <c r="J4824" t="s">
        <v>5043</v>
      </c>
      <c r="K4824" t="s">
        <v>5048</v>
      </c>
      <c r="L4824" t="s">
        <v>5050</v>
      </c>
      <c r="M4824" t="s">
        <v>5055</v>
      </c>
    </row>
    <row r="4825" spans="1:13" x14ac:dyDescent="0.3">
      <c r="A4825" s="1">
        <v>45625</v>
      </c>
      <c r="B4825" s="1" t="str">
        <f>TEXT(Tabla1[[#This Row],[Fecha]],"MMMM")</f>
        <v>noviembre</v>
      </c>
      <c r="C4825" t="s">
        <v>4835</v>
      </c>
      <c r="D4825" t="s">
        <v>5016</v>
      </c>
      <c r="E4825" t="s">
        <v>5032</v>
      </c>
      <c r="F4825" t="s">
        <v>5035</v>
      </c>
      <c r="G4825" s="3">
        <v>6551.24</v>
      </c>
      <c r="H4825" s="3">
        <v>0</v>
      </c>
      <c r="I4825" s="3">
        <f>SUM(Tabla1[[#This Row],[Monto_Base]],H4825)</f>
        <v>6551.24</v>
      </c>
      <c r="J4825" t="s">
        <v>5043</v>
      </c>
      <c r="K4825" t="s">
        <v>5048</v>
      </c>
      <c r="L4825" t="s">
        <v>5051</v>
      </c>
      <c r="M4825" t="s">
        <v>5054</v>
      </c>
    </row>
    <row r="4826" spans="1:13" x14ac:dyDescent="0.3">
      <c r="A4826" s="1">
        <v>45307</v>
      </c>
      <c r="B4826" s="1" t="str">
        <f>TEXT(Tabla1[[#This Row],[Fecha]],"MMMM")</f>
        <v>enero</v>
      </c>
      <c r="C4826" t="s">
        <v>4836</v>
      </c>
      <c r="D4826" t="s">
        <v>5024</v>
      </c>
      <c r="E4826" t="s">
        <v>5033</v>
      </c>
      <c r="F4826" t="s">
        <v>5041</v>
      </c>
      <c r="G4826" s="3">
        <v>14740.84</v>
      </c>
      <c r="H4826" s="3">
        <v>1916.31</v>
      </c>
      <c r="I4826" s="3">
        <f>SUM(Tabla1[[#This Row],[Monto_Base]],H4826)</f>
        <v>16657.150000000001</v>
      </c>
      <c r="J4826" t="s">
        <v>5043</v>
      </c>
      <c r="K4826" t="s">
        <v>5049</v>
      </c>
      <c r="L4826" t="s">
        <v>5053</v>
      </c>
      <c r="M4826" t="s">
        <v>5054</v>
      </c>
    </row>
    <row r="4827" spans="1:13" x14ac:dyDescent="0.3">
      <c r="A4827" s="1">
        <v>45440</v>
      </c>
      <c r="B4827" s="1" t="str">
        <f>TEXT(Tabla1[[#This Row],[Fecha]],"MMMM")</f>
        <v>mayo</v>
      </c>
      <c r="C4827" t="s">
        <v>4837</v>
      </c>
      <c r="D4827" t="s">
        <v>5012</v>
      </c>
      <c r="E4827" t="s">
        <v>5033</v>
      </c>
      <c r="F4827" t="s">
        <v>5039</v>
      </c>
      <c r="G4827" s="3">
        <v>4450.17</v>
      </c>
      <c r="H4827" s="3">
        <v>578.52</v>
      </c>
      <c r="I4827" s="3">
        <f>SUM(Tabla1[[#This Row],[Monto_Base]],H4827)</f>
        <v>5028.6900000000005</v>
      </c>
      <c r="J4827" t="s">
        <v>5042</v>
      </c>
      <c r="K4827" t="s">
        <v>5047</v>
      </c>
      <c r="L4827" t="s">
        <v>5051</v>
      </c>
      <c r="M4827" t="s">
        <v>5055</v>
      </c>
    </row>
    <row r="4828" spans="1:13" x14ac:dyDescent="0.3">
      <c r="A4828" s="1">
        <v>45538</v>
      </c>
      <c r="B4828" s="1" t="str">
        <f>TEXT(Tabla1[[#This Row],[Fecha]],"MMMM")</f>
        <v>septiembre</v>
      </c>
      <c r="C4828" t="s">
        <v>4838</v>
      </c>
      <c r="D4828" t="s">
        <v>5028</v>
      </c>
      <c r="E4828" t="s">
        <v>5033</v>
      </c>
      <c r="F4828" t="s">
        <v>5036</v>
      </c>
      <c r="G4828" s="3">
        <v>11096.42</v>
      </c>
      <c r="H4828" s="3">
        <v>1442.53</v>
      </c>
      <c r="I4828" s="3">
        <f>SUM(Tabla1[[#This Row],[Monto_Base]],H4828)</f>
        <v>12538.95</v>
      </c>
      <c r="J4828" t="s">
        <v>5044</v>
      </c>
      <c r="K4828" t="s">
        <v>5049</v>
      </c>
      <c r="L4828" t="s">
        <v>5053</v>
      </c>
      <c r="M4828" t="s">
        <v>5054</v>
      </c>
    </row>
    <row r="4829" spans="1:13" x14ac:dyDescent="0.3">
      <c r="A4829" s="1">
        <v>45323</v>
      </c>
      <c r="B4829" s="1" t="str">
        <f>TEXT(Tabla1[[#This Row],[Fecha]],"MMMM")</f>
        <v>febrero</v>
      </c>
      <c r="C4829" t="s">
        <v>4839</v>
      </c>
      <c r="D4829" t="s">
        <v>5029</v>
      </c>
      <c r="E4829" t="s">
        <v>5033</v>
      </c>
      <c r="F4829" t="s">
        <v>5035</v>
      </c>
      <c r="G4829" s="3">
        <v>9885.52</v>
      </c>
      <c r="H4829" s="3">
        <v>1285.1199999999999</v>
      </c>
      <c r="I4829" s="3">
        <f>SUM(Tabla1[[#This Row],[Monto_Base]],H4829)</f>
        <v>11170.64</v>
      </c>
      <c r="J4829" t="s">
        <v>5043</v>
      </c>
      <c r="K4829" t="s">
        <v>5047</v>
      </c>
      <c r="L4829" t="s">
        <v>5052</v>
      </c>
      <c r="M4829" t="s">
        <v>5054</v>
      </c>
    </row>
    <row r="4830" spans="1:13" x14ac:dyDescent="0.3">
      <c r="A4830" s="1">
        <v>45599</v>
      </c>
      <c r="B4830" s="1" t="str">
        <f>TEXT(Tabla1[[#This Row],[Fecha]],"MMMM")</f>
        <v>noviembre</v>
      </c>
      <c r="C4830" t="s">
        <v>4840</v>
      </c>
      <c r="D4830" t="s">
        <v>5014</v>
      </c>
      <c r="E4830" t="s">
        <v>5033</v>
      </c>
      <c r="F4830" t="s">
        <v>5035</v>
      </c>
      <c r="G4830" s="3">
        <v>4284.28</v>
      </c>
      <c r="H4830" s="3">
        <v>556.96</v>
      </c>
      <c r="I4830" s="3">
        <f>SUM(Tabla1[[#This Row],[Monto_Base]],H4830)</f>
        <v>4841.24</v>
      </c>
      <c r="J4830" t="s">
        <v>5046</v>
      </c>
      <c r="K4830" t="s">
        <v>5047</v>
      </c>
      <c r="L4830" t="s">
        <v>5050</v>
      </c>
      <c r="M4830" t="s">
        <v>5055</v>
      </c>
    </row>
    <row r="4831" spans="1:13" x14ac:dyDescent="0.3">
      <c r="A4831" s="1">
        <v>45526</v>
      </c>
      <c r="B4831" s="1" t="str">
        <f>TEXT(Tabla1[[#This Row],[Fecha]],"MMMM")</f>
        <v>agosto</v>
      </c>
      <c r="C4831" t="s">
        <v>4841</v>
      </c>
      <c r="D4831" t="s">
        <v>5021</v>
      </c>
      <c r="E4831" t="s">
        <v>5033</v>
      </c>
      <c r="F4831" t="s">
        <v>5039</v>
      </c>
      <c r="G4831" s="3">
        <v>1147.0999999999999</v>
      </c>
      <c r="H4831" s="3">
        <v>149.12</v>
      </c>
      <c r="I4831" s="3">
        <f>SUM(Tabla1[[#This Row],[Monto_Base]],H4831)</f>
        <v>1296.2199999999998</v>
      </c>
      <c r="J4831" t="s">
        <v>5045</v>
      </c>
      <c r="K4831" t="s">
        <v>5049</v>
      </c>
      <c r="L4831" t="s">
        <v>5051</v>
      </c>
      <c r="M4831" t="s">
        <v>5054</v>
      </c>
    </row>
    <row r="4832" spans="1:13" x14ac:dyDescent="0.3">
      <c r="A4832" s="1">
        <v>45403</v>
      </c>
      <c r="B4832" s="1" t="str">
        <f>TEXT(Tabla1[[#This Row],[Fecha]],"MMMM")</f>
        <v>abril</v>
      </c>
      <c r="C4832" t="s">
        <v>4842</v>
      </c>
      <c r="D4832" t="s">
        <v>5012</v>
      </c>
      <c r="E4832" t="s">
        <v>5032</v>
      </c>
      <c r="F4832" t="s">
        <v>5040</v>
      </c>
      <c r="G4832" s="3">
        <v>11798.4</v>
      </c>
      <c r="H4832" s="3">
        <v>0</v>
      </c>
      <c r="I4832" s="3">
        <f>SUM(Tabla1[[#This Row],[Monto_Base]],H4832)</f>
        <v>11798.4</v>
      </c>
      <c r="J4832" t="s">
        <v>5045</v>
      </c>
      <c r="K4832" t="s">
        <v>5048</v>
      </c>
      <c r="L4832" t="s">
        <v>5050</v>
      </c>
      <c r="M4832" t="s">
        <v>5055</v>
      </c>
    </row>
    <row r="4833" spans="1:13" x14ac:dyDescent="0.3">
      <c r="A4833" s="1">
        <v>45519</v>
      </c>
      <c r="B4833" s="1" t="str">
        <f>TEXT(Tabla1[[#This Row],[Fecha]],"MMMM")</f>
        <v>agosto</v>
      </c>
      <c r="C4833" t="s">
        <v>4843</v>
      </c>
      <c r="D4833" t="s">
        <v>5027</v>
      </c>
      <c r="E4833" t="s">
        <v>5032</v>
      </c>
      <c r="F4833" t="s">
        <v>5035</v>
      </c>
      <c r="G4833" s="3">
        <v>11572.96</v>
      </c>
      <c r="H4833" s="3">
        <v>0</v>
      </c>
      <c r="I4833" s="3">
        <f>SUM(Tabla1[[#This Row],[Monto_Base]],H4833)</f>
        <v>11572.96</v>
      </c>
      <c r="J4833" t="s">
        <v>5044</v>
      </c>
      <c r="K4833" t="s">
        <v>5049</v>
      </c>
      <c r="L4833" t="s">
        <v>5053</v>
      </c>
      <c r="M4833" t="s">
        <v>5055</v>
      </c>
    </row>
    <row r="4834" spans="1:13" x14ac:dyDescent="0.3">
      <c r="A4834" s="1">
        <v>45462</v>
      </c>
      <c r="B4834" s="1" t="str">
        <f>TEXT(Tabla1[[#This Row],[Fecha]],"MMMM")</f>
        <v>junio</v>
      </c>
      <c r="C4834" t="s">
        <v>4844</v>
      </c>
      <c r="D4834" t="s">
        <v>5021</v>
      </c>
      <c r="E4834" t="s">
        <v>5033</v>
      </c>
      <c r="F4834" t="s">
        <v>5040</v>
      </c>
      <c r="G4834" s="3">
        <v>14061.64</v>
      </c>
      <c r="H4834" s="3">
        <v>1828.01</v>
      </c>
      <c r="I4834" s="3">
        <f>SUM(Tabla1[[#This Row],[Monto_Base]],H4834)</f>
        <v>15889.65</v>
      </c>
      <c r="J4834" t="s">
        <v>5043</v>
      </c>
      <c r="K4834" t="s">
        <v>5047</v>
      </c>
      <c r="L4834" t="s">
        <v>5051</v>
      </c>
      <c r="M4834" t="s">
        <v>5054</v>
      </c>
    </row>
    <row r="4835" spans="1:13" x14ac:dyDescent="0.3">
      <c r="A4835" s="1">
        <v>45371</v>
      </c>
      <c r="B4835" s="1" t="str">
        <f>TEXT(Tabla1[[#This Row],[Fecha]],"MMMM")</f>
        <v>marzo</v>
      </c>
      <c r="C4835" t="s">
        <v>4845</v>
      </c>
      <c r="D4835" t="s">
        <v>5028</v>
      </c>
      <c r="E4835" t="s">
        <v>5032</v>
      </c>
      <c r="F4835" t="s">
        <v>5041</v>
      </c>
      <c r="G4835" s="3">
        <v>823.67</v>
      </c>
      <c r="H4835" s="3">
        <v>0</v>
      </c>
      <c r="I4835" s="3">
        <f>SUM(Tabla1[[#This Row],[Monto_Base]],H4835)</f>
        <v>823.67</v>
      </c>
      <c r="J4835" t="s">
        <v>5045</v>
      </c>
      <c r="K4835" t="s">
        <v>5048</v>
      </c>
      <c r="L4835" t="s">
        <v>5052</v>
      </c>
      <c r="M4835" t="s">
        <v>5055</v>
      </c>
    </row>
    <row r="4836" spans="1:13" x14ac:dyDescent="0.3">
      <c r="A4836" s="1">
        <v>45655</v>
      </c>
      <c r="B4836" s="1" t="str">
        <f>TEXT(Tabla1[[#This Row],[Fecha]],"MMMM")</f>
        <v>diciembre</v>
      </c>
      <c r="C4836" t="s">
        <v>4846</v>
      </c>
      <c r="D4836" t="s">
        <v>5013</v>
      </c>
      <c r="E4836" t="s">
        <v>5032</v>
      </c>
      <c r="F4836" t="s">
        <v>5036</v>
      </c>
      <c r="G4836" s="3">
        <v>1806.35</v>
      </c>
      <c r="H4836" s="3">
        <v>0</v>
      </c>
      <c r="I4836" s="3">
        <f>SUM(Tabla1[[#This Row],[Monto_Base]],H4836)</f>
        <v>1806.35</v>
      </c>
      <c r="J4836" t="s">
        <v>5043</v>
      </c>
      <c r="K4836" t="s">
        <v>5047</v>
      </c>
      <c r="L4836" t="s">
        <v>5050</v>
      </c>
      <c r="M4836" t="s">
        <v>5054</v>
      </c>
    </row>
    <row r="4837" spans="1:13" x14ac:dyDescent="0.3">
      <c r="A4837" s="1">
        <v>45310</v>
      </c>
      <c r="B4837" s="1" t="str">
        <f>TEXT(Tabla1[[#This Row],[Fecha]],"MMMM")</f>
        <v>enero</v>
      </c>
      <c r="C4837" t="s">
        <v>4847</v>
      </c>
      <c r="D4837" t="s">
        <v>5024</v>
      </c>
      <c r="E4837" t="s">
        <v>5032</v>
      </c>
      <c r="F4837" t="s">
        <v>5034</v>
      </c>
      <c r="G4837" s="3">
        <v>3985.51</v>
      </c>
      <c r="H4837" s="3">
        <v>0</v>
      </c>
      <c r="I4837" s="3">
        <f>SUM(Tabla1[[#This Row],[Monto_Base]],H4837)</f>
        <v>3985.51</v>
      </c>
      <c r="J4837" t="s">
        <v>5043</v>
      </c>
      <c r="K4837" t="s">
        <v>5047</v>
      </c>
      <c r="L4837" t="s">
        <v>5050</v>
      </c>
      <c r="M4837" t="s">
        <v>5055</v>
      </c>
    </row>
    <row r="4838" spans="1:13" x14ac:dyDescent="0.3">
      <c r="A4838" s="1">
        <v>45470</v>
      </c>
      <c r="B4838" s="1" t="str">
        <f>TEXT(Tabla1[[#This Row],[Fecha]],"MMMM")</f>
        <v>junio</v>
      </c>
      <c r="C4838" t="s">
        <v>4848</v>
      </c>
      <c r="D4838" t="s">
        <v>5021</v>
      </c>
      <c r="E4838" t="s">
        <v>5032</v>
      </c>
      <c r="F4838" t="s">
        <v>5039</v>
      </c>
      <c r="G4838" s="3">
        <v>14208.37</v>
      </c>
      <c r="H4838" s="3">
        <v>0</v>
      </c>
      <c r="I4838" s="3">
        <f>SUM(Tabla1[[#This Row],[Monto_Base]],H4838)</f>
        <v>14208.37</v>
      </c>
      <c r="J4838" t="s">
        <v>5046</v>
      </c>
      <c r="K4838" t="s">
        <v>5047</v>
      </c>
      <c r="L4838" t="s">
        <v>5053</v>
      </c>
      <c r="M4838" t="s">
        <v>5055</v>
      </c>
    </row>
    <row r="4839" spans="1:13" x14ac:dyDescent="0.3">
      <c r="A4839" s="1">
        <v>45516</v>
      </c>
      <c r="B4839" s="1" t="str">
        <f>TEXT(Tabla1[[#This Row],[Fecha]],"MMMM")</f>
        <v>agosto</v>
      </c>
      <c r="C4839" t="s">
        <v>4849</v>
      </c>
      <c r="D4839" t="s">
        <v>5018</v>
      </c>
      <c r="E4839" t="s">
        <v>5033</v>
      </c>
      <c r="F4839" t="s">
        <v>5039</v>
      </c>
      <c r="G4839" s="3">
        <v>2227.1</v>
      </c>
      <c r="H4839" s="3">
        <v>289.52</v>
      </c>
      <c r="I4839" s="3">
        <f>SUM(Tabla1[[#This Row],[Monto_Base]],H4839)</f>
        <v>2516.62</v>
      </c>
      <c r="J4839" t="s">
        <v>5046</v>
      </c>
      <c r="K4839" t="s">
        <v>5048</v>
      </c>
      <c r="L4839" t="s">
        <v>5053</v>
      </c>
      <c r="M4839" t="s">
        <v>5055</v>
      </c>
    </row>
    <row r="4840" spans="1:13" x14ac:dyDescent="0.3">
      <c r="A4840" s="1">
        <v>45515</v>
      </c>
      <c r="B4840" s="1" t="str">
        <f>TEXT(Tabla1[[#This Row],[Fecha]],"MMMM")</f>
        <v>agosto</v>
      </c>
      <c r="C4840" t="s">
        <v>4850</v>
      </c>
      <c r="D4840" t="s">
        <v>5028</v>
      </c>
      <c r="E4840" t="s">
        <v>5032</v>
      </c>
      <c r="F4840" t="s">
        <v>5035</v>
      </c>
      <c r="G4840" s="3">
        <v>8254.4599999999991</v>
      </c>
      <c r="H4840" s="3">
        <v>0</v>
      </c>
      <c r="I4840" s="3">
        <f>SUM(Tabla1[[#This Row],[Monto_Base]],H4840)</f>
        <v>8254.4599999999991</v>
      </c>
      <c r="J4840" t="s">
        <v>5045</v>
      </c>
      <c r="K4840" t="s">
        <v>5049</v>
      </c>
      <c r="L4840" t="s">
        <v>5050</v>
      </c>
      <c r="M4840" t="s">
        <v>5054</v>
      </c>
    </row>
    <row r="4841" spans="1:13" x14ac:dyDescent="0.3">
      <c r="A4841" s="1">
        <v>45636</v>
      </c>
      <c r="B4841" s="1" t="str">
        <f>TEXT(Tabla1[[#This Row],[Fecha]],"MMMM")</f>
        <v>diciembre</v>
      </c>
      <c r="C4841" t="s">
        <v>4851</v>
      </c>
      <c r="D4841" t="s">
        <v>5024</v>
      </c>
      <c r="E4841" t="s">
        <v>5033</v>
      </c>
      <c r="F4841" t="s">
        <v>5037</v>
      </c>
      <c r="G4841" s="3">
        <v>632.69000000000005</v>
      </c>
      <c r="H4841" s="3">
        <v>82.25</v>
      </c>
      <c r="I4841" s="3">
        <f>SUM(Tabla1[[#This Row],[Monto_Base]],H4841)</f>
        <v>714.94</v>
      </c>
      <c r="J4841" t="s">
        <v>5045</v>
      </c>
      <c r="K4841" t="s">
        <v>5049</v>
      </c>
      <c r="L4841" t="s">
        <v>5052</v>
      </c>
      <c r="M4841" t="s">
        <v>5054</v>
      </c>
    </row>
    <row r="4842" spans="1:13" x14ac:dyDescent="0.3">
      <c r="A4842" s="1">
        <v>45604</v>
      </c>
      <c r="B4842" s="1" t="str">
        <f>TEXT(Tabla1[[#This Row],[Fecha]],"MMMM")</f>
        <v>noviembre</v>
      </c>
      <c r="C4842" t="s">
        <v>4852</v>
      </c>
      <c r="D4842" t="s">
        <v>5021</v>
      </c>
      <c r="E4842" t="s">
        <v>5033</v>
      </c>
      <c r="F4842" t="s">
        <v>5035</v>
      </c>
      <c r="G4842" s="3">
        <v>12179.49</v>
      </c>
      <c r="H4842" s="3">
        <v>1583.33</v>
      </c>
      <c r="I4842" s="3">
        <f>SUM(Tabla1[[#This Row],[Monto_Base]],H4842)</f>
        <v>13762.82</v>
      </c>
      <c r="J4842" t="s">
        <v>5042</v>
      </c>
      <c r="K4842" t="s">
        <v>5047</v>
      </c>
      <c r="L4842" t="s">
        <v>5052</v>
      </c>
      <c r="M4842" t="s">
        <v>5055</v>
      </c>
    </row>
    <row r="4843" spans="1:13" x14ac:dyDescent="0.3">
      <c r="A4843" s="1">
        <v>45521</v>
      </c>
      <c r="B4843" s="1" t="str">
        <f>TEXT(Tabla1[[#This Row],[Fecha]],"MMMM")</f>
        <v>agosto</v>
      </c>
      <c r="C4843" t="s">
        <v>4853</v>
      </c>
      <c r="D4843" t="s">
        <v>5031</v>
      </c>
      <c r="E4843" t="s">
        <v>5033</v>
      </c>
      <c r="F4843" t="s">
        <v>5039</v>
      </c>
      <c r="G4843" s="3">
        <v>7769.4</v>
      </c>
      <c r="H4843" s="3">
        <v>1010.02</v>
      </c>
      <c r="I4843" s="3">
        <f>SUM(Tabla1[[#This Row],[Monto_Base]],H4843)</f>
        <v>8779.42</v>
      </c>
      <c r="J4843" t="s">
        <v>5044</v>
      </c>
      <c r="K4843" t="s">
        <v>5049</v>
      </c>
      <c r="L4843" t="s">
        <v>5053</v>
      </c>
      <c r="M4843" t="s">
        <v>5055</v>
      </c>
    </row>
    <row r="4844" spans="1:13" x14ac:dyDescent="0.3">
      <c r="A4844" s="1">
        <v>45390</v>
      </c>
      <c r="B4844" s="1" t="str">
        <f>TEXT(Tabla1[[#This Row],[Fecha]],"MMMM")</f>
        <v>abril</v>
      </c>
      <c r="C4844" t="s">
        <v>4854</v>
      </c>
      <c r="D4844" t="s">
        <v>5014</v>
      </c>
      <c r="E4844" t="s">
        <v>5033</v>
      </c>
      <c r="F4844" t="s">
        <v>5040</v>
      </c>
      <c r="G4844" s="3">
        <v>4007.09</v>
      </c>
      <c r="H4844" s="3">
        <v>520.91999999999996</v>
      </c>
      <c r="I4844" s="3">
        <f>SUM(Tabla1[[#This Row],[Monto_Base]],H4844)</f>
        <v>4528.01</v>
      </c>
      <c r="J4844" t="s">
        <v>5044</v>
      </c>
      <c r="K4844" t="s">
        <v>5049</v>
      </c>
      <c r="L4844" t="s">
        <v>5051</v>
      </c>
      <c r="M4844" t="s">
        <v>5054</v>
      </c>
    </row>
    <row r="4845" spans="1:13" x14ac:dyDescent="0.3">
      <c r="A4845" s="1">
        <v>45537</v>
      </c>
      <c r="B4845" s="1" t="str">
        <f>TEXT(Tabla1[[#This Row],[Fecha]],"MMMM")</f>
        <v>septiembre</v>
      </c>
      <c r="C4845" t="s">
        <v>4855</v>
      </c>
      <c r="D4845" t="s">
        <v>5027</v>
      </c>
      <c r="E4845" t="s">
        <v>5032</v>
      </c>
      <c r="F4845" t="s">
        <v>5038</v>
      </c>
      <c r="G4845" s="3">
        <v>9689.39</v>
      </c>
      <c r="H4845" s="3">
        <v>0</v>
      </c>
      <c r="I4845" s="3">
        <f>SUM(Tabla1[[#This Row],[Monto_Base]],H4845)</f>
        <v>9689.39</v>
      </c>
      <c r="J4845" t="s">
        <v>5046</v>
      </c>
      <c r="K4845" t="s">
        <v>5049</v>
      </c>
      <c r="L4845" t="s">
        <v>5050</v>
      </c>
      <c r="M4845" t="s">
        <v>5055</v>
      </c>
    </row>
    <row r="4846" spans="1:13" x14ac:dyDescent="0.3">
      <c r="A4846" s="1">
        <v>45327</v>
      </c>
      <c r="B4846" s="1" t="str">
        <f>TEXT(Tabla1[[#This Row],[Fecha]],"MMMM")</f>
        <v>febrero</v>
      </c>
      <c r="C4846" t="s">
        <v>4856</v>
      </c>
      <c r="D4846" t="s">
        <v>5029</v>
      </c>
      <c r="E4846" t="s">
        <v>5033</v>
      </c>
      <c r="F4846" t="s">
        <v>5036</v>
      </c>
      <c r="G4846" s="3">
        <v>611.01</v>
      </c>
      <c r="H4846" s="3">
        <v>79.430000000000007</v>
      </c>
      <c r="I4846" s="3">
        <f>SUM(Tabla1[[#This Row],[Monto_Base]],H4846)</f>
        <v>690.44</v>
      </c>
      <c r="J4846" t="s">
        <v>5046</v>
      </c>
      <c r="K4846" t="s">
        <v>5049</v>
      </c>
      <c r="L4846" t="s">
        <v>5052</v>
      </c>
      <c r="M4846" t="s">
        <v>5055</v>
      </c>
    </row>
    <row r="4847" spans="1:13" x14ac:dyDescent="0.3">
      <c r="A4847" s="1">
        <v>45544</v>
      </c>
      <c r="B4847" s="1" t="str">
        <f>TEXT(Tabla1[[#This Row],[Fecha]],"MMMM")</f>
        <v>septiembre</v>
      </c>
      <c r="C4847" t="s">
        <v>4857</v>
      </c>
      <c r="D4847" t="s">
        <v>5021</v>
      </c>
      <c r="E4847" t="s">
        <v>5033</v>
      </c>
      <c r="F4847" t="s">
        <v>5035</v>
      </c>
      <c r="G4847" s="3">
        <v>11052.12</v>
      </c>
      <c r="H4847" s="3">
        <v>1436.78</v>
      </c>
      <c r="I4847" s="3">
        <f>SUM(Tabla1[[#This Row],[Monto_Base]],H4847)</f>
        <v>12488.900000000001</v>
      </c>
      <c r="J4847" t="s">
        <v>5043</v>
      </c>
      <c r="K4847" t="s">
        <v>5048</v>
      </c>
      <c r="L4847" t="s">
        <v>5052</v>
      </c>
      <c r="M4847" t="s">
        <v>5055</v>
      </c>
    </row>
    <row r="4848" spans="1:13" x14ac:dyDescent="0.3">
      <c r="A4848" s="1">
        <v>45553</v>
      </c>
      <c r="B4848" s="1" t="str">
        <f>TEXT(Tabla1[[#This Row],[Fecha]],"MMMM")</f>
        <v>septiembre</v>
      </c>
      <c r="C4848" t="s">
        <v>4858</v>
      </c>
      <c r="D4848" t="s">
        <v>5025</v>
      </c>
      <c r="E4848" t="s">
        <v>5033</v>
      </c>
      <c r="F4848" t="s">
        <v>5035</v>
      </c>
      <c r="G4848" s="3">
        <v>7422.88</v>
      </c>
      <c r="H4848" s="3">
        <v>964.97</v>
      </c>
      <c r="I4848" s="3">
        <f>SUM(Tabla1[[#This Row],[Monto_Base]],H4848)</f>
        <v>8387.85</v>
      </c>
      <c r="J4848" t="s">
        <v>5046</v>
      </c>
      <c r="K4848" t="s">
        <v>5048</v>
      </c>
      <c r="L4848" t="s">
        <v>5053</v>
      </c>
      <c r="M4848" t="s">
        <v>5054</v>
      </c>
    </row>
    <row r="4849" spans="1:13" x14ac:dyDescent="0.3">
      <c r="A4849" s="1">
        <v>45341</v>
      </c>
      <c r="B4849" s="1" t="str">
        <f>TEXT(Tabla1[[#This Row],[Fecha]],"MMMM")</f>
        <v>febrero</v>
      </c>
      <c r="C4849" t="s">
        <v>4859</v>
      </c>
      <c r="D4849" t="s">
        <v>5030</v>
      </c>
      <c r="E4849" t="s">
        <v>5033</v>
      </c>
      <c r="F4849" t="s">
        <v>5034</v>
      </c>
      <c r="G4849" s="3">
        <v>11148.84</v>
      </c>
      <c r="H4849" s="3">
        <v>1449.35</v>
      </c>
      <c r="I4849" s="3">
        <f>SUM(Tabla1[[#This Row],[Monto_Base]],H4849)</f>
        <v>12598.19</v>
      </c>
      <c r="J4849" t="s">
        <v>5044</v>
      </c>
      <c r="K4849" t="s">
        <v>5048</v>
      </c>
      <c r="L4849" t="s">
        <v>5052</v>
      </c>
      <c r="M4849" t="s">
        <v>5054</v>
      </c>
    </row>
    <row r="4850" spans="1:13" x14ac:dyDescent="0.3">
      <c r="A4850" s="1">
        <v>45655</v>
      </c>
      <c r="B4850" s="1" t="str">
        <f>TEXT(Tabla1[[#This Row],[Fecha]],"MMMM")</f>
        <v>diciembre</v>
      </c>
      <c r="C4850" t="s">
        <v>4860</v>
      </c>
      <c r="D4850" t="s">
        <v>5017</v>
      </c>
      <c r="E4850" t="s">
        <v>5032</v>
      </c>
      <c r="F4850" t="s">
        <v>5037</v>
      </c>
      <c r="G4850" s="3">
        <v>1304.26</v>
      </c>
      <c r="H4850" s="3">
        <v>0</v>
      </c>
      <c r="I4850" s="3">
        <f>SUM(Tabla1[[#This Row],[Monto_Base]],H4850)</f>
        <v>1304.26</v>
      </c>
      <c r="J4850" t="s">
        <v>5043</v>
      </c>
      <c r="K4850" t="s">
        <v>5049</v>
      </c>
      <c r="L4850" t="s">
        <v>5052</v>
      </c>
      <c r="M4850" t="s">
        <v>5054</v>
      </c>
    </row>
    <row r="4851" spans="1:13" x14ac:dyDescent="0.3">
      <c r="A4851" s="1">
        <v>45639</v>
      </c>
      <c r="B4851" s="1" t="str">
        <f>TEXT(Tabla1[[#This Row],[Fecha]],"MMMM")</f>
        <v>diciembre</v>
      </c>
      <c r="C4851" t="s">
        <v>4861</v>
      </c>
      <c r="D4851" t="s">
        <v>5018</v>
      </c>
      <c r="E4851" t="s">
        <v>5033</v>
      </c>
      <c r="F4851" t="s">
        <v>5040</v>
      </c>
      <c r="G4851" s="3">
        <v>11015.8</v>
      </c>
      <c r="H4851" s="3">
        <v>1432.05</v>
      </c>
      <c r="I4851" s="3">
        <f>SUM(Tabla1[[#This Row],[Monto_Base]],H4851)</f>
        <v>12447.849999999999</v>
      </c>
      <c r="J4851" t="s">
        <v>5046</v>
      </c>
      <c r="K4851" t="s">
        <v>5048</v>
      </c>
      <c r="L4851" t="s">
        <v>5050</v>
      </c>
      <c r="M4851" t="s">
        <v>5054</v>
      </c>
    </row>
    <row r="4852" spans="1:13" x14ac:dyDescent="0.3">
      <c r="A4852" s="1">
        <v>45302</v>
      </c>
      <c r="B4852" s="1" t="str">
        <f>TEXT(Tabla1[[#This Row],[Fecha]],"MMMM")</f>
        <v>enero</v>
      </c>
      <c r="C4852" t="s">
        <v>4862</v>
      </c>
      <c r="D4852" t="s">
        <v>5014</v>
      </c>
      <c r="E4852" t="s">
        <v>5032</v>
      </c>
      <c r="F4852" t="s">
        <v>5036</v>
      </c>
      <c r="G4852" s="3">
        <v>14664.4</v>
      </c>
      <c r="H4852" s="3">
        <v>0</v>
      </c>
      <c r="I4852" s="3">
        <f>SUM(Tabla1[[#This Row],[Monto_Base]],H4852)</f>
        <v>14664.4</v>
      </c>
      <c r="J4852" t="s">
        <v>5042</v>
      </c>
      <c r="K4852" t="s">
        <v>5048</v>
      </c>
      <c r="L4852" t="s">
        <v>5053</v>
      </c>
      <c r="M4852" t="s">
        <v>5054</v>
      </c>
    </row>
    <row r="4853" spans="1:13" x14ac:dyDescent="0.3">
      <c r="A4853" s="1">
        <v>45539</v>
      </c>
      <c r="B4853" s="1" t="str">
        <f>TEXT(Tabla1[[#This Row],[Fecha]],"MMMM")</f>
        <v>septiembre</v>
      </c>
      <c r="C4853" t="s">
        <v>4863</v>
      </c>
      <c r="D4853" t="s">
        <v>5031</v>
      </c>
      <c r="E4853" t="s">
        <v>5033</v>
      </c>
      <c r="F4853" t="s">
        <v>5041</v>
      </c>
      <c r="G4853" s="3">
        <v>5896.65</v>
      </c>
      <c r="H4853" s="3">
        <v>766.56</v>
      </c>
      <c r="I4853" s="3">
        <f>SUM(Tabla1[[#This Row],[Monto_Base]],H4853)</f>
        <v>6663.2099999999991</v>
      </c>
      <c r="J4853" t="s">
        <v>5046</v>
      </c>
      <c r="K4853" t="s">
        <v>5048</v>
      </c>
      <c r="L4853" t="s">
        <v>5053</v>
      </c>
      <c r="M4853" t="s">
        <v>5055</v>
      </c>
    </row>
    <row r="4854" spans="1:13" x14ac:dyDescent="0.3">
      <c r="A4854" s="1">
        <v>45492</v>
      </c>
      <c r="B4854" s="1" t="str">
        <f>TEXT(Tabla1[[#This Row],[Fecha]],"MMMM")</f>
        <v>julio</v>
      </c>
      <c r="C4854" t="s">
        <v>4864</v>
      </c>
      <c r="D4854" t="s">
        <v>5017</v>
      </c>
      <c r="E4854" t="s">
        <v>5033</v>
      </c>
      <c r="F4854" t="s">
        <v>5040</v>
      </c>
      <c r="G4854" s="3">
        <v>708.45</v>
      </c>
      <c r="H4854" s="3">
        <v>92.1</v>
      </c>
      <c r="I4854" s="3">
        <f>SUM(Tabla1[[#This Row],[Monto_Base]],H4854)</f>
        <v>800.55000000000007</v>
      </c>
      <c r="J4854" t="s">
        <v>5043</v>
      </c>
      <c r="K4854" t="s">
        <v>5049</v>
      </c>
      <c r="L4854" t="s">
        <v>5050</v>
      </c>
      <c r="M4854" t="s">
        <v>5055</v>
      </c>
    </row>
    <row r="4855" spans="1:13" x14ac:dyDescent="0.3">
      <c r="A4855" s="1">
        <v>45305</v>
      </c>
      <c r="B4855" s="1" t="str">
        <f>TEXT(Tabla1[[#This Row],[Fecha]],"MMMM")</f>
        <v>enero</v>
      </c>
      <c r="C4855" t="s">
        <v>4865</v>
      </c>
      <c r="D4855" t="s">
        <v>5015</v>
      </c>
      <c r="E4855" t="s">
        <v>5032</v>
      </c>
      <c r="F4855" t="s">
        <v>5035</v>
      </c>
      <c r="G4855" s="3">
        <v>7915.58</v>
      </c>
      <c r="H4855" s="3">
        <v>0</v>
      </c>
      <c r="I4855" s="3">
        <f>SUM(Tabla1[[#This Row],[Monto_Base]],H4855)</f>
        <v>7915.58</v>
      </c>
      <c r="J4855" t="s">
        <v>5045</v>
      </c>
      <c r="K4855" t="s">
        <v>5048</v>
      </c>
      <c r="L4855" t="s">
        <v>5053</v>
      </c>
      <c r="M4855" t="s">
        <v>5054</v>
      </c>
    </row>
    <row r="4856" spans="1:13" x14ac:dyDescent="0.3">
      <c r="A4856" s="1">
        <v>45646</v>
      </c>
      <c r="B4856" s="1" t="str">
        <f>TEXT(Tabla1[[#This Row],[Fecha]],"MMMM")</f>
        <v>diciembre</v>
      </c>
      <c r="C4856" t="s">
        <v>4866</v>
      </c>
      <c r="D4856" t="s">
        <v>5012</v>
      </c>
      <c r="E4856" t="s">
        <v>5032</v>
      </c>
      <c r="F4856" t="s">
        <v>5039</v>
      </c>
      <c r="G4856" s="3">
        <v>5442.57</v>
      </c>
      <c r="H4856" s="3">
        <v>0</v>
      </c>
      <c r="I4856" s="3">
        <f>SUM(Tabla1[[#This Row],[Monto_Base]],H4856)</f>
        <v>5442.57</v>
      </c>
      <c r="J4856" t="s">
        <v>5042</v>
      </c>
      <c r="K4856" t="s">
        <v>5049</v>
      </c>
      <c r="L4856" t="s">
        <v>5053</v>
      </c>
      <c r="M4856" t="s">
        <v>5055</v>
      </c>
    </row>
    <row r="4857" spans="1:13" x14ac:dyDescent="0.3">
      <c r="A4857" s="1">
        <v>45591</v>
      </c>
      <c r="B4857" s="1" t="str">
        <f>TEXT(Tabla1[[#This Row],[Fecha]],"MMMM")</f>
        <v>octubre</v>
      </c>
      <c r="C4857" t="s">
        <v>4867</v>
      </c>
      <c r="D4857" t="s">
        <v>5019</v>
      </c>
      <c r="E4857" t="s">
        <v>5032</v>
      </c>
      <c r="F4857" t="s">
        <v>5038</v>
      </c>
      <c r="G4857" s="3">
        <v>12009.78</v>
      </c>
      <c r="H4857" s="3">
        <v>0</v>
      </c>
      <c r="I4857" s="3">
        <f>SUM(Tabla1[[#This Row],[Monto_Base]],H4857)</f>
        <v>12009.78</v>
      </c>
      <c r="J4857" t="s">
        <v>5042</v>
      </c>
      <c r="K4857" t="s">
        <v>5049</v>
      </c>
      <c r="L4857" t="s">
        <v>5051</v>
      </c>
      <c r="M4857" t="s">
        <v>5054</v>
      </c>
    </row>
    <row r="4858" spans="1:13" x14ac:dyDescent="0.3">
      <c r="A4858" s="1">
        <v>45316</v>
      </c>
      <c r="B4858" s="1" t="str">
        <f>TEXT(Tabla1[[#This Row],[Fecha]],"MMMM")</f>
        <v>enero</v>
      </c>
      <c r="C4858" t="s">
        <v>4868</v>
      </c>
      <c r="D4858" t="s">
        <v>5021</v>
      </c>
      <c r="E4858" t="s">
        <v>5033</v>
      </c>
      <c r="F4858" t="s">
        <v>5037</v>
      </c>
      <c r="G4858" s="3">
        <v>1034.19</v>
      </c>
      <c r="H4858" s="3">
        <v>134.44</v>
      </c>
      <c r="I4858" s="3">
        <f>SUM(Tabla1[[#This Row],[Monto_Base]],H4858)</f>
        <v>1168.6300000000001</v>
      </c>
      <c r="J4858" t="s">
        <v>5044</v>
      </c>
      <c r="K4858" t="s">
        <v>5047</v>
      </c>
      <c r="L4858" t="s">
        <v>5052</v>
      </c>
      <c r="M4858" t="s">
        <v>5054</v>
      </c>
    </row>
    <row r="4859" spans="1:13" x14ac:dyDescent="0.3">
      <c r="A4859" s="1">
        <v>45550</v>
      </c>
      <c r="B4859" s="1" t="str">
        <f>TEXT(Tabla1[[#This Row],[Fecha]],"MMMM")</f>
        <v>septiembre</v>
      </c>
      <c r="C4859" t="s">
        <v>4869</v>
      </c>
      <c r="D4859" t="s">
        <v>5019</v>
      </c>
      <c r="E4859" t="s">
        <v>5033</v>
      </c>
      <c r="F4859" t="s">
        <v>5036</v>
      </c>
      <c r="G4859" s="3">
        <v>11446.72</v>
      </c>
      <c r="H4859" s="3">
        <v>1488.07</v>
      </c>
      <c r="I4859" s="3">
        <f>SUM(Tabla1[[#This Row],[Monto_Base]],H4859)</f>
        <v>12934.789999999999</v>
      </c>
      <c r="J4859" t="s">
        <v>5045</v>
      </c>
      <c r="K4859" t="s">
        <v>5049</v>
      </c>
      <c r="L4859" t="s">
        <v>5051</v>
      </c>
      <c r="M4859" t="s">
        <v>5054</v>
      </c>
    </row>
    <row r="4860" spans="1:13" x14ac:dyDescent="0.3">
      <c r="A4860" s="1">
        <v>45339</v>
      </c>
      <c r="B4860" s="1" t="str">
        <f>TEXT(Tabla1[[#This Row],[Fecha]],"MMMM")</f>
        <v>febrero</v>
      </c>
      <c r="C4860" t="s">
        <v>4870</v>
      </c>
      <c r="D4860" t="s">
        <v>5025</v>
      </c>
      <c r="E4860" t="s">
        <v>5032</v>
      </c>
      <c r="F4860" t="s">
        <v>5035</v>
      </c>
      <c r="G4860" s="3">
        <v>3593.3</v>
      </c>
      <c r="H4860" s="3">
        <v>0</v>
      </c>
      <c r="I4860" s="3">
        <f>SUM(Tabla1[[#This Row],[Monto_Base]],H4860)</f>
        <v>3593.3</v>
      </c>
      <c r="J4860" t="s">
        <v>5043</v>
      </c>
      <c r="K4860" t="s">
        <v>5048</v>
      </c>
      <c r="L4860" t="s">
        <v>5051</v>
      </c>
      <c r="M4860" t="s">
        <v>5054</v>
      </c>
    </row>
    <row r="4861" spans="1:13" x14ac:dyDescent="0.3">
      <c r="A4861" s="1">
        <v>45303</v>
      </c>
      <c r="B4861" s="1" t="str">
        <f>TEXT(Tabla1[[#This Row],[Fecha]],"MMMM")</f>
        <v>enero</v>
      </c>
      <c r="C4861" t="s">
        <v>4871</v>
      </c>
      <c r="D4861" t="s">
        <v>5018</v>
      </c>
      <c r="E4861" t="s">
        <v>5032</v>
      </c>
      <c r="F4861" t="s">
        <v>5041</v>
      </c>
      <c r="G4861" s="3">
        <v>5025.96</v>
      </c>
      <c r="H4861" s="3">
        <v>0</v>
      </c>
      <c r="I4861" s="3">
        <f>SUM(Tabla1[[#This Row],[Monto_Base]],H4861)</f>
        <v>5025.96</v>
      </c>
      <c r="J4861" t="s">
        <v>5045</v>
      </c>
      <c r="K4861" t="s">
        <v>5048</v>
      </c>
      <c r="L4861" t="s">
        <v>5052</v>
      </c>
      <c r="M4861" t="s">
        <v>5055</v>
      </c>
    </row>
    <row r="4862" spans="1:13" x14ac:dyDescent="0.3">
      <c r="A4862" s="1">
        <v>45473</v>
      </c>
      <c r="B4862" s="1" t="str">
        <f>TEXT(Tabla1[[#This Row],[Fecha]],"MMMM")</f>
        <v>junio</v>
      </c>
      <c r="C4862" t="s">
        <v>4872</v>
      </c>
      <c r="D4862" t="s">
        <v>5024</v>
      </c>
      <c r="E4862" t="s">
        <v>5033</v>
      </c>
      <c r="F4862" t="s">
        <v>5040</v>
      </c>
      <c r="G4862" s="3">
        <v>12286.95</v>
      </c>
      <c r="H4862" s="3">
        <v>1597.3</v>
      </c>
      <c r="I4862" s="3">
        <f>SUM(Tabla1[[#This Row],[Monto_Base]],H4862)</f>
        <v>13884.25</v>
      </c>
      <c r="J4862" t="s">
        <v>5046</v>
      </c>
      <c r="K4862" t="s">
        <v>5047</v>
      </c>
      <c r="L4862" t="s">
        <v>5051</v>
      </c>
      <c r="M4862" t="s">
        <v>5054</v>
      </c>
    </row>
    <row r="4863" spans="1:13" x14ac:dyDescent="0.3">
      <c r="A4863" s="1">
        <v>45590</v>
      </c>
      <c r="B4863" s="1" t="str">
        <f>TEXT(Tabla1[[#This Row],[Fecha]],"MMMM")</f>
        <v>octubre</v>
      </c>
      <c r="C4863" t="s">
        <v>4873</v>
      </c>
      <c r="D4863" t="s">
        <v>5023</v>
      </c>
      <c r="E4863" t="s">
        <v>5032</v>
      </c>
      <c r="F4863" t="s">
        <v>5035</v>
      </c>
      <c r="G4863" s="3">
        <v>13612.53</v>
      </c>
      <c r="H4863" s="3">
        <v>0</v>
      </c>
      <c r="I4863" s="3">
        <f>SUM(Tabla1[[#This Row],[Monto_Base]],H4863)</f>
        <v>13612.53</v>
      </c>
      <c r="J4863" t="s">
        <v>5045</v>
      </c>
      <c r="K4863" t="s">
        <v>5047</v>
      </c>
      <c r="L4863" t="s">
        <v>5050</v>
      </c>
      <c r="M4863" t="s">
        <v>5055</v>
      </c>
    </row>
    <row r="4864" spans="1:13" x14ac:dyDescent="0.3">
      <c r="A4864" s="1">
        <v>45494</v>
      </c>
      <c r="B4864" s="1" t="str">
        <f>TEXT(Tabla1[[#This Row],[Fecha]],"MMMM")</f>
        <v>julio</v>
      </c>
      <c r="C4864" t="s">
        <v>4874</v>
      </c>
      <c r="D4864" t="s">
        <v>5016</v>
      </c>
      <c r="E4864" t="s">
        <v>5032</v>
      </c>
      <c r="F4864" t="s">
        <v>5041</v>
      </c>
      <c r="G4864" s="3">
        <v>12762.35</v>
      </c>
      <c r="H4864" s="3">
        <v>0</v>
      </c>
      <c r="I4864" s="3">
        <f>SUM(Tabla1[[#This Row],[Monto_Base]],H4864)</f>
        <v>12762.35</v>
      </c>
      <c r="J4864" t="s">
        <v>5043</v>
      </c>
      <c r="K4864" t="s">
        <v>5048</v>
      </c>
      <c r="L4864" t="s">
        <v>5052</v>
      </c>
      <c r="M4864" t="s">
        <v>5055</v>
      </c>
    </row>
    <row r="4865" spans="1:13" x14ac:dyDescent="0.3">
      <c r="A4865" s="1">
        <v>45544</v>
      </c>
      <c r="B4865" s="1" t="str">
        <f>TEXT(Tabla1[[#This Row],[Fecha]],"MMMM")</f>
        <v>septiembre</v>
      </c>
      <c r="C4865" t="s">
        <v>4875</v>
      </c>
      <c r="D4865" t="s">
        <v>5015</v>
      </c>
      <c r="E4865" t="s">
        <v>5033</v>
      </c>
      <c r="F4865" t="s">
        <v>5038</v>
      </c>
      <c r="G4865" s="3">
        <v>9937.81</v>
      </c>
      <c r="H4865" s="3">
        <v>1291.92</v>
      </c>
      <c r="I4865" s="3">
        <f>SUM(Tabla1[[#This Row],[Monto_Base]],H4865)</f>
        <v>11229.73</v>
      </c>
      <c r="J4865" t="s">
        <v>5044</v>
      </c>
      <c r="K4865" t="s">
        <v>5047</v>
      </c>
      <c r="L4865" t="s">
        <v>5052</v>
      </c>
      <c r="M4865" t="s">
        <v>5055</v>
      </c>
    </row>
    <row r="4866" spans="1:13" x14ac:dyDescent="0.3">
      <c r="A4866" s="1">
        <v>45571</v>
      </c>
      <c r="B4866" s="1" t="str">
        <f>TEXT(Tabla1[[#This Row],[Fecha]],"MMMM")</f>
        <v>octubre</v>
      </c>
      <c r="C4866" t="s">
        <v>4876</v>
      </c>
      <c r="D4866" t="s">
        <v>5023</v>
      </c>
      <c r="E4866" t="s">
        <v>5033</v>
      </c>
      <c r="F4866" t="s">
        <v>5039</v>
      </c>
      <c r="G4866" s="3">
        <v>897.98</v>
      </c>
      <c r="H4866" s="3">
        <v>116.74</v>
      </c>
      <c r="I4866" s="3">
        <f>SUM(Tabla1[[#This Row],[Monto_Base]],H4866)</f>
        <v>1014.72</v>
      </c>
      <c r="J4866" t="s">
        <v>5045</v>
      </c>
      <c r="K4866" t="s">
        <v>5049</v>
      </c>
      <c r="L4866" t="s">
        <v>5053</v>
      </c>
      <c r="M4866" t="s">
        <v>5054</v>
      </c>
    </row>
    <row r="4867" spans="1:13" x14ac:dyDescent="0.3">
      <c r="A4867" s="1">
        <v>45419</v>
      </c>
      <c r="B4867" s="1" t="str">
        <f>TEXT(Tabla1[[#This Row],[Fecha]],"MMMM")</f>
        <v>mayo</v>
      </c>
      <c r="C4867" t="s">
        <v>4877</v>
      </c>
      <c r="D4867" t="s">
        <v>5016</v>
      </c>
      <c r="E4867" t="s">
        <v>5033</v>
      </c>
      <c r="F4867" t="s">
        <v>5035</v>
      </c>
      <c r="G4867" s="3">
        <v>1779.36</v>
      </c>
      <c r="H4867" s="3">
        <v>231.32</v>
      </c>
      <c r="I4867" s="3">
        <f>SUM(Tabla1[[#This Row],[Monto_Base]],H4867)</f>
        <v>2010.6799999999998</v>
      </c>
      <c r="J4867" t="s">
        <v>5046</v>
      </c>
      <c r="K4867" t="s">
        <v>5047</v>
      </c>
      <c r="L4867" t="s">
        <v>5052</v>
      </c>
      <c r="M4867" t="s">
        <v>5054</v>
      </c>
    </row>
    <row r="4868" spans="1:13" x14ac:dyDescent="0.3">
      <c r="A4868" s="1">
        <v>45606</v>
      </c>
      <c r="B4868" s="1" t="str">
        <f>TEXT(Tabla1[[#This Row],[Fecha]],"MMMM")</f>
        <v>noviembre</v>
      </c>
      <c r="C4868" t="s">
        <v>4878</v>
      </c>
      <c r="D4868" t="s">
        <v>5030</v>
      </c>
      <c r="E4868" t="s">
        <v>5032</v>
      </c>
      <c r="F4868" t="s">
        <v>5035</v>
      </c>
      <c r="G4868" s="3">
        <v>8979.33</v>
      </c>
      <c r="H4868" s="3">
        <v>0</v>
      </c>
      <c r="I4868" s="3">
        <f>SUM(Tabla1[[#This Row],[Monto_Base]],H4868)</f>
        <v>8979.33</v>
      </c>
      <c r="J4868" t="s">
        <v>5045</v>
      </c>
      <c r="K4868" t="s">
        <v>5049</v>
      </c>
      <c r="L4868" t="s">
        <v>5050</v>
      </c>
      <c r="M4868" t="s">
        <v>5055</v>
      </c>
    </row>
    <row r="4869" spans="1:13" x14ac:dyDescent="0.3">
      <c r="A4869" s="1">
        <v>45496</v>
      </c>
      <c r="B4869" s="1" t="str">
        <f>TEXT(Tabla1[[#This Row],[Fecha]],"MMMM")</f>
        <v>julio</v>
      </c>
      <c r="C4869" t="s">
        <v>4879</v>
      </c>
      <c r="D4869" t="s">
        <v>5016</v>
      </c>
      <c r="E4869" t="s">
        <v>5032</v>
      </c>
      <c r="F4869" t="s">
        <v>5036</v>
      </c>
      <c r="G4869" s="3">
        <v>13305.04</v>
      </c>
      <c r="H4869" s="3">
        <v>0</v>
      </c>
      <c r="I4869" s="3">
        <f>SUM(Tabla1[[#This Row],[Monto_Base]],H4869)</f>
        <v>13305.04</v>
      </c>
      <c r="J4869" t="s">
        <v>5045</v>
      </c>
      <c r="K4869" t="s">
        <v>5049</v>
      </c>
      <c r="L4869" t="s">
        <v>5053</v>
      </c>
      <c r="M4869" t="s">
        <v>5055</v>
      </c>
    </row>
    <row r="4870" spans="1:13" x14ac:dyDescent="0.3">
      <c r="A4870" s="1">
        <v>45316</v>
      </c>
      <c r="B4870" s="1" t="str">
        <f>TEXT(Tabla1[[#This Row],[Fecha]],"MMMM")</f>
        <v>enero</v>
      </c>
      <c r="C4870" t="s">
        <v>4880</v>
      </c>
      <c r="D4870" t="s">
        <v>5029</v>
      </c>
      <c r="E4870" t="s">
        <v>5032</v>
      </c>
      <c r="F4870" t="s">
        <v>5038</v>
      </c>
      <c r="G4870" s="3">
        <v>13442.14</v>
      </c>
      <c r="H4870" s="3">
        <v>0</v>
      </c>
      <c r="I4870" s="3">
        <f>SUM(Tabla1[[#This Row],[Monto_Base]],H4870)</f>
        <v>13442.14</v>
      </c>
      <c r="J4870" t="s">
        <v>5044</v>
      </c>
      <c r="K4870" t="s">
        <v>5047</v>
      </c>
      <c r="L4870" t="s">
        <v>5051</v>
      </c>
      <c r="M4870" t="s">
        <v>5055</v>
      </c>
    </row>
    <row r="4871" spans="1:13" x14ac:dyDescent="0.3">
      <c r="A4871" s="1">
        <v>45530</v>
      </c>
      <c r="B4871" s="1" t="str">
        <f>TEXT(Tabla1[[#This Row],[Fecha]],"MMMM")</f>
        <v>agosto</v>
      </c>
      <c r="C4871" t="s">
        <v>4881</v>
      </c>
      <c r="D4871" t="s">
        <v>5027</v>
      </c>
      <c r="E4871" t="s">
        <v>5033</v>
      </c>
      <c r="F4871" t="s">
        <v>5039</v>
      </c>
      <c r="G4871" s="3">
        <v>10357.469999999999</v>
      </c>
      <c r="H4871" s="3">
        <v>1346.47</v>
      </c>
      <c r="I4871" s="3">
        <f>SUM(Tabla1[[#This Row],[Monto_Base]],H4871)</f>
        <v>11703.939999999999</v>
      </c>
      <c r="J4871" t="s">
        <v>5043</v>
      </c>
      <c r="K4871" t="s">
        <v>5047</v>
      </c>
      <c r="L4871" t="s">
        <v>5050</v>
      </c>
      <c r="M4871" t="s">
        <v>5054</v>
      </c>
    </row>
    <row r="4872" spans="1:13" x14ac:dyDescent="0.3">
      <c r="A4872" s="1">
        <v>45487</v>
      </c>
      <c r="B4872" s="1" t="str">
        <f>TEXT(Tabla1[[#This Row],[Fecha]],"MMMM")</f>
        <v>julio</v>
      </c>
      <c r="C4872" t="s">
        <v>4882</v>
      </c>
      <c r="D4872" t="s">
        <v>5015</v>
      </c>
      <c r="E4872" t="s">
        <v>5032</v>
      </c>
      <c r="F4872" t="s">
        <v>5035</v>
      </c>
      <c r="G4872" s="3">
        <v>2582.13</v>
      </c>
      <c r="H4872" s="3">
        <v>0</v>
      </c>
      <c r="I4872" s="3">
        <f>SUM(Tabla1[[#This Row],[Monto_Base]],H4872)</f>
        <v>2582.13</v>
      </c>
      <c r="J4872" t="s">
        <v>5045</v>
      </c>
      <c r="K4872" t="s">
        <v>5049</v>
      </c>
      <c r="L4872" t="s">
        <v>5052</v>
      </c>
      <c r="M4872" t="s">
        <v>5055</v>
      </c>
    </row>
    <row r="4873" spans="1:13" x14ac:dyDescent="0.3">
      <c r="A4873" s="1">
        <v>45654</v>
      </c>
      <c r="B4873" s="1" t="str">
        <f>TEXT(Tabla1[[#This Row],[Fecha]],"MMMM")</f>
        <v>diciembre</v>
      </c>
      <c r="C4873" t="s">
        <v>4883</v>
      </c>
      <c r="D4873" t="s">
        <v>5020</v>
      </c>
      <c r="E4873" t="s">
        <v>5032</v>
      </c>
      <c r="F4873" t="s">
        <v>5039</v>
      </c>
      <c r="G4873" s="3">
        <v>13547.42</v>
      </c>
      <c r="H4873" s="3">
        <v>0</v>
      </c>
      <c r="I4873" s="3">
        <f>SUM(Tabla1[[#This Row],[Monto_Base]],H4873)</f>
        <v>13547.42</v>
      </c>
      <c r="J4873" t="s">
        <v>5042</v>
      </c>
      <c r="K4873" t="s">
        <v>5049</v>
      </c>
      <c r="L4873" t="s">
        <v>5051</v>
      </c>
      <c r="M4873" t="s">
        <v>5055</v>
      </c>
    </row>
    <row r="4874" spans="1:13" x14ac:dyDescent="0.3">
      <c r="A4874" s="1">
        <v>45522</v>
      </c>
      <c r="B4874" s="1" t="str">
        <f>TEXT(Tabla1[[#This Row],[Fecha]],"MMMM")</f>
        <v>agosto</v>
      </c>
      <c r="C4874" t="s">
        <v>4884</v>
      </c>
      <c r="D4874" t="s">
        <v>5029</v>
      </c>
      <c r="E4874" t="s">
        <v>5033</v>
      </c>
      <c r="F4874" t="s">
        <v>5034</v>
      </c>
      <c r="G4874" s="3">
        <v>10046.700000000001</v>
      </c>
      <c r="H4874" s="3">
        <v>1306.07</v>
      </c>
      <c r="I4874" s="3">
        <f>SUM(Tabla1[[#This Row],[Monto_Base]],H4874)</f>
        <v>11352.77</v>
      </c>
      <c r="J4874" t="s">
        <v>5044</v>
      </c>
      <c r="K4874" t="s">
        <v>5048</v>
      </c>
      <c r="L4874" t="s">
        <v>5052</v>
      </c>
      <c r="M4874" t="s">
        <v>5054</v>
      </c>
    </row>
    <row r="4875" spans="1:13" x14ac:dyDescent="0.3">
      <c r="A4875" s="1">
        <v>45502</v>
      </c>
      <c r="B4875" s="1" t="str">
        <f>TEXT(Tabla1[[#This Row],[Fecha]],"MMMM")</f>
        <v>julio</v>
      </c>
      <c r="C4875" t="s">
        <v>4885</v>
      </c>
      <c r="D4875" t="s">
        <v>5026</v>
      </c>
      <c r="E4875" t="s">
        <v>5033</v>
      </c>
      <c r="F4875" t="s">
        <v>5038</v>
      </c>
      <c r="G4875" s="3">
        <v>8369.0499999999993</v>
      </c>
      <c r="H4875" s="3">
        <v>1087.98</v>
      </c>
      <c r="I4875" s="3">
        <f>SUM(Tabla1[[#This Row],[Monto_Base]],H4875)</f>
        <v>9457.0299999999988</v>
      </c>
      <c r="J4875" t="s">
        <v>5045</v>
      </c>
      <c r="K4875" t="s">
        <v>5049</v>
      </c>
      <c r="L4875" t="s">
        <v>5051</v>
      </c>
      <c r="M4875" t="s">
        <v>5055</v>
      </c>
    </row>
    <row r="4876" spans="1:13" x14ac:dyDescent="0.3">
      <c r="A4876" s="1">
        <v>45485</v>
      </c>
      <c r="B4876" s="1" t="str">
        <f>TEXT(Tabla1[[#This Row],[Fecha]],"MMMM")</f>
        <v>julio</v>
      </c>
      <c r="C4876" t="s">
        <v>4886</v>
      </c>
      <c r="D4876" t="s">
        <v>5024</v>
      </c>
      <c r="E4876" t="s">
        <v>5033</v>
      </c>
      <c r="F4876" t="s">
        <v>5041</v>
      </c>
      <c r="G4876" s="3">
        <v>13564.76</v>
      </c>
      <c r="H4876" s="3">
        <v>1763.42</v>
      </c>
      <c r="I4876" s="3">
        <f>SUM(Tabla1[[#This Row],[Monto_Base]],H4876)</f>
        <v>15328.18</v>
      </c>
      <c r="J4876" t="s">
        <v>5045</v>
      </c>
      <c r="K4876" t="s">
        <v>5049</v>
      </c>
      <c r="L4876" t="s">
        <v>5053</v>
      </c>
      <c r="M4876" t="s">
        <v>5055</v>
      </c>
    </row>
    <row r="4877" spans="1:13" x14ac:dyDescent="0.3">
      <c r="A4877" s="1">
        <v>45518</v>
      </c>
      <c r="B4877" s="1" t="str">
        <f>TEXT(Tabla1[[#This Row],[Fecha]],"MMMM")</f>
        <v>agosto</v>
      </c>
      <c r="C4877" t="s">
        <v>4887</v>
      </c>
      <c r="D4877" t="s">
        <v>5020</v>
      </c>
      <c r="E4877" t="s">
        <v>5033</v>
      </c>
      <c r="F4877" t="s">
        <v>5041</v>
      </c>
      <c r="G4877" s="3">
        <v>9062.61</v>
      </c>
      <c r="H4877" s="3">
        <v>1178.1400000000001</v>
      </c>
      <c r="I4877" s="3">
        <f>SUM(Tabla1[[#This Row],[Monto_Base]],H4877)</f>
        <v>10240.75</v>
      </c>
      <c r="J4877" t="s">
        <v>5043</v>
      </c>
      <c r="K4877" t="s">
        <v>5047</v>
      </c>
      <c r="L4877" t="s">
        <v>5053</v>
      </c>
      <c r="M4877" t="s">
        <v>5054</v>
      </c>
    </row>
    <row r="4878" spans="1:13" x14ac:dyDescent="0.3">
      <c r="A4878" s="1">
        <v>45595</v>
      </c>
      <c r="B4878" s="1" t="str">
        <f>TEXT(Tabla1[[#This Row],[Fecha]],"MMMM")</f>
        <v>octubre</v>
      </c>
      <c r="C4878" t="s">
        <v>4888</v>
      </c>
      <c r="D4878" t="s">
        <v>5028</v>
      </c>
      <c r="E4878" t="s">
        <v>5033</v>
      </c>
      <c r="F4878" t="s">
        <v>5035</v>
      </c>
      <c r="G4878" s="3">
        <v>2418.8000000000002</v>
      </c>
      <c r="H4878" s="3">
        <v>314.44</v>
      </c>
      <c r="I4878" s="3">
        <f>SUM(Tabla1[[#This Row],[Monto_Base]],H4878)</f>
        <v>2733.2400000000002</v>
      </c>
      <c r="J4878" t="s">
        <v>5046</v>
      </c>
      <c r="K4878" t="s">
        <v>5049</v>
      </c>
      <c r="L4878" t="s">
        <v>5050</v>
      </c>
      <c r="M4878" t="s">
        <v>5055</v>
      </c>
    </row>
    <row r="4879" spans="1:13" x14ac:dyDescent="0.3">
      <c r="A4879" s="1">
        <v>45629</v>
      </c>
      <c r="B4879" s="1" t="str">
        <f>TEXT(Tabla1[[#This Row],[Fecha]],"MMMM")</f>
        <v>diciembre</v>
      </c>
      <c r="C4879" t="s">
        <v>4889</v>
      </c>
      <c r="D4879" t="s">
        <v>5017</v>
      </c>
      <c r="E4879" t="s">
        <v>5032</v>
      </c>
      <c r="F4879" t="s">
        <v>5037</v>
      </c>
      <c r="G4879" s="3">
        <v>10880.46</v>
      </c>
      <c r="H4879" s="3">
        <v>0</v>
      </c>
      <c r="I4879" s="3">
        <f>SUM(Tabla1[[#This Row],[Monto_Base]],H4879)</f>
        <v>10880.46</v>
      </c>
      <c r="J4879" t="s">
        <v>5045</v>
      </c>
      <c r="K4879" t="s">
        <v>5048</v>
      </c>
      <c r="L4879" t="s">
        <v>5053</v>
      </c>
      <c r="M4879" t="s">
        <v>5054</v>
      </c>
    </row>
    <row r="4880" spans="1:13" x14ac:dyDescent="0.3">
      <c r="A4880" s="1">
        <v>45559</v>
      </c>
      <c r="B4880" s="1" t="str">
        <f>TEXT(Tabla1[[#This Row],[Fecha]],"MMMM")</f>
        <v>septiembre</v>
      </c>
      <c r="C4880" t="s">
        <v>4890</v>
      </c>
      <c r="D4880" t="s">
        <v>5027</v>
      </c>
      <c r="E4880" t="s">
        <v>5032</v>
      </c>
      <c r="F4880" t="s">
        <v>5037</v>
      </c>
      <c r="G4880" s="3">
        <v>11040.48</v>
      </c>
      <c r="H4880" s="3">
        <v>0</v>
      </c>
      <c r="I4880" s="3">
        <f>SUM(Tabla1[[#This Row],[Monto_Base]],H4880)</f>
        <v>11040.48</v>
      </c>
      <c r="J4880" t="s">
        <v>5042</v>
      </c>
      <c r="K4880" t="s">
        <v>5048</v>
      </c>
      <c r="L4880" t="s">
        <v>5053</v>
      </c>
      <c r="M4880" t="s">
        <v>5054</v>
      </c>
    </row>
    <row r="4881" spans="1:13" x14ac:dyDescent="0.3">
      <c r="A4881" s="1">
        <v>45610</v>
      </c>
      <c r="B4881" s="1" t="str">
        <f>TEXT(Tabla1[[#This Row],[Fecha]],"MMMM")</f>
        <v>noviembre</v>
      </c>
      <c r="C4881" t="s">
        <v>4891</v>
      </c>
      <c r="D4881" t="s">
        <v>5027</v>
      </c>
      <c r="E4881" t="s">
        <v>5032</v>
      </c>
      <c r="F4881" t="s">
        <v>5040</v>
      </c>
      <c r="G4881" s="3">
        <v>7609.83</v>
      </c>
      <c r="H4881" s="3">
        <v>0</v>
      </c>
      <c r="I4881" s="3">
        <f>SUM(Tabla1[[#This Row],[Monto_Base]],H4881)</f>
        <v>7609.83</v>
      </c>
      <c r="J4881" t="s">
        <v>5043</v>
      </c>
      <c r="K4881" t="s">
        <v>5049</v>
      </c>
      <c r="L4881" t="s">
        <v>5052</v>
      </c>
      <c r="M4881" t="s">
        <v>5055</v>
      </c>
    </row>
    <row r="4882" spans="1:13" x14ac:dyDescent="0.3">
      <c r="A4882" s="1">
        <v>45587</v>
      </c>
      <c r="B4882" s="1" t="str">
        <f>TEXT(Tabla1[[#This Row],[Fecha]],"MMMM")</f>
        <v>octubre</v>
      </c>
      <c r="C4882" t="s">
        <v>4892</v>
      </c>
      <c r="D4882" t="s">
        <v>5015</v>
      </c>
      <c r="E4882" t="s">
        <v>5032</v>
      </c>
      <c r="F4882" t="s">
        <v>5040</v>
      </c>
      <c r="G4882" s="3">
        <v>8307.85</v>
      </c>
      <c r="H4882" s="3">
        <v>0</v>
      </c>
      <c r="I4882" s="3">
        <f>SUM(Tabla1[[#This Row],[Monto_Base]],H4882)</f>
        <v>8307.85</v>
      </c>
      <c r="J4882" t="s">
        <v>5046</v>
      </c>
      <c r="K4882" t="s">
        <v>5049</v>
      </c>
      <c r="L4882" t="s">
        <v>5051</v>
      </c>
      <c r="M4882" t="s">
        <v>5055</v>
      </c>
    </row>
    <row r="4883" spans="1:13" x14ac:dyDescent="0.3">
      <c r="A4883" s="1">
        <v>45411</v>
      </c>
      <c r="B4883" s="1" t="str">
        <f>TEXT(Tabla1[[#This Row],[Fecha]],"MMMM")</f>
        <v>abril</v>
      </c>
      <c r="C4883" t="s">
        <v>4893</v>
      </c>
      <c r="D4883" t="s">
        <v>5021</v>
      </c>
      <c r="E4883" t="s">
        <v>5032</v>
      </c>
      <c r="F4883" t="s">
        <v>5040</v>
      </c>
      <c r="G4883" s="3">
        <v>315.55</v>
      </c>
      <c r="H4883" s="3">
        <v>0</v>
      </c>
      <c r="I4883" s="3">
        <f>SUM(Tabla1[[#This Row],[Monto_Base]],H4883)</f>
        <v>315.55</v>
      </c>
      <c r="J4883" t="s">
        <v>5042</v>
      </c>
      <c r="K4883" t="s">
        <v>5049</v>
      </c>
      <c r="L4883" t="s">
        <v>5050</v>
      </c>
      <c r="M4883" t="s">
        <v>5054</v>
      </c>
    </row>
    <row r="4884" spans="1:13" x14ac:dyDescent="0.3">
      <c r="A4884" s="1">
        <v>45303</v>
      </c>
      <c r="B4884" s="1" t="str">
        <f>TEXT(Tabla1[[#This Row],[Fecha]],"MMMM")</f>
        <v>enero</v>
      </c>
      <c r="C4884" t="s">
        <v>4894</v>
      </c>
      <c r="D4884" t="s">
        <v>5021</v>
      </c>
      <c r="E4884" t="s">
        <v>5032</v>
      </c>
      <c r="F4884" t="s">
        <v>5037</v>
      </c>
      <c r="G4884" s="3">
        <v>9059.9599999999991</v>
      </c>
      <c r="H4884" s="3">
        <v>0</v>
      </c>
      <c r="I4884" s="3">
        <f>SUM(Tabla1[[#This Row],[Monto_Base]],H4884)</f>
        <v>9059.9599999999991</v>
      </c>
      <c r="J4884" t="s">
        <v>5042</v>
      </c>
      <c r="K4884" t="s">
        <v>5047</v>
      </c>
      <c r="L4884" t="s">
        <v>5051</v>
      </c>
      <c r="M4884" t="s">
        <v>5055</v>
      </c>
    </row>
    <row r="4885" spans="1:13" x14ac:dyDescent="0.3">
      <c r="A4885" s="1">
        <v>45407</v>
      </c>
      <c r="B4885" s="1" t="str">
        <f>TEXT(Tabla1[[#This Row],[Fecha]],"MMMM")</f>
        <v>abril</v>
      </c>
      <c r="C4885" t="s">
        <v>4895</v>
      </c>
      <c r="D4885" t="s">
        <v>5022</v>
      </c>
      <c r="E4885" t="s">
        <v>5033</v>
      </c>
      <c r="F4885" t="s">
        <v>5037</v>
      </c>
      <c r="G4885" s="3">
        <v>11915.15</v>
      </c>
      <c r="H4885" s="3">
        <v>1548.97</v>
      </c>
      <c r="I4885" s="3">
        <f>SUM(Tabla1[[#This Row],[Monto_Base]],H4885)</f>
        <v>13464.119999999999</v>
      </c>
      <c r="J4885" t="s">
        <v>5046</v>
      </c>
      <c r="K4885" t="s">
        <v>5049</v>
      </c>
      <c r="L4885" t="s">
        <v>5052</v>
      </c>
      <c r="M4885" t="s">
        <v>5054</v>
      </c>
    </row>
    <row r="4886" spans="1:13" x14ac:dyDescent="0.3">
      <c r="A4886" s="1">
        <v>45599</v>
      </c>
      <c r="B4886" s="1" t="str">
        <f>TEXT(Tabla1[[#This Row],[Fecha]],"MMMM")</f>
        <v>noviembre</v>
      </c>
      <c r="C4886" t="s">
        <v>4896</v>
      </c>
      <c r="D4886" t="s">
        <v>5024</v>
      </c>
      <c r="E4886" t="s">
        <v>5033</v>
      </c>
      <c r="F4886" t="s">
        <v>5041</v>
      </c>
      <c r="G4886" s="3">
        <v>298.98</v>
      </c>
      <c r="H4886" s="3">
        <v>38.869999999999997</v>
      </c>
      <c r="I4886" s="3">
        <f>SUM(Tabla1[[#This Row],[Monto_Base]],H4886)</f>
        <v>337.85</v>
      </c>
      <c r="J4886" t="s">
        <v>5045</v>
      </c>
      <c r="K4886" t="s">
        <v>5049</v>
      </c>
      <c r="L4886" t="s">
        <v>5053</v>
      </c>
      <c r="M4886" t="s">
        <v>5055</v>
      </c>
    </row>
    <row r="4887" spans="1:13" x14ac:dyDescent="0.3">
      <c r="A4887" s="1">
        <v>45323</v>
      </c>
      <c r="B4887" s="1" t="str">
        <f>TEXT(Tabla1[[#This Row],[Fecha]],"MMMM")</f>
        <v>febrero</v>
      </c>
      <c r="C4887" t="s">
        <v>4897</v>
      </c>
      <c r="D4887" t="s">
        <v>5016</v>
      </c>
      <c r="E4887" t="s">
        <v>5032</v>
      </c>
      <c r="F4887" t="s">
        <v>5035</v>
      </c>
      <c r="G4887" s="3">
        <v>1181.76</v>
      </c>
      <c r="H4887" s="3">
        <v>0</v>
      </c>
      <c r="I4887" s="3">
        <f>SUM(Tabla1[[#This Row],[Monto_Base]],H4887)</f>
        <v>1181.76</v>
      </c>
      <c r="J4887" t="s">
        <v>5042</v>
      </c>
      <c r="K4887" t="s">
        <v>5049</v>
      </c>
      <c r="L4887" t="s">
        <v>5052</v>
      </c>
      <c r="M4887" t="s">
        <v>5054</v>
      </c>
    </row>
    <row r="4888" spans="1:13" x14ac:dyDescent="0.3">
      <c r="A4888" s="1">
        <v>45368</v>
      </c>
      <c r="B4888" s="1" t="str">
        <f>TEXT(Tabla1[[#This Row],[Fecha]],"MMMM")</f>
        <v>marzo</v>
      </c>
      <c r="C4888" t="s">
        <v>4898</v>
      </c>
      <c r="D4888" t="s">
        <v>5020</v>
      </c>
      <c r="E4888" t="s">
        <v>5033</v>
      </c>
      <c r="F4888" t="s">
        <v>5039</v>
      </c>
      <c r="G4888" s="3">
        <v>9112.3799999999992</v>
      </c>
      <c r="H4888" s="3">
        <v>1184.6099999999999</v>
      </c>
      <c r="I4888" s="3">
        <f>SUM(Tabla1[[#This Row],[Monto_Base]],H4888)</f>
        <v>10296.99</v>
      </c>
      <c r="J4888" t="s">
        <v>5042</v>
      </c>
      <c r="K4888" t="s">
        <v>5049</v>
      </c>
      <c r="L4888" t="s">
        <v>5051</v>
      </c>
      <c r="M4888" t="s">
        <v>5055</v>
      </c>
    </row>
    <row r="4889" spans="1:13" x14ac:dyDescent="0.3">
      <c r="A4889" s="1">
        <v>45578</v>
      </c>
      <c r="B4889" s="1" t="str">
        <f>TEXT(Tabla1[[#This Row],[Fecha]],"MMMM")</f>
        <v>octubre</v>
      </c>
      <c r="C4889" t="s">
        <v>4899</v>
      </c>
      <c r="D4889" t="s">
        <v>5030</v>
      </c>
      <c r="E4889" t="s">
        <v>5033</v>
      </c>
      <c r="F4889" t="s">
        <v>5034</v>
      </c>
      <c r="G4889" s="3">
        <v>11692.16</v>
      </c>
      <c r="H4889" s="3">
        <v>1519.98</v>
      </c>
      <c r="I4889" s="3">
        <f>SUM(Tabla1[[#This Row],[Monto_Base]],H4889)</f>
        <v>13212.14</v>
      </c>
      <c r="J4889" t="s">
        <v>5042</v>
      </c>
      <c r="K4889" t="s">
        <v>5047</v>
      </c>
      <c r="L4889" t="s">
        <v>5051</v>
      </c>
      <c r="M4889" t="s">
        <v>5055</v>
      </c>
    </row>
    <row r="4890" spans="1:13" x14ac:dyDescent="0.3">
      <c r="A4890" s="1">
        <v>45449</v>
      </c>
      <c r="B4890" s="1" t="str">
        <f>TEXT(Tabla1[[#This Row],[Fecha]],"MMMM")</f>
        <v>junio</v>
      </c>
      <c r="C4890" t="s">
        <v>4900</v>
      </c>
      <c r="D4890" t="s">
        <v>5028</v>
      </c>
      <c r="E4890" t="s">
        <v>5032</v>
      </c>
      <c r="F4890" t="s">
        <v>5035</v>
      </c>
      <c r="G4890" s="3">
        <v>6894.95</v>
      </c>
      <c r="H4890" s="3">
        <v>0</v>
      </c>
      <c r="I4890" s="3">
        <f>SUM(Tabla1[[#This Row],[Monto_Base]],H4890)</f>
        <v>6894.95</v>
      </c>
      <c r="J4890" t="s">
        <v>5046</v>
      </c>
      <c r="K4890" t="s">
        <v>5049</v>
      </c>
      <c r="L4890" t="s">
        <v>5052</v>
      </c>
      <c r="M4890" t="s">
        <v>5054</v>
      </c>
    </row>
    <row r="4891" spans="1:13" x14ac:dyDescent="0.3">
      <c r="A4891" s="1">
        <v>45320</v>
      </c>
      <c r="B4891" s="1" t="str">
        <f>TEXT(Tabla1[[#This Row],[Fecha]],"MMMM")</f>
        <v>enero</v>
      </c>
      <c r="C4891" t="s">
        <v>4901</v>
      </c>
      <c r="D4891" t="s">
        <v>5031</v>
      </c>
      <c r="E4891" t="s">
        <v>5032</v>
      </c>
      <c r="F4891" t="s">
        <v>5035</v>
      </c>
      <c r="G4891" s="3">
        <v>9772.9599999999991</v>
      </c>
      <c r="H4891" s="3">
        <v>0</v>
      </c>
      <c r="I4891" s="3">
        <f>SUM(Tabla1[[#This Row],[Monto_Base]],H4891)</f>
        <v>9772.9599999999991</v>
      </c>
      <c r="J4891" t="s">
        <v>5043</v>
      </c>
      <c r="K4891" t="s">
        <v>5049</v>
      </c>
      <c r="L4891" t="s">
        <v>5050</v>
      </c>
      <c r="M4891" t="s">
        <v>5055</v>
      </c>
    </row>
    <row r="4892" spans="1:13" x14ac:dyDescent="0.3">
      <c r="A4892" s="1">
        <v>45456</v>
      </c>
      <c r="B4892" s="1" t="str">
        <f>TEXT(Tabla1[[#This Row],[Fecha]],"MMMM")</f>
        <v>junio</v>
      </c>
      <c r="C4892" t="s">
        <v>4902</v>
      </c>
      <c r="D4892" t="s">
        <v>5020</v>
      </c>
      <c r="E4892" t="s">
        <v>5032</v>
      </c>
      <c r="F4892" t="s">
        <v>5035</v>
      </c>
      <c r="G4892" s="3">
        <v>566.77</v>
      </c>
      <c r="H4892" s="3">
        <v>0</v>
      </c>
      <c r="I4892" s="3">
        <f>SUM(Tabla1[[#This Row],[Monto_Base]],H4892)</f>
        <v>566.77</v>
      </c>
      <c r="J4892" t="s">
        <v>5046</v>
      </c>
      <c r="K4892" t="s">
        <v>5049</v>
      </c>
      <c r="L4892" t="s">
        <v>5051</v>
      </c>
      <c r="M4892" t="s">
        <v>5055</v>
      </c>
    </row>
    <row r="4893" spans="1:13" x14ac:dyDescent="0.3">
      <c r="A4893" s="1">
        <v>45398</v>
      </c>
      <c r="B4893" s="1" t="str">
        <f>TEXT(Tabla1[[#This Row],[Fecha]],"MMMM")</f>
        <v>abril</v>
      </c>
      <c r="C4893" t="s">
        <v>4903</v>
      </c>
      <c r="D4893" t="s">
        <v>5022</v>
      </c>
      <c r="E4893" t="s">
        <v>5033</v>
      </c>
      <c r="F4893" t="s">
        <v>5037</v>
      </c>
      <c r="G4893" s="3">
        <v>12886.49</v>
      </c>
      <c r="H4893" s="3">
        <v>1675.24</v>
      </c>
      <c r="I4893" s="3">
        <f>SUM(Tabla1[[#This Row],[Monto_Base]],H4893)</f>
        <v>14561.73</v>
      </c>
      <c r="J4893" t="s">
        <v>5046</v>
      </c>
      <c r="K4893" t="s">
        <v>5048</v>
      </c>
      <c r="L4893" t="s">
        <v>5053</v>
      </c>
      <c r="M4893" t="s">
        <v>5055</v>
      </c>
    </row>
    <row r="4894" spans="1:13" x14ac:dyDescent="0.3">
      <c r="A4894" s="1">
        <v>45474</v>
      </c>
      <c r="B4894" s="1" t="str">
        <f>TEXT(Tabla1[[#This Row],[Fecha]],"MMMM")</f>
        <v>julio</v>
      </c>
      <c r="C4894" t="s">
        <v>4904</v>
      </c>
      <c r="D4894" t="s">
        <v>5021</v>
      </c>
      <c r="E4894" t="s">
        <v>5032</v>
      </c>
      <c r="F4894" t="s">
        <v>5038</v>
      </c>
      <c r="G4894" s="3">
        <v>1313.8</v>
      </c>
      <c r="H4894" s="3">
        <v>0</v>
      </c>
      <c r="I4894" s="3">
        <f>SUM(Tabla1[[#This Row],[Monto_Base]],H4894)</f>
        <v>1313.8</v>
      </c>
      <c r="J4894" t="s">
        <v>5045</v>
      </c>
      <c r="K4894" t="s">
        <v>5048</v>
      </c>
      <c r="L4894" t="s">
        <v>5052</v>
      </c>
      <c r="M4894" t="s">
        <v>5054</v>
      </c>
    </row>
    <row r="4895" spans="1:13" x14ac:dyDescent="0.3">
      <c r="A4895" s="1">
        <v>45552</v>
      </c>
      <c r="B4895" s="1" t="str">
        <f>TEXT(Tabla1[[#This Row],[Fecha]],"MMMM")</f>
        <v>septiembre</v>
      </c>
      <c r="C4895" t="s">
        <v>4905</v>
      </c>
      <c r="D4895" t="s">
        <v>5019</v>
      </c>
      <c r="E4895" t="s">
        <v>5032</v>
      </c>
      <c r="F4895" t="s">
        <v>5036</v>
      </c>
      <c r="G4895" s="3">
        <v>9636.91</v>
      </c>
      <c r="H4895" s="3">
        <v>0</v>
      </c>
      <c r="I4895" s="3">
        <f>SUM(Tabla1[[#This Row],[Monto_Base]],H4895)</f>
        <v>9636.91</v>
      </c>
      <c r="J4895" t="s">
        <v>5046</v>
      </c>
      <c r="K4895" t="s">
        <v>5049</v>
      </c>
      <c r="L4895" t="s">
        <v>5051</v>
      </c>
      <c r="M4895" t="s">
        <v>5054</v>
      </c>
    </row>
    <row r="4896" spans="1:13" x14ac:dyDescent="0.3">
      <c r="A4896" s="1">
        <v>45374</v>
      </c>
      <c r="B4896" s="1" t="str">
        <f>TEXT(Tabla1[[#This Row],[Fecha]],"MMMM")</f>
        <v>marzo</v>
      </c>
      <c r="C4896" t="s">
        <v>4906</v>
      </c>
      <c r="D4896" t="s">
        <v>5029</v>
      </c>
      <c r="E4896" t="s">
        <v>5032</v>
      </c>
      <c r="F4896" t="s">
        <v>5036</v>
      </c>
      <c r="G4896" s="3">
        <v>6682.04</v>
      </c>
      <c r="H4896" s="3">
        <v>0</v>
      </c>
      <c r="I4896" s="3">
        <f>SUM(Tabla1[[#This Row],[Monto_Base]],H4896)</f>
        <v>6682.04</v>
      </c>
      <c r="J4896" t="s">
        <v>5043</v>
      </c>
      <c r="K4896" t="s">
        <v>5049</v>
      </c>
      <c r="L4896" t="s">
        <v>5051</v>
      </c>
      <c r="M4896" t="s">
        <v>5055</v>
      </c>
    </row>
    <row r="4897" spans="1:13" x14ac:dyDescent="0.3">
      <c r="A4897" s="1">
        <v>45492</v>
      </c>
      <c r="B4897" s="1" t="str">
        <f>TEXT(Tabla1[[#This Row],[Fecha]],"MMMM")</f>
        <v>julio</v>
      </c>
      <c r="C4897" t="s">
        <v>4907</v>
      </c>
      <c r="D4897" t="s">
        <v>5024</v>
      </c>
      <c r="E4897" t="s">
        <v>5033</v>
      </c>
      <c r="F4897" t="s">
        <v>5037</v>
      </c>
      <c r="G4897" s="3">
        <v>1071.31</v>
      </c>
      <c r="H4897" s="3">
        <v>139.27000000000001</v>
      </c>
      <c r="I4897" s="3">
        <f>SUM(Tabla1[[#This Row],[Monto_Base]],H4897)</f>
        <v>1210.58</v>
      </c>
      <c r="J4897" t="s">
        <v>5045</v>
      </c>
      <c r="K4897" t="s">
        <v>5047</v>
      </c>
      <c r="L4897" t="s">
        <v>5050</v>
      </c>
      <c r="M4897" t="s">
        <v>5055</v>
      </c>
    </row>
    <row r="4898" spans="1:13" x14ac:dyDescent="0.3">
      <c r="A4898" s="1">
        <v>45322</v>
      </c>
      <c r="B4898" s="1" t="str">
        <f>TEXT(Tabla1[[#This Row],[Fecha]],"MMMM")</f>
        <v>enero</v>
      </c>
      <c r="C4898" t="s">
        <v>4908</v>
      </c>
      <c r="D4898" t="s">
        <v>5031</v>
      </c>
      <c r="E4898" t="s">
        <v>5032</v>
      </c>
      <c r="F4898" t="s">
        <v>5038</v>
      </c>
      <c r="G4898" s="3">
        <v>433.48</v>
      </c>
      <c r="H4898" s="3">
        <v>0</v>
      </c>
      <c r="I4898" s="3">
        <f>SUM(Tabla1[[#This Row],[Monto_Base]],H4898)</f>
        <v>433.48</v>
      </c>
      <c r="J4898" t="s">
        <v>5045</v>
      </c>
      <c r="K4898" t="s">
        <v>5049</v>
      </c>
      <c r="L4898" t="s">
        <v>5052</v>
      </c>
      <c r="M4898" t="s">
        <v>5055</v>
      </c>
    </row>
    <row r="4899" spans="1:13" x14ac:dyDescent="0.3">
      <c r="A4899" s="1">
        <v>45627</v>
      </c>
      <c r="B4899" s="1" t="str">
        <f>TEXT(Tabla1[[#This Row],[Fecha]],"MMMM")</f>
        <v>diciembre</v>
      </c>
      <c r="C4899" t="s">
        <v>4909</v>
      </c>
      <c r="D4899" t="s">
        <v>5016</v>
      </c>
      <c r="E4899" t="s">
        <v>5033</v>
      </c>
      <c r="F4899" t="s">
        <v>5040</v>
      </c>
      <c r="G4899" s="3">
        <v>13911.9</v>
      </c>
      <c r="H4899" s="3">
        <v>1808.55</v>
      </c>
      <c r="I4899" s="3">
        <f>SUM(Tabla1[[#This Row],[Monto_Base]],H4899)</f>
        <v>15720.449999999999</v>
      </c>
      <c r="J4899" t="s">
        <v>5043</v>
      </c>
      <c r="K4899" t="s">
        <v>5047</v>
      </c>
      <c r="L4899" t="s">
        <v>5050</v>
      </c>
      <c r="M4899" t="s">
        <v>5054</v>
      </c>
    </row>
    <row r="4900" spans="1:13" x14ac:dyDescent="0.3">
      <c r="A4900" s="1">
        <v>45292</v>
      </c>
      <c r="B4900" s="1" t="str">
        <f>TEXT(Tabla1[[#This Row],[Fecha]],"MMMM")</f>
        <v>enero</v>
      </c>
      <c r="C4900" t="s">
        <v>4910</v>
      </c>
      <c r="D4900" t="s">
        <v>5025</v>
      </c>
      <c r="E4900" t="s">
        <v>5032</v>
      </c>
      <c r="F4900" t="s">
        <v>5037</v>
      </c>
      <c r="G4900" s="3">
        <v>4960.84</v>
      </c>
      <c r="H4900" s="3">
        <v>0</v>
      </c>
      <c r="I4900" s="3">
        <f>SUM(Tabla1[[#This Row],[Monto_Base]],H4900)</f>
        <v>4960.84</v>
      </c>
      <c r="J4900" t="s">
        <v>5046</v>
      </c>
      <c r="K4900" t="s">
        <v>5047</v>
      </c>
      <c r="L4900" t="s">
        <v>5051</v>
      </c>
      <c r="M4900" t="s">
        <v>5055</v>
      </c>
    </row>
    <row r="4901" spans="1:13" x14ac:dyDescent="0.3">
      <c r="A4901" s="1">
        <v>45523</v>
      </c>
      <c r="B4901" s="1" t="str">
        <f>TEXT(Tabla1[[#This Row],[Fecha]],"MMMM")</f>
        <v>agosto</v>
      </c>
      <c r="C4901" t="s">
        <v>4911</v>
      </c>
      <c r="D4901" t="s">
        <v>5021</v>
      </c>
      <c r="E4901" t="s">
        <v>5032</v>
      </c>
      <c r="F4901" t="s">
        <v>5036</v>
      </c>
      <c r="G4901" s="3">
        <v>13294.92</v>
      </c>
      <c r="H4901" s="3">
        <v>0</v>
      </c>
      <c r="I4901" s="3">
        <f>SUM(Tabla1[[#This Row],[Monto_Base]],H4901)</f>
        <v>13294.92</v>
      </c>
      <c r="J4901" t="s">
        <v>5044</v>
      </c>
      <c r="K4901" t="s">
        <v>5049</v>
      </c>
      <c r="L4901" t="s">
        <v>5053</v>
      </c>
      <c r="M4901" t="s">
        <v>5054</v>
      </c>
    </row>
    <row r="4902" spans="1:13" x14ac:dyDescent="0.3">
      <c r="A4902" s="1">
        <v>45384</v>
      </c>
      <c r="B4902" s="1" t="str">
        <f>TEXT(Tabla1[[#This Row],[Fecha]],"MMMM")</f>
        <v>abril</v>
      </c>
      <c r="C4902" t="s">
        <v>4912</v>
      </c>
      <c r="D4902" t="s">
        <v>5027</v>
      </c>
      <c r="E4902" t="s">
        <v>5032</v>
      </c>
      <c r="F4902" t="s">
        <v>5037</v>
      </c>
      <c r="G4902" s="3">
        <v>14463.47</v>
      </c>
      <c r="H4902" s="3">
        <v>0</v>
      </c>
      <c r="I4902" s="3">
        <f>SUM(Tabla1[[#This Row],[Monto_Base]],H4902)</f>
        <v>14463.47</v>
      </c>
      <c r="J4902" t="s">
        <v>5042</v>
      </c>
      <c r="K4902" t="s">
        <v>5047</v>
      </c>
      <c r="L4902" t="s">
        <v>5050</v>
      </c>
      <c r="M4902" t="s">
        <v>5055</v>
      </c>
    </row>
    <row r="4903" spans="1:13" x14ac:dyDescent="0.3">
      <c r="A4903" s="1">
        <v>45420</v>
      </c>
      <c r="B4903" s="1" t="str">
        <f>TEXT(Tabla1[[#This Row],[Fecha]],"MMMM")</f>
        <v>mayo</v>
      </c>
      <c r="C4903" t="s">
        <v>4913</v>
      </c>
      <c r="D4903" t="s">
        <v>5019</v>
      </c>
      <c r="E4903" t="s">
        <v>5033</v>
      </c>
      <c r="F4903" t="s">
        <v>5041</v>
      </c>
      <c r="G4903" s="3">
        <v>5579.03</v>
      </c>
      <c r="H4903" s="3">
        <v>725.27</v>
      </c>
      <c r="I4903" s="3">
        <f>SUM(Tabla1[[#This Row],[Monto_Base]],H4903)</f>
        <v>6304.2999999999993</v>
      </c>
      <c r="J4903" t="s">
        <v>5044</v>
      </c>
      <c r="K4903" t="s">
        <v>5049</v>
      </c>
      <c r="L4903" t="s">
        <v>5051</v>
      </c>
      <c r="M4903" t="s">
        <v>5054</v>
      </c>
    </row>
    <row r="4904" spans="1:13" x14ac:dyDescent="0.3">
      <c r="A4904" s="1">
        <v>45475</v>
      </c>
      <c r="B4904" s="1" t="str">
        <f>TEXT(Tabla1[[#This Row],[Fecha]],"MMMM")</f>
        <v>julio</v>
      </c>
      <c r="C4904" t="s">
        <v>4914</v>
      </c>
      <c r="D4904" t="s">
        <v>5021</v>
      </c>
      <c r="E4904" t="s">
        <v>5033</v>
      </c>
      <c r="F4904" t="s">
        <v>5041</v>
      </c>
      <c r="G4904" s="3">
        <v>5450.67</v>
      </c>
      <c r="H4904" s="3">
        <v>708.59</v>
      </c>
      <c r="I4904" s="3">
        <f>SUM(Tabla1[[#This Row],[Monto_Base]],H4904)</f>
        <v>6159.26</v>
      </c>
      <c r="J4904" t="s">
        <v>5044</v>
      </c>
      <c r="K4904" t="s">
        <v>5047</v>
      </c>
      <c r="L4904" t="s">
        <v>5050</v>
      </c>
      <c r="M4904" t="s">
        <v>5055</v>
      </c>
    </row>
    <row r="4905" spans="1:13" x14ac:dyDescent="0.3">
      <c r="A4905" s="1">
        <v>45461</v>
      </c>
      <c r="B4905" s="1" t="str">
        <f>TEXT(Tabla1[[#This Row],[Fecha]],"MMMM")</f>
        <v>junio</v>
      </c>
      <c r="C4905" t="s">
        <v>4915</v>
      </c>
      <c r="D4905" t="s">
        <v>5026</v>
      </c>
      <c r="E4905" t="s">
        <v>5033</v>
      </c>
      <c r="F4905" t="s">
        <v>5038</v>
      </c>
      <c r="G4905" s="3">
        <v>6598.61</v>
      </c>
      <c r="H4905" s="3">
        <v>857.82</v>
      </c>
      <c r="I4905" s="3">
        <f>SUM(Tabla1[[#This Row],[Monto_Base]],H4905)</f>
        <v>7456.4299999999994</v>
      </c>
      <c r="J4905" t="s">
        <v>5044</v>
      </c>
      <c r="K4905" t="s">
        <v>5048</v>
      </c>
      <c r="L4905" t="s">
        <v>5050</v>
      </c>
      <c r="M4905" t="s">
        <v>5055</v>
      </c>
    </row>
    <row r="4906" spans="1:13" x14ac:dyDescent="0.3">
      <c r="A4906" s="1">
        <v>45579</v>
      </c>
      <c r="B4906" s="1" t="str">
        <f>TEXT(Tabla1[[#This Row],[Fecha]],"MMMM")</f>
        <v>octubre</v>
      </c>
      <c r="C4906" t="s">
        <v>4916</v>
      </c>
      <c r="D4906" t="s">
        <v>5016</v>
      </c>
      <c r="E4906" t="s">
        <v>5033</v>
      </c>
      <c r="F4906" t="s">
        <v>5035</v>
      </c>
      <c r="G4906" s="3">
        <v>1067.53</v>
      </c>
      <c r="H4906" s="3">
        <v>138.78</v>
      </c>
      <c r="I4906" s="3">
        <f>SUM(Tabla1[[#This Row],[Monto_Base]],H4906)</f>
        <v>1206.31</v>
      </c>
      <c r="J4906" t="s">
        <v>5043</v>
      </c>
      <c r="K4906" t="s">
        <v>5048</v>
      </c>
      <c r="L4906" t="s">
        <v>5052</v>
      </c>
      <c r="M4906" t="s">
        <v>5055</v>
      </c>
    </row>
    <row r="4907" spans="1:13" x14ac:dyDescent="0.3">
      <c r="A4907" s="1">
        <v>45367</v>
      </c>
      <c r="B4907" s="1" t="str">
        <f>TEXT(Tabla1[[#This Row],[Fecha]],"MMMM")</f>
        <v>marzo</v>
      </c>
      <c r="C4907" t="s">
        <v>4917</v>
      </c>
      <c r="D4907" t="s">
        <v>5021</v>
      </c>
      <c r="E4907" t="s">
        <v>5033</v>
      </c>
      <c r="F4907" t="s">
        <v>5040</v>
      </c>
      <c r="G4907" s="3">
        <v>13575.27</v>
      </c>
      <c r="H4907" s="3">
        <v>1764.79</v>
      </c>
      <c r="I4907" s="3">
        <f>SUM(Tabla1[[#This Row],[Monto_Base]],H4907)</f>
        <v>15340.060000000001</v>
      </c>
      <c r="J4907" t="s">
        <v>5042</v>
      </c>
      <c r="K4907" t="s">
        <v>5048</v>
      </c>
      <c r="L4907" t="s">
        <v>5053</v>
      </c>
      <c r="M4907" t="s">
        <v>5055</v>
      </c>
    </row>
    <row r="4908" spans="1:13" x14ac:dyDescent="0.3">
      <c r="A4908" s="1">
        <v>45590</v>
      </c>
      <c r="B4908" s="1" t="str">
        <f>TEXT(Tabla1[[#This Row],[Fecha]],"MMMM")</f>
        <v>octubre</v>
      </c>
      <c r="C4908" t="s">
        <v>4918</v>
      </c>
      <c r="D4908" t="s">
        <v>5021</v>
      </c>
      <c r="E4908" t="s">
        <v>5032</v>
      </c>
      <c r="F4908" t="s">
        <v>5034</v>
      </c>
      <c r="G4908" s="3">
        <v>418.56</v>
      </c>
      <c r="H4908" s="3">
        <v>0</v>
      </c>
      <c r="I4908" s="3">
        <f>SUM(Tabla1[[#This Row],[Monto_Base]],H4908)</f>
        <v>418.56</v>
      </c>
      <c r="J4908" t="s">
        <v>5042</v>
      </c>
      <c r="K4908" t="s">
        <v>5049</v>
      </c>
      <c r="L4908" t="s">
        <v>5050</v>
      </c>
      <c r="M4908" t="s">
        <v>5054</v>
      </c>
    </row>
    <row r="4909" spans="1:13" x14ac:dyDescent="0.3">
      <c r="A4909" s="1">
        <v>45323</v>
      </c>
      <c r="B4909" s="1" t="str">
        <f>TEXT(Tabla1[[#This Row],[Fecha]],"MMMM")</f>
        <v>febrero</v>
      </c>
      <c r="C4909" t="s">
        <v>4919</v>
      </c>
      <c r="D4909" t="s">
        <v>5029</v>
      </c>
      <c r="E4909" t="s">
        <v>5032</v>
      </c>
      <c r="F4909" t="s">
        <v>5039</v>
      </c>
      <c r="G4909" s="3">
        <v>12056.72</v>
      </c>
      <c r="H4909" s="3">
        <v>0</v>
      </c>
      <c r="I4909" s="3">
        <f>SUM(Tabla1[[#This Row],[Monto_Base]],H4909)</f>
        <v>12056.72</v>
      </c>
      <c r="J4909" t="s">
        <v>5046</v>
      </c>
      <c r="K4909" t="s">
        <v>5049</v>
      </c>
      <c r="L4909" t="s">
        <v>5051</v>
      </c>
      <c r="M4909" t="s">
        <v>5054</v>
      </c>
    </row>
    <row r="4910" spans="1:13" x14ac:dyDescent="0.3">
      <c r="A4910" s="1">
        <v>45523</v>
      </c>
      <c r="B4910" s="1" t="str">
        <f>TEXT(Tabla1[[#This Row],[Fecha]],"MMMM")</f>
        <v>agosto</v>
      </c>
      <c r="C4910" t="s">
        <v>4920</v>
      </c>
      <c r="D4910" t="s">
        <v>5019</v>
      </c>
      <c r="E4910" t="s">
        <v>5032</v>
      </c>
      <c r="F4910" t="s">
        <v>5035</v>
      </c>
      <c r="G4910" s="3">
        <v>8111.98</v>
      </c>
      <c r="H4910" s="3">
        <v>0</v>
      </c>
      <c r="I4910" s="3">
        <f>SUM(Tabla1[[#This Row],[Monto_Base]],H4910)</f>
        <v>8111.98</v>
      </c>
      <c r="J4910" t="s">
        <v>5043</v>
      </c>
      <c r="K4910" t="s">
        <v>5047</v>
      </c>
      <c r="L4910" t="s">
        <v>5051</v>
      </c>
      <c r="M4910" t="s">
        <v>5054</v>
      </c>
    </row>
    <row r="4911" spans="1:13" x14ac:dyDescent="0.3">
      <c r="A4911" s="1">
        <v>45345</v>
      </c>
      <c r="B4911" s="1" t="str">
        <f>TEXT(Tabla1[[#This Row],[Fecha]],"MMMM")</f>
        <v>febrero</v>
      </c>
      <c r="C4911" t="s">
        <v>4921</v>
      </c>
      <c r="D4911" t="s">
        <v>5028</v>
      </c>
      <c r="E4911" t="s">
        <v>5032</v>
      </c>
      <c r="F4911" t="s">
        <v>5041</v>
      </c>
      <c r="G4911" s="3">
        <v>12087.98</v>
      </c>
      <c r="H4911" s="3">
        <v>0</v>
      </c>
      <c r="I4911" s="3">
        <f>SUM(Tabla1[[#This Row],[Monto_Base]],H4911)</f>
        <v>12087.98</v>
      </c>
      <c r="J4911" t="s">
        <v>5045</v>
      </c>
      <c r="K4911" t="s">
        <v>5048</v>
      </c>
      <c r="L4911" t="s">
        <v>5050</v>
      </c>
      <c r="M4911" t="s">
        <v>5055</v>
      </c>
    </row>
    <row r="4912" spans="1:13" x14ac:dyDescent="0.3">
      <c r="A4912" s="1">
        <v>45354</v>
      </c>
      <c r="B4912" s="1" t="str">
        <f>TEXT(Tabla1[[#This Row],[Fecha]],"MMMM")</f>
        <v>marzo</v>
      </c>
      <c r="C4912" t="s">
        <v>4922</v>
      </c>
      <c r="D4912" t="s">
        <v>5018</v>
      </c>
      <c r="E4912" t="s">
        <v>5033</v>
      </c>
      <c r="F4912" t="s">
        <v>5040</v>
      </c>
      <c r="G4912" s="3">
        <v>13344.21</v>
      </c>
      <c r="H4912" s="3">
        <v>1734.75</v>
      </c>
      <c r="I4912" s="3">
        <f>SUM(Tabla1[[#This Row],[Monto_Base]],H4912)</f>
        <v>15078.96</v>
      </c>
      <c r="J4912" t="s">
        <v>5043</v>
      </c>
      <c r="K4912" t="s">
        <v>5047</v>
      </c>
      <c r="L4912" t="s">
        <v>5053</v>
      </c>
      <c r="M4912" t="s">
        <v>5055</v>
      </c>
    </row>
    <row r="4913" spans="1:13" x14ac:dyDescent="0.3">
      <c r="A4913" s="1">
        <v>45562</v>
      </c>
      <c r="B4913" s="1" t="str">
        <f>TEXT(Tabla1[[#This Row],[Fecha]],"MMMM")</f>
        <v>septiembre</v>
      </c>
      <c r="C4913" t="s">
        <v>4923</v>
      </c>
      <c r="D4913" t="s">
        <v>5027</v>
      </c>
      <c r="E4913" t="s">
        <v>5032</v>
      </c>
      <c r="F4913" t="s">
        <v>5036</v>
      </c>
      <c r="G4913" s="3">
        <v>3556.48</v>
      </c>
      <c r="H4913" s="3">
        <v>0</v>
      </c>
      <c r="I4913" s="3">
        <f>SUM(Tabla1[[#This Row],[Monto_Base]],H4913)</f>
        <v>3556.48</v>
      </c>
      <c r="J4913" t="s">
        <v>5043</v>
      </c>
      <c r="K4913" t="s">
        <v>5047</v>
      </c>
      <c r="L4913" t="s">
        <v>5053</v>
      </c>
      <c r="M4913" t="s">
        <v>5055</v>
      </c>
    </row>
    <row r="4914" spans="1:13" x14ac:dyDescent="0.3">
      <c r="A4914" s="1">
        <v>45504</v>
      </c>
      <c r="B4914" s="1" t="str">
        <f>TEXT(Tabla1[[#This Row],[Fecha]],"MMMM")</f>
        <v>julio</v>
      </c>
      <c r="C4914" t="s">
        <v>4924</v>
      </c>
      <c r="D4914" t="s">
        <v>5017</v>
      </c>
      <c r="E4914" t="s">
        <v>5033</v>
      </c>
      <c r="F4914" t="s">
        <v>5036</v>
      </c>
      <c r="G4914" s="3">
        <v>5997.14</v>
      </c>
      <c r="H4914" s="3">
        <v>779.63</v>
      </c>
      <c r="I4914" s="3">
        <f>SUM(Tabla1[[#This Row],[Monto_Base]],H4914)</f>
        <v>6776.77</v>
      </c>
      <c r="J4914" t="s">
        <v>5045</v>
      </c>
      <c r="K4914" t="s">
        <v>5048</v>
      </c>
      <c r="L4914" t="s">
        <v>5052</v>
      </c>
      <c r="M4914" t="s">
        <v>5055</v>
      </c>
    </row>
    <row r="4915" spans="1:13" x14ac:dyDescent="0.3">
      <c r="A4915" s="1">
        <v>45493</v>
      </c>
      <c r="B4915" s="1" t="str">
        <f>TEXT(Tabla1[[#This Row],[Fecha]],"MMMM")</f>
        <v>julio</v>
      </c>
      <c r="C4915" t="s">
        <v>4925</v>
      </c>
      <c r="D4915" t="s">
        <v>5014</v>
      </c>
      <c r="E4915" t="s">
        <v>5032</v>
      </c>
      <c r="F4915" t="s">
        <v>5041</v>
      </c>
      <c r="G4915" s="3">
        <v>13204.38</v>
      </c>
      <c r="H4915" s="3">
        <v>0</v>
      </c>
      <c r="I4915" s="3">
        <f>SUM(Tabla1[[#This Row],[Monto_Base]],H4915)</f>
        <v>13204.38</v>
      </c>
      <c r="J4915" t="s">
        <v>5046</v>
      </c>
      <c r="K4915" t="s">
        <v>5049</v>
      </c>
      <c r="L4915" t="s">
        <v>5053</v>
      </c>
      <c r="M4915" t="s">
        <v>5054</v>
      </c>
    </row>
    <row r="4916" spans="1:13" x14ac:dyDescent="0.3">
      <c r="A4916" s="1">
        <v>45544</v>
      </c>
      <c r="B4916" s="1" t="str">
        <f>TEXT(Tabla1[[#This Row],[Fecha]],"MMMM")</f>
        <v>septiembre</v>
      </c>
      <c r="C4916" t="s">
        <v>4926</v>
      </c>
      <c r="D4916" t="s">
        <v>5021</v>
      </c>
      <c r="E4916" t="s">
        <v>5032</v>
      </c>
      <c r="F4916" t="s">
        <v>5039</v>
      </c>
      <c r="G4916" s="3">
        <v>1933.08</v>
      </c>
      <c r="H4916" s="3">
        <v>0</v>
      </c>
      <c r="I4916" s="3">
        <f>SUM(Tabla1[[#This Row],[Monto_Base]],H4916)</f>
        <v>1933.08</v>
      </c>
      <c r="J4916" t="s">
        <v>5043</v>
      </c>
      <c r="K4916" t="s">
        <v>5049</v>
      </c>
      <c r="L4916" t="s">
        <v>5050</v>
      </c>
      <c r="M4916" t="s">
        <v>5055</v>
      </c>
    </row>
    <row r="4917" spans="1:13" x14ac:dyDescent="0.3">
      <c r="A4917" s="1">
        <v>45339</v>
      </c>
      <c r="B4917" s="1" t="str">
        <f>TEXT(Tabla1[[#This Row],[Fecha]],"MMMM")</f>
        <v>febrero</v>
      </c>
      <c r="C4917" t="s">
        <v>4927</v>
      </c>
      <c r="D4917" t="s">
        <v>5018</v>
      </c>
      <c r="E4917" t="s">
        <v>5033</v>
      </c>
      <c r="F4917" t="s">
        <v>5037</v>
      </c>
      <c r="G4917" s="3">
        <v>12639.44</v>
      </c>
      <c r="H4917" s="3">
        <v>1643.13</v>
      </c>
      <c r="I4917" s="3">
        <f>SUM(Tabla1[[#This Row],[Monto_Base]],H4917)</f>
        <v>14282.57</v>
      </c>
      <c r="J4917" t="s">
        <v>5044</v>
      </c>
      <c r="K4917" t="s">
        <v>5049</v>
      </c>
      <c r="L4917" t="s">
        <v>5051</v>
      </c>
      <c r="M4917" t="s">
        <v>5055</v>
      </c>
    </row>
    <row r="4918" spans="1:13" x14ac:dyDescent="0.3">
      <c r="A4918" s="1">
        <v>45390</v>
      </c>
      <c r="B4918" s="1" t="str">
        <f>TEXT(Tabla1[[#This Row],[Fecha]],"MMMM")</f>
        <v>abril</v>
      </c>
      <c r="C4918" t="s">
        <v>4928</v>
      </c>
      <c r="D4918" t="s">
        <v>5015</v>
      </c>
      <c r="E4918" t="s">
        <v>5032</v>
      </c>
      <c r="F4918" t="s">
        <v>5040</v>
      </c>
      <c r="G4918" s="3">
        <v>10393.25</v>
      </c>
      <c r="H4918" s="3">
        <v>0</v>
      </c>
      <c r="I4918" s="3">
        <f>SUM(Tabla1[[#This Row],[Monto_Base]],H4918)</f>
        <v>10393.25</v>
      </c>
      <c r="J4918" t="s">
        <v>5044</v>
      </c>
      <c r="K4918" t="s">
        <v>5047</v>
      </c>
      <c r="L4918" t="s">
        <v>5053</v>
      </c>
      <c r="M4918" t="s">
        <v>5054</v>
      </c>
    </row>
    <row r="4919" spans="1:13" x14ac:dyDescent="0.3">
      <c r="A4919" s="1">
        <v>45414</v>
      </c>
      <c r="B4919" s="1" t="str">
        <f>TEXT(Tabla1[[#This Row],[Fecha]],"MMMM")</f>
        <v>mayo</v>
      </c>
      <c r="C4919" t="s">
        <v>4929</v>
      </c>
      <c r="D4919" t="s">
        <v>5021</v>
      </c>
      <c r="E4919" t="s">
        <v>5033</v>
      </c>
      <c r="F4919" t="s">
        <v>5034</v>
      </c>
      <c r="G4919" s="3">
        <v>11670.85</v>
      </c>
      <c r="H4919" s="3">
        <v>1517.21</v>
      </c>
      <c r="I4919" s="3">
        <f>SUM(Tabla1[[#This Row],[Monto_Base]],H4919)</f>
        <v>13188.060000000001</v>
      </c>
      <c r="J4919" t="s">
        <v>5044</v>
      </c>
      <c r="K4919" t="s">
        <v>5048</v>
      </c>
      <c r="L4919" t="s">
        <v>5051</v>
      </c>
      <c r="M4919" t="s">
        <v>5054</v>
      </c>
    </row>
    <row r="4920" spans="1:13" x14ac:dyDescent="0.3">
      <c r="A4920" s="1">
        <v>45453</v>
      </c>
      <c r="B4920" s="1" t="str">
        <f>TEXT(Tabla1[[#This Row],[Fecha]],"MMMM")</f>
        <v>junio</v>
      </c>
      <c r="C4920" t="s">
        <v>4930</v>
      </c>
      <c r="D4920" t="s">
        <v>5025</v>
      </c>
      <c r="E4920" t="s">
        <v>5033</v>
      </c>
      <c r="F4920" t="s">
        <v>5036</v>
      </c>
      <c r="G4920" s="3">
        <v>5220.63</v>
      </c>
      <c r="H4920" s="3">
        <v>678.68</v>
      </c>
      <c r="I4920" s="3">
        <f>SUM(Tabla1[[#This Row],[Monto_Base]],H4920)</f>
        <v>5899.31</v>
      </c>
      <c r="J4920" t="s">
        <v>5042</v>
      </c>
      <c r="K4920" t="s">
        <v>5047</v>
      </c>
      <c r="L4920" t="s">
        <v>5052</v>
      </c>
      <c r="M4920" t="s">
        <v>5054</v>
      </c>
    </row>
    <row r="4921" spans="1:13" x14ac:dyDescent="0.3">
      <c r="A4921" s="1">
        <v>45601</v>
      </c>
      <c r="B4921" s="1" t="str">
        <f>TEXT(Tabla1[[#This Row],[Fecha]],"MMMM")</f>
        <v>noviembre</v>
      </c>
      <c r="C4921" t="s">
        <v>4931</v>
      </c>
      <c r="D4921" t="s">
        <v>5031</v>
      </c>
      <c r="E4921" t="s">
        <v>5032</v>
      </c>
      <c r="F4921" t="s">
        <v>5036</v>
      </c>
      <c r="G4921" s="3">
        <v>6697</v>
      </c>
      <c r="H4921" s="3">
        <v>0</v>
      </c>
      <c r="I4921" s="3">
        <f>SUM(Tabla1[[#This Row],[Monto_Base]],H4921)</f>
        <v>6697</v>
      </c>
      <c r="J4921" t="s">
        <v>5045</v>
      </c>
      <c r="K4921" t="s">
        <v>5048</v>
      </c>
      <c r="L4921" t="s">
        <v>5053</v>
      </c>
      <c r="M4921" t="s">
        <v>5055</v>
      </c>
    </row>
    <row r="4922" spans="1:13" x14ac:dyDescent="0.3">
      <c r="A4922" s="1">
        <v>45351</v>
      </c>
      <c r="B4922" s="1" t="str">
        <f>TEXT(Tabla1[[#This Row],[Fecha]],"MMMM")</f>
        <v>febrero</v>
      </c>
      <c r="C4922" t="s">
        <v>4932</v>
      </c>
      <c r="D4922" t="s">
        <v>5025</v>
      </c>
      <c r="E4922" t="s">
        <v>5032</v>
      </c>
      <c r="F4922" t="s">
        <v>5034</v>
      </c>
      <c r="G4922" s="3">
        <v>12409.28</v>
      </c>
      <c r="H4922" s="3">
        <v>0</v>
      </c>
      <c r="I4922" s="3">
        <f>SUM(Tabla1[[#This Row],[Monto_Base]],H4922)</f>
        <v>12409.28</v>
      </c>
      <c r="J4922" t="s">
        <v>5046</v>
      </c>
      <c r="K4922" t="s">
        <v>5047</v>
      </c>
      <c r="L4922" t="s">
        <v>5050</v>
      </c>
      <c r="M4922" t="s">
        <v>5055</v>
      </c>
    </row>
    <row r="4923" spans="1:13" x14ac:dyDescent="0.3">
      <c r="A4923" s="1">
        <v>45443</v>
      </c>
      <c r="B4923" s="1" t="str">
        <f>TEXT(Tabla1[[#This Row],[Fecha]],"MMMM")</f>
        <v>mayo</v>
      </c>
      <c r="C4923" t="s">
        <v>4933</v>
      </c>
      <c r="D4923" t="s">
        <v>5024</v>
      </c>
      <c r="E4923" t="s">
        <v>5033</v>
      </c>
      <c r="F4923" t="s">
        <v>5034</v>
      </c>
      <c r="G4923" s="3">
        <v>6033.7</v>
      </c>
      <c r="H4923" s="3">
        <v>784.38</v>
      </c>
      <c r="I4923" s="3">
        <f>SUM(Tabla1[[#This Row],[Monto_Base]],H4923)</f>
        <v>6818.08</v>
      </c>
      <c r="J4923" t="s">
        <v>5046</v>
      </c>
      <c r="K4923" t="s">
        <v>5048</v>
      </c>
      <c r="L4923" t="s">
        <v>5051</v>
      </c>
      <c r="M4923" t="s">
        <v>5054</v>
      </c>
    </row>
    <row r="4924" spans="1:13" x14ac:dyDescent="0.3">
      <c r="A4924" s="1">
        <v>45381</v>
      </c>
      <c r="B4924" s="1" t="str">
        <f>TEXT(Tabla1[[#This Row],[Fecha]],"MMMM")</f>
        <v>marzo</v>
      </c>
      <c r="C4924" t="s">
        <v>4934</v>
      </c>
      <c r="D4924" t="s">
        <v>5015</v>
      </c>
      <c r="E4924" t="s">
        <v>5033</v>
      </c>
      <c r="F4924" t="s">
        <v>5034</v>
      </c>
      <c r="G4924" s="3">
        <v>10430.76</v>
      </c>
      <c r="H4924" s="3">
        <v>1356</v>
      </c>
      <c r="I4924" s="3">
        <f>SUM(Tabla1[[#This Row],[Monto_Base]],H4924)</f>
        <v>11786.76</v>
      </c>
      <c r="J4924" t="s">
        <v>5045</v>
      </c>
      <c r="K4924" t="s">
        <v>5047</v>
      </c>
      <c r="L4924" t="s">
        <v>5053</v>
      </c>
      <c r="M4924" t="s">
        <v>5054</v>
      </c>
    </row>
    <row r="4925" spans="1:13" x14ac:dyDescent="0.3">
      <c r="A4925" s="1">
        <v>45597</v>
      </c>
      <c r="B4925" s="1" t="str">
        <f>TEXT(Tabla1[[#This Row],[Fecha]],"MMMM")</f>
        <v>noviembre</v>
      </c>
      <c r="C4925" t="s">
        <v>4935</v>
      </c>
      <c r="D4925" t="s">
        <v>5029</v>
      </c>
      <c r="E4925" t="s">
        <v>5032</v>
      </c>
      <c r="F4925" t="s">
        <v>5041</v>
      </c>
      <c r="G4925" s="3">
        <v>4946.21</v>
      </c>
      <c r="H4925" s="3">
        <v>0</v>
      </c>
      <c r="I4925" s="3">
        <f>SUM(Tabla1[[#This Row],[Monto_Base]],H4925)</f>
        <v>4946.21</v>
      </c>
      <c r="J4925" t="s">
        <v>5045</v>
      </c>
      <c r="K4925" t="s">
        <v>5048</v>
      </c>
      <c r="L4925" t="s">
        <v>5051</v>
      </c>
      <c r="M4925" t="s">
        <v>5055</v>
      </c>
    </row>
    <row r="4926" spans="1:13" x14ac:dyDescent="0.3">
      <c r="A4926" s="1">
        <v>45537</v>
      </c>
      <c r="B4926" s="1" t="str">
        <f>TEXT(Tabla1[[#This Row],[Fecha]],"MMMM")</f>
        <v>septiembre</v>
      </c>
      <c r="C4926" t="s">
        <v>4936</v>
      </c>
      <c r="D4926" t="s">
        <v>5022</v>
      </c>
      <c r="E4926" t="s">
        <v>5033</v>
      </c>
      <c r="F4926" t="s">
        <v>5036</v>
      </c>
      <c r="G4926" s="3">
        <v>10558.08</v>
      </c>
      <c r="H4926" s="3">
        <v>1372.55</v>
      </c>
      <c r="I4926" s="3">
        <f>SUM(Tabla1[[#This Row],[Monto_Base]],H4926)</f>
        <v>11930.63</v>
      </c>
      <c r="J4926" t="s">
        <v>5045</v>
      </c>
      <c r="K4926" t="s">
        <v>5048</v>
      </c>
      <c r="L4926" t="s">
        <v>5050</v>
      </c>
      <c r="M4926" t="s">
        <v>5054</v>
      </c>
    </row>
    <row r="4927" spans="1:13" x14ac:dyDescent="0.3">
      <c r="A4927" s="1">
        <v>45428</v>
      </c>
      <c r="B4927" s="1" t="str">
        <f>TEXT(Tabla1[[#This Row],[Fecha]],"MMMM")</f>
        <v>mayo</v>
      </c>
      <c r="C4927" t="s">
        <v>4937</v>
      </c>
      <c r="D4927" t="s">
        <v>5016</v>
      </c>
      <c r="E4927" t="s">
        <v>5033</v>
      </c>
      <c r="F4927" t="s">
        <v>5039</v>
      </c>
      <c r="G4927" s="3">
        <v>664.64</v>
      </c>
      <c r="H4927" s="3">
        <v>86.4</v>
      </c>
      <c r="I4927" s="3">
        <f>SUM(Tabla1[[#This Row],[Monto_Base]],H4927)</f>
        <v>751.04</v>
      </c>
      <c r="J4927" t="s">
        <v>5046</v>
      </c>
      <c r="K4927" t="s">
        <v>5048</v>
      </c>
      <c r="L4927" t="s">
        <v>5051</v>
      </c>
      <c r="M4927" t="s">
        <v>5055</v>
      </c>
    </row>
    <row r="4928" spans="1:13" x14ac:dyDescent="0.3">
      <c r="A4928" s="1">
        <v>45555</v>
      </c>
      <c r="B4928" s="1" t="str">
        <f>TEXT(Tabla1[[#This Row],[Fecha]],"MMMM")</f>
        <v>septiembre</v>
      </c>
      <c r="C4928" t="s">
        <v>4938</v>
      </c>
      <c r="D4928" t="s">
        <v>5024</v>
      </c>
      <c r="E4928" t="s">
        <v>5032</v>
      </c>
      <c r="F4928" t="s">
        <v>5041</v>
      </c>
      <c r="G4928" s="3">
        <v>9260.36</v>
      </c>
      <c r="H4928" s="3">
        <v>0</v>
      </c>
      <c r="I4928" s="3">
        <f>SUM(Tabla1[[#This Row],[Monto_Base]],H4928)</f>
        <v>9260.36</v>
      </c>
      <c r="J4928" t="s">
        <v>5046</v>
      </c>
      <c r="K4928" t="s">
        <v>5048</v>
      </c>
      <c r="L4928" t="s">
        <v>5050</v>
      </c>
      <c r="M4928" t="s">
        <v>5054</v>
      </c>
    </row>
    <row r="4929" spans="1:13" x14ac:dyDescent="0.3">
      <c r="A4929" s="1">
        <v>45551</v>
      </c>
      <c r="B4929" s="1" t="str">
        <f>TEXT(Tabla1[[#This Row],[Fecha]],"MMMM")</f>
        <v>septiembre</v>
      </c>
      <c r="C4929" t="s">
        <v>4939</v>
      </c>
      <c r="D4929" t="s">
        <v>5029</v>
      </c>
      <c r="E4929" t="s">
        <v>5032</v>
      </c>
      <c r="F4929" t="s">
        <v>5038</v>
      </c>
      <c r="G4929" s="3">
        <v>13471.47</v>
      </c>
      <c r="H4929" s="3">
        <v>0</v>
      </c>
      <c r="I4929" s="3">
        <f>SUM(Tabla1[[#This Row],[Monto_Base]],H4929)</f>
        <v>13471.47</v>
      </c>
      <c r="J4929" t="s">
        <v>5045</v>
      </c>
      <c r="K4929" t="s">
        <v>5047</v>
      </c>
      <c r="L4929" t="s">
        <v>5050</v>
      </c>
      <c r="M4929" t="s">
        <v>5054</v>
      </c>
    </row>
    <row r="4930" spans="1:13" x14ac:dyDescent="0.3">
      <c r="A4930" s="1">
        <v>45616</v>
      </c>
      <c r="B4930" s="1" t="str">
        <f>TEXT(Tabla1[[#This Row],[Fecha]],"MMMM")</f>
        <v>noviembre</v>
      </c>
      <c r="C4930" t="s">
        <v>4940</v>
      </c>
      <c r="D4930" t="s">
        <v>5027</v>
      </c>
      <c r="E4930" t="s">
        <v>5032</v>
      </c>
      <c r="F4930" t="s">
        <v>5034</v>
      </c>
      <c r="G4930" s="3">
        <v>8489.83</v>
      </c>
      <c r="H4930" s="3">
        <v>0</v>
      </c>
      <c r="I4930" s="3">
        <f>SUM(Tabla1[[#This Row],[Monto_Base]],H4930)</f>
        <v>8489.83</v>
      </c>
      <c r="J4930" t="s">
        <v>5045</v>
      </c>
      <c r="K4930" t="s">
        <v>5048</v>
      </c>
      <c r="L4930" t="s">
        <v>5053</v>
      </c>
      <c r="M4930" t="s">
        <v>5055</v>
      </c>
    </row>
    <row r="4931" spans="1:13" x14ac:dyDescent="0.3">
      <c r="A4931" s="1">
        <v>45363</v>
      </c>
      <c r="B4931" s="1" t="str">
        <f>TEXT(Tabla1[[#This Row],[Fecha]],"MMMM")</f>
        <v>marzo</v>
      </c>
      <c r="C4931" t="s">
        <v>4941</v>
      </c>
      <c r="D4931" t="s">
        <v>5031</v>
      </c>
      <c r="E4931" t="s">
        <v>5032</v>
      </c>
      <c r="F4931" t="s">
        <v>5039</v>
      </c>
      <c r="G4931" s="3">
        <v>9259.06</v>
      </c>
      <c r="H4931" s="3">
        <v>0</v>
      </c>
      <c r="I4931" s="3">
        <f>SUM(Tabla1[[#This Row],[Monto_Base]],H4931)</f>
        <v>9259.06</v>
      </c>
      <c r="J4931" t="s">
        <v>5045</v>
      </c>
      <c r="K4931" t="s">
        <v>5047</v>
      </c>
      <c r="L4931" t="s">
        <v>5052</v>
      </c>
      <c r="M4931" t="s">
        <v>5055</v>
      </c>
    </row>
    <row r="4932" spans="1:13" x14ac:dyDescent="0.3">
      <c r="A4932" s="1">
        <v>45600</v>
      </c>
      <c r="B4932" s="1" t="str">
        <f>TEXT(Tabla1[[#This Row],[Fecha]],"MMMM")</f>
        <v>noviembre</v>
      </c>
      <c r="C4932" t="s">
        <v>4942</v>
      </c>
      <c r="D4932" t="s">
        <v>5029</v>
      </c>
      <c r="E4932" t="s">
        <v>5033</v>
      </c>
      <c r="F4932" t="s">
        <v>5040</v>
      </c>
      <c r="G4932" s="3">
        <v>799.51</v>
      </c>
      <c r="H4932" s="3">
        <v>103.94</v>
      </c>
      <c r="I4932" s="3">
        <f>SUM(Tabla1[[#This Row],[Monto_Base]],H4932)</f>
        <v>903.45</v>
      </c>
      <c r="J4932" t="s">
        <v>5043</v>
      </c>
      <c r="K4932" t="s">
        <v>5049</v>
      </c>
      <c r="L4932" t="s">
        <v>5052</v>
      </c>
      <c r="M4932" t="s">
        <v>5054</v>
      </c>
    </row>
    <row r="4933" spans="1:13" x14ac:dyDescent="0.3">
      <c r="A4933" s="1">
        <v>45340</v>
      </c>
      <c r="B4933" s="1" t="str">
        <f>TEXT(Tabla1[[#This Row],[Fecha]],"MMMM")</f>
        <v>febrero</v>
      </c>
      <c r="C4933" t="s">
        <v>4943</v>
      </c>
      <c r="D4933" t="s">
        <v>5023</v>
      </c>
      <c r="E4933" t="s">
        <v>5032</v>
      </c>
      <c r="F4933" t="s">
        <v>5039</v>
      </c>
      <c r="G4933" s="3">
        <v>13129.04</v>
      </c>
      <c r="H4933" s="3">
        <v>0</v>
      </c>
      <c r="I4933" s="3">
        <f>SUM(Tabla1[[#This Row],[Monto_Base]],H4933)</f>
        <v>13129.04</v>
      </c>
      <c r="J4933" t="s">
        <v>5046</v>
      </c>
      <c r="K4933" t="s">
        <v>5047</v>
      </c>
      <c r="L4933" t="s">
        <v>5052</v>
      </c>
      <c r="M4933" t="s">
        <v>5054</v>
      </c>
    </row>
    <row r="4934" spans="1:13" x14ac:dyDescent="0.3">
      <c r="A4934" s="1">
        <v>45293</v>
      </c>
      <c r="B4934" s="1" t="str">
        <f>TEXT(Tabla1[[#This Row],[Fecha]],"MMMM")</f>
        <v>enero</v>
      </c>
      <c r="C4934" t="s">
        <v>4944</v>
      </c>
      <c r="D4934" t="s">
        <v>5031</v>
      </c>
      <c r="E4934" t="s">
        <v>5033</v>
      </c>
      <c r="F4934" t="s">
        <v>5036</v>
      </c>
      <c r="G4934" s="3">
        <v>5567.76</v>
      </c>
      <c r="H4934" s="3">
        <v>723.81</v>
      </c>
      <c r="I4934" s="3">
        <f>SUM(Tabla1[[#This Row],[Monto_Base]],H4934)</f>
        <v>6291.57</v>
      </c>
      <c r="J4934" t="s">
        <v>5044</v>
      </c>
      <c r="K4934" t="s">
        <v>5049</v>
      </c>
      <c r="L4934" t="s">
        <v>5051</v>
      </c>
      <c r="M4934" t="s">
        <v>5055</v>
      </c>
    </row>
    <row r="4935" spans="1:13" x14ac:dyDescent="0.3">
      <c r="A4935" s="1">
        <v>45323</v>
      </c>
      <c r="B4935" s="1" t="str">
        <f>TEXT(Tabla1[[#This Row],[Fecha]],"MMMM")</f>
        <v>febrero</v>
      </c>
      <c r="C4935" t="s">
        <v>4945</v>
      </c>
      <c r="D4935" t="s">
        <v>5019</v>
      </c>
      <c r="E4935" t="s">
        <v>5033</v>
      </c>
      <c r="F4935" t="s">
        <v>5037</v>
      </c>
      <c r="G4935" s="3">
        <v>8404.23</v>
      </c>
      <c r="H4935" s="3">
        <v>1092.55</v>
      </c>
      <c r="I4935" s="3">
        <f>SUM(Tabla1[[#This Row],[Monto_Base]],H4935)</f>
        <v>9496.7799999999988</v>
      </c>
      <c r="J4935" t="s">
        <v>5043</v>
      </c>
      <c r="K4935" t="s">
        <v>5049</v>
      </c>
      <c r="L4935" t="s">
        <v>5053</v>
      </c>
      <c r="M4935" t="s">
        <v>5054</v>
      </c>
    </row>
    <row r="4936" spans="1:13" x14ac:dyDescent="0.3">
      <c r="A4936" s="1">
        <v>45459</v>
      </c>
      <c r="B4936" s="1" t="str">
        <f>TEXT(Tabla1[[#This Row],[Fecha]],"MMMM")</f>
        <v>junio</v>
      </c>
      <c r="C4936" t="s">
        <v>4946</v>
      </c>
      <c r="D4936" t="s">
        <v>5021</v>
      </c>
      <c r="E4936" t="s">
        <v>5033</v>
      </c>
      <c r="F4936" t="s">
        <v>5035</v>
      </c>
      <c r="G4936" s="3">
        <v>12973.26</v>
      </c>
      <c r="H4936" s="3">
        <v>1686.52</v>
      </c>
      <c r="I4936" s="3">
        <f>SUM(Tabla1[[#This Row],[Monto_Base]],H4936)</f>
        <v>14659.78</v>
      </c>
      <c r="J4936" t="s">
        <v>5044</v>
      </c>
      <c r="K4936" t="s">
        <v>5048</v>
      </c>
      <c r="L4936" t="s">
        <v>5053</v>
      </c>
      <c r="M4936" t="s">
        <v>5054</v>
      </c>
    </row>
    <row r="4937" spans="1:13" x14ac:dyDescent="0.3">
      <c r="A4937" s="1">
        <v>45505</v>
      </c>
      <c r="B4937" s="1" t="str">
        <f>TEXT(Tabla1[[#This Row],[Fecha]],"MMMM")</f>
        <v>agosto</v>
      </c>
      <c r="C4937" t="s">
        <v>4947</v>
      </c>
      <c r="D4937" t="s">
        <v>5013</v>
      </c>
      <c r="E4937" t="s">
        <v>5032</v>
      </c>
      <c r="F4937" t="s">
        <v>5034</v>
      </c>
      <c r="G4937" s="3">
        <v>13768.92</v>
      </c>
      <c r="H4937" s="3">
        <v>0</v>
      </c>
      <c r="I4937" s="3">
        <f>SUM(Tabla1[[#This Row],[Monto_Base]],H4937)</f>
        <v>13768.92</v>
      </c>
      <c r="J4937" t="s">
        <v>5045</v>
      </c>
      <c r="K4937" t="s">
        <v>5048</v>
      </c>
      <c r="L4937" t="s">
        <v>5050</v>
      </c>
      <c r="M4937" t="s">
        <v>5055</v>
      </c>
    </row>
    <row r="4938" spans="1:13" x14ac:dyDescent="0.3">
      <c r="A4938" s="1">
        <v>45468</v>
      </c>
      <c r="B4938" s="1" t="str">
        <f>TEXT(Tabla1[[#This Row],[Fecha]],"MMMM")</f>
        <v>junio</v>
      </c>
      <c r="C4938" t="s">
        <v>4948</v>
      </c>
      <c r="D4938" t="s">
        <v>5026</v>
      </c>
      <c r="E4938" t="s">
        <v>5033</v>
      </c>
      <c r="F4938" t="s">
        <v>5036</v>
      </c>
      <c r="G4938" s="3">
        <v>1839.77</v>
      </c>
      <c r="H4938" s="3">
        <v>239.17</v>
      </c>
      <c r="I4938" s="3">
        <f>SUM(Tabla1[[#This Row],[Monto_Base]],H4938)</f>
        <v>2078.94</v>
      </c>
      <c r="J4938" t="s">
        <v>5044</v>
      </c>
      <c r="K4938" t="s">
        <v>5049</v>
      </c>
      <c r="L4938" t="s">
        <v>5051</v>
      </c>
      <c r="M4938" t="s">
        <v>5054</v>
      </c>
    </row>
    <row r="4939" spans="1:13" x14ac:dyDescent="0.3">
      <c r="A4939" s="1">
        <v>45610</v>
      </c>
      <c r="B4939" s="1" t="str">
        <f>TEXT(Tabla1[[#This Row],[Fecha]],"MMMM")</f>
        <v>noviembre</v>
      </c>
      <c r="C4939" t="s">
        <v>4949</v>
      </c>
      <c r="D4939" t="s">
        <v>5018</v>
      </c>
      <c r="E4939" t="s">
        <v>5033</v>
      </c>
      <c r="F4939" t="s">
        <v>5037</v>
      </c>
      <c r="G4939" s="3">
        <v>12644.64</v>
      </c>
      <c r="H4939" s="3">
        <v>1643.8</v>
      </c>
      <c r="I4939" s="3">
        <f>SUM(Tabla1[[#This Row],[Monto_Base]],H4939)</f>
        <v>14288.439999999999</v>
      </c>
      <c r="J4939" t="s">
        <v>5045</v>
      </c>
      <c r="K4939" t="s">
        <v>5049</v>
      </c>
      <c r="L4939" t="s">
        <v>5053</v>
      </c>
      <c r="M4939" t="s">
        <v>5054</v>
      </c>
    </row>
    <row r="4940" spans="1:13" x14ac:dyDescent="0.3">
      <c r="A4940" s="1">
        <v>45454</v>
      </c>
      <c r="B4940" s="1" t="str">
        <f>TEXT(Tabla1[[#This Row],[Fecha]],"MMMM")</f>
        <v>junio</v>
      </c>
      <c r="C4940" t="s">
        <v>4950</v>
      </c>
      <c r="D4940" t="s">
        <v>5029</v>
      </c>
      <c r="E4940" t="s">
        <v>5033</v>
      </c>
      <c r="F4940" t="s">
        <v>5041</v>
      </c>
      <c r="G4940" s="3">
        <v>9669.4599999999991</v>
      </c>
      <c r="H4940" s="3">
        <v>1257.03</v>
      </c>
      <c r="I4940" s="3">
        <f>SUM(Tabla1[[#This Row],[Monto_Base]],H4940)</f>
        <v>10926.49</v>
      </c>
      <c r="J4940" t="s">
        <v>5042</v>
      </c>
      <c r="K4940" t="s">
        <v>5047</v>
      </c>
      <c r="L4940" t="s">
        <v>5053</v>
      </c>
      <c r="M4940" t="s">
        <v>5055</v>
      </c>
    </row>
    <row r="4941" spans="1:13" x14ac:dyDescent="0.3">
      <c r="A4941" s="1">
        <v>45583</v>
      </c>
      <c r="B4941" s="1" t="str">
        <f>TEXT(Tabla1[[#This Row],[Fecha]],"MMMM")</f>
        <v>octubre</v>
      </c>
      <c r="C4941" t="s">
        <v>4951</v>
      </c>
      <c r="D4941" t="s">
        <v>5016</v>
      </c>
      <c r="E4941" t="s">
        <v>5033</v>
      </c>
      <c r="F4941" t="s">
        <v>5037</v>
      </c>
      <c r="G4941" s="3">
        <v>424.63</v>
      </c>
      <c r="H4941" s="3">
        <v>55.2</v>
      </c>
      <c r="I4941" s="3">
        <f>SUM(Tabla1[[#This Row],[Monto_Base]],H4941)</f>
        <v>479.83</v>
      </c>
      <c r="J4941" t="s">
        <v>5045</v>
      </c>
      <c r="K4941" t="s">
        <v>5047</v>
      </c>
      <c r="L4941" t="s">
        <v>5050</v>
      </c>
      <c r="M4941" t="s">
        <v>5054</v>
      </c>
    </row>
    <row r="4942" spans="1:13" x14ac:dyDescent="0.3">
      <c r="A4942" s="1">
        <v>45505</v>
      </c>
      <c r="B4942" s="1" t="str">
        <f>TEXT(Tabla1[[#This Row],[Fecha]],"MMMM")</f>
        <v>agosto</v>
      </c>
      <c r="C4942" t="s">
        <v>4952</v>
      </c>
      <c r="D4942" t="s">
        <v>5013</v>
      </c>
      <c r="E4942" t="s">
        <v>5032</v>
      </c>
      <c r="F4942" t="s">
        <v>5034</v>
      </c>
      <c r="G4942" s="3">
        <v>14850.93</v>
      </c>
      <c r="H4942" s="3">
        <v>0</v>
      </c>
      <c r="I4942" s="3">
        <f>SUM(Tabla1[[#This Row],[Monto_Base]],H4942)</f>
        <v>14850.93</v>
      </c>
      <c r="J4942" t="s">
        <v>5045</v>
      </c>
      <c r="K4942" t="s">
        <v>5049</v>
      </c>
      <c r="L4942" t="s">
        <v>5050</v>
      </c>
      <c r="M4942" t="s">
        <v>5055</v>
      </c>
    </row>
    <row r="4943" spans="1:13" x14ac:dyDescent="0.3">
      <c r="A4943" s="1">
        <v>45392</v>
      </c>
      <c r="B4943" s="1" t="str">
        <f>TEXT(Tabla1[[#This Row],[Fecha]],"MMMM")</f>
        <v>abril</v>
      </c>
      <c r="C4943" t="s">
        <v>4953</v>
      </c>
      <c r="D4943" t="s">
        <v>5031</v>
      </c>
      <c r="E4943" t="s">
        <v>5032</v>
      </c>
      <c r="F4943" t="s">
        <v>5040</v>
      </c>
      <c r="G4943" s="3">
        <v>9493.42</v>
      </c>
      <c r="H4943" s="3">
        <v>0</v>
      </c>
      <c r="I4943" s="3">
        <f>SUM(Tabla1[[#This Row],[Monto_Base]],H4943)</f>
        <v>9493.42</v>
      </c>
      <c r="J4943" t="s">
        <v>5044</v>
      </c>
      <c r="K4943" t="s">
        <v>5049</v>
      </c>
      <c r="L4943" t="s">
        <v>5050</v>
      </c>
      <c r="M4943" t="s">
        <v>5054</v>
      </c>
    </row>
    <row r="4944" spans="1:13" x14ac:dyDescent="0.3">
      <c r="A4944" s="1">
        <v>45351</v>
      </c>
      <c r="B4944" s="1" t="str">
        <f>TEXT(Tabla1[[#This Row],[Fecha]],"MMMM")</f>
        <v>febrero</v>
      </c>
      <c r="C4944" t="s">
        <v>4954</v>
      </c>
      <c r="D4944" t="s">
        <v>5012</v>
      </c>
      <c r="E4944" t="s">
        <v>5033</v>
      </c>
      <c r="F4944" t="s">
        <v>5037</v>
      </c>
      <c r="G4944" s="3">
        <v>548.91</v>
      </c>
      <c r="H4944" s="3">
        <v>71.36</v>
      </c>
      <c r="I4944" s="3">
        <f>SUM(Tabla1[[#This Row],[Monto_Base]],H4944)</f>
        <v>620.27</v>
      </c>
      <c r="J4944" t="s">
        <v>5044</v>
      </c>
      <c r="K4944" t="s">
        <v>5047</v>
      </c>
      <c r="L4944" t="s">
        <v>5051</v>
      </c>
      <c r="M4944" t="s">
        <v>5054</v>
      </c>
    </row>
    <row r="4945" spans="1:13" x14ac:dyDescent="0.3">
      <c r="A4945" s="1">
        <v>45468</v>
      </c>
      <c r="B4945" s="1" t="str">
        <f>TEXT(Tabla1[[#This Row],[Fecha]],"MMMM")</f>
        <v>junio</v>
      </c>
      <c r="C4945" t="s">
        <v>4955</v>
      </c>
      <c r="D4945" t="s">
        <v>5015</v>
      </c>
      <c r="E4945" t="s">
        <v>5033</v>
      </c>
      <c r="F4945" t="s">
        <v>5039</v>
      </c>
      <c r="G4945" s="3">
        <v>11926.09</v>
      </c>
      <c r="H4945" s="3">
        <v>1550.39</v>
      </c>
      <c r="I4945" s="3">
        <f>SUM(Tabla1[[#This Row],[Monto_Base]],H4945)</f>
        <v>13476.48</v>
      </c>
      <c r="J4945" t="s">
        <v>5043</v>
      </c>
      <c r="K4945" t="s">
        <v>5049</v>
      </c>
      <c r="L4945" t="s">
        <v>5052</v>
      </c>
      <c r="M4945" t="s">
        <v>5055</v>
      </c>
    </row>
    <row r="4946" spans="1:13" x14ac:dyDescent="0.3">
      <c r="A4946" s="1">
        <v>45433</v>
      </c>
      <c r="B4946" s="1" t="str">
        <f>TEXT(Tabla1[[#This Row],[Fecha]],"MMMM")</f>
        <v>mayo</v>
      </c>
      <c r="C4946" t="s">
        <v>4956</v>
      </c>
      <c r="D4946" t="s">
        <v>5021</v>
      </c>
      <c r="E4946" t="s">
        <v>5032</v>
      </c>
      <c r="F4946" t="s">
        <v>5035</v>
      </c>
      <c r="G4946" s="3">
        <v>4007.69</v>
      </c>
      <c r="H4946" s="3">
        <v>0</v>
      </c>
      <c r="I4946" s="3">
        <f>SUM(Tabla1[[#This Row],[Monto_Base]],H4946)</f>
        <v>4007.69</v>
      </c>
      <c r="J4946" t="s">
        <v>5042</v>
      </c>
      <c r="K4946" t="s">
        <v>5049</v>
      </c>
      <c r="L4946" t="s">
        <v>5051</v>
      </c>
      <c r="M4946" t="s">
        <v>5055</v>
      </c>
    </row>
    <row r="4947" spans="1:13" x14ac:dyDescent="0.3">
      <c r="A4947" s="1">
        <v>45436</v>
      </c>
      <c r="B4947" s="1" t="str">
        <f>TEXT(Tabla1[[#This Row],[Fecha]],"MMMM")</f>
        <v>mayo</v>
      </c>
      <c r="C4947" t="s">
        <v>4957</v>
      </c>
      <c r="D4947" t="s">
        <v>5030</v>
      </c>
      <c r="E4947" t="s">
        <v>5032</v>
      </c>
      <c r="F4947" t="s">
        <v>5034</v>
      </c>
      <c r="G4947" s="3">
        <v>2486.6</v>
      </c>
      <c r="H4947" s="3">
        <v>0</v>
      </c>
      <c r="I4947" s="3">
        <f>SUM(Tabla1[[#This Row],[Monto_Base]],H4947)</f>
        <v>2486.6</v>
      </c>
      <c r="J4947" t="s">
        <v>5045</v>
      </c>
      <c r="K4947" t="s">
        <v>5048</v>
      </c>
      <c r="L4947" t="s">
        <v>5050</v>
      </c>
      <c r="M4947" t="s">
        <v>5055</v>
      </c>
    </row>
    <row r="4948" spans="1:13" x14ac:dyDescent="0.3">
      <c r="A4948" s="1">
        <v>45342</v>
      </c>
      <c r="B4948" s="1" t="str">
        <f>TEXT(Tabla1[[#This Row],[Fecha]],"MMMM")</f>
        <v>febrero</v>
      </c>
      <c r="C4948" t="s">
        <v>4958</v>
      </c>
      <c r="D4948" t="s">
        <v>5013</v>
      </c>
      <c r="E4948" t="s">
        <v>5033</v>
      </c>
      <c r="F4948" t="s">
        <v>5040</v>
      </c>
      <c r="G4948" s="3">
        <v>3025.44</v>
      </c>
      <c r="H4948" s="3">
        <v>393.31</v>
      </c>
      <c r="I4948" s="3">
        <f>SUM(Tabla1[[#This Row],[Monto_Base]],H4948)</f>
        <v>3418.75</v>
      </c>
      <c r="J4948" t="s">
        <v>5045</v>
      </c>
      <c r="K4948" t="s">
        <v>5047</v>
      </c>
      <c r="L4948" t="s">
        <v>5053</v>
      </c>
      <c r="M4948" t="s">
        <v>5055</v>
      </c>
    </row>
    <row r="4949" spans="1:13" x14ac:dyDescent="0.3">
      <c r="A4949" s="1">
        <v>45639</v>
      </c>
      <c r="B4949" s="1" t="str">
        <f>TEXT(Tabla1[[#This Row],[Fecha]],"MMMM")</f>
        <v>diciembre</v>
      </c>
      <c r="C4949" t="s">
        <v>4959</v>
      </c>
      <c r="D4949" t="s">
        <v>5025</v>
      </c>
      <c r="E4949" t="s">
        <v>5032</v>
      </c>
      <c r="F4949" t="s">
        <v>5035</v>
      </c>
      <c r="G4949" s="3">
        <v>9385.83</v>
      </c>
      <c r="H4949" s="3">
        <v>0</v>
      </c>
      <c r="I4949" s="3">
        <f>SUM(Tabla1[[#This Row],[Monto_Base]],H4949)</f>
        <v>9385.83</v>
      </c>
      <c r="J4949" t="s">
        <v>5044</v>
      </c>
      <c r="K4949" t="s">
        <v>5047</v>
      </c>
      <c r="L4949" t="s">
        <v>5053</v>
      </c>
      <c r="M4949" t="s">
        <v>5055</v>
      </c>
    </row>
    <row r="4950" spans="1:13" x14ac:dyDescent="0.3">
      <c r="A4950" s="1">
        <v>45388</v>
      </c>
      <c r="B4950" s="1" t="str">
        <f>TEXT(Tabla1[[#This Row],[Fecha]],"MMMM")</f>
        <v>abril</v>
      </c>
      <c r="C4950" t="s">
        <v>4960</v>
      </c>
      <c r="D4950" t="s">
        <v>5016</v>
      </c>
      <c r="E4950" t="s">
        <v>5033</v>
      </c>
      <c r="F4950" t="s">
        <v>5038</v>
      </c>
      <c r="G4950" s="3">
        <v>10440.84</v>
      </c>
      <c r="H4950" s="3">
        <v>1357.31</v>
      </c>
      <c r="I4950" s="3">
        <f>SUM(Tabla1[[#This Row],[Monto_Base]],H4950)</f>
        <v>11798.15</v>
      </c>
      <c r="J4950" t="s">
        <v>5042</v>
      </c>
      <c r="K4950" t="s">
        <v>5048</v>
      </c>
      <c r="L4950" t="s">
        <v>5052</v>
      </c>
      <c r="M4950" t="s">
        <v>5054</v>
      </c>
    </row>
    <row r="4951" spans="1:13" x14ac:dyDescent="0.3">
      <c r="A4951" s="1">
        <v>45568</v>
      </c>
      <c r="B4951" s="1" t="str">
        <f>TEXT(Tabla1[[#This Row],[Fecha]],"MMMM")</f>
        <v>octubre</v>
      </c>
      <c r="C4951" t="s">
        <v>4961</v>
      </c>
      <c r="D4951" t="s">
        <v>5023</v>
      </c>
      <c r="E4951" t="s">
        <v>5033</v>
      </c>
      <c r="F4951" t="s">
        <v>5040</v>
      </c>
      <c r="G4951" s="3">
        <v>11616.27</v>
      </c>
      <c r="H4951" s="3">
        <v>1510.12</v>
      </c>
      <c r="I4951" s="3">
        <f>SUM(Tabla1[[#This Row],[Monto_Base]],H4951)</f>
        <v>13126.39</v>
      </c>
      <c r="J4951" t="s">
        <v>5044</v>
      </c>
      <c r="K4951" t="s">
        <v>5048</v>
      </c>
      <c r="L4951" t="s">
        <v>5052</v>
      </c>
      <c r="M4951" t="s">
        <v>5054</v>
      </c>
    </row>
    <row r="4952" spans="1:13" x14ac:dyDescent="0.3">
      <c r="A4952" s="1">
        <v>45397</v>
      </c>
      <c r="B4952" s="1" t="str">
        <f>TEXT(Tabla1[[#This Row],[Fecha]],"MMMM")</f>
        <v>abril</v>
      </c>
      <c r="C4952" t="s">
        <v>4962</v>
      </c>
      <c r="D4952" t="s">
        <v>5018</v>
      </c>
      <c r="E4952" t="s">
        <v>5033</v>
      </c>
      <c r="F4952" t="s">
        <v>5034</v>
      </c>
      <c r="G4952" s="3">
        <v>6810.32</v>
      </c>
      <c r="H4952" s="3">
        <v>885.34</v>
      </c>
      <c r="I4952" s="3">
        <f>SUM(Tabla1[[#This Row],[Monto_Base]],H4952)</f>
        <v>7695.66</v>
      </c>
      <c r="J4952" t="s">
        <v>5045</v>
      </c>
      <c r="K4952" t="s">
        <v>5047</v>
      </c>
      <c r="L4952" t="s">
        <v>5053</v>
      </c>
      <c r="M4952" t="s">
        <v>5055</v>
      </c>
    </row>
    <row r="4953" spans="1:13" x14ac:dyDescent="0.3">
      <c r="A4953" s="1">
        <v>45323</v>
      </c>
      <c r="B4953" s="1" t="str">
        <f>TEXT(Tabla1[[#This Row],[Fecha]],"MMMM")</f>
        <v>febrero</v>
      </c>
      <c r="C4953" t="s">
        <v>4963</v>
      </c>
      <c r="D4953" t="s">
        <v>5014</v>
      </c>
      <c r="E4953" t="s">
        <v>5032</v>
      </c>
      <c r="F4953" t="s">
        <v>5040</v>
      </c>
      <c r="G4953" s="3">
        <v>3118.52</v>
      </c>
      <c r="H4953" s="3">
        <v>0</v>
      </c>
      <c r="I4953" s="3">
        <f>SUM(Tabla1[[#This Row],[Monto_Base]],H4953)</f>
        <v>3118.52</v>
      </c>
      <c r="J4953" t="s">
        <v>5043</v>
      </c>
      <c r="K4953" t="s">
        <v>5048</v>
      </c>
      <c r="L4953" t="s">
        <v>5050</v>
      </c>
      <c r="M4953" t="s">
        <v>5054</v>
      </c>
    </row>
    <row r="4954" spans="1:13" x14ac:dyDescent="0.3">
      <c r="A4954" s="1">
        <v>45352</v>
      </c>
      <c r="B4954" s="1" t="str">
        <f>TEXT(Tabla1[[#This Row],[Fecha]],"MMMM")</f>
        <v>marzo</v>
      </c>
      <c r="C4954" t="s">
        <v>4964</v>
      </c>
      <c r="D4954" t="s">
        <v>5021</v>
      </c>
      <c r="E4954" t="s">
        <v>5033</v>
      </c>
      <c r="F4954" t="s">
        <v>5040</v>
      </c>
      <c r="G4954" s="3">
        <v>10385.85</v>
      </c>
      <c r="H4954" s="3">
        <v>1350.16</v>
      </c>
      <c r="I4954" s="3">
        <f>SUM(Tabla1[[#This Row],[Monto_Base]],H4954)</f>
        <v>11736.01</v>
      </c>
      <c r="J4954" t="s">
        <v>5044</v>
      </c>
      <c r="K4954" t="s">
        <v>5047</v>
      </c>
      <c r="L4954" t="s">
        <v>5051</v>
      </c>
      <c r="M4954" t="s">
        <v>5054</v>
      </c>
    </row>
    <row r="4955" spans="1:13" x14ac:dyDescent="0.3">
      <c r="A4955" s="1">
        <v>45655</v>
      </c>
      <c r="B4955" s="1" t="str">
        <f>TEXT(Tabla1[[#This Row],[Fecha]],"MMMM")</f>
        <v>diciembre</v>
      </c>
      <c r="C4955" t="s">
        <v>4965</v>
      </c>
      <c r="D4955" t="s">
        <v>5023</v>
      </c>
      <c r="E4955" t="s">
        <v>5033</v>
      </c>
      <c r="F4955" t="s">
        <v>5034</v>
      </c>
      <c r="G4955" s="3">
        <v>10670.73</v>
      </c>
      <c r="H4955" s="3">
        <v>1387.19</v>
      </c>
      <c r="I4955" s="3">
        <f>SUM(Tabla1[[#This Row],[Monto_Base]],H4955)</f>
        <v>12057.92</v>
      </c>
      <c r="J4955" t="s">
        <v>5043</v>
      </c>
      <c r="K4955" t="s">
        <v>5047</v>
      </c>
      <c r="L4955" t="s">
        <v>5050</v>
      </c>
      <c r="M4955" t="s">
        <v>5054</v>
      </c>
    </row>
    <row r="4956" spans="1:13" x14ac:dyDescent="0.3">
      <c r="A4956" s="1">
        <v>45628</v>
      </c>
      <c r="B4956" s="1" t="str">
        <f>TEXT(Tabla1[[#This Row],[Fecha]],"MMMM")</f>
        <v>diciembre</v>
      </c>
      <c r="C4956" t="s">
        <v>4966</v>
      </c>
      <c r="D4956" t="s">
        <v>5012</v>
      </c>
      <c r="E4956" t="s">
        <v>5032</v>
      </c>
      <c r="F4956" t="s">
        <v>5040</v>
      </c>
      <c r="G4956" s="3">
        <v>4601.08</v>
      </c>
      <c r="H4956" s="3">
        <v>0</v>
      </c>
      <c r="I4956" s="3">
        <f>SUM(Tabla1[[#This Row],[Monto_Base]],H4956)</f>
        <v>4601.08</v>
      </c>
      <c r="J4956" t="s">
        <v>5045</v>
      </c>
      <c r="K4956" t="s">
        <v>5049</v>
      </c>
      <c r="L4956" t="s">
        <v>5052</v>
      </c>
      <c r="M4956" t="s">
        <v>5054</v>
      </c>
    </row>
    <row r="4957" spans="1:13" x14ac:dyDescent="0.3">
      <c r="A4957" s="1">
        <v>45590</v>
      </c>
      <c r="B4957" s="1" t="str">
        <f>TEXT(Tabla1[[#This Row],[Fecha]],"MMMM")</f>
        <v>octubre</v>
      </c>
      <c r="C4957" t="s">
        <v>4967</v>
      </c>
      <c r="D4957" t="s">
        <v>5016</v>
      </c>
      <c r="E4957" t="s">
        <v>5033</v>
      </c>
      <c r="F4957" t="s">
        <v>5035</v>
      </c>
      <c r="G4957" s="3">
        <v>13126.57</v>
      </c>
      <c r="H4957" s="3">
        <v>1706.45</v>
      </c>
      <c r="I4957" s="3">
        <f>SUM(Tabla1[[#This Row],[Monto_Base]],H4957)</f>
        <v>14833.02</v>
      </c>
      <c r="J4957" t="s">
        <v>5044</v>
      </c>
      <c r="K4957" t="s">
        <v>5049</v>
      </c>
      <c r="L4957" t="s">
        <v>5051</v>
      </c>
      <c r="M4957" t="s">
        <v>5054</v>
      </c>
    </row>
    <row r="4958" spans="1:13" x14ac:dyDescent="0.3">
      <c r="A4958" s="1">
        <v>45476</v>
      </c>
      <c r="B4958" s="1" t="str">
        <f>TEXT(Tabla1[[#This Row],[Fecha]],"MMMM")</f>
        <v>julio</v>
      </c>
      <c r="C4958" t="s">
        <v>4968</v>
      </c>
      <c r="D4958" t="s">
        <v>5020</v>
      </c>
      <c r="E4958" t="s">
        <v>5033</v>
      </c>
      <c r="F4958" t="s">
        <v>5037</v>
      </c>
      <c r="G4958" s="3">
        <v>2234.31</v>
      </c>
      <c r="H4958" s="3">
        <v>290.45999999999998</v>
      </c>
      <c r="I4958" s="3">
        <f>SUM(Tabla1[[#This Row],[Monto_Base]],H4958)</f>
        <v>2524.77</v>
      </c>
      <c r="J4958" t="s">
        <v>5043</v>
      </c>
      <c r="K4958" t="s">
        <v>5047</v>
      </c>
      <c r="L4958" t="s">
        <v>5051</v>
      </c>
      <c r="M4958" t="s">
        <v>5055</v>
      </c>
    </row>
    <row r="4959" spans="1:13" x14ac:dyDescent="0.3">
      <c r="A4959" s="1">
        <v>45321</v>
      </c>
      <c r="B4959" s="1" t="str">
        <f>TEXT(Tabla1[[#This Row],[Fecha]],"MMMM")</f>
        <v>enero</v>
      </c>
      <c r="C4959" t="s">
        <v>4969</v>
      </c>
      <c r="D4959" t="s">
        <v>5026</v>
      </c>
      <c r="E4959" t="s">
        <v>5032</v>
      </c>
      <c r="F4959" t="s">
        <v>5035</v>
      </c>
      <c r="G4959" s="3">
        <v>986.81</v>
      </c>
      <c r="H4959" s="3">
        <v>0</v>
      </c>
      <c r="I4959" s="3">
        <f>SUM(Tabla1[[#This Row],[Monto_Base]],H4959)</f>
        <v>986.81</v>
      </c>
      <c r="J4959" t="s">
        <v>5042</v>
      </c>
      <c r="K4959" t="s">
        <v>5047</v>
      </c>
      <c r="L4959" t="s">
        <v>5052</v>
      </c>
      <c r="M4959" t="s">
        <v>5054</v>
      </c>
    </row>
    <row r="4960" spans="1:13" x14ac:dyDescent="0.3">
      <c r="A4960" s="1">
        <v>45512</v>
      </c>
      <c r="B4960" s="1" t="str">
        <f>TEXT(Tabla1[[#This Row],[Fecha]],"MMMM")</f>
        <v>agosto</v>
      </c>
      <c r="C4960" t="s">
        <v>4970</v>
      </c>
      <c r="D4960" t="s">
        <v>5028</v>
      </c>
      <c r="E4960" t="s">
        <v>5032</v>
      </c>
      <c r="F4960" t="s">
        <v>5036</v>
      </c>
      <c r="G4960" s="3">
        <v>7468.98</v>
      </c>
      <c r="H4960" s="3">
        <v>0</v>
      </c>
      <c r="I4960" s="3">
        <f>SUM(Tabla1[[#This Row],[Monto_Base]],H4960)</f>
        <v>7468.98</v>
      </c>
      <c r="J4960" t="s">
        <v>5045</v>
      </c>
      <c r="K4960" t="s">
        <v>5047</v>
      </c>
      <c r="L4960" t="s">
        <v>5053</v>
      </c>
      <c r="M4960" t="s">
        <v>5055</v>
      </c>
    </row>
    <row r="4961" spans="1:13" x14ac:dyDescent="0.3">
      <c r="A4961" s="1">
        <v>45467</v>
      </c>
      <c r="B4961" s="1" t="str">
        <f>TEXT(Tabla1[[#This Row],[Fecha]],"MMMM")</f>
        <v>junio</v>
      </c>
      <c r="C4961" t="s">
        <v>4971</v>
      </c>
      <c r="D4961" t="s">
        <v>5026</v>
      </c>
      <c r="E4961" t="s">
        <v>5032</v>
      </c>
      <c r="F4961" t="s">
        <v>5035</v>
      </c>
      <c r="G4961" s="3">
        <v>9003.73</v>
      </c>
      <c r="H4961" s="3">
        <v>0</v>
      </c>
      <c r="I4961" s="3">
        <f>SUM(Tabla1[[#This Row],[Monto_Base]],H4961)</f>
        <v>9003.73</v>
      </c>
      <c r="J4961" t="s">
        <v>5046</v>
      </c>
      <c r="K4961" t="s">
        <v>5049</v>
      </c>
      <c r="L4961" t="s">
        <v>5050</v>
      </c>
      <c r="M4961" t="s">
        <v>5054</v>
      </c>
    </row>
    <row r="4962" spans="1:13" x14ac:dyDescent="0.3">
      <c r="A4962" s="1">
        <v>45580</v>
      </c>
      <c r="B4962" s="1" t="str">
        <f>TEXT(Tabla1[[#This Row],[Fecha]],"MMMM")</f>
        <v>octubre</v>
      </c>
      <c r="C4962" t="s">
        <v>4972</v>
      </c>
      <c r="D4962" t="s">
        <v>5013</v>
      </c>
      <c r="E4962" t="s">
        <v>5032</v>
      </c>
      <c r="F4962" t="s">
        <v>5037</v>
      </c>
      <c r="G4962" s="3">
        <v>14943.72</v>
      </c>
      <c r="H4962" s="3">
        <v>0</v>
      </c>
      <c r="I4962" s="3">
        <f>SUM(Tabla1[[#This Row],[Monto_Base]],H4962)</f>
        <v>14943.72</v>
      </c>
      <c r="J4962" t="s">
        <v>5044</v>
      </c>
      <c r="K4962" t="s">
        <v>5049</v>
      </c>
      <c r="L4962" t="s">
        <v>5053</v>
      </c>
      <c r="M4962" t="s">
        <v>5054</v>
      </c>
    </row>
    <row r="4963" spans="1:13" x14ac:dyDescent="0.3">
      <c r="A4963" s="1">
        <v>45404</v>
      </c>
      <c r="B4963" s="1" t="str">
        <f>TEXT(Tabla1[[#This Row],[Fecha]],"MMMM")</f>
        <v>abril</v>
      </c>
      <c r="C4963" t="s">
        <v>4973</v>
      </c>
      <c r="D4963" t="s">
        <v>5013</v>
      </c>
      <c r="E4963" t="s">
        <v>5033</v>
      </c>
      <c r="F4963" t="s">
        <v>5039</v>
      </c>
      <c r="G4963" s="3">
        <v>10658.64</v>
      </c>
      <c r="H4963" s="3">
        <v>1385.62</v>
      </c>
      <c r="I4963" s="3">
        <f>SUM(Tabla1[[#This Row],[Monto_Base]],H4963)</f>
        <v>12044.259999999998</v>
      </c>
      <c r="J4963" t="s">
        <v>5045</v>
      </c>
      <c r="K4963" t="s">
        <v>5047</v>
      </c>
      <c r="L4963" t="s">
        <v>5050</v>
      </c>
      <c r="M4963" t="s">
        <v>5055</v>
      </c>
    </row>
    <row r="4964" spans="1:13" x14ac:dyDescent="0.3">
      <c r="A4964" s="1">
        <v>45417</v>
      </c>
      <c r="B4964" s="1" t="str">
        <f>TEXT(Tabla1[[#This Row],[Fecha]],"MMMM")</f>
        <v>mayo</v>
      </c>
      <c r="C4964" t="s">
        <v>4974</v>
      </c>
      <c r="D4964" t="s">
        <v>5020</v>
      </c>
      <c r="E4964" t="s">
        <v>5032</v>
      </c>
      <c r="F4964" t="s">
        <v>5037</v>
      </c>
      <c r="G4964" s="3">
        <v>9775.5499999999993</v>
      </c>
      <c r="H4964" s="3">
        <v>0</v>
      </c>
      <c r="I4964" s="3">
        <f>SUM(Tabla1[[#This Row],[Monto_Base]],H4964)</f>
        <v>9775.5499999999993</v>
      </c>
      <c r="J4964" t="s">
        <v>5046</v>
      </c>
      <c r="K4964" t="s">
        <v>5047</v>
      </c>
      <c r="L4964" t="s">
        <v>5052</v>
      </c>
      <c r="M4964" t="s">
        <v>5055</v>
      </c>
    </row>
    <row r="4965" spans="1:13" x14ac:dyDescent="0.3">
      <c r="A4965" s="1">
        <v>45493</v>
      </c>
      <c r="B4965" s="1" t="str">
        <f>TEXT(Tabla1[[#This Row],[Fecha]],"MMMM")</f>
        <v>julio</v>
      </c>
      <c r="C4965" t="s">
        <v>4975</v>
      </c>
      <c r="D4965" t="s">
        <v>5030</v>
      </c>
      <c r="E4965" t="s">
        <v>5032</v>
      </c>
      <c r="F4965" t="s">
        <v>5034</v>
      </c>
      <c r="G4965" s="3">
        <v>4643.87</v>
      </c>
      <c r="H4965" s="3">
        <v>0</v>
      </c>
      <c r="I4965" s="3">
        <f>SUM(Tabla1[[#This Row],[Monto_Base]],H4965)</f>
        <v>4643.87</v>
      </c>
      <c r="J4965" t="s">
        <v>5046</v>
      </c>
      <c r="K4965" t="s">
        <v>5047</v>
      </c>
      <c r="L4965" t="s">
        <v>5053</v>
      </c>
      <c r="M4965" t="s">
        <v>5055</v>
      </c>
    </row>
    <row r="4966" spans="1:13" x14ac:dyDescent="0.3">
      <c r="A4966" s="1">
        <v>45554</v>
      </c>
      <c r="B4966" s="1" t="str">
        <f>TEXT(Tabla1[[#This Row],[Fecha]],"MMMM")</f>
        <v>septiembre</v>
      </c>
      <c r="C4966" t="s">
        <v>4976</v>
      </c>
      <c r="D4966" t="s">
        <v>5014</v>
      </c>
      <c r="E4966" t="s">
        <v>5033</v>
      </c>
      <c r="F4966" t="s">
        <v>5040</v>
      </c>
      <c r="G4966" s="3">
        <v>14721.99</v>
      </c>
      <c r="H4966" s="3">
        <v>1913.86</v>
      </c>
      <c r="I4966" s="3">
        <f>SUM(Tabla1[[#This Row],[Monto_Base]],H4966)</f>
        <v>16635.849999999999</v>
      </c>
      <c r="J4966" t="s">
        <v>5042</v>
      </c>
      <c r="K4966" t="s">
        <v>5049</v>
      </c>
      <c r="L4966" t="s">
        <v>5053</v>
      </c>
      <c r="M4966" t="s">
        <v>5055</v>
      </c>
    </row>
    <row r="4967" spans="1:13" x14ac:dyDescent="0.3">
      <c r="A4967" s="1">
        <v>45327</v>
      </c>
      <c r="B4967" s="1" t="str">
        <f>TEXT(Tabla1[[#This Row],[Fecha]],"MMMM")</f>
        <v>febrero</v>
      </c>
      <c r="C4967" t="s">
        <v>4977</v>
      </c>
      <c r="D4967" t="s">
        <v>5022</v>
      </c>
      <c r="E4967" t="s">
        <v>5032</v>
      </c>
      <c r="F4967" t="s">
        <v>5039</v>
      </c>
      <c r="G4967" s="3">
        <v>7894.39</v>
      </c>
      <c r="H4967" s="3">
        <v>0</v>
      </c>
      <c r="I4967" s="3">
        <f>SUM(Tabla1[[#This Row],[Monto_Base]],H4967)</f>
        <v>7894.39</v>
      </c>
      <c r="J4967" t="s">
        <v>5043</v>
      </c>
      <c r="K4967" t="s">
        <v>5049</v>
      </c>
      <c r="L4967" t="s">
        <v>5052</v>
      </c>
      <c r="M4967" t="s">
        <v>5055</v>
      </c>
    </row>
    <row r="4968" spans="1:13" x14ac:dyDescent="0.3">
      <c r="A4968" s="1">
        <v>45305</v>
      </c>
      <c r="B4968" s="1" t="str">
        <f>TEXT(Tabla1[[#This Row],[Fecha]],"MMMM")</f>
        <v>enero</v>
      </c>
      <c r="C4968" t="s">
        <v>4978</v>
      </c>
      <c r="D4968" t="s">
        <v>5015</v>
      </c>
      <c r="E4968" t="s">
        <v>5032</v>
      </c>
      <c r="F4968" t="s">
        <v>5041</v>
      </c>
      <c r="G4968" s="3">
        <v>2727.96</v>
      </c>
      <c r="H4968" s="3">
        <v>0</v>
      </c>
      <c r="I4968" s="3">
        <f>SUM(Tabla1[[#This Row],[Monto_Base]],H4968)</f>
        <v>2727.96</v>
      </c>
      <c r="J4968" t="s">
        <v>5042</v>
      </c>
      <c r="K4968" t="s">
        <v>5048</v>
      </c>
      <c r="L4968" t="s">
        <v>5052</v>
      </c>
      <c r="M4968" t="s">
        <v>5055</v>
      </c>
    </row>
    <row r="4969" spans="1:13" x14ac:dyDescent="0.3">
      <c r="A4969" s="1">
        <v>45471</v>
      </c>
      <c r="B4969" s="1" t="str">
        <f>TEXT(Tabla1[[#This Row],[Fecha]],"MMMM")</f>
        <v>junio</v>
      </c>
      <c r="C4969" t="s">
        <v>4979</v>
      </c>
      <c r="D4969" t="s">
        <v>5030</v>
      </c>
      <c r="E4969" t="s">
        <v>5033</v>
      </c>
      <c r="F4969" t="s">
        <v>5040</v>
      </c>
      <c r="G4969" s="3">
        <v>8765.9599999999991</v>
      </c>
      <c r="H4969" s="3">
        <v>1139.57</v>
      </c>
      <c r="I4969" s="3">
        <f>SUM(Tabla1[[#This Row],[Monto_Base]],H4969)</f>
        <v>9905.5299999999988</v>
      </c>
      <c r="J4969" t="s">
        <v>5043</v>
      </c>
      <c r="K4969" t="s">
        <v>5049</v>
      </c>
      <c r="L4969" t="s">
        <v>5053</v>
      </c>
      <c r="M4969" t="s">
        <v>5055</v>
      </c>
    </row>
    <row r="4970" spans="1:13" x14ac:dyDescent="0.3">
      <c r="A4970" s="1">
        <v>45480</v>
      </c>
      <c r="B4970" s="1" t="str">
        <f>TEXT(Tabla1[[#This Row],[Fecha]],"MMMM")</f>
        <v>julio</v>
      </c>
      <c r="C4970" t="s">
        <v>4980</v>
      </c>
      <c r="D4970" t="s">
        <v>5020</v>
      </c>
      <c r="E4970" t="s">
        <v>5033</v>
      </c>
      <c r="F4970" t="s">
        <v>5038</v>
      </c>
      <c r="G4970" s="3">
        <v>8914.69</v>
      </c>
      <c r="H4970" s="3">
        <v>1158.9100000000001</v>
      </c>
      <c r="I4970" s="3">
        <f>SUM(Tabla1[[#This Row],[Monto_Base]],H4970)</f>
        <v>10073.6</v>
      </c>
      <c r="J4970" t="s">
        <v>5046</v>
      </c>
      <c r="K4970" t="s">
        <v>5049</v>
      </c>
      <c r="L4970" t="s">
        <v>5050</v>
      </c>
      <c r="M4970" t="s">
        <v>5055</v>
      </c>
    </row>
    <row r="4971" spans="1:13" x14ac:dyDescent="0.3">
      <c r="A4971" s="1">
        <v>45393</v>
      </c>
      <c r="B4971" s="1" t="str">
        <f>TEXT(Tabla1[[#This Row],[Fecha]],"MMMM")</f>
        <v>abril</v>
      </c>
      <c r="C4971" t="s">
        <v>4981</v>
      </c>
      <c r="D4971" t="s">
        <v>5015</v>
      </c>
      <c r="E4971" t="s">
        <v>5033</v>
      </c>
      <c r="F4971" t="s">
        <v>5039</v>
      </c>
      <c r="G4971" s="3">
        <v>1485.62</v>
      </c>
      <c r="H4971" s="3">
        <v>193.13</v>
      </c>
      <c r="I4971" s="3">
        <f>SUM(Tabla1[[#This Row],[Monto_Base]],H4971)</f>
        <v>1678.75</v>
      </c>
      <c r="J4971" t="s">
        <v>5046</v>
      </c>
      <c r="K4971" t="s">
        <v>5049</v>
      </c>
      <c r="L4971" t="s">
        <v>5051</v>
      </c>
      <c r="M4971" t="s">
        <v>5054</v>
      </c>
    </row>
    <row r="4972" spans="1:13" x14ac:dyDescent="0.3">
      <c r="A4972" s="1">
        <v>45322</v>
      </c>
      <c r="B4972" s="1" t="str">
        <f>TEXT(Tabla1[[#This Row],[Fecha]],"MMMM")</f>
        <v>enero</v>
      </c>
      <c r="C4972" t="s">
        <v>4982</v>
      </c>
      <c r="D4972" t="s">
        <v>5016</v>
      </c>
      <c r="E4972" t="s">
        <v>5032</v>
      </c>
      <c r="F4972" t="s">
        <v>5039</v>
      </c>
      <c r="G4972" s="3">
        <v>8519.5400000000009</v>
      </c>
      <c r="H4972" s="3">
        <v>0</v>
      </c>
      <c r="I4972" s="3">
        <f>SUM(Tabla1[[#This Row],[Monto_Base]],H4972)</f>
        <v>8519.5400000000009</v>
      </c>
      <c r="J4972" t="s">
        <v>5046</v>
      </c>
      <c r="K4972" t="s">
        <v>5047</v>
      </c>
      <c r="L4972" t="s">
        <v>5052</v>
      </c>
      <c r="M4972" t="s">
        <v>5054</v>
      </c>
    </row>
    <row r="4973" spans="1:13" x14ac:dyDescent="0.3">
      <c r="A4973" s="1">
        <v>45626</v>
      </c>
      <c r="B4973" s="1" t="str">
        <f>TEXT(Tabla1[[#This Row],[Fecha]],"MMMM")</f>
        <v>noviembre</v>
      </c>
      <c r="C4973" t="s">
        <v>4983</v>
      </c>
      <c r="D4973" t="s">
        <v>5028</v>
      </c>
      <c r="E4973" t="s">
        <v>5032</v>
      </c>
      <c r="F4973" t="s">
        <v>5040</v>
      </c>
      <c r="G4973" s="3">
        <v>11635.25</v>
      </c>
      <c r="H4973" s="3">
        <v>0</v>
      </c>
      <c r="I4973" s="3">
        <f>SUM(Tabla1[[#This Row],[Monto_Base]],H4973)</f>
        <v>11635.25</v>
      </c>
      <c r="J4973" t="s">
        <v>5046</v>
      </c>
      <c r="K4973" t="s">
        <v>5049</v>
      </c>
      <c r="L4973" t="s">
        <v>5051</v>
      </c>
      <c r="M4973" t="s">
        <v>5054</v>
      </c>
    </row>
    <row r="4974" spans="1:13" x14ac:dyDescent="0.3">
      <c r="A4974" s="1">
        <v>45348</v>
      </c>
      <c r="B4974" s="1" t="str">
        <f>TEXT(Tabla1[[#This Row],[Fecha]],"MMMM")</f>
        <v>febrero</v>
      </c>
      <c r="C4974" t="s">
        <v>4984</v>
      </c>
      <c r="D4974" t="s">
        <v>5021</v>
      </c>
      <c r="E4974" t="s">
        <v>5032</v>
      </c>
      <c r="F4974" t="s">
        <v>5041</v>
      </c>
      <c r="G4974" s="3">
        <v>7759.63</v>
      </c>
      <c r="H4974" s="3">
        <v>0</v>
      </c>
      <c r="I4974" s="3">
        <f>SUM(Tabla1[[#This Row],[Monto_Base]],H4974)</f>
        <v>7759.63</v>
      </c>
      <c r="J4974" t="s">
        <v>5046</v>
      </c>
      <c r="K4974" t="s">
        <v>5047</v>
      </c>
      <c r="L4974" t="s">
        <v>5051</v>
      </c>
      <c r="M4974" t="s">
        <v>5055</v>
      </c>
    </row>
    <row r="4975" spans="1:13" x14ac:dyDescent="0.3">
      <c r="A4975" s="1">
        <v>45322</v>
      </c>
      <c r="B4975" s="1" t="str">
        <f>TEXT(Tabla1[[#This Row],[Fecha]],"MMMM")</f>
        <v>enero</v>
      </c>
      <c r="C4975" t="s">
        <v>4985</v>
      </c>
      <c r="D4975" t="s">
        <v>5028</v>
      </c>
      <c r="E4975" t="s">
        <v>5032</v>
      </c>
      <c r="F4975" t="s">
        <v>5034</v>
      </c>
      <c r="G4975" s="3">
        <v>955.33</v>
      </c>
      <c r="H4975" s="3">
        <v>0</v>
      </c>
      <c r="I4975" s="3">
        <f>SUM(Tabla1[[#This Row],[Monto_Base]],H4975)</f>
        <v>955.33</v>
      </c>
      <c r="J4975" t="s">
        <v>5046</v>
      </c>
      <c r="K4975" t="s">
        <v>5048</v>
      </c>
      <c r="L4975" t="s">
        <v>5053</v>
      </c>
      <c r="M4975" t="s">
        <v>5054</v>
      </c>
    </row>
    <row r="4976" spans="1:13" x14ac:dyDescent="0.3">
      <c r="A4976" s="1">
        <v>45436</v>
      </c>
      <c r="B4976" s="1" t="str">
        <f>TEXT(Tabla1[[#This Row],[Fecha]],"MMMM")</f>
        <v>mayo</v>
      </c>
      <c r="C4976" t="s">
        <v>4986</v>
      </c>
      <c r="D4976" t="s">
        <v>5012</v>
      </c>
      <c r="E4976" t="s">
        <v>5033</v>
      </c>
      <c r="F4976" t="s">
        <v>5036</v>
      </c>
      <c r="G4976" s="3">
        <v>3203.46</v>
      </c>
      <c r="H4976" s="3">
        <v>416.45</v>
      </c>
      <c r="I4976" s="3">
        <f>SUM(Tabla1[[#This Row],[Monto_Base]],H4976)</f>
        <v>3619.91</v>
      </c>
      <c r="J4976" t="s">
        <v>5043</v>
      </c>
      <c r="K4976" t="s">
        <v>5048</v>
      </c>
      <c r="L4976" t="s">
        <v>5051</v>
      </c>
      <c r="M4976" t="s">
        <v>5054</v>
      </c>
    </row>
    <row r="4977" spans="1:13" x14ac:dyDescent="0.3">
      <c r="A4977" s="1">
        <v>45549</v>
      </c>
      <c r="B4977" s="1" t="str">
        <f>TEXT(Tabla1[[#This Row],[Fecha]],"MMMM")</f>
        <v>septiembre</v>
      </c>
      <c r="C4977" t="s">
        <v>4987</v>
      </c>
      <c r="D4977" t="s">
        <v>5021</v>
      </c>
      <c r="E4977" t="s">
        <v>5033</v>
      </c>
      <c r="F4977" t="s">
        <v>5041</v>
      </c>
      <c r="G4977" s="3">
        <v>9650.7999999999993</v>
      </c>
      <c r="H4977" s="3">
        <v>1254.5999999999999</v>
      </c>
      <c r="I4977" s="3">
        <f>SUM(Tabla1[[#This Row],[Monto_Base]],H4977)</f>
        <v>10905.4</v>
      </c>
      <c r="J4977" t="s">
        <v>5045</v>
      </c>
      <c r="K4977" t="s">
        <v>5048</v>
      </c>
      <c r="L4977" t="s">
        <v>5051</v>
      </c>
      <c r="M4977" t="s">
        <v>5054</v>
      </c>
    </row>
    <row r="4978" spans="1:13" x14ac:dyDescent="0.3">
      <c r="A4978" s="1">
        <v>45356</v>
      </c>
      <c r="B4978" s="1" t="str">
        <f>TEXT(Tabla1[[#This Row],[Fecha]],"MMMM")</f>
        <v>marzo</v>
      </c>
      <c r="C4978" t="s">
        <v>4988</v>
      </c>
      <c r="D4978" t="s">
        <v>5018</v>
      </c>
      <c r="E4978" t="s">
        <v>5032</v>
      </c>
      <c r="F4978" t="s">
        <v>5035</v>
      </c>
      <c r="G4978" s="3">
        <v>14139.28</v>
      </c>
      <c r="H4978" s="3">
        <v>0</v>
      </c>
      <c r="I4978" s="3">
        <f>SUM(Tabla1[[#This Row],[Monto_Base]],H4978)</f>
        <v>14139.28</v>
      </c>
      <c r="J4978" t="s">
        <v>5043</v>
      </c>
      <c r="K4978" t="s">
        <v>5047</v>
      </c>
      <c r="L4978" t="s">
        <v>5051</v>
      </c>
      <c r="M4978" t="s">
        <v>5055</v>
      </c>
    </row>
    <row r="4979" spans="1:13" x14ac:dyDescent="0.3">
      <c r="A4979" s="1">
        <v>45471</v>
      </c>
      <c r="B4979" s="1" t="str">
        <f>TEXT(Tabla1[[#This Row],[Fecha]],"MMMM")</f>
        <v>junio</v>
      </c>
      <c r="C4979" t="s">
        <v>4989</v>
      </c>
      <c r="D4979" t="s">
        <v>5014</v>
      </c>
      <c r="E4979" t="s">
        <v>5032</v>
      </c>
      <c r="F4979" t="s">
        <v>5041</v>
      </c>
      <c r="G4979" s="3">
        <v>10452.68</v>
      </c>
      <c r="H4979" s="3">
        <v>0</v>
      </c>
      <c r="I4979" s="3">
        <f>SUM(Tabla1[[#This Row],[Monto_Base]],H4979)</f>
        <v>10452.68</v>
      </c>
      <c r="J4979" t="s">
        <v>5043</v>
      </c>
      <c r="K4979" t="s">
        <v>5049</v>
      </c>
      <c r="L4979" t="s">
        <v>5050</v>
      </c>
      <c r="M4979" t="s">
        <v>5055</v>
      </c>
    </row>
    <row r="4980" spans="1:13" x14ac:dyDescent="0.3">
      <c r="A4980" s="1">
        <v>45521</v>
      </c>
      <c r="B4980" s="1" t="str">
        <f>TEXT(Tabla1[[#This Row],[Fecha]],"MMMM")</f>
        <v>agosto</v>
      </c>
      <c r="C4980" t="s">
        <v>4990</v>
      </c>
      <c r="D4980" t="s">
        <v>5013</v>
      </c>
      <c r="E4980" t="s">
        <v>5033</v>
      </c>
      <c r="F4980" t="s">
        <v>5040</v>
      </c>
      <c r="G4980" s="3">
        <v>280.49</v>
      </c>
      <c r="H4980" s="3">
        <v>36.46</v>
      </c>
      <c r="I4980" s="3">
        <f>SUM(Tabla1[[#This Row],[Monto_Base]],H4980)</f>
        <v>316.95</v>
      </c>
      <c r="J4980" t="s">
        <v>5043</v>
      </c>
      <c r="K4980" t="s">
        <v>5048</v>
      </c>
      <c r="L4980" t="s">
        <v>5050</v>
      </c>
      <c r="M4980" t="s">
        <v>5055</v>
      </c>
    </row>
    <row r="4981" spans="1:13" x14ac:dyDescent="0.3">
      <c r="A4981" s="1">
        <v>45502</v>
      </c>
      <c r="B4981" s="1" t="str">
        <f>TEXT(Tabla1[[#This Row],[Fecha]],"MMMM")</f>
        <v>julio</v>
      </c>
      <c r="C4981" t="s">
        <v>4991</v>
      </c>
      <c r="D4981" t="s">
        <v>5018</v>
      </c>
      <c r="E4981" t="s">
        <v>5032</v>
      </c>
      <c r="F4981" t="s">
        <v>5034</v>
      </c>
      <c r="G4981" s="3">
        <v>3305.61</v>
      </c>
      <c r="H4981" s="3">
        <v>0</v>
      </c>
      <c r="I4981" s="3">
        <f>SUM(Tabla1[[#This Row],[Monto_Base]],H4981)</f>
        <v>3305.61</v>
      </c>
      <c r="J4981" t="s">
        <v>5042</v>
      </c>
      <c r="K4981" t="s">
        <v>5047</v>
      </c>
      <c r="L4981" t="s">
        <v>5053</v>
      </c>
      <c r="M4981" t="s">
        <v>5055</v>
      </c>
    </row>
    <row r="4982" spans="1:13" x14ac:dyDescent="0.3">
      <c r="A4982" s="1">
        <v>45628</v>
      </c>
      <c r="B4982" s="1" t="str">
        <f>TEXT(Tabla1[[#This Row],[Fecha]],"MMMM")</f>
        <v>diciembre</v>
      </c>
      <c r="C4982" t="s">
        <v>4992</v>
      </c>
      <c r="D4982" t="s">
        <v>5013</v>
      </c>
      <c r="E4982" t="s">
        <v>5032</v>
      </c>
      <c r="F4982" t="s">
        <v>5041</v>
      </c>
      <c r="G4982" s="3">
        <v>4746.96</v>
      </c>
      <c r="H4982" s="3">
        <v>0</v>
      </c>
      <c r="I4982" s="3">
        <f>SUM(Tabla1[[#This Row],[Monto_Base]],H4982)</f>
        <v>4746.96</v>
      </c>
      <c r="J4982" t="s">
        <v>5044</v>
      </c>
      <c r="K4982" t="s">
        <v>5049</v>
      </c>
      <c r="L4982" t="s">
        <v>5052</v>
      </c>
      <c r="M4982" t="s">
        <v>5054</v>
      </c>
    </row>
    <row r="4983" spans="1:13" x14ac:dyDescent="0.3">
      <c r="A4983" s="1">
        <v>45539</v>
      </c>
      <c r="B4983" s="1" t="str">
        <f>TEXT(Tabla1[[#This Row],[Fecha]],"MMMM")</f>
        <v>septiembre</v>
      </c>
      <c r="C4983" t="s">
        <v>4993</v>
      </c>
      <c r="D4983" t="s">
        <v>5013</v>
      </c>
      <c r="E4983" t="s">
        <v>5033</v>
      </c>
      <c r="F4983" t="s">
        <v>5039</v>
      </c>
      <c r="G4983" s="3">
        <v>13271.17</v>
      </c>
      <c r="H4983" s="3">
        <v>1725.25</v>
      </c>
      <c r="I4983" s="3">
        <f>SUM(Tabla1[[#This Row],[Monto_Base]],H4983)</f>
        <v>14996.42</v>
      </c>
      <c r="J4983" t="s">
        <v>5045</v>
      </c>
      <c r="K4983" t="s">
        <v>5049</v>
      </c>
      <c r="L4983" t="s">
        <v>5051</v>
      </c>
      <c r="M4983" t="s">
        <v>5054</v>
      </c>
    </row>
    <row r="4984" spans="1:13" x14ac:dyDescent="0.3">
      <c r="A4984" s="1">
        <v>45362</v>
      </c>
      <c r="B4984" s="1" t="str">
        <f>TEXT(Tabla1[[#This Row],[Fecha]],"MMMM")</f>
        <v>marzo</v>
      </c>
      <c r="C4984" t="s">
        <v>4994</v>
      </c>
      <c r="D4984" t="s">
        <v>5015</v>
      </c>
      <c r="E4984" t="s">
        <v>5033</v>
      </c>
      <c r="F4984" t="s">
        <v>5034</v>
      </c>
      <c r="G4984" s="3">
        <v>9751.75</v>
      </c>
      <c r="H4984" s="3">
        <v>1267.73</v>
      </c>
      <c r="I4984" s="3">
        <f>SUM(Tabla1[[#This Row],[Monto_Base]],H4984)</f>
        <v>11019.48</v>
      </c>
      <c r="J4984" t="s">
        <v>5046</v>
      </c>
      <c r="K4984" t="s">
        <v>5049</v>
      </c>
      <c r="L4984" t="s">
        <v>5053</v>
      </c>
      <c r="M4984" t="s">
        <v>5055</v>
      </c>
    </row>
    <row r="4985" spans="1:13" x14ac:dyDescent="0.3">
      <c r="A4985" s="1">
        <v>45330</v>
      </c>
      <c r="B4985" s="1" t="str">
        <f>TEXT(Tabla1[[#This Row],[Fecha]],"MMMM")</f>
        <v>febrero</v>
      </c>
      <c r="C4985" t="s">
        <v>4995</v>
      </c>
      <c r="D4985" t="s">
        <v>5017</v>
      </c>
      <c r="E4985" t="s">
        <v>5033</v>
      </c>
      <c r="F4985" t="s">
        <v>5037</v>
      </c>
      <c r="G4985" s="3">
        <v>13430.1</v>
      </c>
      <c r="H4985" s="3">
        <v>1745.91</v>
      </c>
      <c r="I4985" s="3">
        <f>SUM(Tabla1[[#This Row],[Monto_Base]],H4985)</f>
        <v>15176.01</v>
      </c>
      <c r="J4985" t="s">
        <v>5043</v>
      </c>
      <c r="K4985" t="s">
        <v>5048</v>
      </c>
      <c r="L4985" t="s">
        <v>5050</v>
      </c>
      <c r="M4985" t="s">
        <v>5055</v>
      </c>
    </row>
    <row r="4986" spans="1:13" x14ac:dyDescent="0.3">
      <c r="A4986" s="1">
        <v>45349</v>
      </c>
      <c r="B4986" s="1" t="str">
        <f>TEXT(Tabla1[[#This Row],[Fecha]],"MMMM")</f>
        <v>febrero</v>
      </c>
      <c r="C4986" t="s">
        <v>4996</v>
      </c>
      <c r="D4986" t="s">
        <v>5019</v>
      </c>
      <c r="E4986" t="s">
        <v>5032</v>
      </c>
      <c r="F4986" t="s">
        <v>5035</v>
      </c>
      <c r="G4986" s="3">
        <v>7341.68</v>
      </c>
      <c r="H4986" s="3">
        <v>0</v>
      </c>
      <c r="I4986" s="3">
        <f>SUM(Tabla1[[#This Row],[Monto_Base]],H4986)</f>
        <v>7341.68</v>
      </c>
      <c r="J4986" t="s">
        <v>5042</v>
      </c>
      <c r="K4986" t="s">
        <v>5049</v>
      </c>
      <c r="L4986" t="s">
        <v>5051</v>
      </c>
      <c r="M4986" t="s">
        <v>5054</v>
      </c>
    </row>
    <row r="4987" spans="1:13" x14ac:dyDescent="0.3">
      <c r="A4987" s="1">
        <v>45524</v>
      </c>
      <c r="B4987" s="1" t="str">
        <f>TEXT(Tabla1[[#This Row],[Fecha]],"MMMM")</f>
        <v>agosto</v>
      </c>
      <c r="C4987" t="s">
        <v>4997</v>
      </c>
      <c r="D4987" t="s">
        <v>5013</v>
      </c>
      <c r="E4987" t="s">
        <v>5032</v>
      </c>
      <c r="F4987" t="s">
        <v>5041</v>
      </c>
      <c r="G4987" s="3">
        <v>8200.0300000000007</v>
      </c>
      <c r="H4987" s="3">
        <v>0</v>
      </c>
      <c r="I4987" s="3">
        <f>SUM(Tabla1[[#This Row],[Monto_Base]],H4987)</f>
        <v>8200.0300000000007</v>
      </c>
      <c r="J4987" t="s">
        <v>5046</v>
      </c>
      <c r="K4987" t="s">
        <v>5047</v>
      </c>
      <c r="L4987" t="s">
        <v>5053</v>
      </c>
      <c r="M4987" t="s">
        <v>5054</v>
      </c>
    </row>
    <row r="4988" spans="1:13" x14ac:dyDescent="0.3">
      <c r="A4988" s="1">
        <v>45556</v>
      </c>
      <c r="B4988" s="1" t="str">
        <f>TEXT(Tabla1[[#This Row],[Fecha]],"MMMM")</f>
        <v>septiembre</v>
      </c>
      <c r="C4988" t="s">
        <v>4998</v>
      </c>
      <c r="D4988" t="s">
        <v>5030</v>
      </c>
      <c r="E4988" t="s">
        <v>5032</v>
      </c>
      <c r="F4988" t="s">
        <v>5040</v>
      </c>
      <c r="G4988" s="3">
        <v>14039.93</v>
      </c>
      <c r="H4988" s="3">
        <v>0</v>
      </c>
      <c r="I4988" s="3">
        <f>SUM(Tabla1[[#This Row],[Monto_Base]],H4988)</f>
        <v>14039.93</v>
      </c>
      <c r="J4988" t="s">
        <v>5043</v>
      </c>
      <c r="K4988" t="s">
        <v>5047</v>
      </c>
      <c r="L4988" t="s">
        <v>5052</v>
      </c>
      <c r="M4988" t="s">
        <v>5055</v>
      </c>
    </row>
    <row r="4989" spans="1:13" x14ac:dyDescent="0.3">
      <c r="A4989" s="1">
        <v>45446</v>
      </c>
      <c r="B4989" s="1" t="str">
        <f>TEXT(Tabla1[[#This Row],[Fecha]],"MMMM")</f>
        <v>junio</v>
      </c>
      <c r="C4989" t="s">
        <v>4999</v>
      </c>
      <c r="D4989" t="s">
        <v>5028</v>
      </c>
      <c r="E4989" t="s">
        <v>5033</v>
      </c>
      <c r="F4989" t="s">
        <v>5037</v>
      </c>
      <c r="G4989" s="3">
        <v>13057.62</v>
      </c>
      <c r="H4989" s="3">
        <v>1697.49</v>
      </c>
      <c r="I4989" s="3">
        <f>SUM(Tabla1[[#This Row],[Monto_Base]],H4989)</f>
        <v>14755.11</v>
      </c>
      <c r="J4989" t="s">
        <v>5044</v>
      </c>
      <c r="K4989" t="s">
        <v>5049</v>
      </c>
      <c r="L4989" t="s">
        <v>5051</v>
      </c>
      <c r="M4989" t="s">
        <v>5055</v>
      </c>
    </row>
    <row r="4990" spans="1:13" x14ac:dyDescent="0.3">
      <c r="A4990" s="1">
        <v>45574</v>
      </c>
      <c r="B4990" s="1" t="str">
        <f>TEXT(Tabla1[[#This Row],[Fecha]],"MMMM")</f>
        <v>octubre</v>
      </c>
      <c r="C4990" t="s">
        <v>5000</v>
      </c>
      <c r="D4990" t="s">
        <v>5018</v>
      </c>
      <c r="E4990" t="s">
        <v>5033</v>
      </c>
      <c r="F4990" t="s">
        <v>5038</v>
      </c>
      <c r="G4990" s="3">
        <v>6952.21</v>
      </c>
      <c r="H4990" s="3">
        <v>903.79</v>
      </c>
      <c r="I4990" s="3">
        <f>SUM(Tabla1[[#This Row],[Monto_Base]],H4990)</f>
        <v>7856</v>
      </c>
      <c r="J4990" t="s">
        <v>5043</v>
      </c>
      <c r="K4990" t="s">
        <v>5048</v>
      </c>
      <c r="L4990" t="s">
        <v>5053</v>
      </c>
      <c r="M4990" t="s">
        <v>5054</v>
      </c>
    </row>
    <row r="4991" spans="1:13" x14ac:dyDescent="0.3">
      <c r="A4991" s="1">
        <v>45546</v>
      </c>
      <c r="B4991" s="1" t="str">
        <f>TEXT(Tabla1[[#This Row],[Fecha]],"MMMM")</f>
        <v>septiembre</v>
      </c>
      <c r="C4991" t="s">
        <v>5001</v>
      </c>
      <c r="D4991" t="s">
        <v>5025</v>
      </c>
      <c r="E4991" t="s">
        <v>5033</v>
      </c>
      <c r="F4991" t="s">
        <v>5036</v>
      </c>
      <c r="G4991" s="3">
        <v>13340.13</v>
      </c>
      <c r="H4991" s="3">
        <v>1734.22</v>
      </c>
      <c r="I4991" s="3">
        <f>SUM(Tabla1[[#This Row],[Monto_Base]],H4991)</f>
        <v>15074.349999999999</v>
      </c>
      <c r="J4991" t="s">
        <v>5042</v>
      </c>
      <c r="K4991" t="s">
        <v>5048</v>
      </c>
      <c r="L4991" t="s">
        <v>5051</v>
      </c>
      <c r="M4991" t="s">
        <v>5055</v>
      </c>
    </row>
    <row r="4992" spans="1:13" x14ac:dyDescent="0.3">
      <c r="A4992" s="1">
        <v>45552</v>
      </c>
      <c r="B4992" s="1" t="str">
        <f>TEXT(Tabla1[[#This Row],[Fecha]],"MMMM")</f>
        <v>septiembre</v>
      </c>
      <c r="C4992" t="s">
        <v>5002</v>
      </c>
      <c r="D4992" t="s">
        <v>5012</v>
      </c>
      <c r="E4992" t="s">
        <v>5033</v>
      </c>
      <c r="F4992" t="s">
        <v>5041</v>
      </c>
      <c r="G4992" s="3">
        <v>12388.23</v>
      </c>
      <c r="H4992" s="3">
        <v>1610.47</v>
      </c>
      <c r="I4992" s="3">
        <f>SUM(Tabla1[[#This Row],[Monto_Base]],H4992)</f>
        <v>13998.699999999999</v>
      </c>
      <c r="J4992" t="s">
        <v>5042</v>
      </c>
      <c r="K4992" t="s">
        <v>5048</v>
      </c>
      <c r="L4992" t="s">
        <v>5052</v>
      </c>
      <c r="M4992" t="s">
        <v>5055</v>
      </c>
    </row>
    <row r="4993" spans="1:13" x14ac:dyDescent="0.3">
      <c r="A4993" s="1">
        <v>45511</v>
      </c>
      <c r="B4993" s="1" t="str">
        <f>TEXT(Tabla1[[#This Row],[Fecha]],"MMMM")</f>
        <v>agosto</v>
      </c>
      <c r="C4993" t="s">
        <v>5003</v>
      </c>
      <c r="D4993" t="s">
        <v>5024</v>
      </c>
      <c r="E4993" t="s">
        <v>5032</v>
      </c>
      <c r="F4993" t="s">
        <v>5034</v>
      </c>
      <c r="G4993" s="3">
        <v>6119.91</v>
      </c>
      <c r="H4993" s="3">
        <v>0</v>
      </c>
      <c r="I4993" s="3">
        <f>SUM(Tabla1[[#This Row],[Monto_Base]],H4993)</f>
        <v>6119.91</v>
      </c>
      <c r="J4993" t="s">
        <v>5045</v>
      </c>
      <c r="K4993" t="s">
        <v>5048</v>
      </c>
      <c r="L4993" t="s">
        <v>5051</v>
      </c>
      <c r="M4993" t="s">
        <v>5055</v>
      </c>
    </row>
    <row r="4994" spans="1:13" x14ac:dyDescent="0.3">
      <c r="A4994" s="1">
        <v>45561</v>
      </c>
      <c r="B4994" s="1" t="str">
        <f>TEXT(Tabla1[[#This Row],[Fecha]],"MMMM")</f>
        <v>septiembre</v>
      </c>
      <c r="C4994" t="s">
        <v>5004</v>
      </c>
      <c r="D4994" t="s">
        <v>5030</v>
      </c>
      <c r="E4994" t="s">
        <v>5033</v>
      </c>
      <c r="F4994" t="s">
        <v>5036</v>
      </c>
      <c r="G4994" s="3">
        <v>6136.41</v>
      </c>
      <c r="H4994" s="3">
        <v>797.73</v>
      </c>
      <c r="I4994" s="3">
        <f>SUM(Tabla1[[#This Row],[Monto_Base]],H4994)</f>
        <v>6934.1399999999994</v>
      </c>
      <c r="J4994" t="s">
        <v>5046</v>
      </c>
      <c r="K4994" t="s">
        <v>5049</v>
      </c>
      <c r="L4994" t="s">
        <v>5050</v>
      </c>
      <c r="M4994" t="s">
        <v>5055</v>
      </c>
    </row>
    <row r="4995" spans="1:13" x14ac:dyDescent="0.3">
      <c r="A4995" s="1">
        <v>45505</v>
      </c>
      <c r="B4995" s="1" t="str">
        <f>TEXT(Tabla1[[#This Row],[Fecha]],"MMMM")</f>
        <v>agosto</v>
      </c>
      <c r="C4995" t="s">
        <v>5005</v>
      </c>
      <c r="D4995" t="s">
        <v>5021</v>
      </c>
      <c r="E4995" t="s">
        <v>5032</v>
      </c>
      <c r="F4995" t="s">
        <v>5041</v>
      </c>
      <c r="G4995" s="3">
        <v>4358.95</v>
      </c>
      <c r="H4995" s="3">
        <v>0</v>
      </c>
      <c r="I4995" s="3">
        <f>SUM(Tabla1[[#This Row],[Monto_Base]],H4995)</f>
        <v>4358.95</v>
      </c>
      <c r="J4995" t="s">
        <v>5043</v>
      </c>
      <c r="K4995" t="s">
        <v>5049</v>
      </c>
      <c r="L4995" t="s">
        <v>5051</v>
      </c>
      <c r="M4995" t="s">
        <v>5055</v>
      </c>
    </row>
    <row r="4996" spans="1:13" x14ac:dyDescent="0.3">
      <c r="A4996" s="1">
        <v>45619</v>
      </c>
      <c r="B4996" s="1" t="str">
        <f>TEXT(Tabla1[[#This Row],[Fecha]],"MMMM")</f>
        <v>noviembre</v>
      </c>
      <c r="C4996" t="s">
        <v>5006</v>
      </c>
      <c r="D4996" t="s">
        <v>5018</v>
      </c>
      <c r="E4996" t="s">
        <v>5033</v>
      </c>
      <c r="F4996" t="s">
        <v>5034</v>
      </c>
      <c r="G4996" s="3">
        <v>9651.17</v>
      </c>
      <c r="H4996" s="3">
        <v>1254.6500000000001</v>
      </c>
      <c r="I4996" s="3">
        <f>SUM(Tabla1[[#This Row],[Monto_Base]],H4996)</f>
        <v>10905.82</v>
      </c>
      <c r="J4996" t="s">
        <v>5045</v>
      </c>
      <c r="K4996" t="s">
        <v>5049</v>
      </c>
      <c r="L4996" t="s">
        <v>5053</v>
      </c>
      <c r="M4996" t="s">
        <v>5055</v>
      </c>
    </row>
    <row r="4997" spans="1:13" x14ac:dyDescent="0.3">
      <c r="A4997" s="1">
        <v>45401</v>
      </c>
      <c r="B4997" s="1" t="str">
        <f>TEXT(Tabla1[[#This Row],[Fecha]],"MMMM")</f>
        <v>abril</v>
      </c>
      <c r="C4997" t="s">
        <v>5007</v>
      </c>
      <c r="D4997" t="s">
        <v>5025</v>
      </c>
      <c r="E4997" t="s">
        <v>5032</v>
      </c>
      <c r="F4997" t="s">
        <v>5038</v>
      </c>
      <c r="G4997" s="3">
        <v>1857.57</v>
      </c>
      <c r="H4997" s="3">
        <v>0</v>
      </c>
      <c r="I4997" s="3">
        <f>SUM(Tabla1[[#This Row],[Monto_Base]],H4997)</f>
        <v>1857.57</v>
      </c>
      <c r="J4997" t="s">
        <v>5044</v>
      </c>
      <c r="K4997" t="s">
        <v>5048</v>
      </c>
      <c r="L4997" t="s">
        <v>5051</v>
      </c>
      <c r="M4997" t="s">
        <v>5055</v>
      </c>
    </row>
    <row r="4998" spans="1:13" x14ac:dyDescent="0.3">
      <c r="A4998" s="1">
        <v>45599</v>
      </c>
      <c r="B4998" s="1" t="str">
        <f>TEXT(Tabla1[[#This Row],[Fecha]],"MMMM")</f>
        <v>noviembre</v>
      </c>
      <c r="C4998" t="s">
        <v>5008</v>
      </c>
      <c r="D4998" t="s">
        <v>5014</v>
      </c>
      <c r="E4998" t="s">
        <v>5032</v>
      </c>
      <c r="F4998" t="s">
        <v>5035</v>
      </c>
      <c r="G4998" s="3">
        <v>10872.01</v>
      </c>
      <c r="H4998" s="3">
        <v>0</v>
      </c>
      <c r="I4998" s="3">
        <f>SUM(Tabla1[[#This Row],[Monto_Base]],H4998)</f>
        <v>10872.01</v>
      </c>
      <c r="J4998" t="s">
        <v>5045</v>
      </c>
      <c r="K4998" t="s">
        <v>5048</v>
      </c>
      <c r="L4998" t="s">
        <v>5050</v>
      </c>
      <c r="M4998" t="s">
        <v>5054</v>
      </c>
    </row>
    <row r="4999" spans="1:13" x14ac:dyDescent="0.3">
      <c r="A4999" s="1">
        <v>45302</v>
      </c>
      <c r="B4999" s="1" t="str">
        <f>TEXT(Tabla1[[#This Row],[Fecha]],"MMMM")</f>
        <v>enero</v>
      </c>
      <c r="C4999" t="s">
        <v>5009</v>
      </c>
      <c r="D4999" t="s">
        <v>5020</v>
      </c>
      <c r="E4999" t="s">
        <v>5032</v>
      </c>
      <c r="F4999" t="s">
        <v>5034</v>
      </c>
      <c r="G4999" s="3">
        <v>450.67</v>
      </c>
      <c r="H4999" s="3">
        <v>0</v>
      </c>
      <c r="I4999" s="3">
        <f>SUM(Tabla1[[#This Row],[Monto_Base]],H4999)</f>
        <v>450.67</v>
      </c>
      <c r="J4999" t="s">
        <v>5045</v>
      </c>
      <c r="K4999" t="s">
        <v>5048</v>
      </c>
      <c r="L4999" t="s">
        <v>5052</v>
      </c>
      <c r="M4999" t="s">
        <v>5054</v>
      </c>
    </row>
    <row r="5000" spans="1:13" x14ac:dyDescent="0.3">
      <c r="A5000" s="1">
        <v>45471</v>
      </c>
      <c r="B5000" s="1" t="str">
        <f>TEXT(Tabla1[[#This Row],[Fecha]],"MMMM")</f>
        <v>junio</v>
      </c>
      <c r="C5000" t="s">
        <v>5010</v>
      </c>
      <c r="D5000" t="s">
        <v>5030</v>
      </c>
      <c r="E5000" t="s">
        <v>5033</v>
      </c>
      <c r="F5000" t="s">
        <v>5041</v>
      </c>
      <c r="G5000" s="3">
        <v>2622.72</v>
      </c>
      <c r="H5000" s="3">
        <v>340.95</v>
      </c>
      <c r="I5000" s="3">
        <f>SUM(Tabla1[[#This Row],[Monto_Base]],H5000)</f>
        <v>2963.6699999999996</v>
      </c>
      <c r="J5000" t="s">
        <v>5042</v>
      </c>
      <c r="K5000" t="s">
        <v>5047</v>
      </c>
      <c r="L5000" t="s">
        <v>5053</v>
      </c>
      <c r="M5000" t="s">
        <v>5054</v>
      </c>
    </row>
    <row r="5001" spans="1:13" x14ac:dyDescent="0.3">
      <c r="A5001" s="1">
        <v>45479</v>
      </c>
      <c r="B5001" s="1" t="str">
        <f>TEXT(Tabla1[[#This Row],[Fecha]],"MMMM")</f>
        <v>julio</v>
      </c>
      <c r="C5001" t="s">
        <v>5011</v>
      </c>
      <c r="D5001" t="s">
        <v>5019</v>
      </c>
      <c r="E5001" t="s">
        <v>5032</v>
      </c>
      <c r="F5001" t="s">
        <v>5039</v>
      </c>
      <c r="G5001" s="3">
        <v>3912.08</v>
      </c>
      <c r="H5001" s="3">
        <v>0</v>
      </c>
      <c r="I5001" s="3">
        <f>SUM(Tabla1[[#This Row],[Monto_Base]],H5001)</f>
        <v>3912.08</v>
      </c>
      <c r="J5001" t="s">
        <v>5044</v>
      </c>
      <c r="K5001" t="s">
        <v>5048</v>
      </c>
      <c r="L5001" t="s">
        <v>5052</v>
      </c>
      <c r="M5001" t="s">
        <v>5055</v>
      </c>
    </row>
  </sheetData>
  <conditionalFormatting sqref="M2:M5001">
    <cfRule type="containsText" dxfId="1" priority="1" operator="containsText" text="Pendiente">
      <formula>NOT(ISERROR(SEARCH("Pendiente",M2)))</formula>
    </cfRule>
    <cfRule type="containsText" dxfId="0" priority="2" operator="containsText" text="Pagado">
      <formula>NOT(ISERROR(SEARCH("Pagado",M2)))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C095-1B87-4C4E-8522-5767DD6F657B}">
  <dimension ref="A1:H13"/>
  <sheetViews>
    <sheetView zoomScale="106" workbookViewId="0">
      <selection activeCell="C12" sqref="C12"/>
    </sheetView>
  </sheetViews>
  <sheetFormatPr baseColWidth="10" defaultRowHeight="14.4" x14ac:dyDescent="0.3"/>
  <cols>
    <col min="2" max="2" width="20.33203125" bestFit="1" customWidth="1"/>
    <col min="3" max="3" width="14.77734375" bestFit="1" customWidth="1"/>
    <col min="5" max="6" width="15.77734375" customWidth="1"/>
  </cols>
  <sheetData>
    <row r="1" spans="1:8" s="30" customFormat="1" x14ac:dyDescent="0.3">
      <c r="A1" s="30" t="s">
        <v>5058</v>
      </c>
    </row>
    <row r="2" spans="1:8" s="30" customFormat="1" x14ac:dyDescent="0.3"/>
    <row r="3" spans="1:8" s="30" customFormat="1" x14ac:dyDescent="0.3"/>
    <row r="6" spans="1:8" ht="15.6" x14ac:dyDescent="0.3">
      <c r="B6" s="19" t="s">
        <v>5059</v>
      </c>
      <c r="C6" s="20" t="s">
        <v>5060</v>
      </c>
      <c r="D6" s="18"/>
      <c r="E6" s="31" t="s">
        <v>5068</v>
      </c>
      <c r="F6" s="32"/>
      <c r="G6" s="10"/>
    </row>
    <row r="7" spans="1:8" x14ac:dyDescent="0.3">
      <c r="B7" s="16" t="s">
        <v>5056</v>
      </c>
      <c r="C7" s="14">
        <f>SUMIFS(Base_De_Datos!I:I,Base_De_Datos!E:E,"Ingreso")</f>
        <v>21301949.510000035</v>
      </c>
      <c r="E7" s="8" t="s">
        <v>5063</v>
      </c>
      <c r="F7" s="11"/>
      <c r="G7" s="10"/>
    </row>
    <row r="8" spans="1:8" x14ac:dyDescent="0.3">
      <c r="B8" s="16" t="s">
        <v>5062</v>
      </c>
      <c r="C8" s="14">
        <f>SUMIFS(Base_De_Datos!I:I,Base_De_Datos!E:E,"Gasto")</f>
        <v>18723380.559999987</v>
      </c>
      <c r="D8" s="17"/>
      <c r="E8" s="8" t="s">
        <v>5064</v>
      </c>
      <c r="F8" s="13"/>
      <c r="H8" s="23"/>
    </row>
    <row r="9" spans="1:8" x14ac:dyDescent="0.3">
      <c r="B9" s="16" t="s">
        <v>5071</v>
      </c>
      <c r="C9" s="22">
        <f>C7-C8</f>
        <v>2578568.9500000477</v>
      </c>
      <c r="D9" s="17"/>
      <c r="E9" s="8" t="s">
        <v>5065</v>
      </c>
      <c r="F9" s="12"/>
      <c r="G9" s="10"/>
    </row>
    <row r="10" spans="1:8" x14ac:dyDescent="0.3">
      <c r="B10" s="16" t="s">
        <v>5066</v>
      </c>
      <c r="C10" s="14">
        <f>DSUM(Tabla1[#All],"Impuesto",Base_De_Datos!H:H)</f>
        <v>2450977.7999999984</v>
      </c>
      <c r="D10" s="17"/>
      <c r="E10" s="33" t="s">
        <v>5070</v>
      </c>
      <c r="F10" s="34"/>
      <c r="G10" s="10"/>
    </row>
    <row r="11" spans="1:8" x14ac:dyDescent="0.3">
      <c r="B11" s="16" t="s">
        <v>5061</v>
      </c>
      <c r="C11" s="28">
        <f>C7-C8-C10</f>
        <v>127591.15000004927</v>
      </c>
      <c r="D11" s="17"/>
      <c r="E11" s="33" t="s">
        <v>5072</v>
      </c>
      <c r="F11" s="34"/>
      <c r="G11" s="10"/>
    </row>
    <row r="12" spans="1:8" x14ac:dyDescent="0.3">
      <c r="B12" s="16" t="s">
        <v>5067</v>
      </c>
      <c r="C12" s="15">
        <f>COUNTA(Tabla1[ID_Transaccion])</f>
        <v>5000</v>
      </c>
      <c r="D12" s="17"/>
      <c r="E12" s="21" t="s">
        <v>5069</v>
      </c>
      <c r="F12" s="9"/>
      <c r="G12" s="10"/>
    </row>
    <row r="13" spans="1:8" x14ac:dyDescent="0.3">
      <c r="C13" s="7"/>
      <c r="E13" s="7"/>
      <c r="F13" s="7"/>
    </row>
  </sheetData>
  <mergeCells count="4">
    <mergeCell ref="A1:XFD3"/>
    <mergeCell ref="E6:F6"/>
    <mergeCell ref="E11:F11"/>
    <mergeCell ref="E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477E-2C12-46BD-9FD3-44152A3AF2A9}">
  <dimension ref="A1:G11"/>
  <sheetViews>
    <sheetView zoomScale="108" zoomScaleNormal="175" workbookViewId="0">
      <selection activeCell="K10" sqref="K10"/>
    </sheetView>
  </sheetViews>
  <sheetFormatPr baseColWidth="10" defaultRowHeight="14.4" x14ac:dyDescent="0.3"/>
  <cols>
    <col min="2" max="2" width="13.77734375" bestFit="1" customWidth="1"/>
    <col min="3" max="3" width="18.33203125" bestFit="1" customWidth="1"/>
    <col min="4" max="4" width="23.44140625" bestFit="1" customWidth="1"/>
    <col min="5" max="5" width="13.21875" bestFit="1" customWidth="1"/>
    <col min="6" max="6" width="11.6640625" bestFit="1" customWidth="1"/>
    <col min="7" max="7" width="10" bestFit="1" customWidth="1"/>
  </cols>
  <sheetData>
    <row r="1" spans="1:7" s="35" customFormat="1" x14ac:dyDescent="0.3">
      <c r="A1" s="35" t="s">
        <v>5073</v>
      </c>
    </row>
    <row r="2" spans="1:7" s="35" customFormat="1" x14ac:dyDescent="0.3"/>
    <row r="3" spans="1:7" s="35" customFormat="1" x14ac:dyDescent="0.3"/>
    <row r="6" spans="1:7" x14ac:dyDescent="0.3">
      <c r="B6" s="24" t="s">
        <v>1</v>
      </c>
      <c r="C6" s="5" t="s">
        <v>5003</v>
      </c>
      <c r="D6" s="4"/>
      <c r="E6" s="4"/>
      <c r="F6" s="4"/>
      <c r="G6" s="4"/>
    </row>
    <row r="7" spans="1:7" x14ac:dyDescent="0.3">
      <c r="B7" s="4"/>
      <c r="C7" s="4"/>
      <c r="D7" s="4"/>
      <c r="E7" s="4"/>
      <c r="F7" s="4"/>
      <c r="G7" s="4"/>
    </row>
    <row r="8" spans="1:7" x14ac:dyDescent="0.3">
      <c r="B8" s="24" t="s">
        <v>0</v>
      </c>
      <c r="C8" s="24" t="s">
        <v>2</v>
      </c>
      <c r="D8" s="24" t="s">
        <v>3</v>
      </c>
      <c r="E8" s="24" t="s">
        <v>4</v>
      </c>
      <c r="F8" s="24" t="s">
        <v>5</v>
      </c>
      <c r="G8" s="24" t="s">
        <v>6</v>
      </c>
    </row>
    <row r="9" spans="1:7" x14ac:dyDescent="0.3">
      <c r="B9" s="25">
        <f>_xlfn.XLOOKUP(C6,Base_De_Datos!C:C,Base_De_Datos!A:A,"No es posible hayarlo",0)</f>
        <v>45511</v>
      </c>
      <c r="C9" s="26" t="str">
        <f>_xlfn.XLOOKUP(C6,Base_De_Datos!C:C,Base_De_Datos!D:D,"No es posible hayarlo",0)</f>
        <v>María Fernández</v>
      </c>
      <c r="D9" s="26" t="str">
        <f>_xlfn.XLOOKUP(C6,Base_De_Datos!C:C,Base_De_Datos!E:E,"No es posible hayarlo",0)</f>
        <v>Gasto</v>
      </c>
      <c r="E9" s="26" t="str">
        <f>_xlfn.XLOOKUP(Consulta_Transaccion!C6,Base_De_Datos!C:C,Base_De_Datos!F:F,"No es posible hayarlo",0)</f>
        <v>Publicidad</v>
      </c>
      <c r="F9" s="27">
        <f>_xlfn.XLOOKUP(C6,Base_De_Datos!C:C,Base_De_Datos!G:G,"No es posible hayarlo",0)</f>
        <v>6119.91</v>
      </c>
      <c r="G9" s="27">
        <f>_xlfn.XLOOKUP(C6,Base_De_Datos!C:C,Base_De_Datos!H:H,"No es psoble hayarlo",0)</f>
        <v>0</v>
      </c>
    </row>
    <row r="10" spans="1:7" x14ac:dyDescent="0.3">
      <c r="B10" s="24" t="s">
        <v>7</v>
      </c>
      <c r="C10" s="24" t="s">
        <v>8</v>
      </c>
      <c r="D10" s="24" t="s">
        <v>9</v>
      </c>
      <c r="E10" s="24" t="s">
        <v>10</v>
      </c>
      <c r="F10" s="24" t="s">
        <v>11</v>
      </c>
      <c r="G10" s="4"/>
    </row>
    <row r="11" spans="1:7" x14ac:dyDescent="0.3">
      <c r="B11" s="27">
        <f>_xlfn.XLOOKUP(C6,Base_De_Datos!C:C,Base_De_Datos!I:I,"No es posible hayarlo",0)</f>
        <v>6119.91</v>
      </c>
      <c r="C11" s="26" t="str">
        <f>_xlfn.XLOOKUP(Consulta_Transaccion!C6,Base_De_Datos!C:C,Base_De_Datos!J:J,"No es posible hayarlo",0)</f>
        <v>BAC Credomatic</v>
      </c>
      <c r="D11" s="26" t="str">
        <f>_xlfn.XLOOKUP(C6,Base_De_Datos!C:C,Base_De_Datos!K:K,"No es posible hayarlo",0)</f>
        <v>Cuenta Ahorros</v>
      </c>
      <c r="E11" s="26" t="str">
        <f>_xlfn.XLOOKUP(C6,Base_De_Datos!C:C,Base_De_Datos!L:L,"No es posible hayarlo",0)</f>
        <v>Tarjeta Crédito</v>
      </c>
      <c r="F11" s="26" t="str">
        <f>_xlfn.XLOOKUP(C6,Base_De_Datos!C:C,Base_De_Datos!M:M,"No es posible hayarlo",0)</f>
        <v>Pendiente</v>
      </c>
      <c r="G11" s="4"/>
    </row>
  </sheetData>
  <mergeCells count="1">
    <mergeCell ref="A1:XFD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FC6BF097-8690-4B86-B6CF-E26671D1B207}">
          <x14:formula1>
            <xm:f>Base_De_Datos!$C$2:$C$5001</xm:f>
          </x14:formula1>
          <xm:sqref>C6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7D36-87A4-48FD-8C83-8222DDF39767}">
  <dimension ref="A1:H42"/>
  <sheetViews>
    <sheetView tabSelected="1" zoomScale="97" workbookViewId="0">
      <selection activeCell="A4" sqref="A4"/>
    </sheetView>
  </sheetViews>
  <sheetFormatPr baseColWidth="10" defaultRowHeight="14.4" x14ac:dyDescent="0.3"/>
  <cols>
    <col min="2" max="2" width="18.21875" bestFit="1" customWidth="1"/>
    <col min="3" max="3" width="20.5546875" bestFit="1" customWidth="1"/>
    <col min="4" max="4" width="23.6640625" bestFit="1" customWidth="1"/>
    <col min="5" max="5" width="14.88671875" hidden="1" customWidth="1"/>
    <col min="7" max="7" width="25.88671875" bestFit="1" customWidth="1"/>
    <col min="8" max="8" width="20.5546875" bestFit="1" customWidth="1"/>
    <col min="9" max="9" width="14.5546875" bestFit="1" customWidth="1"/>
    <col min="10" max="10" width="20.21875" bestFit="1" customWidth="1"/>
    <col min="11" max="12" width="19.88671875" bestFit="1" customWidth="1"/>
    <col min="13" max="13" width="17.6640625" bestFit="1" customWidth="1"/>
    <col min="14" max="14" width="19.88671875" bestFit="1" customWidth="1"/>
    <col min="15" max="15" width="23" bestFit="1" customWidth="1"/>
    <col min="16" max="30" width="25.6640625" bestFit="1" customWidth="1"/>
    <col min="31" max="31" width="11.88671875" bestFit="1" customWidth="1"/>
  </cols>
  <sheetData>
    <row r="1" spans="1:8" s="35" customFormat="1" x14ac:dyDescent="0.3">
      <c r="A1" s="35" t="s">
        <v>5088</v>
      </c>
    </row>
    <row r="2" spans="1:8" s="35" customFormat="1" x14ac:dyDescent="0.3"/>
    <row r="3" spans="1:8" s="35" customFormat="1" x14ac:dyDescent="0.3"/>
    <row r="6" spans="1:8" x14ac:dyDescent="0.3">
      <c r="B6" s="29" t="s">
        <v>5090</v>
      </c>
      <c r="C6" s="29" t="s">
        <v>3</v>
      </c>
      <c r="G6" s="29" t="s">
        <v>3</v>
      </c>
      <c r="H6" t="s">
        <v>5092</v>
      </c>
    </row>
    <row r="7" spans="1:8" x14ac:dyDescent="0.3">
      <c r="B7" s="29" t="s">
        <v>5057</v>
      </c>
      <c r="C7" t="s">
        <v>5032</v>
      </c>
      <c r="D7" t="s">
        <v>5033</v>
      </c>
    </row>
    <row r="8" spans="1:8" x14ac:dyDescent="0.3">
      <c r="B8" t="s">
        <v>5074</v>
      </c>
      <c r="C8" s="3">
        <v>1424630.32</v>
      </c>
      <c r="D8" s="3">
        <v>1791650.4200000002</v>
      </c>
      <c r="G8" s="29" t="s">
        <v>4</v>
      </c>
      <c r="H8" t="s">
        <v>5089</v>
      </c>
    </row>
    <row r="9" spans="1:8" x14ac:dyDescent="0.3">
      <c r="B9" t="s">
        <v>5075</v>
      </c>
      <c r="C9" s="3">
        <v>1505742.0199999996</v>
      </c>
      <c r="D9" s="3">
        <v>1747990.2399999993</v>
      </c>
      <c r="G9" t="s">
        <v>5039</v>
      </c>
      <c r="H9" s="3">
        <v>5188058.9800000032</v>
      </c>
    </row>
    <row r="10" spans="1:8" x14ac:dyDescent="0.3">
      <c r="B10" t="s">
        <v>5076</v>
      </c>
      <c r="C10" s="3">
        <v>1696372.0500000003</v>
      </c>
      <c r="D10" s="3">
        <v>1888746.5299999996</v>
      </c>
      <c r="G10" t="s">
        <v>5040</v>
      </c>
      <c r="H10" s="3">
        <v>5210849.1100000003</v>
      </c>
    </row>
    <row r="11" spans="1:8" x14ac:dyDescent="0.3">
      <c r="B11" t="s">
        <v>5077</v>
      </c>
      <c r="C11" s="3">
        <v>1305790.7200000002</v>
      </c>
      <c r="D11" s="3">
        <v>1517170.7200000011</v>
      </c>
      <c r="G11" t="s">
        <v>5041</v>
      </c>
      <c r="H11" s="3">
        <v>5050530.6200000029</v>
      </c>
    </row>
    <row r="12" spans="1:8" x14ac:dyDescent="0.3">
      <c r="B12" t="s">
        <v>5078</v>
      </c>
      <c r="C12" s="3">
        <v>1653669.1100000003</v>
      </c>
      <c r="D12" s="3">
        <v>1861806.4300000004</v>
      </c>
      <c r="G12" t="s">
        <v>5037</v>
      </c>
      <c r="H12" s="3">
        <v>5073405.3399999961</v>
      </c>
    </row>
    <row r="13" spans="1:8" x14ac:dyDescent="0.3">
      <c r="B13" t="s">
        <v>5079</v>
      </c>
      <c r="C13" s="3">
        <v>1617925.6999999988</v>
      </c>
      <c r="D13" s="3">
        <v>1927975.0699999998</v>
      </c>
      <c r="G13" t="s">
        <v>5034</v>
      </c>
      <c r="H13" s="3">
        <v>5048575.2799999993</v>
      </c>
    </row>
    <row r="14" spans="1:8" x14ac:dyDescent="0.3">
      <c r="B14" t="s">
        <v>5080</v>
      </c>
      <c r="C14" s="3">
        <v>1505467.6400000011</v>
      </c>
      <c r="D14" s="3">
        <v>1813585.6100000003</v>
      </c>
      <c r="G14" t="s">
        <v>5038</v>
      </c>
      <c r="H14" s="3">
        <v>4643391.5299999956</v>
      </c>
    </row>
    <row r="15" spans="1:8" x14ac:dyDescent="0.3">
      <c r="B15" t="s">
        <v>5081</v>
      </c>
      <c r="C15" s="3">
        <v>1805664.95</v>
      </c>
      <c r="D15" s="3">
        <v>1653344.8700000003</v>
      </c>
      <c r="G15" t="s">
        <v>5036</v>
      </c>
      <c r="H15" s="3">
        <v>4941757.0299999975</v>
      </c>
    </row>
    <row r="16" spans="1:8" x14ac:dyDescent="0.3">
      <c r="B16" t="s">
        <v>5082</v>
      </c>
      <c r="C16" s="3">
        <v>1544425.69</v>
      </c>
      <c r="D16" s="3">
        <v>1819156.0899999992</v>
      </c>
      <c r="G16" t="s">
        <v>5035</v>
      </c>
      <c r="H16" s="3">
        <v>4868762.1800000025</v>
      </c>
    </row>
    <row r="17" spans="2:8" x14ac:dyDescent="0.3">
      <c r="B17" t="s">
        <v>5083</v>
      </c>
      <c r="C17" s="3">
        <v>1538866.0100000009</v>
      </c>
      <c r="D17" s="3">
        <v>1735587.9099999992</v>
      </c>
      <c r="G17" t="s">
        <v>5086</v>
      </c>
      <c r="H17" s="3">
        <v>40025330.07</v>
      </c>
    </row>
    <row r="18" spans="2:8" x14ac:dyDescent="0.3">
      <c r="B18" t="s">
        <v>5084</v>
      </c>
      <c r="C18" s="3">
        <v>1537208.7300000002</v>
      </c>
      <c r="D18" s="3">
        <v>1792359.69</v>
      </c>
    </row>
    <row r="19" spans="2:8" x14ac:dyDescent="0.3">
      <c r="B19" t="s">
        <v>5085</v>
      </c>
      <c r="C19" s="3">
        <v>1587617.62</v>
      </c>
      <c r="D19" s="3">
        <v>1752575.9299999995</v>
      </c>
      <c r="G19" s="29" t="s">
        <v>3</v>
      </c>
      <c r="H19" t="s">
        <v>5092</v>
      </c>
    </row>
    <row r="20" spans="2:8" x14ac:dyDescent="0.3">
      <c r="B20" t="s">
        <v>5086</v>
      </c>
      <c r="C20" s="3">
        <v>18723380.560000002</v>
      </c>
      <c r="D20" s="3">
        <v>21301949.510000002</v>
      </c>
    </row>
    <row r="21" spans="2:8" x14ac:dyDescent="0.3">
      <c r="G21" s="29" t="s">
        <v>2</v>
      </c>
      <c r="H21" t="s">
        <v>5087</v>
      </c>
    </row>
    <row r="22" spans="2:8" x14ac:dyDescent="0.3">
      <c r="B22" s="29" t="s">
        <v>8</v>
      </c>
      <c r="C22" t="s">
        <v>5087</v>
      </c>
      <c r="D22" t="s">
        <v>5091</v>
      </c>
      <c r="G22" t="s">
        <v>5019</v>
      </c>
      <c r="H22" s="3">
        <v>2128915.7200000011</v>
      </c>
    </row>
    <row r="23" spans="2:8" x14ac:dyDescent="0.3">
      <c r="B23" t="s">
        <v>5045</v>
      </c>
      <c r="C23" s="3">
        <v>8144817.9100000011</v>
      </c>
      <c r="D23" s="6">
        <v>1006</v>
      </c>
      <c r="G23" t="s">
        <v>5022</v>
      </c>
      <c r="H23" s="3">
        <v>2097324.7299999986</v>
      </c>
    </row>
    <row r="24" spans="2:8" x14ac:dyDescent="0.3">
      <c r="B24" t="s">
        <v>5044</v>
      </c>
      <c r="C24" s="3">
        <v>7906081.9699999951</v>
      </c>
      <c r="D24" s="6">
        <v>978</v>
      </c>
      <c r="G24" t="s">
        <v>5016</v>
      </c>
      <c r="H24" s="3">
        <v>2095642.8199999996</v>
      </c>
    </row>
    <row r="25" spans="2:8" x14ac:dyDescent="0.3">
      <c r="B25" t="s">
        <v>5046</v>
      </c>
      <c r="C25" s="3">
        <v>7982788.2599999988</v>
      </c>
      <c r="D25" s="6">
        <v>974</v>
      </c>
      <c r="G25" t="s">
        <v>5025</v>
      </c>
      <c r="H25" s="3">
        <v>2091231.9600000009</v>
      </c>
    </row>
    <row r="26" spans="2:8" x14ac:dyDescent="0.3">
      <c r="B26" t="s">
        <v>5042</v>
      </c>
      <c r="C26" s="3">
        <v>7967057.4600000111</v>
      </c>
      <c r="D26" s="6">
        <v>1022</v>
      </c>
      <c r="G26" t="s">
        <v>5029</v>
      </c>
      <c r="H26" s="3">
        <v>2078281.5699999998</v>
      </c>
    </row>
    <row r="27" spans="2:8" x14ac:dyDescent="0.3">
      <c r="B27" t="s">
        <v>5043</v>
      </c>
      <c r="C27" s="3">
        <v>8024584.4699999923</v>
      </c>
      <c r="D27" s="6">
        <v>1020</v>
      </c>
      <c r="G27" t="s">
        <v>5021</v>
      </c>
      <c r="H27" s="3">
        <v>2063733.3899999997</v>
      </c>
    </row>
    <row r="28" spans="2:8" x14ac:dyDescent="0.3">
      <c r="B28" t="s">
        <v>5086</v>
      </c>
      <c r="C28" s="3">
        <v>40025330.070000008</v>
      </c>
      <c r="D28" s="6">
        <v>5000</v>
      </c>
      <c r="G28" t="s">
        <v>5020</v>
      </c>
      <c r="H28" s="3">
        <v>2056552.1600000004</v>
      </c>
    </row>
    <row r="29" spans="2:8" x14ac:dyDescent="0.3">
      <c r="G29" t="s">
        <v>5031</v>
      </c>
      <c r="H29" s="3">
        <v>2051448.9</v>
      </c>
    </row>
    <row r="30" spans="2:8" x14ac:dyDescent="0.3">
      <c r="G30" t="s">
        <v>5018</v>
      </c>
      <c r="H30" s="3">
        <v>2043264.419999999</v>
      </c>
    </row>
    <row r="31" spans="2:8" x14ac:dyDescent="0.3">
      <c r="G31" t="s">
        <v>5015</v>
      </c>
      <c r="H31" s="3">
        <v>2005973.429999999</v>
      </c>
    </row>
    <row r="32" spans="2:8" x14ac:dyDescent="0.3">
      <c r="G32" t="s">
        <v>5013</v>
      </c>
      <c r="H32" s="3">
        <v>2001667.5100000002</v>
      </c>
    </row>
    <row r="33" spans="7:8" x14ac:dyDescent="0.3">
      <c r="G33" t="s">
        <v>5030</v>
      </c>
      <c r="H33" s="3">
        <v>1998309.0199999984</v>
      </c>
    </row>
    <row r="34" spans="7:8" x14ac:dyDescent="0.3">
      <c r="G34" t="s">
        <v>5026</v>
      </c>
      <c r="H34" s="3">
        <v>1979711.5700000003</v>
      </c>
    </row>
    <row r="35" spans="7:8" x14ac:dyDescent="0.3">
      <c r="G35" t="s">
        <v>5027</v>
      </c>
      <c r="H35" s="3">
        <v>1955518.149999999</v>
      </c>
    </row>
    <row r="36" spans="7:8" x14ac:dyDescent="0.3">
      <c r="G36" t="s">
        <v>5012</v>
      </c>
      <c r="H36" s="3">
        <v>1929044.9699999988</v>
      </c>
    </row>
    <row r="37" spans="7:8" x14ac:dyDescent="0.3">
      <c r="G37" t="s">
        <v>5014</v>
      </c>
      <c r="H37" s="3">
        <v>1916407.8300000005</v>
      </c>
    </row>
    <row r="38" spans="7:8" x14ac:dyDescent="0.3">
      <c r="G38" t="s">
        <v>5028</v>
      </c>
      <c r="H38" s="3">
        <v>1908212.4000000001</v>
      </c>
    </row>
    <row r="39" spans="7:8" x14ac:dyDescent="0.3">
      <c r="G39" t="s">
        <v>5024</v>
      </c>
      <c r="H39" s="3">
        <v>1889128.4700000009</v>
      </c>
    </row>
    <row r="40" spans="7:8" x14ac:dyDescent="0.3">
      <c r="G40" t="s">
        <v>5017</v>
      </c>
      <c r="H40" s="3">
        <v>1882380.5500000005</v>
      </c>
    </row>
    <row r="41" spans="7:8" x14ac:dyDescent="0.3">
      <c r="G41" t="s">
        <v>5023</v>
      </c>
      <c r="H41" s="3">
        <v>1852580.5000000002</v>
      </c>
    </row>
    <row r="42" spans="7:8" x14ac:dyDescent="0.3">
      <c r="G42" t="s">
        <v>5086</v>
      </c>
      <c r="H42" s="3">
        <v>40025330.070000008</v>
      </c>
    </row>
  </sheetData>
  <mergeCells count="1">
    <mergeCell ref="A1:XF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2D0A-467A-4206-98AF-E6B1E6655EDF}">
  <dimension ref="A1:A6"/>
  <sheetViews>
    <sheetView topLeftCell="A7" zoomScale="84" zoomScaleNormal="112" workbookViewId="0">
      <selection activeCell="I11" sqref="I11"/>
    </sheetView>
  </sheetViews>
  <sheetFormatPr baseColWidth="10" defaultRowHeight="14.4" x14ac:dyDescent="0.3"/>
  <cols>
    <col min="1" max="2" width="11.5546875" style="36"/>
    <col min="3" max="3" width="22.77734375" style="36" bestFit="1" customWidth="1"/>
    <col min="4" max="4" width="20.21875" style="36" bestFit="1" customWidth="1"/>
    <col min="5" max="5" width="25.88671875" style="36" bestFit="1" customWidth="1"/>
    <col min="6" max="6" width="25" style="36" bestFit="1" customWidth="1"/>
    <col min="7" max="7" width="40.6640625" style="36" bestFit="1" customWidth="1"/>
    <col min="8" max="16384" width="11.5546875" style="36"/>
  </cols>
  <sheetData>
    <row r="1" spans="1:1" s="35" customFormat="1" x14ac:dyDescent="0.3">
      <c r="A1" s="35" t="s">
        <v>5093</v>
      </c>
    </row>
    <row r="2" spans="1:1" s="35" customFormat="1" x14ac:dyDescent="0.3"/>
    <row r="3" spans="1:1" s="35" customFormat="1" x14ac:dyDescent="0.3"/>
    <row r="6" spans="1:1" ht="21" customHeight="1" x14ac:dyDescent="0.3"/>
  </sheetData>
  <mergeCells count="1">
    <mergeCell ref="A1:XFD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Base_De_Datos</vt:lpstr>
      <vt:lpstr>Resumen_General</vt:lpstr>
      <vt:lpstr>Consulta_Transaccion</vt:lpstr>
      <vt:lpstr>Análisis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Anchieta</dc:creator>
  <cp:lastModifiedBy>Jonathan Anchieta</cp:lastModifiedBy>
  <dcterms:created xsi:type="dcterms:W3CDTF">2026-01-14T17:25:29Z</dcterms:created>
  <dcterms:modified xsi:type="dcterms:W3CDTF">2026-01-16T22:07:30Z</dcterms:modified>
</cp:coreProperties>
</file>